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468989b3b84c57" /></Relationships>
</file>

<file path=xl/workbook.xml><?xml version="1.0" encoding="utf-8"?>
<x:workbook xmlns:x="http://schemas.openxmlformats.org/spreadsheetml/2006/main">
  <x:sheets>
    <x:sheet xmlns:r="http://schemas.openxmlformats.org/officeDocument/2006/relationships" name="Dashboard" sheetId="1" r:id="R78168323e9a04b2c"/>
    <x:sheet xmlns:r="http://schemas.openxmlformats.org/officeDocument/2006/relationships" name="Inputs" sheetId="2" r:id="R052a937db6c747ea"/>
    <x:sheet xmlns:r="http://schemas.openxmlformats.org/officeDocument/2006/relationships" name="Model_Data" sheetId="3" r:id="Re62e0e4f25b64a21"/>
    <x:sheet xmlns:r="http://schemas.openxmlformats.org/officeDocument/2006/relationships" name="Chart_Data" sheetId="4" r:id="Rdd1b1598db644bb8"/>
    <x:sheet xmlns:r="http://schemas.openxmlformats.org/officeDocument/2006/relationships" name="Scenario_Data" sheetId="5" r:id="R1e64d9ca652c4308"/>
    <x:sheet xmlns:r="http://schemas.openxmlformats.org/officeDocument/2006/relationships" name="PRF_Results" sheetId="6" r:id="R86fbd8c23c1e4665"/>
    <x:sheet xmlns:r="http://schemas.openxmlformats.org/officeDocument/2006/relationships" name="Formula_Guide" sheetId="7" r:id="Rcf0c594a8f2b44cd"/>
    <x:sheet xmlns:r="http://schemas.openxmlformats.org/officeDocument/2006/relationships" name="Topography_Formulas" sheetId="8" r:id="Re4b621173af845b5"/>
    <x:sheet xmlns:r="http://schemas.openxmlformats.org/officeDocument/2006/relationships" name="Checks" sheetId="9" r:id="R6bb0f8d185454ae3"/>
    <x:sheet xmlns:r="http://schemas.openxmlformats.org/officeDocument/2006/relationships" name="Graph_Guide" sheetId="10" r:id="Rcaf915f306d2404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General"/>
    <x:numFmt numFmtId="203" formatCode="0.000"/>
  </x:numFmts>
  <x:fonts count="17">
    <x:font>
      <x:sz val="11"/>
      <x:name val="Carlito"/>
    </x:font>
    <x:font>
      <x:b/>
      <x:sz val="16"/>
      <x:color rgb="FFFFFFFF"/>
      <x:name val="Calibri"/>
    </x:font>
    <x:font>
      <x:i/>
      <x:sz val="10"/>
      <x:color rgb="FF344054"/>
      <x:name val="Calibri"/>
    </x:font>
    <x:font>
      <x:sz val="10"/>
      <x:color rgb="FF344054"/>
      <x:name val="Calibri"/>
    </x:font>
    <x:font>
      <x:b/>
      <x:sz val="10"/>
      <x:color rgb="FF0B2545"/>
      <x:name val="Calibri"/>
    </x:font>
    <x:font>
      <x:b/>
      <x:sz val="12"/>
      <x:color rgb="FF0B2545"/>
      <x:name val="Calibri"/>
    </x:font>
    <x:font>
      <x:sz val="10"/>
      <x:color rgb="FF0B2545"/>
      <x:name val="Calibri"/>
    </x:font>
    <x:font>
      <x:sz val="9"/>
      <x:color rgb="FF0B2545"/>
      <x:name val="Consolas"/>
    </x:font>
    <x:font>
      <x:b/>
      <x:sz val="11"/>
      <x:color rgb="FFFFFFFF"/>
      <x:name val="Carlito"/>
    </x:font>
    <x:font>
      <x:b/>
      <x:sz val="11"/>
      <x:color rgb="FF0B1F3A"/>
      <x:name val="Carlito"/>
    </x:font>
    <x:font>
      <x:sz val="11"/>
      <x:color rgb="FF203040"/>
      <x:name val="Carlito"/>
    </x:font>
    <x:font>
      <x:i/>
      <x:sz val="11"/>
      <x:color rgb="FF203040"/>
      <x:name val="Carlito"/>
    </x:font>
    <x:font>
      <x:b/>
      <x:sz val="11"/>
      <x:color rgb="FF203040"/>
      <x:name val="Aptos"/>
    </x:font>
    <x:font>
      <x:i/>
      <x:sz val="11"/>
      <x:color rgb="FF203040"/>
      <x:name val="Aptos"/>
    </x:font>
    <x:font>
      <x:sz val="11"/>
      <x:color rgb="FF203040"/>
      <x:name val="Aptos"/>
    </x:font>
    <x:font>
      <x:b/>
      <x:sz val="11"/>
      <x:color rgb="FFFFFFFF"/>
      <x:name val="Aptos"/>
    </x:font>
    <x:font>
      <x:b/>
      <x:sz val="11"/>
      <x:color rgb="FF0B1F3A"/>
      <x:name val="Aptos"/>
    </x:font>
  </x:fonts>
  <x:fills count="12">
    <x:fill>
      <x:patternFill patternType="none"/>
    </x:fill>
    <x:fill>
      <x:patternFill patternType="gray125"/>
    </x:fill>
    <x:fill>
      <x:patternFill patternType="solid">
        <x:fgColor rgb="FF0B2545"/>
      </x:patternFill>
    </x:fill>
    <x:fill>
      <x:patternFill patternType="solid">
        <x:fgColor rgb="FFF2F4F7"/>
      </x:patternFill>
    </x:fill>
    <x:fill>
      <x:patternFill patternType="solid">
        <x:fgColor rgb="FFFFF2CC"/>
      </x:patternFill>
    </x:fill>
    <x:fill>
      <x:patternFill patternType="solid">
        <x:fgColor rgb="FFFCEFD9"/>
      </x:patternFill>
    </x:fill>
    <x:fill>
      <x:patternFill patternType="solid">
        <x:fgColor rgb="FFEAF2FB"/>
      </x:patternFill>
    </x:fill>
    <x:fill>
      <x:patternFill patternType="solid">
        <x:fgColor rgb="FF0B1F3A"/>
      </x:patternFill>
    </x:fill>
    <x:fill>
      <x:patternFill patternType="solid">
        <x:fgColor rgb="FFD9EAF7"/>
      </x:patternFill>
    </x:fill>
    <x:fill>
      <x:patternFill patternType="solid">
        <x:fgColor rgb="FFEDF6FF"/>
      </x:patternFill>
    </x:fill>
    <x:fill>
      <x:patternFill patternType="solid">
        <x:fgColor rgb="FFFFF4D6"/>
      </x:patternFill>
    </x:fill>
    <x:fill>
      <x:patternFill patternType="solid">
        <x:fgColor rgb="FFE8F7EF"/>
      </x:patternFill>
    </x:fill>
  </x:fills>
  <x:borders count="9">
    <x:border/>
    <x:border>
      <x:left style="thin">
        <x:color rgb="FFD0D5DD"/>
      </x:left>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
      <x:left style="thin">
        <x:color rgb="FFD9E2EC"/>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top style="thin">
        <x:color rgb="FFD9E2EC"/>
      </x:top>
      <x:bottom style="thin">
        <x:color rgb="FFD9E2EC"/>
      </x:bottom>
    </x:border>
    <x:border>
      <x:right style="thin">
        <x:color rgb="FFD9E2EC"/>
      </x:right>
      <x:top style="thin">
        <x:color rgb="FFD9E2EC"/>
      </x:top>
      <x:bottom style="thin">
        <x:color rgb="FFD9E2EC"/>
      </x:bottom>
    </x:border>
  </x:borders>
  <x:cellStyleXfs count="1">
    <x:xf numFmtId="0" fontId="0" fillId="0" borderId="0"/>
  </x:cellStyleXfs>
  <x:cellXfs count="10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4" fillId="3" borderId="1" xfId="0" applyNumberFormat="1" applyFont="1" applyFill="1" applyBorder="1" applyAlignment="1">
      <x:alignment horizontal="center" vertical="center" wrapText="1"/>
    </x:xf>
    <x:xf numFmtId="0" fontId="3"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200" fontId="4" fillId="4" borderId="1" xfId="0" applyNumberFormat="1" applyFont="1" applyFill="1" applyBorder="1" applyAlignment="1">
      <x:alignment vertical="center" wrapText="1"/>
    </x:xf>
    <x:xf numFmtId="200" fontId="4" fillId="4" borderId="1" xfId="0" applyNumberFormat="1" applyFont="1" applyFill="1" applyBorder="1" applyAlignment="1">
      <x:alignment horizontal="right" vertical="center" wrapText="1"/>
    </x:xf>
    <x:xf numFmtId="201" fontId="4" fillId="4" borderId="1" xfId="0" applyNumberFormat="1" applyFont="1" applyFill="1" applyBorder="1" applyAlignment="1">
      <x:alignment horizontal="right" vertical="center" wrapText="1"/>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4"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2" xfId="0" applyNumberFormat="1" applyFont="1" applyFill="1" applyBorder="1" applyAlignment="1">
      <x:alignment horizontal="left"/>
    </x:xf>
    <x:xf numFmtId="0" fontId="5" fillId="6" borderId="3" xfId="0" applyNumberFormat="1" applyFont="1" applyFill="1" applyBorder="1" applyAlignment="1">
      <x:alignment horizontal="left"/>
    </x:xf>
    <x:xf numFmtId="0" fontId="5" fillId="6" borderId="4" xfId="0" applyNumberFormat="1" applyFont="1" applyFill="1" applyBorder="1" applyAlignment="1">
      <x:alignment horizontal="left"/>
    </x:xf>
    <x:xf numFmtId="0" fontId="5" fillId="6" borderId="2" xfId="0" applyNumberFormat="1" applyFont="1" applyFill="1" applyBorder="1" applyAlignment="1">
      <x:alignment horizontal="left" vertical="center"/>
    </x:xf>
    <x:xf numFmtId="0" fontId="5" fillId="6" borderId="3" xfId="0" applyNumberFormat="1" applyFont="1" applyFill="1" applyBorder="1" applyAlignment="1">
      <x:alignment horizontal="left" vertical="center"/>
    </x:xf>
    <x:xf numFmtId="0" fontId="5" fillId="6" borderId="4" xfId="0" applyNumberFormat="1" applyFont="1" applyFill="1" applyBorder="1" applyAlignment="1">
      <x:alignment horizontal="left" vertical="center"/>
    </x:xf>
    <x:xf numFmtId="0" fontId="3" fillId="6" borderId="1"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202" fontId="4" fillId="6" borderId="1" xfId="0" applyNumberFormat="1" applyFont="1" applyFill="1" applyBorder="1" applyAlignment="1">
      <x:alignment vertical="center" wrapText="1"/>
    </x:xf>
    <x:xf numFmtId="202" fontId="4" fillId="6" borderId="1" xfId="0" applyNumberFormat="1" applyFont="1" applyFill="1" applyBorder="1" applyAlignment="1">
      <x:alignment horizontal="center" vertical="center" wrapText="1"/>
    </x:xf>
    <x:xf numFmtId="0" fontId="6" fillId="6" borderId="1" xfId="0" applyNumberFormat="1" applyFont="1" applyFill="1" applyBorder="1" applyAlignment="1">
      <x:alignment vertical="center" wrapText="1"/>
    </x:xf>
    <x:xf numFmtId="200" fontId="6" fillId="6" borderId="1" xfId="0" applyNumberFormat="1" applyFont="1" applyFill="1" applyBorder="1" applyAlignment="1">
      <x:alignment vertical="center" wrapText="1"/>
    </x:xf>
    <x:xf numFmtId="200" fontId="6" fillId="6"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center" vertical="center" wrapText="1"/>
    </x:xf>
    <x:xf numFmtId="203" fontId="3" fillId="0" borderId="1" xfId="0" applyNumberFormat="1" applyFont="1" applyFill="1" applyBorder="1" applyAlignment="1">
      <x:alignment vertical="center" wrapText="1"/>
    </x:xf>
    <x:xf numFmtId="203" fontId="0" fillId="0"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6" borderId="1" xfId="0" applyNumberFormat="1" applyFont="1" applyFill="1" applyBorder="1" applyAlignment="1">
      <x:alignment horizontal="right" vertical="center" wrapText="1"/>
    </x:xf>
    <x:xf numFmtId="0" fontId="4" fillId="6" borderId="1" xfId="0" applyNumberFormat="1" applyFont="1" applyFill="1" applyBorder="1" applyAlignment="1">
      <x:alignment horizontal="center" vertical="center" wrapText="1"/>
    </x:xf>
    <x:xf numFmtId="203" fontId="4" fillId="6" borderId="1" xfId="0" applyNumberFormat="1" applyFont="1" applyFill="1" applyBorder="1" applyAlignment="1">
      <x:alignment horizontal="right" vertical="center" wrapText="1"/>
    </x:xf>
    <x:xf numFmtId="0" fontId="4" fillId="4" borderId="1" xfId="0" applyNumberFormat="1" applyFont="1" applyFill="1" applyBorder="1" applyAlignment="1">
      <x:alignment horizontal="center" vertical="center" wrapText="1"/>
    </x:xf>
    <x:xf numFmtId="0" fontId="7" fillId="0" borderId="1" xfId="0" applyNumberFormat="1" applyFont="1" applyFill="1" applyBorder="1" applyAlignment="1">
      <x:alignment vertical="center" wrapText="1"/>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horizontal="center" wrapText="1"/>
    </x:xf>
    <x:xf numFmtId="0" fontId="8" fillId="7" borderId="0" xfId="0" applyNumberFormat="1" applyFont="1" applyFill="1" applyBorder="1" applyAlignment="1">
      <x:alignment horizontal="center" vertical="center" wrapText="1"/>
    </x:xf>
    <x:xf numFmtId="0" fontId="0" fillId="8" borderId="0" xfId="0" applyNumberFormat="1" applyFont="1" applyFill="1" applyBorder="1"/>
    <x:xf numFmtId="0" fontId="9" fillId="8" borderId="0" xfId="0" applyNumberFormat="1" applyFont="1" applyFill="1" applyBorder="1"/>
    <x:xf numFmtId="0" fontId="9" fillId="8" borderId="5" xfId="0" applyNumberFormat="1" applyFont="1" applyFill="1" applyBorder="1"/>
    <x:xf numFmtId="0" fontId="9" fillId="8" borderId="5" xfId="0" applyNumberFormat="1" applyFont="1" applyFill="1" applyBorder="1" applyAlignment="1">
      <x:alignment wrapText="1"/>
    </x:xf>
    <x:xf numFmtId="0" fontId="9" fillId="8" borderId="5" xfId="0" applyNumberFormat="1" applyFont="1" applyFill="1" applyBorder="1" applyAlignment="1">
      <x:alignment horizontal="center" wrapText="1"/>
    </x:xf>
    <x:xf numFmtId="0" fontId="9" fillId="8" borderId="5" xfId="0" applyNumberFormat="1" applyFont="1" applyFill="1" applyBorder="1" applyAlignment="1">
      <x:alignment horizontal="center" vertical="center" wrapText="1"/>
    </x:xf>
    <x:xf numFmtId="0" fontId="10" fillId="0" borderId="0" xfId="0" applyNumberFormat="1" applyFont="1" applyFill="1" applyBorder="1"/>
    <x:xf numFmtId="0" fontId="10" fillId="0" borderId="5" xfId="0" applyNumberFormat="1" applyFont="1" applyFill="1" applyBorder="1"/>
    <x:xf numFmtId="0" fontId="10" fillId="0" borderId="5" xfId="0" applyNumberFormat="1" applyFont="1" applyFill="1" applyBorder="1" applyAlignment="1">
      <x:alignment wrapText="1"/>
    </x:xf>
    <x:xf numFmtId="0" fontId="10" fillId="0" borderId="5" xfId="0" applyNumberFormat="1" applyFont="1" applyFill="1" applyBorder="1" applyAlignment="1">
      <x:alignment vertical="top" wrapText="1"/>
    </x:xf>
    <x:xf numFmtId="0" fontId="10" fillId="9" borderId="5" xfId="0" applyNumberFormat="1" applyFont="1" applyFill="1" applyBorder="1" applyAlignment="1">
      <x:alignment vertical="top" wrapText="1"/>
    </x:xf>
    <x:xf numFmtId="0" fontId="9" fillId="9" borderId="5" xfId="0" applyNumberFormat="1" applyFont="1" applyFill="1" applyBorder="1" applyAlignment="1">
      <x:alignment vertical="top" wrapText="1"/>
    </x:xf>
    <x:xf numFmtId="0" fontId="0" fillId="10" borderId="0" xfId="0" applyNumberFormat="1" applyFont="1" applyFill="1" applyBorder="1"/>
    <x:xf numFmtId="0" fontId="11" fillId="10" borderId="0" xfId="0" applyNumberFormat="1" applyFont="1" applyFill="1" applyBorder="1"/>
    <x:xf numFmtId="0" fontId="11" fillId="10" borderId="6" xfId="0" applyNumberFormat="1" applyFont="1" applyFill="1" applyBorder="1"/>
    <x:xf numFmtId="0" fontId="11" fillId="10" borderId="7" xfId="0" applyNumberFormat="1" applyFont="1" applyFill="1" applyBorder="1"/>
    <x:xf numFmtId="0" fontId="11" fillId="10" borderId="8" xfId="0" applyNumberFormat="1" applyFont="1" applyFill="1" applyBorder="1"/>
    <x:xf numFmtId="0" fontId="11" fillId="10" borderId="6" xfId="0" applyNumberFormat="1" applyFont="1" applyFill="1" applyBorder="1" applyAlignment="1">
      <x:alignment wrapText="1"/>
    </x:xf>
    <x:xf numFmtId="0" fontId="11" fillId="10" borderId="7" xfId="0" applyNumberFormat="1" applyFont="1" applyFill="1" applyBorder="1" applyAlignment="1">
      <x:alignment wrapText="1"/>
    </x:xf>
    <x:xf numFmtId="0" fontId="11" fillId="10" borderId="8" xfId="0" applyNumberFormat="1" applyFont="1" applyFill="1" applyBorder="1" applyAlignment="1">
      <x:alignment wrapText="1"/>
    </x:xf>
    <x:xf numFmtId="203" fontId="10" fillId="0" borderId="0" xfId="0" applyNumberFormat="1" applyFont="1" applyFill="1" applyBorder="1"/>
    <x:xf numFmtId="203" fontId="10" fillId="0" borderId="5" xfId="0" applyNumberFormat="1" applyFont="1" applyFill="1" applyBorder="1"/>
    <x:xf numFmtId="203" fontId="10" fillId="0" borderId="5" xfId="0" applyNumberFormat="1" applyFont="1" applyFill="1" applyBorder="1" applyAlignment="1">
      <x:alignment wrapText="1"/>
    </x:xf>
    <x:xf numFmtId="203" fontId="10" fillId="0" borderId="5" xfId="0" applyNumberFormat="1" applyFont="1" applyFill="1" applyBorder="1" applyAlignment="1">
      <x:alignment vertical="top" wrapText="1"/>
    </x:xf>
    <x:xf numFmtId="0" fontId="10" fillId="11" borderId="5" xfId="0" applyNumberFormat="1" applyFont="1" applyFill="1" applyBorder="1" applyAlignment="1">
      <x:alignment vertical="top" wrapText="1"/>
    </x:xf>
    <x:xf numFmtId="203" fontId="10" fillId="11" borderId="5" xfId="0" applyNumberFormat="1" applyFont="1" applyFill="1" applyBorder="1" applyAlignment="1">
      <x:alignment vertical="top" wrapText="1"/>
    </x:xf>
    <x:xf numFmtId="0" fontId="9" fillId="11" borderId="5" xfId="0" applyNumberFormat="1" applyFont="1" applyFill="1" applyBorder="1" applyAlignment="1">
      <x:alignment vertical="top" wrapText="1"/>
    </x:xf>
    <x:xf numFmtId="203" fontId="9" fillId="11" borderId="5" xfId="0" applyNumberFormat="1" applyFont="1" applyFill="1" applyBorder="1" applyAlignment="1">
      <x:alignment vertical="top" wrapText="1"/>
    </x:xf>
    <x:xf numFmtId="0" fontId="12" fillId="7" borderId="0" xfId="0" applyNumberFormat="1" applyFont="1" applyFill="1" applyBorder="1" applyAlignment="1">
      <x:alignment horizontal="center" vertical="center" wrapText="1"/>
    </x:xf>
    <x:xf numFmtId="0" fontId="13" fillId="10" borderId="6" xfId="0" applyNumberFormat="1" applyFont="1" applyFill="1" applyBorder="1" applyAlignment="1">
      <x:alignment wrapText="1"/>
    </x:xf>
    <x:xf numFmtId="0" fontId="13" fillId="10" borderId="7" xfId="0" applyNumberFormat="1" applyFont="1" applyFill="1" applyBorder="1" applyAlignment="1">
      <x:alignment wrapText="1"/>
    </x:xf>
    <x:xf numFmtId="0" fontId="13" fillId="10" borderId="8" xfId="0" applyNumberFormat="1" applyFont="1" applyFill="1" applyBorder="1" applyAlignment="1">
      <x:alignment wrapText="1"/>
    </x:xf>
    <x:xf numFmtId="0" fontId="14" fillId="0" borderId="0" xfId="0" applyNumberFormat="1" applyFont="1" applyFill="1" applyBorder="1"/>
    <x:xf numFmtId="0" fontId="12" fillId="8" borderId="5" xfId="0" applyNumberFormat="1" applyFont="1" applyFill="1" applyBorder="1" applyAlignment="1">
      <x:alignment horizontal="center" vertical="center" wrapText="1"/>
    </x:xf>
    <x:xf numFmtId="0" fontId="12" fillId="9" borderId="5" xfId="0" applyNumberFormat="1" applyFont="1" applyFill="1" applyBorder="1" applyAlignment="1">
      <x:alignment vertical="top" wrapText="1"/>
    </x:xf>
    <x:xf numFmtId="0" fontId="14" fillId="0" borderId="5" xfId="0" applyNumberFormat="1" applyFont="1" applyFill="1" applyBorder="1" applyAlignment="1">
      <x:alignment vertical="top" wrapText="1"/>
    </x:xf>
    <x:xf numFmtId="0" fontId="12" fillId="11" borderId="5" xfId="0" applyNumberFormat="1" applyFont="1" applyFill="1" applyBorder="1" applyAlignment="1">
      <x:alignment vertical="top" wrapText="1"/>
    </x:xf>
    <x:xf numFmtId="203" fontId="12" fillId="11" borderId="5" xfId="0" applyNumberFormat="1" applyFont="1" applyFill="1" applyBorder="1" applyAlignment="1">
      <x:alignment vertical="top" wrapText="1"/>
    </x:xf>
    <x:xf numFmtId="0" fontId="15" fillId="7" borderId="0" xfId="0" applyNumberFormat="1" applyFont="1" applyFill="1" applyBorder="1" applyAlignment="1">
      <x:alignment horizontal="center" vertical="center" wrapText="1"/>
    </x:xf>
    <x:xf numFmtId="0" fontId="16" fillId="8" borderId="5" xfId="0" applyNumberFormat="1" applyFont="1" applyFill="1" applyBorder="1" applyAlignment="1">
      <x:alignment horizontal="center" vertical="center" wrapText="1"/>
    </x:xf>
  </x:cellXfs>
  <x:cellStyles count="1">
    <x:cellStyle name="Normal" xfId="0"/>
  </x:cellStyles>
  <x:dxfs count="2">
    <x:dxf>
      <x:font>
        <x:b/>
        <x:color rgb="FF0B2545"/>
      </x:font>
      <x:fill>
        <x:patternFill>
          <x:bgColor rgb="FFDFF4E6"/>
        </x:patternFill>
      </x:fill>
    </x:dxf>
    <x:dxf>
      <x:font>
        <x:b/>
        <x:color rgb="FF0B2545"/>
      </x:font>
      <x:fill>
        <x:patternFill>
          <x:bgColor rgb="FFFCEF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8dc3a14a102417f" /><Relationship Type="http://schemas.openxmlformats.org/officeDocument/2006/relationships/theme" Target="/xl/theme/theme1.xml" Id="R57d5886cfa974675" /><Relationship Type="http://schemas.openxmlformats.org/officeDocument/2006/relationships/sharedStrings" Target="/xl/sharedStrings.xml" Id="R53a3e02b835742c3" /><Relationship Type="http://schemas.openxmlformats.org/officeDocument/2006/relationships/worksheet" Target="/xl/worksheets/sheet1.xml" Id="R78168323e9a04b2c" /><Relationship Type="http://schemas.openxmlformats.org/officeDocument/2006/relationships/worksheet" Target="/xl/worksheets/sheet2.xml" Id="R052a937db6c747ea" /><Relationship Type="http://schemas.openxmlformats.org/officeDocument/2006/relationships/worksheet" Target="/xl/worksheets/sheet3.xml" Id="Re62e0e4f25b64a21" /><Relationship Type="http://schemas.openxmlformats.org/officeDocument/2006/relationships/worksheet" Target="/xl/worksheets/sheet4.xml" Id="Rdd1b1598db644bb8" /><Relationship Type="http://schemas.openxmlformats.org/officeDocument/2006/relationships/worksheet" Target="/xl/worksheets/sheet5.xml" Id="R1e64d9ca652c4308" /><Relationship Type="http://schemas.openxmlformats.org/officeDocument/2006/relationships/worksheet" Target="/xl/worksheets/sheet6.xml" Id="R86fbd8c23c1e4665" /><Relationship Type="http://schemas.openxmlformats.org/officeDocument/2006/relationships/worksheet" Target="/xl/worksheets/sheet7.xml" Id="Rcf0c594a8f2b44cd" /><Relationship Type="http://schemas.openxmlformats.org/officeDocument/2006/relationships/worksheet" Target="/xl/worksheets/sheet8.xml" Id="Re4b621173af845b5" /><Relationship Type="http://schemas.openxmlformats.org/officeDocument/2006/relationships/worksheet" Target="/xl/worksheets/sheet9.xml" Id="R6bb0f8d185454ae3" /><Relationship Type="http://schemas.openxmlformats.org/officeDocument/2006/relationships/worksheet" Target="/xl/worksheets/sheet10.xml" Id="Rcaf915f306d24047" /></Relationships>
</file>

<file path=xl/drawings/_rels/drawing1.xml.rels>&#65279;<?xml version="1.0" encoding="utf-8"?><Relationships xmlns="http://schemas.openxmlformats.org/package/2006/relationships"><Relationship Type="http://schemas.openxmlformats.org/officeDocument/2006/relationships/chart" Target="/xl/drawings/charts/chart1.xml" Id="R377980146ec04be7" /><Relationship Type="http://schemas.openxmlformats.org/officeDocument/2006/relationships/chart" Target="/xl/drawings/charts/chart2.xml" Id="R0bd91cfbbe874008" /><Relationship Type="http://schemas.openxmlformats.org/officeDocument/2006/relationships/chart" Target="/xl/drawings/charts/chart3.xml" Id="R4af0731b2c714fc6" /><Relationship Type="http://schemas.openxmlformats.org/officeDocument/2006/relationships/chart" Target="/xl/drawings/charts/chart4.xml" Id="R0cb739d5efc34c10" /><Relationship Type="http://schemas.openxmlformats.org/officeDocument/2006/relationships/chart" Target="/xl/drawings/charts/chart5.xml" Id="R8dbd4ba8df1d40ca" /><Relationship Type="http://schemas.openxmlformats.org/officeDocument/2006/relationships/chart" Target="/xl/drawings/charts/chart6.xml" Id="R8132b4594d724e12" /><Relationship Type="http://schemas.openxmlformats.org/officeDocument/2006/relationships/chart" Target="/xl/drawings/charts/chart7.xml" Id="Rddabf3494a7d4d2b" /></Relationships>
</file>

<file path=xl/drawings/charts/chart1.xml><?xml version="1.0" encoding="utf-8"?>
<c:chartSpace xmlns:a="http://schemas.openxmlformats.org/drawingml/2006/main" xmlns:c="http://schemas.openxmlformats.org/drawingml/2006/chart">
  <c:lang val="en-US"/>
  <c:roundedCorners val="0"/>
  <c:chart>
    <c:title>
      <c:tx>
        <c:rich>
          <a:bodyPr/>
          <a:lstStyle/>
          <a:p>
            <a:r>
              <a:rPr sz="900"/>
              <a:t>Apparent Depth: Motion vs Topography</a:t>
            </a:r>
          </a:p>
        </c:rich>
      </c:tx>
      <c:overlay val="0"/>
      <c:txPr>
        <a:bodyPr anchorCtr="1"/>
        <a:lstStyle/>
        <a:p>
          <a:pPr>
            <a:defRPr sz="900"/>
          </a:pPr>
        </a:p>
      </c:txPr>
    </c:title>
    <c:autoTitleDeleted val="0"/>
    <c:plotArea>
      <c:layout/>
      <c:lineChart>
        <c:grouping val="standard"/>
        <c:varyColors val="0"/>
        <c:ser>
          <c:idx val="0"/>
          <c:order val="0"/>
          <c:tx>
            <c:v>Zero-depth reference (0 m)</c:v>
          </c:tx>
          <c:spPr>
            <a:ln w="15240">
              <a:solidFill>
                <a:srgbClr val="8A8F98"/>
              </a:solidFill>
              <a:prstDash val="dash"/>
            </a:ln>
          </c:spPr>
          <c:cat>
            <c:strRef>
              <c:f>'Chart_Data'!$A$2:$A$242</c:f>
              <c:strCache>
                <c:ptCount val="0"/>
              </c:strCache>
            </c:strRef>
          </c:cat>
          <c:val>
            <c:numRef>
              <c:f>'Chart_Data'!$B$2:$B$242</c:f>
              <c:numCache>
                <c:formatCode>0.000</c:formatCode>
                <c:ptCount val="0"/>
              </c:numCache>
            </c:numRef>
          </c:val>
          <c:smooth val="0"/>
          <c:marker>
            <c:symbol val="none"/>
          </c:marker>
        </c:ser>
        <c:ser>
          <c:idx val="1"/>
          <c:order val="1"/>
          <c:tx>
            <c:v>Constant-altitude off-nadir (m)</c:v>
          </c:tx>
          <c:spPr>
            <a:ln w="19050">
              <a:solidFill>
                <a:srgbClr val="F97316"/>
              </a:solidFill>
            </a:ln>
          </c:spPr>
          <c:cat>
            <c:strRef>
              <c:f>'Chart_Data'!$A$2:$A$242</c:f>
              <c:strCache>
                <c:ptCount val="0"/>
              </c:strCache>
            </c:strRef>
          </c:cat>
          <c:val>
            <c:numRef>
              <c:f>'Chart_Data'!$C$2:$C$242</c:f>
              <c:numCache>
                <c:formatCode>0.000</c:formatCode>
                <c:ptCount val="0"/>
              </c:numCache>
            </c:numRef>
          </c:val>
          <c:smooth val="0"/>
          <c:marker>
            <c:symbol val="none"/>
          </c:marker>
        </c:ser>
        <c:ser>
          <c:idx val="2"/>
          <c:order val="2"/>
          <c:tx>
            <c:v>Parabolic flat-surface (m)</c:v>
          </c:tx>
          <c:spPr>
            <a:ln w="19050">
              <a:solidFill>
                <a:srgbClr val="2563EB"/>
              </a:solidFill>
            </a:ln>
          </c:spPr>
          <c:cat>
            <c:strRef>
              <c:f>'Chart_Data'!$A$2:$A$242</c:f>
              <c:strCache>
                <c:ptCount val="0"/>
              </c:strCache>
            </c:strRef>
          </c:cat>
          <c:val>
            <c:numRef>
              <c:f>'Chart_Data'!$D$2:$D$242</c:f>
              <c:numCache>
                <c:formatCode>0.000</c:formatCode>
                <c:ptCount val="0"/>
              </c:numCache>
            </c:numRef>
          </c:val>
          <c:smooth val="0"/>
          <c:marker>
            <c:symbol val="none"/>
          </c:marker>
        </c:ser>
        <c:ser>
          <c:idx val="3"/>
          <c:order val="3"/>
          <c:tx>
            <c:v>Parabolic + topography (m)</c:v>
          </c:tx>
          <c:spPr>
            <a:ln w="19050">
              <a:solidFill>
                <a:srgbClr val="16A34A"/>
              </a:solidFill>
            </a:ln>
          </c:spPr>
          <c:cat>
            <c:strRef>
              <c:f>'Chart_Data'!$A$2:$A$242</c:f>
              <c:strCache>
                <c:ptCount val="0"/>
              </c:strCache>
            </c:strRef>
          </c:cat>
          <c:val>
            <c:numRef>
              <c:f>'Chart_Data'!$E$2:$E$242</c:f>
              <c:numCache>
                <c:formatCode>0.000</c:formatCode>
                <c:ptCount val="0"/>
              </c:numCache>
            </c:numRef>
          </c:val>
          <c:smooth val="0"/>
          <c:marker>
            <c:symbol val="none"/>
          </c:marke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7144">
              <a:solidFill>
                <a:srgbClr val="D7D7D7"/>
              </a:solidFill>
              <a:prstDash val="dash"/>
            </a:ln>
          </c:spPr>
        </c:majorGridlines>
        <c:title>
          <c:tx>
            <c:rich>
              <a:bodyPr/>
              <a:lstStyle/>
              <a:p>
                <a:r>
                  <a:rPr sz="675"/>
                  <a:t>Along-track position x (km)</a:t>
                </a:r>
              </a:p>
            </c:rich>
          </c:tx>
          <c:overlay val="0"/>
          <c:txPr>
            <a:bodyPr anchorCtr="1"/>
            <a:lstStyle/>
            <a:p>
              <a:pPr>
                <a:defRPr sz="675"/>
              </a:pPr>
            </a:p>
          </c:txPr>
        </c:title>
        <c:numFmt formatCode="General"/>
        <c:majorTickMark val="none"/>
        <c:minorTickMark val="none"/>
        <c:tickLblPos val="nextTo"/>
        <c:tickLblSkip val="24"/>
        <c:txPr>
          <a:bodyPr anchorCtr="1"/>
          <a:lstStyle/>
          <a:p>
            <a:pPr>
              <a:defRPr sz="600"/>
            </a:pPr>
          </a:p>
        </c:txPr>
        <c:crossAx val="48672768"/>
        <c:crosses val="autoZero"/>
        <c:lblAlgn val="ctr"/>
        <c:lblOffset val="100"/>
        <c:noMultiLvlLbl val="0"/>
      </c:catAx>
      <c:valAx>
        <c:axId val="48672768"/>
        <c:scaling>
          <c:orientation val="minMax"/>
        </c:scaling>
        <c:delete val="0"/>
        <c:axPos val="l"/>
        <c:majorGridlines>
          <c:spPr>
            <a:ln w="7144">
              <a:solidFill>
                <a:srgbClr val="D7D7D7"/>
              </a:solidFill>
              <a:prstDash val="dash"/>
            </a:ln>
          </c:spPr>
        </c:majorGridlines>
        <c:title>
          <c:tx>
            <c:rich>
              <a:bodyPr/>
              <a:lstStyle/>
              <a:p>
                <a:r>
                  <a:rPr sz="675"/>
                  <a:t>Apparent depth / radar reading (m)</a:t>
                </a:r>
              </a:p>
            </c:rich>
          </c:tx>
          <c:overlay val="0"/>
          <c:txPr>
            <a:bodyPr anchorCtr="1"/>
            <a:lstStyle/>
            <a:p>
              <a:pPr>
                <a:defRPr sz="675"/>
              </a:pPr>
            </a:p>
          </c:txPr>
        </c:title>
        <c:numFmt formatCode="0"/>
        <c:majorTickMark val="none"/>
        <c:minorTickMark val="none"/>
        <c:txPr>
          <a:bodyPr anchorCtr="1"/>
          <a:lstStyle/>
          <a:p>
            <a:pPr>
              <a:defRPr sz="600"/>
            </a:pPr>
          </a:p>
        </c:txPr>
        <c:crossAx val="48650112"/>
        <c:crosses val="autoZero"/>
        <c:crossBetween val="between"/>
      </c:valAx>
    </c:plotArea>
    <c:legend>
      <c:legendPos val="b"/>
      <c:overlay val="0"/>
      <c:txPr>
        <a:bodyPr anchorCtr="1"/>
        <a:lstStyle/>
        <a:p>
          <a:pPr>
            <a:defRPr sz="600"/>
          </a:pPr>
        </a:p>
      </c:txPr>
    </c:legend>
    <c:plotVisOnly val="1"/>
  </c:chart>
  <c:spPr>
    <a:ln w="9525">
      <a:solidFill>
        <a:srgbClr val="D9D9D9"/>
      </a:solidFill>
      <a:prstDash val="solid"/>
    </a:ln>
  </c:spPr>
</c:chartSpace>
</file>

<file path=xl/drawings/charts/chart2.xml><?xml version="1.0" encoding="utf-8"?>
<c:chartSpace xmlns:a="http://schemas.openxmlformats.org/drawingml/2006/main" xmlns:c="http://schemas.openxmlformats.org/drawingml/2006/chart">
  <c:lang val="en-US"/>
  <c:roundedCorners val="0"/>
  <c:chart>
    <c:title>
      <c:tx>
        <c:rich>
          <a:bodyPr/>
          <a:lstStyle/>
          <a:p>
            <a:r>
              <a:rPr sz="900"/>
              <a:t>Surface Height: Reference Floor, Target, and Nadir</a:t>
            </a:r>
          </a:p>
        </c:rich>
      </c:tx>
      <c:overlay val="0"/>
      <c:txPr>
        <a:bodyPr anchorCtr="1"/>
        <a:lstStyle/>
        <a:p>
          <a:pPr>
            <a:defRPr sz="900"/>
          </a:pPr>
        </a:p>
      </c:txPr>
    </c:title>
    <c:autoTitleDeleted val="0"/>
    <c:plotArea>
      <c:layout/>
      <c:lineChart>
        <c:grouping val="standard"/>
        <c:varyColors val="0"/>
        <c:ser>
          <c:idx val="0"/>
          <c:order val="0"/>
          <c:tx>
            <c:v>Reference floor (0 m, not a run)</c:v>
          </c:tx>
          <c:spPr>
            <a:ln w="15240">
              <a:solidFill>
                <a:srgbClr val="8A8F98"/>
              </a:solidFill>
              <a:prstDash val="dash"/>
            </a:ln>
          </c:spPr>
          <c:cat>
            <c:strRef>
              <c:f>'Chart_Data'!$G$2:$G$242</c:f>
              <c:strCache>
                <c:ptCount val="0"/>
              </c:strCache>
            </c:strRef>
          </c:cat>
          <c:val>
            <c:numRef>
              <c:f>'Chart_Data'!$H$2:$H$242</c:f>
              <c:numCache>
                <c:formatCode>0.000</c:formatCode>
                <c:ptCount val="0"/>
              </c:numCache>
            </c:numRef>
          </c:val>
          <c:smooth val="0"/>
          <c:marker>
            <c:symbol val="none"/>
          </c:marker>
        </c:ser>
        <c:ser>
          <c:idx val="1"/>
          <c:order val="1"/>
          <c:tx>
            <c:v>Off-nadir target terrain (m)</c:v>
          </c:tx>
          <c:spPr>
            <a:ln w="19050">
              <a:solidFill>
                <a:srgbClr val="F97316"/>
              </a:solidFill>
            </a:ln>
          </c:spPr>
          <c:cat>
            <c:strRef>
              <c:f>'Chart_Data'!$G$2:$G$242</c:f>
              <c:strCache>
                <c:ptCount val="0"/>
              </c:strCache>
            </c:strRef>
          </c:cat>
          <c:val>
            <c:numRef>
              <c:f>'Chart_Data'!$I$2:$I$242</c:f>
              <c:numCache>
                <c:formatCode>0.000</c:formatCode>
                <c:ptCount val="0"/>
              </c:numCache>
            </c:numRef>
          </c:val>
          <c:smooth val="0"/>
          <c:marker>
            <c:symbol val="none"/>
          </c:marker>
        </c:ser>
        <c:ser>
          <c:idx val="2"/>
          <c:order val="2"/>
          <c:tx>
            <c:v>Nadir terrain (m)</c:v>
          </c:tx>
          <c:spPr>
            <a:ln w="19050">
              <a:solidFill>
                <a:srgbClr val="16A34A"/>
              </a:solidFill>
            </a:ln>
          </c:spPr>
          <c:cat>
            <c:strRef>
              <c:f>'Chart_Data'!$G$2:$G$242</c:f>
              <c:strCache>
                <c:ptCount val="0"/>
              </c:strCache>
            </c:strRef>
          </c:cat>
          <c:val>
            <c:numRef>
              <c:f>'Chart_Data'!$J$2:$J$242</c:f>
              <c:numCache>
                <c:formatCode>0.000</c:formatCode>
                <c:ptCount val="0"/>
              </c:numCache>
            </c:numRef>
          </c:val>
          <c:smooth val="0"/>
          <c:marker>
            <c:symbol val="none"/>
          </c:marke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7144">
              <a:solidFill>
                <a:srgbClr val="D7D7D7"/>
              </a:solidFill>
              <a:prstDash val="dash"/>
            </a:ln>
          </c:spPr>
        </c:majorGridlines>
        <c:title>
          <c:tx>
            <c:rich>
              <a:bodyPr/>
              <a:lstStyle/>
              <a:p>
                <a:r>
                  <a:rPr sz="675"/>
                  <a:t>Along-track position x (km)</a:t>
                </a:r>
              </a:p>
            </c:rich>
          </c:tx>
          <c:overlay val="0"/>
          <c:txPr>
            <a:bodyPr anchorCtr="1"/>
            <a:lstStyle/>
            <a:p>
              <a:pPr>
                <a:defRPr sz="675"/>
              </a:pPr>
            </a:p>
          </c:txPr>
        </c:title>
        <c:numFmt formatCode="General"/>
        <c:majorTickMark val="none"/>
        <c:minorTickMark val="none"/>
        <c:tickLblPos val="nextTo"/>
        <c:tickLblSkip val="24"/>
        <c:txPr>
          <a:bodyPr anchorCtr="1"/>
          <a:lstStyle/>
          <a:p>
            <a:pPr>
              <a:defRPr sz="600"/>
            </a:pPr>
          </a:p>
        </c:txPr>
        <c:crossAx val="48672768"/>
        <c:crosses val="autoZero"/>
        <c:lblAlgn val="ctr"/>
        <c:lblOffset val="100"/>
        <c:noMultiLvlLbl val="0"/>
      </c:catAx>
      <c:valAx>
        <c:axId val="48672768"/>
        <c:scaling>
          <c:orientation val="minMax"/>
        </c:scaling>
        <c:delete val="0"/>
        <c:axPos val="l"/>
        <c:majorGridlines>
          <c:spPr>
            <a:ln w="7144">
              <a:solidFill>
                <a:srgbClr val="D7D7D7"/>
              </a:solidFill>
              <a:prstDash val="dash"/>
            </a:ln>
          </c:spPr>
        </c:majorGridlines>
        <c:title>
          <c:tx>
            <c:rich>
              <a:bodyPr/>
              <a:lstStyle/>
              <a:p>
                <a:r>
                  <a:rPr sz="675"/>
                  <a:t>Surface height (m)</a:t>
                </a:r>
              </a:p>
            </c:rich>
          </c:tx>
          <c:overlay val="0"/>
          <c:txPr>
            <a:bodyPr anchorCtr="1"/>
            <a:lstStyle/>
            <a:p>
              <a:pPr>
                <a:defRPr sz="675"/>
              </a:pPr>
            </a:p>
          </c:txPr>
        </c:title>
        <c:numFmt formatCode="0"/>
        <c:majorTickMark val="none"/>
        <c:minorTickMark val="none"/>
        <c:txPr>
          <a:bodyPr anchorCtr="1"/>
          <a:lstStyle/>
          <a:p>
            <a:pPr>
              <a:defRPr sz="600"/>
            </a:pPr>
          </a:p>
        </c:txPr>
        <c:crossAx val="48650112"/>
        <c:crosses val="autoZero"/>
        <c:crossBetween val="between"/>
      </c:valAx>
    </c:plotArea>
    <c:legend>
      <c:legendPos val="b"/>
      <c:overlay val="0"/>
      <c:txPr>
        <a:bodyPr anchorCtr="1"/>
        <a:lstStyle/>
        <a:p>
          <a:pPr>
            <a:defRPr sz="600"/>
          </a:pPr>
        </a:p>
      </c:txPr>
    </c:legend>
    <c:plotVisOnly val="1"/>
  </c:chart>
  <c:spPr>
    <a:ln w="9525">
      <a:solidFill>
        <a:srgbClr val="D9D9D9"/>
      </a:solidFill>
      <a:prstDash val="solid"/>
    </a:ln>
  </c:spPr>
</c:chartSpace>
</file>

<file path=xl/drawings/charts/chart3.xml><?xml version="1.0" encoding="utf-8"?>
<c:chartSpace xmlns:a="http://schemas.openxmlformats.org/drawingml/2006/main" xmlns:c="http://schemas.openxmlformats.org/drawingml/2006/chart">
  <c:lang val="en-US"/>
  <c:roundedCorners val="0"/>
  <c:chart>
    <c:title>
      <c:tx>
        <c:rich>
          <a:bodyPr/>
          <a:lstStyle/>
          <a:p>
            <a:r>
              <a:rPr sz="900"/>
              <a:t>Doppler: Flat Geometry vs Topography</a:t>
            </a:r>
          </a:p>
        </c:rich>
      </c:tx>
      <c:overlay val="0"/>
      <c:txPr>
        <a:bodyPr anchorCtr="1"/>
        <a:lstStyle/>
        <a:p>
          <a:pPr>
            <a:defRPr sz="900"/>
          </a:pPr>
        </a:p>
      </c:txPr>
    </c:title>
    <c:autoTitleDeleted val="0"/>
    <c:plotArea>
      <c:layout/>
      <c:lineChart>
        <c:grouping val="standard"/>
        <c:varyColors val="0"/>
        <c:ser>
          <c:idx val="0"/>
          <c:order val="0"/>
          <c:tx>
            <c:v>Flat VHF Doppler (Hz)</c:v>
          </c:tx>
          <c:spPr>
            <a:ln w="19050">
              <a:solidFill>
                <a:srgbClr val="2563EB"/>
              </a:solidFill>
            </a:ln>
          </c:spPr>
          <c:cat>
            <c:strRef>
              <c:f>'Chart_Data'!$P$2:$P$242</c:f>
              <c:strCache>
                <c:ptCount val="0"/>
              </c:strCache>
            </c:strRef>
          </c:cat>
          <c:val>
            <c:numRef>
              <c:f>'Chart_Data'!$Q$2:$Q$242</c:f>
              <c:numCache>
                <c:formatCode>0.000</c:formatCode>
                <c:ptCount val="0"/>
              </c:numCache>
            </c:numRef>
          </c:val>
          <c:smooth val="0"/>
          <c:marker>
            <c:symbol val="none"/>
          </c:marker>
        </c:ser>
        <c:ser>
          <c:idx val="1"/>
          <c:order val="1"/>
          <c:tx>
            <c:v>Topo VHF Doppler (Hz)</c:v>
          </c:tx>
          <c:spPr>
            <a:ln w="19050">
              <a:solidFill>
                <a:srgbClr val="F97316"/>
              </a:solidFill>
            </a:ln>
          </c:spPr>
          <c:cat>
            <c:strRef>
              <c:f>'Chart_Data'!$P$2:$P$242</c:f>
              <c:strCache>
                <c:ptCount val="0"/>
              </c:strCache>
            </c:strRef>
          </c:cat>
          <c:val>
            <c:numRef>
              <c:f>'Chart_Data'!$R$2:$R$242</c:f>
              <c:numCache>
                <c:formatCode>0.000</c:formatCode>
                <c:ptCount val="0"/>
              </c:numCache>
            </c:numRef>
          </c:val>
          <c:smooth val="0"/>
          <c:marker>
            <c:symbol val="none"/>
          </c:marker>
        </c:ser>
        <c:ser>
          <c:idx val="2"/>
          <c:order val="2"/>
          <c:tx>
            <c:v>Flat HF Doppler (Hz)</c:v>
          </c:tx>
          <c:spPr>
            <a:ln w="19050">
              <a:solidFill>
                <a:srgbClr val="16A34A"/>
              </a:solidFill>
            </a:ln>
          </c:spPr>
          <c:cat>
            <c:strRef>
              <c:f>'Chart_Data'!$P$2:$P$242</c:f>
              <c:strCache>
                <c:ptCount val="0"/>
              </c:strCache>
            </c:strRef>
          </c:cat>
          <c:val>
            <c:numRef>
              <c:f>'Chart_Data'!$S$2:$S$242</c:f>
              <c:numCache>
                <c:formatCode>0.000</c:formatCode>
                <c:ptCount val="0"/>
              </c:numCache>
            </c:numRef>
          </c:val>
          <c:smooth val="0"/>
          <c:marker>
            <c:symbol val="none"/>
          </c:marker>
        </c:ser>
        <c:ser>
          <c:idx val="3"/>
          <c:order val="3"/>
          <c:tx>
            <c:v>Topo HF Doppler (Hz)</c:v>
          </c:tx>
          <c:spPr>
            <a:ln w="19050">
              <a:solidFill>
                <a:srgbClr val="0EA5E9"/>
              </a:solidFill>
            </a:ln>
          </c:spPr>
          <c:cat>
            <c:strRef>
              <c:f>'Chart_Data'!$P$2:$P$242</c:f>
              <c:strCache>
                <c:ptCount val="0"/>
              </c:strCache>
            </c:strRef>
          </c:cat>
          <c:val>
            <c:numRef>
              <c:f>'Chart_Data'!$T$2:$T$242</c:f>
              <c:numCache>
                <c:formatCode>0.000</c:formatCode>
                <c:ptCount val="0"/>
              </c:numCache>
            </c:numRef>
          </c:val>
          <c:smooth val="0"/>
          <c:marker>
            <c:symbol val="none"/>
          </c:marke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7144">
              <a:solidFill>
                <a:srgbClr val="D7D7D7"/>
              </a:solidFill>
              <a:prstDash val="dash"/>
            </a:ln>
          </c:spPr>
        </c:majorGridlines>
        <c:title>
          <c:tx>
            <c:rich>
              <a:bodyPr/>
              <a:lstStyle/>
              <a:p>
                <a:r>
                  <a:rPr sz="675"/>
                  <a:t>Along-track position x (km)</a:t>
                </a:r>
              </a:p>
            </c:rich>
          </c:tx>
          <c:overlay val="0"/>
          <c:txPr>
            <a:bodyPr anchorCtr="1"/>
            <a:lstStyle/>
            <a:p>
              <a:pPr>
                <a:defRPr sz="675"/>
              </a:pPr>
            </a:p>
          </c:txPr>
        </c:title>
        <c:numFmt formatCode="General"/>
        <c:majorTickMark val="none"/>
        <c:minorTickMark val="none"/>
        <c:tickLblPos val="nextTo"/>
        <c:tickLblSkip val="24"/>
        <c:txPr>
          <a:bodyPr anchorCtr="1"/>
          <a:lstStyle/>
          <a:p>
            <a:pPr>
              <a:defRPr sz="600"/>
            </a:pPr>
          </a:p>
        </c:txPr>
        <c:crossAx val="48672768"/>
        <c:crosses val="autoZero"/>
        <c:lblAlgn val="ctr"/>
        <c:lblOffset val="100"/>
        <c:noMultiLvlLbl val="0"/>
      </c:catAx>
      <c:valAx>
        <c:axId val="48672768"/>
        <c:scaling>
          <c:orientation val="minMax"/>
        </c:scaling>
        <c:delete val="0"/>
        <c:axPos val="l"/>
        <c:majorGridlines>
          <c:spPr>
            <a:ln w="7144">
              <a:solidFill>
                <a:srgbClr val="D7D7D7"/>
              </a:solidFill>
              <a:prstDash val="dash"/>
            </a:ln>
          </c:spPr>
        </c:majorGridlines>
        <c:title>
          <c:tx>
            <c:rich>
              <a:bodyPr/>
              <a:lstStyle/>
              <a:p>
                <a:r>
                  <a:rPr sz="675"/>
                  <a:t>Doppler shift (Hz)</a:t>
                </a:r>
              </a:p>
            </c:rich>
          </c:tx>
          <c:overlay val="0"/>
          <c:txPr>
            <a:bodyPr anchorCtr="1"/>
            <a:lstStyle/>
            <a:p>
              <a:pPr>
                <a:defRPr sz="675"/>
              </a:pPr>
            </a:p>
          </c:txPr>
        </c:title>
        <c:numFmt formatCode="0"/>
        <c:majorTickMark val="none"/>
        <c:minorTickMark val="none"/>
        <c:txPr>
          <a:bodyPr anchorCtr="1"/>
          <a:lstStyle/>
          <a:p>
            <a:pPr>
              <a:defRPr sz="600"/>
            </a:pPr>
          </a:p>
        </c:txPr>
        <c:crossAx val="48650112"/>
        <c:crosses val="autoZero"/>
        <c:crossBetween val="between"/>
      </c:valAx>
    </c:plotArea>
    <c:legend>
      <c:legendPos val="b"/>
      <c:overlay val="0"/>
      <c:txPr>
        <a:bodyPr anchorCtr="1"/>
        <a:lstStyle/>
        <a:p>
          <a:pPr>
            <a:defRPr sz="600"/>
          </a:pPr>
        </a:p>
      </c:txPr>
    </c:legend>
    <c:plotVisOnly val="1"/>
  </c:chart>
  <c:spPr>
    <a:ln w="9525">
      <a:solidFill>
        <a:srgbClr val="D9D9D9"/>
      </a:solidFill>
      <a:prstDash val="solid"/>
    </a:ln>
  </c:spPr>
</c:chartSpace>
</file>

<file path=xl/drawings/charts/chart4.xml><?xml version="1.0" encoding="utf-8"?>
<c:chartSpace xmlns:a="http://schemas.openxmlformats.org/drawingml/2006/main" xmlns:c="http://schemas.openxmlformats.org/drawingml/2006/chart">
  <c:lang val="en-US"/>
  <c:roundedCorners val="0"/>
  <c:chart>
    <c:title>
      <c:tx>
        <c:rich>
          <a:bodyPr/>
          <a:lstStyle/>
          <a:p>
            <a:r>
              <a:rPr sz="900"/>
              <a:t>Scenario Altitude Profiles</a:t>
            </a:r>
          </a:p>
        </c:rich>
      </c:tx>
      <c:overlay val="0"/>
      <c:txPr>
        <a:bodyPr anchorCtr="1"/>
        <a:lstStyle/>
        <a:p>
          <a:pPr>
            <a:defRPr sz="900"/>
          </a:pPr>
        </a:p>
      </c:txPr>
    </c:title>
    <c:autoTitleDeleted val="0"/>
    <c:plotArea>
      <c:layout/>
      <c:lineChart>
        <c:grouping val="standard"/>
        <c:varyColors val="0"/>
        <c:ser>
          <c:idx val="0"/>
          <c:order val="0"/>
          <c:tx>
            <c:v>Reference floor (0 km, not a run)</c:v>
          </c:tx>
          <c:spPr>
            <a:ln w="15240">
              <a:solidFill>
                <a:srgbClr val="8A8F98"/>
              </a:solidFill>
              <a:prstDash val="dash"/>
            </a:ln>
          </c:spPr>
          <c:cat>
            <c:strRef>
              <c:f>'Scenario_Data'!$AX$2:$AX$242</c:f>
              <c:strCache>
                <c:ptCount val="0"/>
              </c:strCache>
            </c:strRef>
          </c:cat>
          <c:val>
            <c:numRef>
              <c:f>'Scenario_Data'!$AY$2:$AY$242</c:f>
              <c:numCache>
                <c:formatCode>0.000</c:formatCode>
                <c:ptCount val="0"/>
              </c:numCache>
            </c:numRef>
          </c:val>
          <c:smooth val="0"/>
          <c:marker>
            <c:symbol val="none"/>
          </c:marker>
        </c:ser>
        <c:ser>
          <c:idx val="1"/>
          <c:order val="1"/>
          <c:tx>
            <c:v>Current custom altitude (km)</c:v>
          </c:tx>
          <c:spPr>
            <a:ln w="19050">
              <a:solidFill>
                <a:srgbClr val="F97316"/>
              </a:solidFill>
            </a:ln>
          </c:spPr>
          <c:cat>
            <c:strRef>
              <c:f>'Scenario_Data'!$AX$2:$AX$242</c:f>
              <c:strCache>
                <c:ptCount val="0"/>
              </c:strCache>
            </c:strRef>
          </c:cat>
          <c:val>
            <c:numRef>
              <c:f>'Scenario_Data'!$AZ$2:$AZ$242</c:f>
              <c:numCache>
                <c:formatCode>0.000</c:formatCode>
                <c:ptCount val="0"/>
              </c:numCache>
            </c:numRef>
          </c:val>
          <c:smooth val="0"/>
          <c:marker>
            <c:symbol val="none"/>
          </c:marker>
        </c:ser>
        <c:ser>
          <c:idx val="2"/>
          <c:order val="2"/>
          <c:tx>
            <c:v>Paper 800-km low-altitude altitude (km)</c:v>
          </c:tx>
          <c:spPr>
            <a:ln w="19050">
              <a:solidFill>
                <a:srgbClr val="16A34A"/>
              </a:solidFill>
            </a:ln>
          </c:spPr>
          <c:cat>
            <c:strRef>
              <c:f>'Scenario_Data'!$AX$2:$AX$242</c:f>
              <c:strCache>
                <c:ptCount val="0"/>
              </c:strCache>
            </c:strRef>
          </c:cat>
          <c:val>
            <c:numRef>
              <c:f>'Scenario_Data'!$BA$2:$BA$242</c:f>
              <c:numCache>
                <c:formatCode>0.000</c:formatCode>
                <c:ptCount val="0"/>
              </c:numCache>
            </c:numRef>
          </c:val>
          <c:smooth val="0"/>
          <c:marker>
            <c:symbol val="none"/>
          </c:marker>
        </c:ser>
        <c:ser>
          <c:idx val="3"/>
          <c:order val="3"/>
          <c:tx>
            <c:v>Paper 1600-km ice-ocean altitude (km)</c:v>
          </c:tx>
          <c:spPr>
            <a:ln w="19050">
              <a:solidFill>
                <a:srgbClr val="0EA5E9"/>
              </a:solidFill>
            </a:ln>
          </c:spPr>
          <c:cat>
            <c:strRef>
              <c:f>'Scenario_Data'!$AX$2:$AX$242</c:f>
              <c:strCache>
                <c:ptCount val="0"/>
              </c:strCache>
            </c:strRef>
          </c:cat>
          <c:val>
            <c:numRef>
              <c:f>'Scenario_Data'!$BB$2:$BB$242</c:f>
              <c:numCache>
                <c:formatCode>0.000</c:formatCode>
                <c:ptCount val="0"/>
              </c:numCache>
            </c:numRef>
          </c:val>
          <c:smooth val="0"/>
          <c:marker>
            <c:symbol val="none"/>
          </c:marker>
        </c:ser>
        <c:ser>
          <c:idx val="4"/>
          <c:order val="4"/>
          <c:tx>
            <c:v>Paper 25-to-1000-km operating altitude (km)</c:v>
          </c:tx>
          <c:spPr>
            <a:ln w="19050">
              <a:solidFill>
                <a:srgbClr val="7C3AED"/>
              </a:solidFill>
            </a:ln>
          </c:spPr>
          <c:cat>
            <c:strRef>
              <c:f>'Scenario_Data'!$AX$2:$AX$242</c:f>
              <c:strCache>
                <c:ptCount val="0"/>
              </c:strCache>
            </c:strRef>
          </c:cat>
          <c:val>
            <c:numRef>
              <c:f>'Scenario_Data'!$BC$2:$BC$242</c:f>
              <c:numCache>
                <c:formatCode>0.000</c:formatCode>
                <c:ptCount val="0"/>
              </c:numCache>
            </c:numRef>
          </c:val>
          <c:smooth val="0"/>
          <c:marker>
            <c:symbol val="none"/>
          </c:marke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7144">
              <a:solidFill>
                <a:srgbClr val="D7D7D7"/>
              </a:solidFill>
              <a:prstDash val="dash"/>
            </a:ln>
          </c:spPr>
        </c:majorGridlines>
        <c:title>
          <c:tx>
            <c:rich>
              <a:bodyPr/>
              <a:lstStyle/>
              <a:p>
                <a:r>
                  <a:rPr sz="675"/>
                  <a:t>Normalized pass position (-1 to +1)</a:t>
                </a:r>
              </a:p>
            </c:rich>
          </c:tx>
          <c:overlay val="0"/>
          <c:txPr>
            <a:bodyPr anchorCtr="1"/>
            <a:lstStyle/>
            <a:p>
              <a:pPr>
                <a:defRPr sz="675"/>
              </a:pPr>
            </a:p>
          </c:txPr>
        </c:title>
        <c:numFmt formatCode="General"/>
        <c:majorTickMark val="none"/>
        <c:minorTickMark val="none"/>
        <c:tickLblPos val="nextTo"/>
        <c:tickLblSkip val="24"/>
        <c:txPr>
          <a:bodyPr anchorCtr="1"/>
          <a:lstStyle/>
          <a:p>
            <a:pPr>
              <a:defRPr sz="600"/>
            </a:pPr>
          </a:p>
        </c:txPr>
        <c:crossAx val="48672768"/>
        <c:crosses val="autoZero"/>
        <c:lblAlgn val="ctr"/>
        <c:lblOffset val="100"/>
        <c:noMultiLvlLbl val="0"/>
      </c:catAx>
      <c:valAx>
        <c:axId val="48672768"/>
        <c:scaling>
          <c:orientation val="minMax"/>
        </c:scaling>
        <c:delete val="0"/>
        <c:axPos val="l"/>
        <c:majorGridlines>
          <c:spPr>
            <a:ln w="7144">
              <a:solidFill>
                <a:srgbClr val="D7D7D7"/>
              </a:solidFill>
              <a:prstDash val="dash"/>
            </a:ln>
          </c:spPr>
        </c:majorGridlines>
        <c:title>
          <c:tx>
            <c:rich>
              <a:bodyPr/>
              <a:lstStyle/>
              <a:p>
                <a:r>
                  <a:rPr sz="675"/>
                  <a:t>Altitude (km)</a:t>
                </a:r>
              </a:p>
            </c:rich>
          </c:tx>
          <c:overlay val="0"/>
          <c:txPr>
            <a:bodyPr anchorCtr="1"/>
            <a:lstStyle/>
            <a:p>
              <a:pPr>
                <a:defRPr sz="675"/>
              </a:pPr>
            </a:p>
          </c:txPr>
        </c:title>
        <c:numFmt formatCode="0"/>
        <c:majorTickMark val="none"/>
        <c:minorTickMark val="none"/>
        <c:txPr>
          <a:bodyPr anchorCtr="1"/>
          <a:lstStyle/>
          <a:p>
            <a:pPr>
              <a:defRPr sz="600"/>
            </a:pPr>
          </a:p>
        </c:txPr>
        <c:crossAx val="48650112"/>
        <c:crosses val="autoZero"/>
        <c:crossBetween val="between"/>
      </c:valAx>
    </c:plotArea>
    <c:legend>
      <c:legendPos val="b"/>
      <c:overlay val="0"/>
      <c:txPr>
        <a:bodyPr anchorCtr="1"/>
        <a:lstStyle/>
        <a:p>
          <a:pPr>
            <a:defRPr sz="600"/>
          </a:pPr>
        </a:p>
      </c:txPr>
    </c:legend>
    <c:plotVisOnly val="1"/>
  </c:chart>
  <c:spPr>
    <a:ln w="9525">
      <a:solidFill>
        <a:srgbClr val="D9D9D9"/>
      </a:solidFill>
      <a:prstDash val="solid"/>
    </a:ln>
  </c:spPr>
</c:chartSpace>
</file>

<file path=xl/drawings/charts/chart5.xml><?xml version="1.0" encoding="utf-8"?>
<c:chartSpace xmlns:a="http://schemas.openxmlformats.org/drawingml/2006/main" xmlns:c="http://schemas.openxmlformats.org/drawingml/2006/chart">
  <c:lang val="en-US"/>
  <c:roundedCorners val="0"/>
  <c:chart>
    <c:title>
      <c:tx>
        <c:rich>
          <a:bodyPr/>
          <a:lstStyle/>
          <a:p>
            <a:r>
              <a:rPr sz="900"/>
              <a:t>Flat Ground Reading: Constant vs Parabolic Satellite Path</a:t>
            </a:r>
          </a:p>
        </c:rich>
      </c:tx>
      <c:overlay val="0"/>
      <c:txPr>
        <a:bodyPr anchorCtr="1"/>
        <a:lstStyle/>
        <a:p>
          <a:pPr>
            <a:defRPr sz="900"/>
          </a:pPr>
        </a:p>
      </c:txPr>
    </c:title>
    <c:autoTitleDeleted val="0"/>
    <c:plotArea>
      <c:layout/>
      <c:lineChart>
        <c:grouping val="standard"/>
        <c:varyColors val="0"/>
        <c:ser>
          <c:idx val="0"/>
          <c:order val="0"/>
          <c:tx>
            <c:v>Zero-depth reference (0 m)</c:v>
          </c:tx>
          <c:spPr>
            <a:ln w="15240">
              <a:solidFill>
                <a:srgbClr val="8A8F98"/>
              </a:solidFill>
              <a:prstDash val="dash"/>
            </a:ln>
          </c:spPr>
          <c:cat>
            <c:strRef>
              <c:f>'Chart_Data'!$Y$2:$Y$242</c:f>
              <c:strCache>
                <c:ptCount val="0"/>
              </c:strCache>
            </c:strRef>
          </c:cat>
          <c:val>
            <c:numRef>
              <c:f>'Chart_Data'!$Z$2:$Z$242</c:f>
              <c:numCache>
                <c:formatCode>0.000</c:formatCode>
                <c:ptCount val="0"/>
              </c:numCache>
            </c:numRef>
          </c:val>
          <c:smooth val="0"/>
          <c:marker>
            <c:symbol val="none"/>
          </c:marker>
        </c:ser>
        <c:ser>
          <c:idx val="1"/>
          <c:order val="1"/>
          <c:tx>
            <c:v>Flat ground + constant satellite altitude (m)</c:v>
          </c:tx>
          <c:spPr>
            <a:ln w="19050">
              <a:solidFill>
                <a:srgbClr val="F97316"/>
              </a:solidFill>
            </a:ln>
          </c:spPr>
          <c:cat>
            <c:strRef>
              <c:f>'Chart_Data'!$Y$2:$Y$242</c:f>
              <c:strCache>
                <c:ptCount val="0"/>
              </c:strCache>
            </c:strRef>
          </c:cat>
          <c:val>
            <c:numRef>
              <c:f>'Chart_Data'!$AA$2:$AA$242</c:f>
              <c:numCache>
                <c:formatCode>0.000</c:formatCode>
                <c:ptCount val="0"/>
              </c:numCache>
            </c:numRef>
          </c:val>
          <c:smooth val="0"/>
          <c:marker>
            <c:symbol val="none"/>
          </c:marker>
        </c:ser>
        <c:ser>
          <c:idx val="2"/>
          <c:order val="2"/>
          <c:tx>
            <c:v>Flat ground + parabolic satellite path (m)</c:v>
          </c:tx>
          <c:spPr>
            <a:ln w="19050">
              <a:solidFill>
                <a:srgbClr val="2563EB"/>
              </a:solidFill>
            </a:ln>
          </c:spPr>
          <c:cat>
            <c:strRef>
              <c:f>'Chart_Data'!$Y$2:$Y$242</c:f>
              <c:strCache>
                <c:ptCount val="0"/>
              </c:strCache>
            </c:strRef>
          </c:cat>
          <c:val>
            <c:numRef>
              <c:f>'Chart_Data'!$AB$2:$AB$242</c:f>
              <c:numCache>
                <c:formatCode>0.000</c:formatCode>
                <c:ptCount val="0"/>
              </c:numCache>
            </c:numRef>
          </c:val>
          <c:smooth val="0"/>
          <c:marker>
            <c:symbol val="none"/>
          </c:marke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7144">
              <a:solidFill>
                <a:srgbClr val="D7D7D7"/>
              </a:solidFill>
              <a:prstDash val="dash"/>
            </a:ln>
          </c:spPr>
        </c:majorGridlines>
        <c:title>
          <c:tx>
            <c:rich>
              <a:bodyPr/>
              <a:lstStyle/>
              <a:p>
                <a:r>
                  <a:rPr sz="675"/>
                  <a:t>Along-track position x (km)</a:t>
                </a:r>
              </a:p>
            </c:rich>
          </c:tx>
          <c:overlay val="0"/>
          <c:txPr>
            <a:bodyPr anchorCtr="1"/>
            <a:lstStyle/>
            <a:p>
              <a:pPr>
                <a:defRPr sz="675"/>
              </a:pPr>
            </a:p>
          </c:txPr>
        </c:title>
        <c:numFmt formatCode="General"/>
        <c:majorTickMark val="none"/>
        <c:minorTickMark val="none"/>
        <c:tickLblPos val="nextTo"/>
        <c:tickLblSkip val="24"/>
        <c:txPr>
          <a:bodyPr anchorCtr="1"/>
          <a:lstStyle/>
          <a:p>
            <a:pPr>
              <a:defRPr sz="600"/>
            </a:pPr>
          </a:p>
        </c:txPr>
        <c:crossAx val="48672768"/>
        <c:crosses val="autoZero"/>
        <c:lblAlgn val="ctr"/>
        <c:lblOffset val="100"/>
        <c:noMultiLvlLbl val="0"/>
      </c:catAx>
      <c:valAx>
        <c:axId val="48672768"/>
        <c:scaling>
          <c:orientation val="minMax"/>
        </c:scaling>
        <c:delete val="0"/>
        <c:axPos val="l"/>
        <c:majorGridlines>
          <c:spPr>
            <a:ln w="7144">
              <a:solidFill>
                <a:srgbClr val="D7D7D7"/>
              </a:solidFill>
              <a:prstDash val="dash"/>
            </a:ln>
          </c:spPr>
        </c:majorGridlines>
        <c:title>
          <c:tx>
            <c:rich>
              <a:bodyPr/>
              <a:lstStyle/>
              <a:p>
                <a:r>
                  <a:rPr sz="675"/>
                  <a:t>Apparent radar reading from flat ground (m)</a:t>
                </a:r>
              </a:p>
            </c:rich>
          </c:tx>
          <c:overlay val="0"/>
          <c:txPr>
            <a:bodyPr anchorCtr="1"/>
            <a:lstStyle/>
            <a:p>
              <a:pPr>
                <a:defRPr sz="675"/>
              </a:pPr>
            </a:p>
          </c:txPr>
        </c:title>
        <c:numFmt formatCode="0"/>
        <c:majorTickMark val="none"/>
        <c:minorTickMark val="none"/>
        <c:txPr>
          <a:bodyPr anchorCtr="1"/>
          <a:lstStyle/>
          <a:p>
            <a:pPr>
              <a:defRPr sz="600"/>
            </a:pPr>
          </a:p>
        </c:txPr>
        <c:crossAx val="48650112"/>
        <c:crosses val="autoZero"/>
        <c:crossBetween val="between"/>
      </c:valAx>
    </c:plotArea>
    <c:legend>
      <c:legendPos val="b"/>
      <c:overlay val="0"/>
      <c:txPr>
        <a:bodyPr anchorCtr="1"/>
        <a:lstStyle/>
        <a:p>
          <a:pPr>
            <a:defRPr sz="600"/>
          </a:pPr>
        </a:p>
      </c:txPr>
    </c:legend>
    <c:plotVisOnly val="1"/>
  </c:chart>
  <c:spPr>
    <a:ln w="9525">
      <a:solidFill>
        <a:srgbClr val="D9D9D9"/>
      </a:solidFill>
      <a:prstDash val="solid"/>
    </a:ln>
  </c:spPr>
</c:chartSpace>
</file>

<file path=xl/drawings/charts/chart6.xml><?xml version="1.0" encoding="utf-8"?>
<c:chartSpace xmlns:a="http://schemas.openxmlformats.org/drawingml/2006/main" xmlns:c="http://schemas.openxmlformats.org/drawingml/2006/chart">
  <c:lang val="en-US"/>
  <c:roundedCorners val="0"/>
  <c:chart>
    <c:title>
      <c:tx>
        <c:rich>
          <a:bodyPr/>
          <a:lstStyle/>
          <a:p>
            <a:r>
              <a:rPr sz="900"/>
              <a:t>Scenario Apparent-Depth Outcomes</a:t>
            </a:r>
          </a:p>
        </c:rich>
      </c:tx>
      <c:overlay val="0"/>
      <c:txPr>
        <a:bodyPr anchorCtr="1"/>
        <a:lstStyle/>
        <a:p>
          <a:pPr>
            <a:defRPr sz="900"/>
          </a:pPr>
        </a:p>
      </c:txPr>
    </c:title>
    <c:autoTitleDeleted val="0"/>
    <c:plotArea>
      <c:layout/>
      <c:lineChart>
        <c:grouping val="standard"/>
        <c:varyColors val="0"/>
        <c:ser>
          <c:idx val="0"/>
          <c:order val="0"/>
          <c:tx>
            <c:v>Zero-depth reference (0 m, not a run)</c:v>
          </c:tx>
          <c:spPr>
            <a:ln w="15240">
              <a:solidFill>
                <a:srgbClr val="8A8F98"/>
              </a:solidFill>
              <a:prstDash val="dash"/>
            </a:ln>
          </c:spPr>
          <c:cat>
            <c:strRef>
              <c:f>'Scenario_Data'!$BE$2:$BE$242</c:f>
              <c:strCache>
                <c:ptCount val="0"/>
              </c:strCache>
            </c:strRef>
          </c:cat>
          <c:val>
            <c:numRef>
              <c:f>'Scenario_Data'!$BF$2:$BF$242</c:f>
              <c:numCache>
                <c:formatCode>0.000</c:formatCode>
                <c:ptCount val="0"/>
              </c:numCache>
            </c:numRef>
          </c:val>
          <c:smooth val="0"/>
          <c:marker>
            <c:symbol val="none"/>
          </c:marker>
        </c:ser>
        <c:ser>
          <c:idx val="1"/>
          <c:order val="1"/>
          <c:tx>
            <c:v>Current custom apparent depth (m)</c:v>
          </c:tx>
          <c:spPr>
            <a:ln w="19050">
              <a:solidFill>
                <a:srgbClr val="F97316"/>
              </a:solidFill>
            </a:ln>
          </c:spPr>
          <c:cat>
            <c:strRef>
              <c:f>'Scenario_Data'!$BE$2:$BE$242</c:f>
              <c:strCache>
                <c:ptCount val="0"/>
              </c:strCache>
            </c:strRef>
          </c:cat>
          <c:val>
            <c:numRef>
              <c:f>'Scenario_Data'!$BG$2:$BG$242</c:f>
              <c:numCache>
                <c:formatCode>0.000</c:formatCode>
                <c:ptCount val="0"/>
              </c:numCache>
            </c:numRef>
          </c:val>
          <c:smooth val="0"/>
          <c:marker>
            <c:symbol val="none"/>
          </c:marker>
        </c:ser>
        <c:ser>
          <c:idx val="2"/>
          <c:order val="2"/>
          <c:tx>
            <c:v>Paper 800-km low-altitude apparent depth (m)</c:v>
          </c:tx>
          <c:spPr>
            <a:ln w="19050">
              <a:solidFill>
                <a:srgbClr val="16A34A"/>
              </a:solidFill>
            </a:ln>
          </c:spPr>
          <c:cat>
            <c:strRef>
              <c:f>'Scenario_Data'!$BE$2:$BE$242</c:f>
              <c:strCache>
                <c:ptCount val="0"/>
              </c:strCache>
            </c:strRef>
          </c:cat>
          <c:val>
            <c:numRef>
              <c:f>'Scenario_Data'!$BH$2:$BH$242</c:f>
              <c:numCache>
                <c:formatCode>0.000</c:formatCode>
                <c:ptCount val="0"/>
              </c:numCache>
            </c:numRef>
          </c:val>
          <c:smooth val="0"/>
          <c:marker>
            <c:symbol val="none"/>
          </c:marker>
        </c:ser>
        <c:ser>
          <c:idx val="3"/>
          <c:order val="3"/>
          <c:tx>
            <c:v>Paper 1600-km ice-ocean apparent depth (m)</c:v>
          </c:tx>
          <c:spPr>
            <a:ln w="19050">
              <a:solidFill>
                <a:srgbClr val="0EA5E9"/>
              </a:solidFill>
            </a:ln>
          </c:spPr>
          <c:cat>
            <c:strRef>
              <c:f>'Scenario_Data'!$BE$2:$BE$242</c:f>
              <c:strCache>
                <c:ptCount val="0"/>
              </c:strCache>
            </c:strRef>
          </c:cat>
          <c:val>
            <c:numRef>
              <c:f>'Scenario_Data'!$BI$2:$BI$242</c:f>
              <c:numCache>
                <c:formatCode>0.000</c:formatCode>
                <c:ptCount val="0"/>
              </c:numCache>
            </c:numRef>
          </c:val>
          <c:smooth val="0"/>
          <c:marker>
            <c:symbol val="none"/>
          </c:marker>
        </c:ser>
        <c:ser>
          <c:idx val="4"/>
          <c:order val="4"/>
          <c:tx>
            <c:v>Paper 25-to-1000-km operating apparent depth (m)</c:v>
          </c:tx>
          <c:spPr>
            <a:ln w="19050">
              <a:solidFill>
                <a:srgbClr val="7C3AED"/>
              </a:solidFill>
            </a:ln>
          </c:spPr>
          <c:cat>
            <c:strRef>
              <c:f>'Scenario_Data'!$BE$2:$BE$242</c:f>
              <c:strCache>
                <c:ptCount val="0"/>
              </c:strCache>
            </c:strRef>
          </c:cat>
          <c:val>
            <c:numRef>
              <c:f>'Scenario_Data'!$BJ$2:$BJ$242</c:f>
              <c:numCache>
                <c:formatCode>0.000</c:formatCode>
                <c:ptCount val="0"/>
              </c:numCache>
            </c:numRef>
          </c:val>
          <c:smooth val="0"/>
          <c:marker>
            <c:symbol val="none"/>
          </c:marke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7144">
              <a:solidFill>
                <a:srgbClr val="D7D7D7"/>
              </a:solidFill>
              <a:prstDash val="dash"/>
            </a:ln>
          </c:spPr>
        </c:majorGridlines>
        <c:title>
          <c:tx>
            <c:rich>
              <a:bodyPr/>
              <a:lstStyle/>
              <a:p>
                <a:r>
                  <a:rPr sz="675"/>
                  <a:t>Normalized pass position (-1 to +1)</a:t>
                </a:r>
              </a:p>
            </c:rich>
          </c:tx>
          <c:overlay val="0"/>
          <c:txPr>
            <a:bodyPr anchorCtr="1"/>
            <a:lstStyle/>
            <a:p>
              <a:pPr>
                <a:defRPr sz="675"/>
              </a:pPr>
            </a:p>
          </c:txPr>
        </c:title>
        <c:numFmt formatCode="General"/>
        <c:majorTickMark val="none"/>
        <c:minorTickMark val="none"/>
        <c:tickLblPos val="nextTo"/>
        <c:tickLblSkip val="24"/>
        <c:txPr>
          <a:bodyPr anchorCtr="1"/>
          <a:lstStyle/>
          <a:p>
            <a:pPr>
              <a:defRPr sz="600"/>
            </a:pPr>
          </a:p>
        </c:txPr>
        <c:crossAx val="48672768"/>
        <c:crosses val="autoZero"/>
        <c:lblAlgn val="ctr"/>
        <c:lblOffset val="100"/>
        <c:noMultiLvlLbl val="0"/>
      </c:catAx>
      <c:valAx>
        <c:axId val="48672768"/>
        <c:scaling>
          <c:orientation val="minMax"/>
        </c:scaling>
        <c:delete val="0"/>
        <c:axPos val="l"/>
        <c:majorGridlines>
          <c:spPr>
            <a:ln w="7144">
              <a:solidFill>
                <a:srgbClr val="D7D7D7"/>
              </a:solidFill>
              <a:prstDash val="dash"/>
            </a:ln>
          </c:spPr>
        </c:majorGridlines>
        <c:title>
          <c:tx>
            <c:rich>
              <a:bodyPr/>
              <a:lstStyle/>
              <a:p>
                <a:r>
                  <a:rPr sz="675"/>
                  <a:t>Apparent depth (m)</a:t>
                </a:r>
              </a:p>
            </c:rich>
          </c:tx>
          <c:overlay val="0"/>
          <c:txPr>
            <a:bodyPr anchorCtr="1"/>
            <a:lstStyle/>
            <a:p>
              <a:pPr>
                <a:defRPr sz="675"/>
              </a:pPr>
            </a:p>
          </c:txPr>
        </c:title>
        <c:numFmt formatCode="0"/>
        <c:majorTickMark val="none"/>
        <c:minorTickMark val="none"/>
        <c:txPr>
          <a:bodyPr anchorCtr="1"/>
          <a:lstStyle/>
          <a:p>
            <a:pPr>
              <a:defRPr sz="600"/>
            </a:pPr>
          </a:p>
        </c:txPr>
        <c:crossAx val="48650112"/>
        <c:crosses val="autoZero"/>
        <c:crossBetween val="between"/>
      </c:valAx>
    </c:plotArea>
    <c:legend>
      <c:legendPos val="b"/>
      <c:overlay val="0"/>
      <c:txPr>
        <a:bodyPr anchorCtr="1"/>
        <a:lstStyle/>
        <a:p>
          <a:pPr>
            <a:defRPr sz="600"/>
          </a:pPr>
        </a:p>
      </c:txPr>
    </c:legend>
    <c:plotVisOnly val="1"/>
  </c:chart>
  <c:spPr>
    <a:ln w="9525">
      <a:solidFill>
        <a:srgbClr val="D9D9D9"/>
      </a:solidFill>
      <a:prstDash val="solid"/>
    </a:ln>
  </c:spPr>
</c:chartSpace>
</file>

<file path=xl/drawings/charts/chart7.xml><?xml version="1.0" encoding="utf-8"?>
<c:chartSpace xmlns:a="http://schemas.openxmlformats.org/drawingml/2006/main" xmlns:c="http://schemas.openxmlformats.org/drawingml/2006/chart">
  <c:lang val="en-US"/>
  <c:roundedCorners val="0"/>
  <c:chart>
    <c:title>
      <c:tx>
        <c:rich>
          <a:bodyPr/>
          <a:lstStyle/>
          <a:p>
            <a:r>
              <a:rPr sz="900"/>
              <a:t>Scenario Off-Nadir Surface Height</a:t>
            </a:r>
          </a:p>
        </c:rich>
      </c:tx>
      <c:overlay val="0"/>
      <c:txPr>
        <a:bodyPr anchorCtr="1"/>
        <a:lstStyle/>
        <a:p>
          <a:pPr>
            <a:defRPr sz="900"/>
          </a:pPr>
        </a:p>
      </c:txPr>
    </c:title>
    <c:autoTitleDeleted val="0"/>
    <c:plotArea>
      <c:layout/>
      <c:lineChart>
        <c:grouping val="standard"/>
        <c:varyColors val="0"/>
        <c:ser>
          <c:idx val="0"/>
          <c:order val="0"/>
          <c:tx>
            <c:v>Reference floor (0 m, not a run)</c:v>
          </c:tx>
          <c:spPr>
            <a:ln w="15240">
              <a:solidFill>
                <a:srgbClr val="8A8F98"/>
              </a:solidFill>
              <a:prstDash val="dash"/>
            </a:ln>
          </c:spPr>
          <c:cat>
            <c:strRef>
              <c:f>'Scenario_Data'!$AQ$2:$AQ$242</c:f>
              <c:strCache>
                <c:ptCount val="0"/>
              </c:strCache>
            </c:strRef>
          </c:cat>
          <c:val>
            <c:numRef>
              <c:f>'Scenario_Data'!$AR$2:$AR$242</c:f>
              <c:numCache>
                <c:formatCode>0.000</c:formatCode>
                <c:ptCount val="0"/>
              </c:numCache>
            </c:numRef>
          </c:val>
          <c:smooth val="0"/>
          <c:marker>
            <c:symbol val="none"/>
          </c:marker>
        </c:ser>
        <c:ser>
          <c:idx val="1"/>
          <c:order val="1"/>
          <c:tx>
            <c:v>Current custom off-nadir surface (m)</c:v>
          </c:tx>
          <c:spPr>
            <a:ln w="19050">
              <a:solidFill>
                <a:srgbClr val="F97316"/>
              </a:solidFill>
            </a:ln>
          </c:spPr>
          <c:cat>
            <c:strRef>
              <c:f>'Scenario_Data'!$AQ$2:$AQ$242</c:f>
              <c:strCache>
                <c:ptCount val="0"/>
              </c:strCache>
            </c:strRef>
          </c:cat>
          <c:val>
            <c:numRef>
              <c:f>'Scenario_Data'!$AS$2:$AS$242</c:f>
              <c:numCache>
                <c:formatCode>0.000</c:formatCode>
                <c:ptCount val="0"/>
              </c:numCache>
            </c:numRef>
          </c:val>
          <c:smooth val="0"/>
          <c:marker>
            <c:symbol val="none"/>
          </c:marker>
        </c:ser>
        <c:ser>
          <c:idx val="2"/>
          <c:order val="2"/>
          <c:tx>
            <c:v>Paper 800-km low-altitude surface (m)</c:v>
          </c:tx>
          <c:spPr>
            <a:ln w="19050">
              <a:solidFill>
                <a:srgbClr val="16A34A"/>
              </a:solidFill>
            </a:ln>
          </c:spPr>
          <c:cat>
            <c:strRef>
              <c:f>'Scenario_Data'!$AQ$2:$AQ$242</c:f>
              <c:strCache>
                <c:ptCount val="0"/>
              </c:strCache>
            </c:strRef>
          </c:cat>
          <c:val>
            <c:numRef>
              <c:f>'Scenario_Data'!$AT$2:$AT$242</c:f>
              <c:numCache>
                <c:formatCode>0.000</c:formatCode>
                <c:ptCount val="0"/>
              </c:numCache>
            </c:numRef>
          </c:val>
          <c:smooth val="0"/>
          <c:marker>
            <c:symbol val="none"/>
          </c:marker>
        </c:ser>
        <c:ser>
          <c:idx val="3"/>
          <c:order val="3"/>
          <c:tx>
            <c:v>Paper 1600-km ice-ocean surface (m)</c:v>
          </c:tx>
          <c:spPr>
            <a:ln w="19050">
              <a:solidFill>
                <a:srgbClr val="0EA5E9"/>
              </a:solidFill>
            </a:ln>
          </c:spPr>
          <c:cat>
            <c:strRef>
              <c:f>'Scenario_Data'!$AQ$2:$AQ$242</c:f>
              <c:strCache>
                <c:ptCount val="0"/>
              </c:strCache>
            </c:strRef>
          </c:cat>
          <c:val>
            <c:numRef>
              <c:f>'Scenario_Data'!$AU$2:$AU$242</c:f>
              <c:numCache>
                <c:formatCode>0.000</c:formatCode>
                <c:ptCount val="0"/>
              </c:numCache>
            </c:numRef>
          </c:val>
          <c:smooth val="0"/>
          <c:marker>
            <c:symbol val="none"/>
          </c:marker>
        </c:ser>
        <c:ser>
          <c:idx val="4"/>
          <c:order val="4"/>
          <c:tx>
            <c:v>Paper 25-to-1000-km operating surface (m)</c:v>
          </c:tx>
          <c:spPr>
            <a:ln w="19050">
              <a:solidFill>
                <a:srgbClr val="7C3AED"/>
              </a:solidFill>
            </a:ln>
          </c:spPr>
          <c:cat>
            <c:strRef>
              <c:f>'Scenario_Data'!$AQ$2:$AQ$242</c:f>
              <c:strCache>
                <c:ptCount val="0"/>
              </c:strCache>
            </c:strRef>
          </c:cat>
          <c:val>
            <c:numRef>
              <c:f>'Scenario_Data'!$AV$2:$AV$242</c:f>
              <c:numCache>
                <c:formatCode>0.000</c:formatCode>
                <c:ptCount val="0"/>
              </c:numCache>
            </c:numRef>
          </c:val>
          <c:smooth val="0"/>
          <c:marker>
            <c:symbol val="none"/>
          </c:marke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7144">
              <a:solidFill>
                <a:srgbClr val="D7D7D7"/>
              </a:solidFill>
              <a:prstDash val="dash"/>
            </a:ln>
          </c:spPr>
        </c:majorGridlines>
        <c:title>
          <c:tx>
            <c:rich>
              <a:bodyPr/>
              <a:lstStyle/>
              <a:p>
                <a:r>
                  <a:rPr sz="675"/>
                  <a:t>Normalized pass position (-1 to +1)</a:t>
                </a:r>
              </a:p>
            </c:rich>
          </c:tx>
          <c:overlay val="0"/>
          <c:txPr>
            <a:bodyPr anchorCtr="1"/>
            <a:lstStyle/>
            <a:p>
              <a:pPr>
                <a:defRPr sz="675"/>
              </a:pPr>
            </a:p>
          </c:txPr>
        </c:title>
        <c:numFmt formatCode="General"/>
        <c:majorTickMark val="none"/>
        <c:minorTickMark val="none"/>
        <c:tickLblPos val="nextTo"/>
        <c:tickLblSkip val="24"/>
        <c:txPr>
          <a:bodyPr anchorCtr="1"/>
          <a:lstStyle/>
          <a:p>
            <a:pPr>
              <a:defRPr sz="600"/>
            </a:pPr>
          </a:p>
        </c:txPr>
        <c:crossAx val="48672768"/>
        <c:crosses val="autoZero"/>
        <c:lblAlgn val="ctr"/>
        <c:lblOffset val="100"/>
        <c:noMultiLvlLbl val="0"/>
      </c:catAx>
      <c:valAx>
        <c:axId val="48672768"/>
        <c:scaling>
          <c:orientation val="minMax"/>
        </c:scaling>
        <c:delete val="0"/>
        <c:axPos val="l"/>
        <c:majorGridlines>
          <c:spPr>
            <a:ln w="7144">
              <a:solidFill>
                <a:srgbClr val="D7D7D7"/>
              </a:solidFill>
              <a:prstDash val="dash"/>
            </a:ln>
          </c:spPr>
        </c:majorGridlines>
        <c:title>
          <c:tx>
            <c:rich>
              <a:bodyPr/>
              <a:lstStyle/>
              <a:p>
                <a:r>
                  <a:rPr sz="675"/>
                  <a:t>Surface height (m)</a:t>
                </a:r>
              </a:p>
            </c:rich>
          </c:tx>
          <c:overlay val="0"/>
          <c:txPr>
            <a:bodyPr anchorCtr="1"/>
            <a:lstStyle/>
            <a:p>
              <a:pPr>
                <a:defRPr sz="675"/>
              </a:pPr>
            </a:p>
          </c:txPr>
        </c:title>
        <c:numFmt formatCode="0"/>
        <c:majorTickMark val="none"/>
        <c:minorTickMark val="none"/>
        <c:txPr>
          <a:bodyPr anchorCtr="1"/>
          <a:lstStyle/>
          <a:p>
            <a:pPr>
              <a:defRPr sz="600"/>
            </a:pPr>
          </a:p>
        </c:txPr>
        <c:crossAx val="48650112"/>
        <c:crosses val="autoZero"/>
        <c:crossBetween val="between"/>
      </c:valAx>
    </c:plotArea>
    <c:legend>
      <c:legendPos val="b"/>
      <c:overlay val="0"/>
      <c:txPr>
        <a:bodyPr anchorCtr="1"/>
        <a:lstStyle/>
        <a:p>
          <a:pPr>
            <a:defRPr sz="600"/>
          </a:pPr>
        </a:p>
      </c:txPr>
    </c:legend>
    <c:plotVisOnly val="1"/>
  </c:chart>
  <c:spPr>
    <a:l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77980146ec04be7"/>
        </a:graphicData>
      </a:graphic>
    </xdr:graphicFrame>
    <xdr:clientData/>
  </xdr:twoCellAnchor>
  <xdr:twoCellAnchor>
    <xdr:from>
      <xdr:col>0</xdr:col>
      <xdr:colOff>0</xdr:colOff>
      <xdr:row>27</xdr:row>
      <xdr:rowOff>0</xdr:rowOff>
    </xdr:from>
    <xdr:to>
      <xdr:col>8</xdr:col>
      <xdr:colOff>0</xdr:colOff>
      <xdr:row>45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bd91cfbbe874008"/>
        </a:graphicData>
      </a:graphic>
    </xdr:graphicFrame>
    <xdr:clientData/>
  </xdr:twoCellAnchor>
  <xdr:twoCellAnchor>
    <xdr:from>
      <xdr:col>9</xdr:col>
      <xdr:colOff>0</xdr:colOff>
      <xdr:row>19</xdr:row>
      <xdr:rowOff>0</xdr:rowOff>
    </xdr:from>
    <xdr:to>
      <xdr:col>18</xdr:col>
      <xdr:colOff>0</xdr:colOff>
      <xdr:row>36</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af0731b2c714fc6"/>
        </a:graphicData>
      </a:graphic>
    </xdr:graphicFrame>
    <xdr:clientData/>
  </xdr:twoCellAnchor>
  <xdr:twoCellAnchor>
    <xdr:from>
      <xdr:col>0</xdr:col>
      <xdr:colOff>0</xdr:colOff>
      <xdr:row>93</xdr:row>
      <xdr:rowOff>0</xdr:rowOff>
    </xdr:from>
    <xdr:to>
      <xdr:col>9</xdr:col>
      <xdr:colOff>0</xdr:colOff>
      <xdr:row>112</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cb739d5efc34c10"/>
        </a:graphicData>
      </a:graphic>
    </xdr:graphicFrame>
    <xdr:clientData/>
  </xdr:twoCellAnchor>
  <xdr:twoCellAnchor>
    <xdr:from>
      <xdr:col>9</xdr:col>
      <xdr:colOff>0</xdr:colOff>
      <xdr:row>37</xdr:row>
      <xdr:rowOff>0</xdr:rowOff>
    </xdr:from>
    <xdr:to>
      <xdr:col>18</xdr:col>
      <xdr:colOff>0</xdr:colOff>
      <xdr:row>55</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dbd4ba8df1d40ca"/>
        </a:graphicData>
      </a:graphic>
    </xdr:graphicFrame>
    <xdr:clientData/>
  </xdr:twoCellAnchor>
  <xdr:twoCellAnchor>
    <xdr:from>
      <xdr:col>9</xdr:col>
      <xdr:colOff>0</xdr:colOff>
      <xdr:row>73</xdr:row>
      <xdr:rowOff>0</xdr:rowOff>
    </xdr:from>
    <xdr:to>
      <xdr:col>18</xdr:col>
      <xdr:colOff>0</xdr:colOff>
      <xdr:row>92</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132b4594d724e12"/>
        </a:graphicData>
      </a:graphic>
    </xdr:graphicFrame>
    <xdr:clientData/>
  </xdr:twoCellAnchor>
  <xdr:twoCellAnchor>
    <xdr:from>
      <xdr:col>0</xdr:col>
      <xdr:colOff>0</xdr:colOff>
      <xdr:row>72</xdr:row>
      <xdr:rowOff>0</xdr:rowOff>
    </xdr:from>
    <xdr:to>
      <xdr:col>9</xdr:col>
      <xdr:colOff>0</xdr:colOff>
      <xdr:row>91</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dabf3494a7d4d2b"/>
        </a:graphicData>
      </a:graphic>
    </xdr:graphicFrame>
    <xdr:clientData/>
  </xdr:twoCellAnchor>
</xdr:wsDr>
</file>

<file path=xl/tables/table1.xml><?xml version="1.0" encoding="utf-8"?>
<x:table xmlns:x="http://schemas.openxmlformats.org/spreadsheetml/2006/main" id="1" name="ModelDataTable" displayName="ModelDataTable" ref="A1:AS242" headerRowCount="1">
  <x:tableColumns count="45">
    <x:tableColumn id="1" name="x_km"/>
    <x:tableColumn id="2" name="z_km"/>
    <x:tableColumn id="3" name="R_nadir_km"/>
    <x:tableColumn id="4" name="R_off_km"/>
    <x:tableColumn id="5" name="Delta_R_m"/>
    <x:tableColumn id="6" name="apparent_depth_m"/>
    <x:tableColumn id="7" name="extra_delay_us"/>
    <x:tableColumn id="8" name="horizontal_offset_km"/>
    <x:tableColumn id="9" name="look_angle_deg"/>
    <x:tableColumn id="10" name="vhf_phase_deg"/>
    <x:tableColumn id="11" name="relative_power"/>
    <x:tableColumn id="12" name="power_dB"/>
    <x:tableColumn id="13" name="dz_dx"/>
    <x:tableColumn id="14" name="dz_dt_km_s"/>
    <x:tableColumn id="15" name="range_rate_m_s"/>
    <x:tableColumn id="16" name="vhf_doppler_hz"/>
    <x:tableColumn id="17" name="hf_doppler_hz"/>
    <x:tableColumn id="18" name="vhf_band_low_m"/>
    <x:tableColumn id="19" name="vhf_band_high_m"/>
    <x:tableColumn id="20" name="hf_band_low_m"/>
    <x:tableColumn id="21" name="hf_band_high_m"/>
    <x:tableColumn id="22" name="abs_vhf_doppler_hz"/>
    <x:tableColumn id="23" name="abs_hf_doppler_hz"/>
    <x:tableColumn id="24" name="h_nadir_m"/>
    <x:tableColumn id="25" name="h_target_m"/>
    <x:tableColumn id="26" name="R_nadir_topo_km"/>
    <x:tableColumn id="27" name="R_off_topo_km"/>
    <x:tableColumn id="28" name="Delta_R_topo_m"/>
    <x:tableColumn id="29" name="apparent_depth_topo_m"/>
    <x:tableColumn id="30" name="extra_delay_topo_us"/>
    <x:tableColumn id="31" name="look_angle_topo_deg"/>
    <x:tableColumn id="32" name="vhf_phase_topo_deg"/>
    <x:tableColumn id="33" name="relative_power_topo"/>
    <x:tableColumn id="34" name="power_dB_topo"/>
    <x:tableColumn id="35" name="depth_change_topo_minus_flat_m"/>
    <x:tableColumn id="36" name="delay_change_topo_minus_flat_us"/>
    <x:tableColumn id="37" name="target_minus_nadir_height_m"/>
    <x:tableColumn id="38" name="range_rate_topo_m_s"/>
    <x:tableColumn id="39" name="vhf_doppler_topo_hz"/>
    <x:tableColumn id="40" name="hf_doppler_topo_hz"/>
    <x:tableColumn id="41" name="abs_vhf_doppler_topo_hz"/>
    <x:tableColumn id="42" name="abs_hf_doppler_topo_hz"/>
    <x:tableColumn id="43" name="topo_depth_uncertainty_m"/>
    <x:tableColumn id="44" name="topo_depth_low_m"/>
    <x:tableColumn id="45" name="topo_depth_high_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ee6f2fc01e24f3a" /></Relationships>
</file>

<file path=xl/worksheets/_rels/sheet3.xml.rels>&#65279;<?xml version="1.0" encoding="utf-8"?><Relationships xmlns="http://schemas.openxmlformats.org/package/2006/relationships"><Relationship Type="http://schemas.openxmlformats.org/officeDocument/2006/relationships/table" Target="/xl/tables/table1.xml" Id="R074aa0ea146a495f"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3" hidden="0" customWidth="1"/>
    <x:col min="3" max="3" width="9" hidden="0" customWidth="1"/>
    <x:col min="4" max="4" width="34" hidden="0" customWidth="1"/>
    <x:col min="5" max="5" width="14" hidden="0" customWidth="1"/>
    <x:col min="6" max="6" width="18" hidden="0" customWidth="1"/>
    <x:col min="7" max="7" width="14" hidden="0" customWidth="1"/>
    <x:col min="8" max="8" width="14" hidden="0" customWidth="1"/>
    <x:col min="9" max="9" width="28"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s>
  <x:sheetData>
    <x:row r="1">
      <x:c r="A1" s="4" t="str">
        <x:v>Parabolic Motion Radar + Topography Parameter Model</x:v>
      </x:c>
      <x:c r="B1" s="4"/>
      <x:c r="C1" s="4"/>
      <x:c r="D1" s="4"/>
      <x:c r="E1" s="4"/>
      <x:c r="F1" s="4"/>
      <x:c r="G1" s="4"/>
      <x:c r="H1" s="4"/>
    </x:row>
    <x:row r="2">
      <x:c r="A2" s="51" t="str">
        <x:v>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x:v>
      </x:c>
      <x:c r="B2" s="51"/>
      <x:c r="C2" s="51"/>
      <x:c r="D2" s="51"/>
      <x:c r="E2" s="51"/>
      <x:c r="F2" s="51"/>
      <x:c r="G2" s="51"/>
      <x:c r="H2" s="51"/>
    </x:row>
    <x:row r="4">
      <x:c r="A4" s="36" t="str">
        <x:v>Key Output Results</x:v>
      </x:c>
      <x:c r="B4" s="37"/>
      <x:c r="C4" s="37"/>
      <x:c r="D4" s="38"/>
    </x:row>
    <x:row r="5">
      <x:c r="A5" s="14" t="str">
        <x:v>Output</x:v>
      </x:c>
      <x:c r="B5" s="14" t="str">
        <x:v>Value</x:v>
      </x:c>
      <x:c r="C5" s="14" t="str">
        <x:v>Unit</x:v>
      </x:c>
      <x:c r="D5" s="14" t="str">
        <x:v>What it means</x:v>
      </x:c>
    </x:row>
    <x:row r="6">
      <x:c r="A6" s="11" t="str">
        <x:v>Topography toggle</x:v>
      </x:c>
      <x:c r="B6" s="53" t="str">
        <x:f>IF(OR(Inputs!$C$27=TRUE,Inputs!$C$27="TRUE",Inputs!$C$27=1),"Topography ON","Topography OFF")</x:f>
        <x:v>Topography ON</x:v>
      </x:c>
      <x:c r="C6" s="11" t="str"/>
      <x:c r="D6" s="11" t="str">
        <x:v>Set Inputs!C27 to TRUE to include terrain, or FALSE to return to a flat surface. Change Inputs!C47 to test a new terrain case.</x:v>
      </x:c>
    </x:row>
    <x:row r="7">
      <x:c r="A7" s="11" t="str">
        <x:v>Flat apparent depth at mid-pass</x:v>
      </x:c>
      <x:c r="B7" s="54" t="n">
        <x:f>Model_Data!F122</x:f>
        <x:v>550.6998603390537</x:v>
      </x:c>
      <x:c r="C7" s="11" t="str">
        <x:v>m</x:v>
      </x:c>
      <x:c r="D7" s="11" t="str">
        <x:v>Original flat-surface result.</x:v>
      </x:c>
    </x:row>
    <x:row r="8">
      <x:c r="A8" s="11" t="str">
        <x:v>Topo apparent depth at mid-pass</x:v>
      </x:c>
      <x:c r="B8" s="54" t="n">
        <x:f>Model_Data!AC122</x:f>
        <x:v>278.8355336025972</x:v>
      </x:c>
      <x:c r="C8" s="11" t="str">
        <x:v>m</x:v>
      </x:c>
      <x:c r="D8" s="11" t="str">
        <x:v>Apparent depth after terrain height changes the range geometry.</x:v>
      </x:c>
    </x:row>
    <x:row r="9">
      <x:c r="A9" s="11" t="str">
        <x:v>Depth change from topography</x:v>
      </x:c>
      <x:c r="B9" s="54" t="n">
        <x:f>Model_Data!AI122</x:f>
        <x:v>-271.86432673645646</x:v>
      </x:c>
      <x:c r="C9" s="11" t="str">
        <x:v>m</x:v>
      </x:c>
      <x:c r="D9" s="11" t="str">
        <x:v>Topo apparent depth minus flat apparent depth.</x:v>
      </x:c>
    </x:row>
    <x:row r="10">
      <x:c r="A10" s="11" t="str">
        <x:v>Topo extra two-way delay</x:v>
      </x:c>
      <x:c r="B10" s="54" t="n">
        <x:f>Model_Data!AD122</x:f>
        <x:v>3.3111390001186956</x:v>
      </x:c>
      <x:c r="C10" s="11" t="str">
        <x:v>us</x:v>
      </x:c>
      <x:c r="D10" s="11" t="str">
        <x:v>Two-way delay after topography is included.</x:v>
      </x:c>
    </x:row>
    <x:row r="11">
      <x:c r="A11" s="11" t="str">
        <x:v>Topo VHF interferometric phase</x:v>
      </x:c>
      <x:c r="B11" s="54" t="n">
        <x:f>Model_Data!AF122</x:f>
        <x:v>22.4830827575369</x:v>
      </x:c>
      <x:c r="C11" s="11" t="str">
        <x:v>deg</x:v>
      </x:c>
      <x:c r="D11" s="11" t="str">
        <x:v>VHF phase after topography changes the look geometry.</x:v>
      </x:c>
    </x:row>
    <x:row r="12">
      <x:c r="A12" s="11" t="str">
        <x:v>Max target terrain height</x:v>
      </x:c>
      <x:c r="B12" s="54" t="n">
        <x:f>MAX(Model_Data!Y2:Y242)</x:f>
        <x:v>568.6436382247327</x:v>
      </x:c>
      <x:c r="C12" s="11" t="str">
        <x:v>m</x:v>
      </x:c>
      <x:c r="D12" s="11" t="str">
        <x:v>Highest modeled terrain at the side-offset target path.</x:v>
      </x:c>
    </x:row>
    <x:row r="13">
      <x:c r="A13" s="11" t="str">
        <x:v>Min target terrain height</x:v>
      </x:c>
      <x:c r="B13" s="54" t="n">
        <x:f>MIN(Model_Data!Y2:Y242)</x:f>
        <x:v>107.75271022723112</x:v>
      </x:c>
      <x:c r="C13" s="11" t="str">
        <x:v>m</x:v>
      </x:c>
      <x:c r="D13" s="11" t="str">
        <x:v>Lowest modeled terrain at the side-offset target path.</x:v>
      </x:c>
    </x:row>
    <x:row r="14">
      <x:c r="A14" s="11" t="str">
        <x:v>Max absolute topo depth change</x:v>
      </x:c>
      <x:c r="B14" s="54" t="n">
        <x:f>MAX(MAX(Model_Data!AI2:AI242),-MIN(Model_Data!AI2:AI242))</x:f>
        <x:v>302.98886990822893</x:v>
      </x:c>
      <x:c r="C14" s="11" t="str">
        <x:v>m</x:v>
      </x:c>
      <x:c r="D14" s="11" t="str">
        <x:v>Largest magnitude of topography-driven apparent-depth change.</x:v>
      </x:c>
    </x:row>
    <x:row r="15">
      <x:c r="A15" s="11" t="str">
        <x:v>Max topo VHF Doppler magnitude</x:v>
      </x:c>
      <x:c r="B15" s="54" t="n">
        <x:f>MAX(Model_Data!AO2:AO242)</x:f>
        <x:v>534.0602149449296</x:v>
      </x:c>
      <x:c r="C15" s="11" t="str">
        <x:v>Hz</x:v>
      </x:c>
      <x:c r="D15" s="11" t="str">
        <x:v>Largest VHF Doppler after topography is included.</x:v>
      </x:c>
    </x:row>
    <x:row r="16">
      <x:c r="A16" s="11" t="str">
        <x:v>Simple minimum PRF with topo</x:v>
      </x:c>
      <x:c r="B16" s="54" t="n">
        <x:f>2*B15</x:f>
        <x:v>1068.1204298898592</x:v>
      </x:c>
      <x:c r="C16" s="11" t="str">
        <x:v>Hz</x:v>
      </x:c>
      <x:c r="D16" s="11" t="str">
        <x:v>Twice max topo VHF Doppler, a simple no-alias floor.</x:v>
      </x:c>
    </x:row>
    <x:row r="17">
      <x:c r="A17" s="11" t="str">
        <x:v>Topo depth uncertainty band</x:v>
      </x:c>
      <x:c r="B17" s="54" t="n">
        <x:f>Model_Data!AQ122</x:f>
        <x:v>42.13483146067416</x:v>
      </x:c>
      <x:c r="C17" s="11" t="str">
        <x:v>m</x:v>
      </x:c>
      <x:c r="D17" s="11" t="str">
        <x:v>Representative vertical uncertainty converted to apparent-depth uncertainty.</x:v>
      </x:c>
    </x:row>
    <x:row r="19">
      <x:c r="A19" s="36" t="str">
        <x:v>PRF Choices</x:v>
      </x:c>
      <x:c r="B19" s="37"/>
      <x:c r="C19" s="37"/>
      <x:c r="D19" s="37"/>
      <x:c r="E19" s="37"/>
      <x:c r="F19" s="38"/>
    </x:row>
    <x:row r="20">
      <x:c r="A20" s="14" t="str">
        <x:v>PRF (Hz)</x:v>
      </x:c>
      <x:c r="B20" s="14" t="str">
        <x:v>Pulse interval (ms)</x:v>
      </x:c>
      <x:c r="C20" s="14" t="str">
        <x:v>Along-track spacing (m)</x:v>
      </x:c>
      <x:c r="D20" s="14" t="str">
        <x:v>Unambiguous range (km)</x:v>
      </x:c>
      <x:c r="E20" s="14" t="str">
        <x:v>Pulses in air at z0</x:v>
      </x:c>
      <x:c r="F20" s="14" t="str">
        <x:v>Status</x:v>
      </x:c>
    </x:row>
    <x:row r="21">
      <x:c r="A21" s="48" t="n">
        <x:f>PRF_Results!A4</x:f>
        <x:v>50</x:v>
      </x:c>
      <x:c r="B21" s="48" t="n">
        <x:f>PRF_Results!B4</x:f>
        <x:v>20</x:v>
      </x:c>
      <x:c r="C21" s="48" t="n">
        <x:f>PRF_Results!C4</x:f>
        <x:v>80</x:v>
      </x:c>
      <x:c r="D21" s="48" t="n">
        <x:f>PRF_Results!D4</x:f>
        <x:v>2997.92458</x:v>
      </x:c>
      <x:c r="E21" s="48" t="n">
        <x:f>PRF_Results!E4</x:f>
        <x:v>0.13342563807926083</x:v>
      </x:c>
      <x:c r="F21" s="11" t="str">
        <x:f>PRF_Results!F4</x:f>
        <x:v>Below simple Doppler floor</x:v>
      </x:c>
    </x:row>
    <x:row r="22">
      <x:c r="A22" s="48" t="n">
        <x:f>PRF_Results!A5</x:f>
        <x:v>500</x:v>
      </x:c>
      <x:c r="B22" s="48" t="n">
        <x:f>PRF_Results!B5</x:f>
        <x:v>2</x:v>
      </x:c>
      <x:c r="C22" s="48" t="n">
        <x:f>PRF_Results!C5</x:f>
        <x:v>8</x:v>
      </x:c>
      <x:c r="D22" s="48" t="n">
        <x:f>PRF_Results!D5</x:f>
        <x:v>299.792458</x:v>
      </x:c>
      <x:c r="E22" s="48" t="n">
        <x:f>PRF_Results!E5</x:f>
        <x:v>1.3342563807926082</x:v>
      </x:c>
      <x:c r="F22" s="11" t="str">
        <x:f>PRF_Results!F5</x:f>
        <x:v>Below simple Doppler floor</x:v>
      </x:c>
    </x:row>
    <x:row r="23">
      <x:c r="A23" s="48" t="n">
        <x:f>PRF_Results!A6</x:f>
        <x:v>3000</x:v>
      </x:c>
      <x:c r="B23" s="48" t="n">
        <x:f>PRF_Results!B6</x:f>
        <x:v>0.3333333333333333</x:v>
      </x:c>
      <x:c r="C23" s="48" t="n">
        <x:f>PRF_Results!C6</x:f>
        <x:v>1.3333333333333333</x:v>
      </x:c>
      <x:c r="D23" s="48" t="n">
        <x:f>PRF_Results!D6</x:f>
        <x:v>49.965409666666666</x:v>
      </x:c>
      <x:c r="E23" s="48" t="n">
        <x:f>PRF_Results!E6</x:f>
        <x:v>8.00553828475565</x:v>
      </x:c>
      <x:c r="F23" s="11" t="str">
        <x:f>PRF_Results!F6</x:f>
        <x:v>OK for modeled topo VHF Doppler</x:v>
      </x:c>
    </x:row>
    <x:row r="25">
      <x:c r="A25" s="36" t="str">
        <x:v>How to read this model</x:v>
      </x:c>
      <x:c r="B25" s="37"/>
      <x:c r="C25" s="37"/>
      <x:c r="D25" s="37"/>
      <x:c r="E25" s="37"/>
      <x:c r="F25" s="37"/>
      <x:c r="G25" s="37"/>
      <x:c r="H25" s="38"/>
    </x:row>
    <x:row r="26">
      <x:c r="A26" s="25" t="str">
        <x:v>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x:v>
      </x:c>
      <x:c r="B26" s="26"/>
      <x:c r="C26" s="26"/>
      <x:c r="D26" s="26"/>
      <x:c r="E26" s="26"/>
      <x:c r="F26" s="26"/>
      <x:c r="G26" s="26"/>
      <x:c r="H26" s="27"/>
    </x:row>
    <x:row r="57">
      <x:c r="A57" s="36" t="str">
        <x:v>Paper Pass Scenario Comparison</x:v>
      </x:c>
      <x:c r="B57" s="37"/>
      <x:c r="C57" s="37"/>
      <x:c r="D57" s="37"/>
      <x:c r="E57" s="37"/>
      <x:c r="F57" s="37"/>
      <x:c r="G57" s="37"/>
      <x:c r="H57" s="37"/>
      <x:c r="I57" s="38"/>
    </x:row>
    <x:row r="58">
      <x:c r="A58" s="14" t="str">
        <x:v>Scenario</x:v>
      </x:c>
      <x:c r="B58" s="14" t="str">
        <x:v>Show</x:v>
      </x:c>
      <x:c r="C58" s="14" t="str">
        <x:v>z0 (km)</x:v>
      </x:c>
      <x:c r="D58" s="14" t="str">
        <x:v>Length (km)</x:v>
      </x:c>
      <x:c r="E58" s="14" t="str">
        <x:v>Edge alt (km)</x:v>
      </x:c>
      <x:c r="F58" s="14" t="str">
        <x:v>Mid depth (m)</x:v>
      </x:c>
      <x:c r="G58" s="14" t="str">
        <x:v>Max VHF (Hz)</x:v>
      </x:c>
      <x:c r="H58" s="14" t="str">
        <x:v>PRF floor (Hz)</x:v>
      </x:c>
      <x:c r="I58" s="14" t="str">
        <x:v>Basis</x:v>
      </x:c>
    </x:row>
    <x:row r="59">
      <x:c r="A59" s="11" t="str">
        <x:f>Inputs!G6</x:f>
        <x:v>Current custom inputs</x:v>
      </x:c>
      <x:c r="B59" s="55" t="str">
        <x:v>TRUE</x:v>
      </x:c>
      <x:c r="C59" s="48" t="n">
        <x:f>Inputs!H6</x:f>
        <x:v>400</x:v>
      </x:c>
      <x:c r="D59" s="48" t="n">
        <x:f>Inputs!J6-Inputs!I6</x:f>
        <x:v>120</x:v>
      </x:c>
      <x:c r="E59" s="48" t="n">
        <x:f>Inputs!M6</x:f>
        <x:v>404</x:v>
      </x:c>
      <x:c r="F59" s="48" t="n">
        <x:f>Scenario_Data!AF122</x:f>
        <x:v>550.6998603390537</x:v>
      </x:c>
      <x:c r="G59" s="48" t="n">
        <x:f>MAX(MAX(Scenario_Data!AL2:AL242),-MIN(Scenario_Data!AL2:AL242))</x:f>
        <x:v>504.93234145565276</x:v>
      </x:c>
      <x:c r="H59" s="48" t="n">
        <x:f>2*G59</x:f>
        <x:v>1009.8646829113055</x:v>
      </x:c>
      <x:c r="I59" s="11" t="str">
        <x:v>Current editable</x:v>
      </x:c>
    </x:row>
    <x:row r="60">
      <x:c r="A60" s="11" t="str">
        <x:f>Inputs!G7</x:f>
        <x:v>Paper low-altitude 800-km pass</x:v>
      </x:c>
      <x:c r="B60" s="55" t="str">
        <x:v>TRUE</x:v>
      </x:c>
      <x:c r="C60" s="48" t="n">
        <x:f>Inputs!H7</x:f>
        <x:v>35</x:v>
      </x:c>
      <x:c r="D60" s="48" t="n">
        <x:f>Inputs!J7-Inputs!I7</x:f>
        <x:v>800</x:v>
      </x:c>
      <x:c r="E60" s="48" t="n">
        <x:f>Inputs!M7</x:f>
        <x:v>400</x:v>
      </x:c>
      <x:c r="F60" s="48" t="n">
        <x:f>Scenario_Data!AG122</x:f>
        <x:v>4592.182396129015</x:v>
      </x:c>
      <x:c r="G60" s="48" t="n">
        <x:f>MAX(MAX(Scenario_Data!AM2:AM242),-MIN(Scenario_Data!AM2:AM242))</x:f>
        <x:v>3517.728529041067</x:v>
      </x:c>
      <x:c r="H60" s="48" t="n">
        <x:f>2*G60</x:f>
        <x:v>7035.457058082134</x:v>
      </x:c>
      <x:c r="I60" s="11" t="str">
        <x:v>800 km below 400</x:v>
      </x:c>
    </x:row>
    <x:row r="61">
      <x:c r="A61" s="11" t="str">
        <x:f>Inputs!G8</x:f>
        <x:v>Paper ice-ocean 1600-km pass</x:v>
      </x:c>
      <x:c r="B61" s="55" t="str">
        <x:v>TRUE</x:v>
      </x:c>
      <x:c r="C61" s="48" t="n">
        <x:f>Inputs!H8</x:f>
        <x:v>35</x:v>
      </x:c>
      <x:c r="D61" s="48" t="n">
        <x:f>Inputs!J8-Inputs!I8</x:f>
        <x:v>1600</x:v>
      </x:c>
      <x:c r="E61" s="48" t="n">
        <x:f>Inputs!M8</x:f>
        <x:v>1000</x:v>
      </x:c>
      <x:c r="F61" s="48" t="n">
        <x:f>Scenario_Data!AH122</x:f>
        <x:v>4592.182396129015</x:v>
      </x:c>
      <x:c r="G61" s="48" t="n">
        <x:f>MAX(MAX(Scenario_Data!AN2:AN242),-MIN(Scenario_Data!AN2:AN242))</x:f>
        <x:v>4665.341278693438</x:v>
      </x:c>
      <x:c r="H61" s="48" t="n">
        <x:f>2*G61</x:f>
        <x:v>9330.682557386875</x:v>
      </x:c>
      <x:c r="I61" s="11" t="str">
        <x:v>1600 km below 1000</x:v>
      </x:c>
    </x:row>
    <x:row r="62">
      <x:c r="A62" s="11" t="str">
        <x:f>Inputs!G9</x:f>
        <x:v>Paper operating 25-to-1000-km pass</x:v>
      </x:c>
      <x:c r="B62" s="55" t="str">
        <x:v>TRUE</x:v>
      </x:c>
      <x:c r="C62" s="48" t="n">
        <x:f>Inputs!H9</x:f>
        <x:v>25</x:v>
      </x:c>
      <x:c r="D62" s="48" t="n">
        <x:f>Inputs!J9-Inputs!I9</x:f>
        <x:v>1600</x:v>
      </x:c>
      <x:c r="E62" s="48" t="n">
        <x:f>Inputs!M9</x:f>
        <x:v>1000</x:v>
      </x:c>
      <x:c r="F62" s="48" t="n">
        <x:f>Scenario_Data!AI122</x:f>
        <x:v>5896.876901998302</x:v>
      </x:c>
      <x:c r="G62" s="48" t="n">
        <x:f>MAX(MAX(Scenario_Data!AO2:AO242),-MIN(Scenario_Data!AO2:AO242))</x:f>
        <x:v>4699.066787940814</x:v>
      </x:c>
      <x:c r="H62" s="48" t="n">
        <x:f>2*G62</x:f>
        <x:v>9398.133575881628</x:v>
      </x:c>
      <x:c r="I62" s="11" t="str">
        <x:v>25-1000 km range</x:v>
      </x:c>
    </x:row>
    <x:row r="63">
      <x:c r="A63" s="25" t="str">
        <x:v>Scenario note</x:v>
      </x:c>
      <x:c r="B63" s="26" t="str">
        <x:v>Paper numbers are converted into this workbook's simplified parabola so the outcomes can be compared. The paper states altitude ranges and groundtrack requirements, not an exact parabolic spacecraft trajectory.</x:v>
      </x:c>
      <x:c r="C63" s="26" t="str"/>
      <x:c r="D63" s="26" t="str"/>
      <x:c r="E63" s="26" t="str"/>
      <x:c r="F63" s="26" t="str"/>
      <x:c r="G63" s="26" t="str"/>
      <x:c r="H63" s="26" t="str"/>
      <x:c r="I63" s="27" t="str"/>
    </x:row>
    <x:row r="65" ht="27" customHeight="1">
      <x:c r="A65" s="61" t="str">
        <x:v>Quick Graph Guide</x:v>
      </x:c>
      <x:c r="B65" s="61"/>
      <x:c r="C65" s="61"/>
      <x:c r="D65" s="61"/>
      <x:c r="E65" s="61"/>
      <x:c r="F65" s="61"/>
      <x:c r="G65" s="61"/>
      <x:c r="H65" s="61"/>
      <x:c r="I65" s="61"/>
    </x:row>
    <x:row r="66" ht="27" customHeight="1">
      <x:c r="A66" s="67" t="str">
        <x:v>Graph</x:v>
      </x:c>
      <x:c r="B66" s="67" t="str">
        <x:v>What it is trying to show</x:v>
      </x:c>
      <x:c r="C66" s="67"/>
      <x:c r="D66" s="67"/>
      <x:c r="E66" s="67"/>
      <x:c r="F66" s="67" t="str">
        <x:v>How to read the baseline</x:v>
      </x:c>
      <x:c r="G66" s="67"/>
      <x:c r="H66" s="67"/>
      <x:c r="I66" s="67"/>
    </x:row>
    <x:row r="67" ht="27" customHeight="1">
      <x:c r="A67" s="73" t="str">
        <x:v>Apparent depth</x:v>
      </x:c>
      <x:c r="B67" s="71" t="str">
        <x:v>Motion and topography change the apparent radar depth relative to the nadir reference.</x:v>
      </x:c>
      <x:c r="C67" s="71"/>
      <x:c r="D67" s="71"/>
      <x:c r="E67" s="71"/>
      <x:c r="F67" s="71" t="str">
        <x:v>Grey zero line is a reference, not a plotted terrain/run result.</x:v>
      </x:c>
      <x:c r="G67" s="71"/>
      <x:c r="H67" s="71"/>
      <x:c r="I67" s="71"/>
    </x:row>
    <x:row r="68" ht="27" customHeight="1">
      <x:c r="A68" s="73" t="str">
        <x:v>Surface height</x:v>
      </x:c>
      <x:c r="B68" s="71" t="str">
        <x:v>Off-nadir and nadir terrain heights used by the topography-adjusted range formulas.</x:v>
      </x:c>
      <x:c r="C68" s="71"/>
      <x:c r="D68" s="71"/>
      <x:c r="E68" s="71"/>
      <x:c r="F68" s="71" t="str">
        <x:v>Grey floor is the 0 m surface reference; colored lines are terrain heights.</x:v>
      </x:c>
      <x:c r="G68" s="71"/>
      <x:c r="H68" s="71"/>
      <x:c r="I68" s="71"/>
    </x:row>
    <x:row r="69" ht="27" customHeight="1">
      <x:c r="A69" s="73" t="str">
        <x:v>Doppler</x:v>
      </x:c>
      <x:c r="B69" s="71" t="str">
        <x:v>Range-rate-driven VHF/HF Doppler, with flat geometry compared against topography-adjusted geometry.</x:v>
      </x:c>
      <x:c r="C69" s="71"/>
      <x:c r="D69" s="71"/>
      <x:c r="E69" s="71"/>
      <x:c r="F69" s="71" t="str">
        <x:v>Crossing 0 Hz means the radial motion changes sign near closest approach.</x:v>
      </x:c>
      <x:c r="G69" s="71"/>
      <x:c r="H69" s="71"/>
      <x:c r="I69" s="71"/>
    </x:row>
    <x:row r="70" ht="27" customHeight="1">
      <x:c r="A70" s="73" t="str">
        <x:v>Motion-only / scenarios</x:v>
      </x:c>
      <x:c r="B70" s="71" t="str">
        <x:v>The motion-only chart is a radar reading from flat ground. It is not ground height; the curve comes from satellite path and slant-range geometry.</x:v>
      </x:c>
      <x:c r="C70" s="71"/>
      <x:c r="D70" s="71"/>
      <x:c r="E70" s="71"/>
      <x:c r="F70" s="71" t="str">
        <x:v>Scenario baselines are grey reference floors; they are intentionally not orange model lines.</x:v>
      </x:c>
      <x:c r="G70" s="71"/>
      <x:c r="H70" s="71"/>
      <x:c r="I70" s="71"/>
    </x:row>
    <x:row r="71" ht="27" customHeight="1">
      <x:c r="A71" s="73" t="str">
        <x:v>Detailed notes</x:v>
      </x:c>
      <x:c r="B71" s="71" t="str">
        <x:v>See the Graph_Guide tab for every chart, source range, formula basis, and audit status.</x:v>
      </x:c>
      <x:c r="C71" s="71"/>
      <x:c r="D71" s="71"/>
      <x:c r="E71" s="71"/>
      <x:c r="F71" s="71" t="str">
        <x:v>Checks!B4:B23 remains the formula-health checklist.</x:v>
      </x:c>
      <x:c r="G71" s="71"/>
      <x:c r="H71" s="71"/>
      <x:c r="I71" s="71"/>
    </x:row>
    <x:row r="72">
      <x:c r="A72"/>
      <x:c r="B72"/>
      <x:c r="C72"/>
      <x:c r="D72"/>
      <x:c r="E72"/>
      <x:c r="F72"/>
      <x:c r="G72"/>
      <x:c r="H72"/>
      <x:c r="I72"/>
    </x:row>
  </x:sheetData>
  <x:mergeCells>
    <x:mergeCell ref="A1:H1"/>
    <x:mergeCell ref="A2:H2"/>
    <x:mergeCell ref="A4:D4"/>
    <x:mergeCell ref="A19:F19"/>
    <x:mergeCell ref="A25:H25"/>
    <x:mergeCell ref="A26:H26"/>
    <x:mergeCell ref="A57:I57"/>
    <x:mergeCell ref="B63:I63"/>
    <x:mergeCell ref="A65:I65"/>
    <x:mergeCell ref="B66:E66"/>
    <x:mergeCell ref="F66:I66"/>
    <x:mergeCell ref="B67:E67"/>
    <x:mergeCell ref="F67:I67"/>
    <x:mergeCell ref="B68:E68"/>
    <x:mergeCell ref="F68:I68"/>
    <x:mergeCell ref="B69:E69"/>
    <x:mergeCell ref="F69:I69"/>
    <x:mergeCell ref="B70:E70"/>
    <x:mergeCell ref="F70:I70"/>
    <x:mergeCell ref="B71:E71"/>
    <x:mergeCell ref="F71:I71"/>
  </x:mergeCells>
  <x:dataValidations count="1">
    <x:dataValidation type="list" sqref="B59:B62">
      <x:formula1>"TRUE,FALSE"</x:formula1>
    </x:dataValidation>
  </x:dataValidations>
  <x:pageMargins left="0.7" right="0.7" top="0.75" bottom="0.75" header="0.3" footer="0.3"/>
  <x:drawing xmlns:r="http://schemas.openxmlformats.org/officeDocument/2006/relationships" r:id="R8ee6f2fc01e24f3a"/>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12" hidden="0" customWidth="1"/>
    <x:col min="4" max="4" width="10" hidden="0" customWidth="1"/>
    <x:col min="5" max="5" width="58" hidden="0" customWidth="1"/>
    <x:col min="6" max="6" width="12" hidden="0" customWidth="1"/>
    <x:col min="7" max="7" width="30" hidden="0" customWidth="1"/>
    <x:col min="8" max="8" width="10" hidden="0" customWidth="1"/>
    <x:col min="9" max="9" width="10" hidden="0" customWidth="1"/>
    <x:col min="10" max="10" width="10" hidden="0" customWidth="1"/>
    <x:col min="11" max="11" width="11" hidden="0" customWidth="1"/>
    <x:col min="12" max="12" width="15" hidden="0" customWidth="1"/>
    <x:col min="13" max="13" width="14" hidden="0" customWidth="1"/>
    <x:col min="14" max="14" width="72" hidden="0" customWidth="1"/>
  </x:cols>
  <x:sheetData>
    <x:row r="1">
      <x:c r="A1" s="4" t="str">
        <x:v>Parabolic Motion Radar Model - Editable Inputs</x:v>
      </x:c>
      <x:c r="B1" s="4"/>
      <x:c r="C1" s="4"/>
      <x:c r="D1" s="4"/>
      <x:c r="E1" s="4"/>
      <x:c r="F1" s="4"/>
      <x:c r="G1" s="4"/>
      <x:c r="H1" s="4"/>
      <x:c r="I1" s="4"/>
      <x:c r="J1" s="4"/>
      <x:c r="K1" s="4"/>
      <x:c r="L1" s="4"/>
      <x:c r="M1" s="4"/>
      <x:c r="N1" s="4"/>
    </x:row>
    <x:row r="2">
      <x:c r="A2" s="7" t="str">
        <x:v>Change the yellow cells in column C for the custom model. Use the TRUE/FALSE scenario toggles at the right to overlay paper-derived pass cases on the Dashboard charts.</x:v>
      </x:c>
      <x:c r="B2" s="7"/>
      <x:c r="C2" s="7"/>
      <x:c r="D2" s="7"/>
      <x:c r="E2" s="7"/>
      <x:c r="F2" s="7"/>
      <x:c r="G2" s="7"/>
      <x:c r="H2" s="7"/>
      <x:c r="I2" s="7"/>
      <x:c r="J2" s="7"/>
      <x:c r="K2" s="7"/>
      <x:c r="L2" s="7"/>
      <x:c r="M2" s="7"/>
      <x:c r="N2" s="7"/>
    </x:row>
    <x:row r="4">
      <x:c r="A4" s="14" t="str">
        <x:v>Parameter</x:v>
      </x:c>
      <x:c r="B4" s="14" t="str">
        <x:v>Symbol</x:v>
      </x:c>
      <x:c r="C4" s="14" t="str">
        <x:v>Value</x:v>
      </x:c>
      <x:c r="D4" s="14" t="str">
        <x:v>Unit</x:v>
      </x:c>
      <x:c r="E4" s="14" t="str">
        <x:v>Notes</x:v>
      </x:c>
      <x:c r="F4" s="36" t="str">
        <x:v>Paper-Derived Pass Scenario Overlays</x:v>
      </x:c>
      <x:c r="G4" s="37"/>
      <x:c r="H4" s="37"/>
      <x:c r="I4" s="37"/>
      <x:c r="J4" s="37"/>
      <x:c r="K4" s="37"/>
      <x:c r="L4" s="37"/>
      <x:c r="M4" s="37"/>
      <x:c r="N4" s="38"/>
    </x:row>
    <x:row r="5">
      <x:c r="A5" s="11" t="str">
        <x:v>Closest altitude</x:v>
      </x:c>
      <x:c r="B5" s="11" t="str">
        <x:v>z0</x:v>
      </x:c>
      <x:c r="C5" s="18" t="n">
        <x:v>400</x:v>
      </x:c>
      <x:c r="D5" s="11" t="str">
        <x:v>km</x:v>
      </x:c>
      <x:c r="E5" s="11" t="str">
        <x:v>Altitude at closest approach. Change this to test other flyby heights.</x:v>
      </x:c>
      <x:c r="F5" s="14" t="str">
        <x:v>Show</x:v>
      </x:c>
      <x:c r="G5" s="14" t="str">
        <x:v>Scenario</x:v>
      </x:c>
      <x:c r="H5" s="14" t="str">
        <x:v>z0</x:v>
      </x:c>
      <x:c r="I5" s="14" t="str">
        <x:v>x_min</x:v>
      </x:c>
      <x:c r="J5" s="14" t="str">
        <x:v>x_max</x:v>
      </x:c>
      <x:c r="K5" s="14" t="str">
        <x:v>x_edge</x:v>
      </x:c>
      <x:c r="L5" s="14" t="str">
        <x:v>Delta_z_edge</x:v>
      </x:c>
      <x:c r="M5" s="14" t="str">
        <x:v>Edge altitude</x:v>
      </x:c>
      <x:c r="N5" s="14" t="str">
        <x:v>Paper basis / meaning</x:v>
      </x:c>
    </x:row>
    <x:row r="6">
      <x:c r="A6" s="11" t="str">
        <x:v>Side/cross-track offset</x:v>
      </x:c>
      <x:c r="B6" s="11" t="str">
        <x:v>y</x:v>
      </x:c>
      <x:c r="C6" s="18" t="n">
        <x:v>25</x:v>
      </x:c>
      <x:c r="D6" s="11" t="str">
        <x:v>km</x:v>
      </x:c>
      <x:c r="E6" s="11" t="str">
        <x:v>Horizontal offset of the modeled target from nadir.</x:v>
      </x:c>
      <x:c r="F6" s="42" t="str">
        <x:f>Dashboard!B59</x:f>
        <x:v>TRUE</x:v>
      </x:c>
      <x:c r="G6" s="11" t="str">
        <x:v>Current custom inputs</x:v>
      </x:c>
      <x:c r="H6" s="45" t="n">
        <x:f>C5</x:f>
        <x:v>400</x:v>
      </x:c>
      <x:c r="I6" s="45" t="n">
        <x:f>C7</x:f>
        <x:v>-60</x:v>
      </x:c>
      <x:c r="J6" s="45" t="n">
        <x:f>C8</x:f>
        <x:v>60</x:v>
      </x:c>
      <x:c r="K6" s="45" t="n">
        <x:f>C10</x:f>
        <x:v>60</x:v>
      </x:c>
      <x:c r="L6" s="45" t="n">
        <x:f>C9</x:f>
        <x:v>4</x:v>
      </x:c>
      <x:c r="M6" s="45" t="n">
        <x:f>C5+C9</x:f>
        <x:v>404</x:v>
      </x:c>
      <x:c r="N6" s="11" t="str">
        <x:v>Your editable custom case from the left table. It remains the main model used by the topography dashboard.</x:v>
      </x:c>
    </x:row>
    <x:row r="7">
      <x:c r="A7" s="11" t="str">
        <x:v>Along-track minimum</x:v>
      </x:c>
      <x:c r="B7" s="11" t="str">
        <x:v>x_min</x:v>
      </x:c>
      <x:c r="C7" s="18" t="n">
        <x:v>-60</x:v>
      </x:c>
      <x:c r="D7" s="11" t="str">
        <x:v>km</x:v>
      </x:c>
      <x:c r="E7" s="11" t="str">
        <x:v>Left/start side of the modeled pass.</x:v>
      </x:c>
      <x:c r="F7" s="42" t="str">
        <x:f>Dashboard!B60</x:f>
        <x:v>TRUE</x:v>
      </x:c>
      <x:c r="G7" s="11" t="str">
        <x:v>Paper low-altitude 800-km pass</x:v>
      </x:c>
      <x:c r="H7" s="45" t="n">
        <x:v>35</x:v>
      </x:c>
      <x:c r="I7" s="45" t="n">
        <x:v>-400</x:v>
      </x:c>
      <x:c r="J7" s="45" t="n">
        <x:v>400</x:v>
      </x:c>
      <x:c r="K7" s="45" t="n">
        <x:v>400</x:v>
      </x:c>
      <x:c r="L7" s="45" t="n">
        <x:v>365</x:v>
      </x:c>
      <x:c r="M7" s="45" t="n">
        <x:v>400</x:v>
      </x:c>
      <x:c r="N7" s="11" t="str">
        <x:v>Paper coverage requirement: groundtrack segments at least 800 km long below 400 km for most REASON datasets. This model makes that a parabola.</x:v>
      </x:c>
    </x:row>
    <x:row r="8">
      <x:c r="A8" s="11" t="str">
        <x:v>Along-track maximum</x:v>
      </x:c>
      <x:c r="B8" s="11" t="str">
        <x:v>x_max</x:v>
      </x:c>
      <x:c r="C8" s="18" t="n">
        <x:v>60</x:v>
      </x:c>
      <x:c r="D8" s="11" t="str">
        <x:v>km</x:v>
      </x:c>
      <x:c r="E8" s="11" t="str">
        <x:v>Right/end side of the modeled pass.</x:v>
      </x:c>
      <x:c r="F8" s="42" t="str">
        <x:f>Dashboard!B61</x:f>
        <x:v>TRUE</x:v>
      </x:c>
      <x:c r="G8" s="11" t="str">
        <x:v>Paper ice-ocean 1600-km pass</x:v>
      </x:c>
      <x:c r="H8" s="45" t="n">
        <x:v>35</x:v>
      </x:c>
      <x:c r="I8" s="45" t="n">
        <x:v>-800</x:v>
      </x:c>
      <x:c r="J8" s="45" t="n">
        <x:v>800</x:v>
      </x:c>
      <x:c r="K8" s="45" t="n">
        <x:v>800</x:v>
      </x:c>
      <x:c r="L8" s="45" t="n">
        <x:v>965</x:v>
      </x:c>
      <x:c r="M8" s="45" t="n">
        <x:v>1000</x:v>
      </x:c>
      <x:c r="N8" s="11" t="str">
        <x:v>Paper ice-ocean interface requirement: at least 1600 km below 1000 km. This model makes that a parabola.</x:v>
      </x:c>
    </x:row>
    <x:row r="9">
      <x:c r="A9" s="11" t="str">
        <x:v>Altitude rise at edge</x:v>
      </x:c>
      <x:c r="B9" s="11" t="str">
        <x:v>Delta_z_edge</x:v>
      </x:c>
      <x:c r="C9" s="18" t="n">
        <x:v>4</x:v>
      </x:c>
      <x:c r="D9" s="11" t="str">
        <x:v>km</x:v>
      </x:c>
      <x:c r="E9" s="11" t="str">
        <x:v>How much altitude rises at +/- x_edge.</x:v>
      </x:c>
      <x:c r="F9" s="42" t="str">
        <x:f>Dashboard!B62</x:f>
        <x:v>TRUE</x:v>
      </x:c>
      <x:c r="G9" s="11" t="str">
        <x:v>Paper operating 25-to-1000-km pass</x:v>
      </x:c>
      <x:c r="H9" s="45" t="n">
        <x:v>25</x:v>
      </x:c>
      <x:c r="I9" s="45" t="n">
        <x:v>-800</x:v>
      </x:c>
      <x:c r="J9" s="45" t="n">
        <x:v>800</x:v>
      </x:c>
      <x:c r="K9" s="45" t="n">
        <x:v>800</x:v>
      </x:c>
      <x:c r="L9" s="45" t="n">
        <x:v>975</x:v>
      </x:c>
      <x:c r="M9" s="45" t="n">
        <x:v>1000</x:v>
      </x:c>
      <x:c r="N9" s="11" t="str">
        <x:v>Paper instrument table lists operational altitudes of 25 km to 1000 km. This shows the lower-bound closest-approach case.</x:v>
      </x:c>
    </x:row>
    <x:row r="10">
      <x:c r="A10" s="11" t="str">
        <x:v>Parabola edge location</x:v>
      </x:c>
      <x:c r="B10" s="11" t="str">
        <x:v>x_edge</x:v>
      </x:c>
      <x:c r="C10" s="18" t="n">
        <x:v>60</x:v>
      </x:c>
      <x:c r="D10" s="11" t="str">
        <x:v>km</x:v>
      </x:c>
      <x:c r="E10" s="11" t="str">
        <x:v>Controls curvature together with Delta_z_edge.</x:v>
      </x:c>
    </x:row>
    <x:row r="11">
      <x:c r="A11" s="11" t="str">
        <x:v>Along-track speed</x:v>
      </x:c>
      <x:c r="B11" s="11" t="str">
        <x:v>v</x:v>
      </x:c>
      <x:c r="C11" s="18" t="n">
        <x:v>4</x:v>
      </x:c>
      <x:c r="D11" s="11" t="str">
        <x:v>km/s</x:v>
      </x:c>
      <x:c r="E11" s="11" t="str">
        <x:v>Used for range rate, Doppler, and pulse spacing.</x:v>
      </x:c>
      <x:c r="F11" s="25" t="str">
        <x:v>Scenario note</x:v>
      </x:c>
      <x:c r="G11" s="26" t="str">
        <x:v>The paper gives altitude ranges and required groundtrack lengths, not exact parabolic equations. These rows convert those paper values into the same simplified parabola equation so outcomes can be compared on one dashboard.</x:v>
      </x:c>
      <x:c r="H11" s="26" t="str"/>
      <x:c r="I11" s="26" t="str"/>
      <x:c r="J11" s="26" t="str"/>
      <x:c r="K11" s="26" t="str"/>
      <x:c r="L11" s="26" t="str"/>
      <x:c r="M11" s="26" t="str"/>
      <x:c r="N11" s="27" t="str"/>
    </x:row>
    <x:row r="12">
      <x:c r="A12" s="11" t="str">
        <x:v>Ice refractive index</x:v>
      </x:c>
      <x:c r="B12" s="11" t="str">
        <x:v>n</x:v>
      </x:c>
      <x:c r="C12" s="18" t="n">
        <x:v>1.78</x:v>
      </x:c>
      <x:c r="D12" s="11" t="str"/>
      <x:c r="E12" s="11" t="str">
        <x:v>Used to convert extra slant path into apparent depth.</x:v>
      </x:c>
    </x:row>
    <x:row r="13">
      <x:c r="A13" s="11" t="str">
        <x:v>VHF wavelength</x:v>
      </x:c>
      <x:c r="B13" s="11" t="str">
        <x:v>lambda_vhf</x:v>
      </x:c>
      <x:c r="C13" s="18" t="n">
        <x:v>5</x:v>
      </x:c>
      <x:c r="D13" s="11" t="str">
        <x:v>m</x:v>
      </x:c>
      <x:c r="E13" s="11" t="str">
        <x:v>REASON-like VHF wavelength.</x:v>
      </x:c>
    </x:row>
    <x:row r="14">
      <x:c r="A14" s="11" t="str">
        <x:v>HF wavelength</x:v>
      </x:c>
      <x:c r="B14" s="11" t="str">
        <x:v>lambda_hf</x:v>
      </x:c>
      <x:c r="C14" s="18" t="n">
        <x:v>33.3</x:v>
      </x:c>
      <x:c r="D14" s="11" t="str">
        <x:v>m</x:v>
      </x:c>
      <x:c r="E14" s="11" t="str">
        <x:v>REASON-like HF wavelength.</x:v>
      </x:c>
    </x:row>
    <x:row r="15">
      <x:c r="A15" s="11" t="str">
        <x:v>Interferometer baseline</x:v>
      </x:c>
      <x:c r="B15" s="11" t="str">
        <x:v>b</x:v>
      </x:c>
      <x:c r="C15" s="18" t="n">
        <x:v>5</x:v>
      </x:c>
      <x:c r="D15" s="11" t="str">
        <x:v>m</x:v>
      </x:c>
      <x:c r="E15" s="11" t="str">
        <x:v>Used for VHF phase estimate.</x:v>
      </x:c>
    </x:row>
    <x:row r="16">
      <x:c r="A16" s="11" t="str">
        <x:v>VHF range resolution</x:v>
      </x:c>
      <x:c r="B16" s="11" t="str">
        <x:v>res_vhf</x:v>
      </x:c>
      <x:c r="C16" s="18" t="n">
        <x:v>30</x:v>
      </x:c>
      <x:c r="D16" s="11" t="str">
        <x:v>m</x:v>
      </x:c>
      <x:c r="E16" s="11" t="str">
        <x:v>Used for VHF apparent-depth uncertainty band.</x:v>
      </x:c>
    </x:row>
    <x:row r="17">
      <x:c r="A17" s="11" t="str">
        <x:v>HF range resolution</x:v>
      </x:c>
      <x:c r="B17" s="11" t="str">
        <x:v>res_hf</x:v>
      </x:c>
      <x:c r="C17" s="18" t="n">
        <x:v>300</x:v>
      </x:c>
      <x:c r="D17" s="11" t="str">
        <x:v>m</x:v>
      </x:c>
      <x:c r="E17" s="11" t="str">
        <x:v>Used for HF apparent-depth uncertainty band.</x:v>
      </x:c>
    </x:row>
    <x:row r="18">
      <x:c r="A18" s="11" t="str">
        <x:v>PRF choice 1</x:v>
      </x:c>
      <x:c r="B18" s="11" t="str">
        <x:v>PRF_1</x:v>
      </x:c>
      <x:c r="C18" s="18" t="n">
        <x:v>50</x:v>
      </x:c>
      <x:c r="D18" s="11" t="str">
        <x:v>Hz</x:v>
      </x:c>
      <x:c r="E18" s="11" t="str">
        <x:v>Example low PRF.</x:v>
      </x:c>
    </x:row>
    <x:row r="19">
      <x:c r="A19" s="11" t="str">
        <x:v>PRF choice 2</x:v>
      </x:c>
      <x:c r="B19" s="11" t="str">
        <x:v>PRF_2</x:v>
      </x:c>
      <x:c r="C19" s="18" t="n">
        <x:v>500</x:v>
      </x:c>
      <x:c r="D19" s="11" t="str">
        <x:v>Hz</x:v>
      </x:c>
      <x:c r="E19" s="11" t="str">
        <x:v>Example medium PRF.</x:v>
      </x:c>
    </x:row>
    <x:row r="20">
      <x:c r="A20" s="11" t="str">
        <x:v>PRF choice 3</x:v>
      </x:c>
      <x:c r="B20" s="11" t="str">
        <x:v>PRF_3</x:v>
      </x:c>
      <x:c r="C20" s="18" t="n">
        <x:v>3000</x:v>
      </x:c>
      <x:c r="D20" s="11" t="str">
        <x:v>Hz</x:v>
      </x:c>
      <x:c r="E20" s="11" t="str">
        <x:v>Example high PRF.</x:v>
      </x:c>
    </x:row>
    <x:row r="21">
      <x:c r="A21" s="11" t="str">
        <x:v>Speed of light</x:v>
      </x:c>
      <x:c r="B21" s="11" t="str">
        <x:v>c</x:v>
      </x:c>
      <x:c r="C21" s="19" t="n">
        <x:v>299792458</x:v>
      </x:c>
      <x:c r="D21" s="11" t="str">
        <x:v>m/s</x:v>
      </x:c>
      <x:c r="E21" s="11" t="str">
        <x:v>Physical constant used for delay and timing.</x:v>
      </x:c>
    </x:row>
    <x:row r="23">
      <x:c r="A23" s="25" t="str">
        <x:v>Model note</x:v>
      </x:c>
      <x:c r="B23" s="26" t="str">
        <x:v>The parabola is a simplified local path, not a real mission trajectory. Use it to see how geometry changes radar outputs.</x:v>
      </x:c>
      <x:c r="C23" s="26" t="str"/>
      <x:c r="D23" s="26" t="str"/>
      <x:c r="E23" s="27" t="str"/>
    </x:row>
    <x:row r="25">
      <x:c r="A25" s="36" t="str">
        <x:v>Representative Europa Topography Controls</x:v>
      </x:c>
      <x:c r="B25" s="37"/>
      <x:c r="C25" s="37"/>
      <x:c r="D25" s="37"/>
      <x:c r="E25" s="38"/>
    </x:row>
    <x:row r="26">
      <x:c r="A26" s="14" t="str">
        <x:v>Parameter</x:v>
      </x:c>
      <x:c r="B26" s="14" t="str">
        <x:v>Symbol</x:v>
      </x:c>
      <x:c r="C26" s="14" t="str">
        <x:v>Value</x:v>
      </x:c>
      <x:c r="D26" s="14" t="str">
        <x:v>Unit</x:v>
      </x:c>
      <x:c r="E26" s="14" t="str">
        <x:v>Notes</x:v>
      </x:c>
    </x:row>
    <x:row r="27">
      <x:c r="A27" s="11" t="str">
        <x:v>Topography enabled</x:v>
      </x:c>
      <x:c r="B27" s="11" t="str">
        <x:v>topography_on</x:v>
      </x:c>
      <x:c r="C27" s="47" t="str">
        <x:v>TRUE</x:v>
      </x:c>
      <x:c r="D27" s="11" t="str"/>
      <x:c r="E27" s="11" t="str">
        <x:v>Dropdown-style toggle. TRUE adds terrain height to the radar geometry; FALSE returns to flat surface.</x:v>
      </x:c>
    </x:row>
    <x:row r="28">
      <x:c r="A28" s="11" t="str">
        <x:v>Ridge height</x:v>
      </x:c>
      <x:c r="B28" s="11" t="str">
        <x:v>A_ridge</x:v>
      </x:c>
      <x:c r="C28" s="18" t="n">
        <x:v>350</x:v>
      </x:c>
      <x:c r="D28" s="11" t="str">
        <x:v>m</x:v>
      </x:c>
      <x:c r="E28" s="11" t="str">
        <x:v>Positive height for a representative double-ridge / raised band.</x:v>
      </x:c>
    </x:row>
    <x:row r="29">
      <x:c r="A29" s="11" t="str">
        <x:v>Ridge center x</x:v>
      </x:c>
      <x:c r="B29" s="11" t="str">
        <x:v>ridge_x0</x:v>
      </x:c>
      <x:c r="C29" s="18" t="n">
        <x:v>0</x:v>
      </x:c>
      <x:c r="D29" s="11" t="str">
        <x:v>km</x:v>
      </x:c>
      <x:c r="E29" s="11" t="str">
        <x:v>Along-track center of the ridge.</x:v>
      </x:c>
    </x:row>
    <x:row r="30">
      <x:c r="A30" s="11" t="str">
        <x:v>Ridge center y</x:v>
      </x:c>
      <x:c r="B30" s="11" t="str">
        <x:v>ridge_y0</x:v>
      </x:c>
      <x:c r="C30" s="18" t="n">
        <x:v>25</x:v>
      </x:c>
      <x:c r="D30" s="11" t="str">
        <x:v>km</x:v>
      </x:c>
      <x:c r="E30" s="11" t="str">
        <x:v>Cross-track center of the ridge.</x:v>
      </x:c>
    </x:row>
    <x:row r="31">
      <x:c r="A31" s="11" t="str">
        <x:v>Ridge length sigma</x:v>
      </x:c>
      <x:c r="B31" s="11" t="str">
        <x:v>ridge_sigma_x</x:v>
      </x:c>
      <x:c r="C31" s="18" t="n">
        <x:v>24</x:v>
      </x:c>
      <x:c r="D31" s="11" t="str">
        <x:v>km</x:v>
      </x:c>
      <x:c r="E31" s="11" t="str">
        <x:v>Long direction of the ridge feature.</x:v>
      </x:c>
    </x:row>
    <x:row r="32">
      <x:c r="A32" s="11" t="str">
        <x:v>Ridge width sigma</x:v>
      </x:c>
      <x:c r="B32" s="11" t="str">
        <x:v>ridge_sigma_y</x:v>
      </x:c>
      <x:c r="C32" s="18" t="n">
        <x:v>3.5</x:v>
      </x:c>
      <x:c r="D32" s="11" t="str">
        <x:v>km</x:v>
      </x:c>
      <x:c r="E32" s="11" t="str">
        <x:v>Narrow cross-track width of the ridge.</x:v>
      </x:c>
    </x:row>
    <x:row r="33">
      <x:c r="A33" s="11" t="str">
        <x:v>Crater/depression depth</x:v>
      </x:c>
      <x:c r="B33" s="11" t="str">
        <x:v>D_crater</x:v>
      </x:c>
      <x:c r="C33" s="18" t="n">
        <x:v>180</x:v>
      </x:c>
      <x:c r="D33" s="11" t="str">
        <x:v>m</x:v>
      </x:c>
      <x:c r="E33" s="11" t="str">
        <x:v>Positive number becomes a negative depression in the surface model.</x:v>
      </x:c>
    </x:row>
    <x:row r="34">
      <x:c r="A34" s="11" t="str">
        <x:v>Crater center x</x:v>
      </x:c>
      <x:c r="B34" s="11" t="str">
        <x:v>crater_x0</x:v>
      </x:c>
      <x:c r="C34" s="18" t="n">
        <x:v>-18</x:v>
      </x:c>
      <x:c r="D34" s="11" t="str">
        <x:v>km</x:v>
      </x:c>
      <x:c r="E34" s="11" t="str">
        <x:v>Along-track center of depression.</x:v>
      </x:c>
    </x:row>
    <x:row r="35">
      <x:c r="A35" s="11" t="str">
        <x:v>Crater center y</x:v>
      </x:c>
      <x:c r="B35" s="11" t="str">
        <x:v>crater_y0</x:v>
      </x:c>
      <x:c r="C35" s="18" t="n">
        <x:v>8</x:v>
      </x:c>
      <x:c r="D35" s="11" t="str">
        <x:v>km</x:v>
      </x:c>
      <x:c r="E35" s="11" t="str">
        <x:v>Cross-track center of depression.</x:v>
      </x:c>
    </x:row>
    <x:row r="36">
      <x:c r="A36" s="11" t="str">
        <x:v>Crater width sigma</x:v>
      </x:c>
      <x:c r="B36" s="11" t="str">
        <x:v>crater_sigma</x:v>
      </x:c>
      <x:c r="C36" s="18" t="n">
        <x:v>8</x:v>
      </x:c>
      <x:c r="D36" s="11" t="str">
        <x:v>km</x:v>
      </x:c>
      <x:c r="E36" s="11" t="str">
        <x:v>Controls how broad the depression is.</x:v>
      </x:c>
    </x:row>
    <x:row r="37">
      <x:c r="A37" s="11" t="str">
        <x:v>Chaos amplitude</x:v>
      </x:c>
      <x:c r="B37" s="11" t="str">
        <x:v>A_chaos</x:v>
      </x:c>
      <x:c r="C37" s="18" t="n">
        <x:v>65</x:v>
      </x:c>
      <x:c r="D37" s="11" t="str">
        <x:v>m</x:v>
      </x:c>
      <x:c r="E37" s="11" t="str">
        <x:v>Mixed sinusoidal terrain term for irregular chaos-like height variation.</x:v>
      </x:c>
    </x:row>
    <x:row r="38">
      <x:c r="A38" s="11" t="str">
        <x:v>Fine roughness amplitude</x:v>
      </x:c>
      <x:c r="B38" s="11" t="str">
        <x:v>A_rough</x:v>
      </x:c>
      <x:c r="C38" s="18" t="n">
        <x:v>35</x:v>
      </x:c>
      <x:c r="D38" s="11" t="str">
        <x:v>m</x:v>
      </x:c>
      <x:c r="E38" s="11" t="str">
        <x:v>Smaller surface roughness term.</x:v>
      </x:c>
    </x:row>
    <x:row r="39">
      <x:c r="A39" s="11" t="str">
        <x:v>Roughness wavelength x</x:v>
      </x:c>
      <x:c r="B39" s="11" t="str">
        <x:v>Lx</x:v>
      </x:c>
      <x:c r="C39" s="18" t="n">
        <x:v>18</x:v>
      </x:c>
      <x:c r="D39" s="11" t="str">
        <x:v>km</x:v>
      </x:c>
      <x:c r="E39" s="11" t="str">
        <x:v>Along-track roughness wavelength.</x:v>
      </x:c>
    </x:row>
    <x:row r="40">
      <x:c r="A40" s="11" t="str">
        <x:v>Roughness wavelength y</x:v>
      </x:c>
      <x:c r="B40" s="11" t="str">
        <x:v>Ly</x:v>
      </x:c>
      <x:c r="C40" s="18" t="n">
        <x:v>12</x:v>
      </x:c>
      <x:c r="D40" s="11" t="str">
        <x:v>km</x:v>
      </x:c>
      <x:c r="E40" s="11" t="str">
        <x:v>Cross-track roughness wavelength.</x:v>
      </x:c>
    </x:row>
    <x:row r="41">
      <x:c r="A41" s="11" t="str">
        <x:v>Trough depth</x:v>
      </x:c>
      <x:c r="B41" s="11" t="str">
        <x:v>D_trough</x:v>
      </x:c>
      <x:c r="C41" s="18" t="n">
        <x:v>120</x:v>
      </x:c>
      <x:c r="D41" s="11" t="str">
        <x:v>m</x:v>
      </x:c>
      <x:c r="E41" s="11" t="str">
        <x:v>Negative linear feature, like a fracture/trough.</x:v>
      </x:c>
    </x:row>
    <x:row r="42">
      <x:c r="A42" s="11" t="str">
        <x:v>Trough center x</x:v>
      </x:c>
      <x:c r="B42" s="11" t="str">
        <x:v>trough_x0</x:v>
      </x:c>
      <x:c r="C42" s="18" t="n">
        <x:v>12</x:v>
      </x:c>
      <x:c r="D42" s="11" t="str">
        <x:v>km</x:v>
      </x:c>
      <x:c r="E42" s="11" t="str">
        <x:v>Along-track center of trough.</x:v>
      </x:c>
    </x:row>
    <x:row r="43">
      <x:c r="A43" s="11" t="str">
        <x:v>Trough center y</x:v>
      </x:c>
      <x:c r="B43" s="11" t="str">
        <x:v>trough_y0</x:v>
      </x:c>
      <x:c r="C43" s="18" t="n">
        <x:v>-6</x:v>
      </x:c>
      <x:c r="D43" s="11" t="str">
        <x:v>km</x:v>
      </x:c>
      <x:c r="E43" s="11" t="str">
        <x:v>Cross-track center of trough.</x:v>
      </x:c>
    </x:row>
    <x:row r="44">
      <x:c r="A44" s="11" t="str">
        <x:v>Trough width sigma</x:v>
      </x:c>
      <x:c r="B44" s="11" t="str">
        <x:v>trough_sigma_y</x:v>
      </x:c>
      <x:c r="C44" s="18" t="n">
        <x:v>2.5</x:v>
      </x:c>
      <x:c r="D44" s="11" t="str">
        <x:v>km</x:v>
      </x:c>
      <x:c r="E44" s="11" t="str">
        <x:v>Narrow width of trough.</x:v>
      </x:c>
    </x:row>
    <x:row r="45">
      <x:c r="A45" s="11" t="str">
        <x:v>Trough length sigma</x:v>
      </x:c>
      <x:c r="B45" s="11" t="str">
        <x:v>trough_sigma_x</x:v>
      </x:c>
      <x:c r="C45" s="18" t="n">
        <x:v>38</x:v>
      </x:c>
      <x:c r="D45" s="11" t="str">
        <x:v>km</x:v>
      </x:c>
      <x:c r="E45" s="11" t="str">
        <x:v>Long direction of trough.</x:v>
      </x:c>
    </x:row>
    <x:row r="46">
      <x:c r="A46" s="11" t="str">
        <x:v>Terrain vertical uncertainty</x:v>
      </x:c>
      <x:c r="B46" s="11" t="str">
        <x:v>sigma_h</x:v>
      </x:c>
      <x:c r="C46" s="18" t="n">
        <x:v>75</x:v>
      </x:c>
      <x:c r="D46" s="11" t="str">
        <x:v>m</x:v>
      </x:c>
      <x:c r="E46" s="11" t="str">
        <x:v>Representative uncertainty band for the topographic height model.</x:v>
      </x:c>
    </x:row>
    <x:row r="47">
      <x:c r="A47" s="11" t="str">
        <x:v>Terrain seed</x:v>
      </x:c>
      <x:c r="B47" s="11" t="str">
        <x:v>terrain_seed</x:v>
      </x:c>
      <x:c r="C47" s="19" t="n">
        <x:v>7</x:v>
      </x:c>
      <x:c r="D47" s="11" t="str"/>
      <x:c r="E47" s="11" t="str">
        <x:v>Change this number to generate a different repeatable random-looking surface. Same seed gives the same graphs.</x:v>
      </x:c>
    </x:row>
    <x:row r="48">
      <x:c r="A48" s="11" t="str">
        <x:v>Seeded random amplitude</x:v>
      </x:c>
      <x:c r="B48" s="11" t="str">
        <x:v>A_seeded</x:v>
      </x:c>
      <x:c r="C48" s="18" t="n">
        <x:v>45</x:v>
      </x:c>
      <x:c r="D48" s="11" t="str">
        <x:v>m</x:v>
      </x:c>
      <x:c r="E48" s="11" t="str">
        <x:v>Strength of the generated terrain added on top of the DEM-style surface.</x:v>
      </x:c>
    </x:row>
    <x:row r="49">
      <x:c r="A49" s="11" t="str">
        <x:v>Seeded random scale x</x:v>
      </x:c>
      <x:c r="B49" s="11" t="str">
        <x:v>L_seed_x</x:v>
      </x:c>
      <x:c r="C49" s="18" t="n">
        <x:v>12</x:v>
      </x:c>
      <x:c r="D49" s="11" t="str">
        <x:v>km</x:v>
      </x:c>
      <x:c r="E49" s="11" t="str">
        <x:v>Along-track scale for seeded terrain waves.</x:v>
      </x:c>
    </x:row>
    <x:row r="50">
      <x:c r="A50" s="11" t="str">
        <x:v>Seeded random scale y</x:v>
      </x:c>
      <x:c r="B50" s="11" t="str">
        <x:v>L_seed_y</x:v>
      </x:c>
      <x:c r="C50" s="18" t="n">
        <x:v>9</x:v>
      </x:c>
      <x:c r="D50" s="11" t="str">
        <x:v>km</x:v>
      </x:c>
      <x:c r="E50" s="11" t="str">
        <x:v>Cross-track scale for seeded terrain waves.</x:v>
      </x:c>
    </x:row>
    <x:row r="51">
      <x:c r="A51" s="11" t="str">
        <x:v>Existing DEM-style scale</x:v>
      </x:c>
      <x:c r="B51" s="11" t="str">
        <x:v>S_dem</x:v>
      </x:c>
      <x:c r="C51" s="18" t="n">
        <x:v>1</x:v>
      </x:c>
      <x:c r="D51" s="11" t="str"/>
      <x:c r="E51" s="11" t="str">
        <x:v>Multiplier for the project synthetic DEM pattern from reason_common.py.</x:v>
      </x:c>
    </x:row>
    <x:row r="52">
      <x:c r="A52" s="11" t="str">
        <x:v>Europa radius</x:v>
      </x:c>
      <x:c r="B52" s="11" t="str">
        <x:v>R_e</x:v>
      </x:c>
      <x:c r="C52" s="18" t="n">
        <x:v>1560.8</x:v>
      </x:c>
      <x:c r="D52" s="11" t="str">
        <x:v>km</x:v>
      </x:c>
      <x:c r="E52" s="11" t="str">
        <x:v>Europa mean radius used for spherical slant-range geometry.</x:v>
      </x:c>
    </x:row>
    <x:row r="54">
      <x:c r="A54" s="25" t="str">
        <x:v>Topography note</x:v>
      </x:c>
      <x:c r="B54" s="26" t="str">
        <x:v>This is a detailed representative terrain model, not a real imported Europa DEM. It now combines the local project synthetic DEM shape with a seed-controlled random terrain term so you can test multiple possible surfaces.</x:v>
      </x:c>
      <x:c r="C54" s="26" t="str"/>
      <x:c r="D54" s="26" t="str"/>
      <x:c r="E54" s="27" t="str"/>
    </x:row>
  </x:sheetData>
  <x:mergeCells>
    <x:mergeCell ref="A1:N1"/>
    <x:mergeCell ref="A2:N2"/>
    <x:mergeCell ref="B23:E23"/>
    <x:mergeCell ref="F4:N4"/>
    <x:mergeCell ref="G11:N11"/>
    <x:mergeCell ref="A25:E25"/>
    <x:mergeCell ref="B54:E54"/>
  </x:mergeCells>
  <x:dataValidations count="1">
    <x:dataValidation type="list" sqref="C27">
      <x:formula1>"TRUE,FALSE"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2" hidden="0" customWidth="1"/>
    <x:col min="4" max="4" width="12" hidden="0" customWidth="1"/>
    <x:col min="5" max="5" width="12" hidden="0" customWidth="1"/>
    <x:col min="6" max="6" width="16" hidden="0" customWidth="1"/>
    <x:col min="7" max="7" width="14" hidden="0" customWidth="1"/>
    <x:col min="8" max="8" width="16" hidden="0" customWidth="1"/>
    <x:col min="9" max="9" width="14" hidden="0" customWidth="1"/>
    <x:col min="10" max="10" width="14" hidden="0" customWidth="1"/>
    <x:col min="11" max="11" width="14" hidden="0" customWidth="1"/>
    <x:col min="12" max="12" width="11" hidden="0" customWidth="1"/>
    <x:col min="13" max="13" width="10" hidden="0" customWidth="1"/>
    <x:col min="14" max="14" width="12" hidden="0" customWidth="1"/>
    <x:col min="15" max="15" width="14" hidden="0" customWidth="1"/>
    <x:col min="16" max="16" width="14" hidden="0" customWidth="1"/>
    <x:col min="17" max="17" width="14" hidden="0" customWidth="1"/>
    <x:col min="18" max="18" width="13" hidden="0" customWidth="1"/>
    <x:col min="19" max="19" width="13" hidden="0" customWidth="1"/>
    <x:col min="20" max="20" width="13" hidden="0" customWidth="1"/>
    <x:col min="21" max="21" width="13" hidden="0" customWidth="1"/>
    <x:col min="22" max="22" width="16" hidden="0" customWidth="1"/>
    <x:col min="23" max="23" width="16" hidden="0" customWidth="1"/>
    <x:col min="24" max="24" width="13" hidden="0" customWidth="1"/>
    <x:col min="25" max="25" width="13" hidden="0" customWidth="1"/>
    <x:col min="26" max="26" width="15" hidden="0" customWidth="1"/>
    <x:col min="27" max="27" width="15" hidden="0" customWidth="1"/>
    <x:col min="28" max="28" width="15" hidden="0" customWidth="1"/>
    <x:col min="29" max="29" width="18" hidden="0" customWidth="1"/>
    <x:col min="30" max="30" width="18" hidden="0" customWidth="1"/>
    <x:col min="31" max="31" width="16" hidden="0" customWidth="1"/>
    <x:col min="32" max="32" width="16" hidden="0" customWidth="1"/>
    <x:col min="33" max="33" width="16" hidden="0" customWidth="1"/>
    <x:col min="34" max="34" width="14" hidden="0" customWidth="1"/>
    <x:col min="35" max="35" width="20" hidden="0" customWidth="1"/>
    <x:col min="36" max="36" width="20"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6" hidden="0" customWidth="1"/>
    <x:col min="45" max="45" width="16" hidden="0" customWidth="1"/>
  </x:cols>
  <x:sheetData>
    <x:row r="1">
      <x:c r="A1" s="14" t="str">
        <x:v>x_km</x:v>
      </x:c>
      <x:c r="B1" s="14" t="str">
        <x:v>z_km</x:v>
      </x:c>
      <x:c r="C1" s="14" t="str">
        <x:v>R_nadir_km</x:v>
      </x:c>
      <x:c r="D1" s="14" t="str">
        <x:v>R_off_km</x:v>
      </x:c>
      <x:c r="E1" s="14" t="str">
        <x:v>Delta_R_m</x:v>
      </x:c>
      <x:c r="F1" s="14" t="str">
        <x:v>apparent_depth_m</x:v>
      </x:c>
      <x:c r="G1" s="14" t="str">
        <x:v>extra_delay_us</x:v>
      </x:c>
      <x:c r="H1" s="14" t="str">
        <x:v>horizontal_offset_km</x:v>
      </x:c>
      <x:c r="I1" s="14" t="str">
        <x:v>look_angle_deg</x:v>
      </x:c>
      <x:c r="J1" s="14" t="str">
        <x:v>vhf_phase_deg</x:v>
      </x:c>
      <x:c r="K1" s="14" t="str">
        <x:v>relative_power</x:v>
      </x:c>
      <x:c r="L1" s="14" t="str">
        <x:v>power_dB</x:v>
      </x:c>
      <x:c r="M1" s="14" t="str">
        <x:v>dz_dx</x:v>
      </x:c>
      <x:c r="N1" s="14" t="str">
        <x:v>dz_dt_km_s</x:v>
      </x:c>
      <x:c r="O1" s="14" t="str">
        <x:v>range_rate_m_s</x:v>
      </x:c>
      <x:c r="P1" s="14" t="str">
        <x:v>vhf_doppler_hz</x:v>
      </x:c>
      <x:c r="Q1" s="14" t="str">
        <x:v>hf_doppler_hz</x:v>
      </x:c>
      <x:c r="R1" s="14" t="str">
        <x:v>vhf_band_low_m</x:v>
      </x:c>
      <x:c r="S1" s="14" t="str">
        <x:v>vhf_band_high_m</x:v>
      </x:c>
      <x:c r="T1" s="14" t="str">
        <x:v>hf_band_low_m</x:v>
      </x:c>
      <x:c r="U1" s="14" t="str">
        <x:v>hf_band_high_m</x:v>
      </x:c>
      <x:c r="V1" s="14" t="str">
        <x:v>abs_vhf_doppler_hz</x:v>
      </x:c>
      <x:c r="W1" s="14" t="str">
        <x:v>abs_hf_doppler_hz</x:v>
      </x:c>
      <x:c r="X1" s="14" t="str">
        <x:v>h_nadir_m</x:v>
      </x:c>
      <x:c r="Y1" s="14" t="str">
        <x:v>h_target_m</x:v>
      </x:c>
      <x:c r="Z1" s="14" t="str">
        <x:v>R_nadir_topo_km</x:v>
      </x:c>
      <x:c r="AA1" s="14" t="str">
        <x:v>R_off_topo_km</x:v>
      </x:c>
      <x:c r="AB1" s="14" t="str">
        <x:v>Delta_R_topo_m</x:v>
      </x:c>
      <x:c r="AC1" s="14" t="str">
        <x:v>apparent_depth_topo_m</x:v>
      </x:c>
      <x:c r="AD1" s="14" t="str">
        <x:v>extra_delay_topo_us</x:v>
      </x:c>
      <x:c r="AE1" s="14" t="str">
        <x:v>look_angle_topo_deg</x:v>
      </x:c>
      <x:c r="AF1" s="14" t="str">
        <x:v>vhf_phase_topo_deg</x:v>
      </x:c>
      <x:c r="AG1" s="14" t="str">
        <x:v>relative_power_topo</x:v>
      </x:c>
      <x:c r="AH1" s="14" t="str">
        <x:v>power_dB_topo</x:v>
      </x:c>
      <x:c r="AI1" s="14" t="str">
        <x:v>depth_change_topo_minus_flat_m</x:v>
      </x:c>
      <x:c r="AJ1" s="14" t="str">
        <x:v>delay_change_topo_minus_flat_us</x:v>
      </x:c>
      <x:c r="AK1" s="14" t="str">
        <x:v>target_minus_nadir_height_m</x:v>
      </x:c>
      <x:c r="AL1" s="14" t="str">
        <x:v>range_rate_topo_m_s</x:v>
      </x:c>
      <x:c r="AM1" s="14" t="str">
        <x:v>vhf_doppler_topo_hz</x:v>
      </x:c>
      <x:c r="AN1" s="14" t="str">
        <x:v>hf_doppler_topo_hz</x:v>
      </x:c>
      <x:c r="AO1" s="14" t="str">
        <x:v>abs_vhf_doppler_topo_hz</x:v>
      </x:c>
      <x:c r="AP1" s="14" t="str">
        <x:v>abs_hf_doppler_topo_hz</x:v>
      </x:c>
      <x:c r="AQ1" s="14" t="str">
        <x:v>topo_depth_uncertainty_m</x:v>
      </x:c>
      <x:c r="AR1" s="14" t="str">
        <x:v>topo_depth_low_m</x:v>
      </x:c>
      <x:c r="AS1" s="14" t="str">
        <x:v>topo_depth_high_m</x:v>
      </x:c>
    </x:row>
    <x:row r="2">
      <x:c r="A2" s="48" t="n">
        <x:f>Inputs!$C$7+0*(Inputs!$C$8-Inputs!$C$7)/240</x:f>
        <x:v>-60</x:v>
      </x:c>
      <x:c r="B2" s="48" t="n">
        <x:f>Inputs!$C$5+Inputs!$C$9*(A2/Inputs!$C$10)^2</x:f>
        <x:v>404</x:v>
      </x:c>
      <x:c r="C2" s="48" t="n">
        <x:f>B2</x:f>
        <x:v>404</x:v>
      </x:c>
      <x:c r="D2" s="48" t="n">
        <x:f>SQRT((Inputs!$C$52+B2)^2+Inputs!$C$52^2-2*(Inputs!$C$52+B2)*Inputs!$C$52*COS(SQRT(A2^2+Inputs!$C$6^2)/Inputs!$C$52))</x:f>
        <x:v>410.5287288387585</x:v>
      </x:c>
      <x:c r="E2" s="48" t="n">
        <x:f>(D2-C2)*1000</x:f>
        <x:v>6528.728838758525</x:v>
      </x:c>
      <x:c r="F2" s="48" t="n">
        <x:f>E2/Inputs!$C$12</x:f>
        <x:v>3667.825190313778</x:v>
      </x:c>
      <x:c r="G2" s="48" t="n">
        <x:f>2*E2/Inputs!$C$21*1000000</x:f>
        <x:v>43.55499055789139</x:v>
      </x:c>
      <x:c r="H2" s="48" t="n">
        <x:f>SQRT(A2^2+Inputs!$C$6^2)</x:f>
        <x:v>65</x:v>
      </x:c>
      <x:c r="I2" s="48" t="n">
        <x:f>DEGREES(ATAN(H2/B2))</x:f>
        <x:v>9.14005123413285</x:v>
      </x:c>
      <x:c r="J2" s="48" t="n">
        <x:f>DEGREES((2*PI()/Inputs!$C$13)*Inputs!$C$15*SIN(RADIANS(I2)))</x:f>
        <x:v>57.185372299425126</x:v>
      </x:c>
      <x:c r="K2" s="48" t="n">
        <x:f>(C2/D2)^4</x:f>
        <x:v>0.9378885685446497</x:v>
      </x:c>
      <x:c r="L2" s="48" t="n">
        <x:f>10*LOG10(K2)</x:f>
        <x:v>-0.27848757506786603</x:v>
      </x:c>
      <x:c r="M2" s="48" t="n">
        <x:f>2*(Inputs!$C$9/(Inputs!$C$10^2))*A2</x:f>
        <x:v>-0.13333333333333333</x:v>
      </x:c>
      <x:c r="N2" s="48" t="n">
        <x:f>M2*Inputs!$C$11</x:f>
        <x:v>-0.5333333333333333</x:v>
      </x:c>
      <x:c r="O2" s="48" t="n">
        <x:f>1000*(D3-D2)/(A3-A2)*Inputs!$C$11</x:f>
        <x:v>-1257.2455840172552</x:v>
      </x:c>
      <x:c r="P2" s="48" t="n">
        <x:f>-2*O2/Inputs!$C$13</x:f>
        <x:v>502.89823360690207</x:v>
      </x:c>
      <x:c r="Q2" s="48" t="n">
        <x:f>-2*O2/Inputs!$C$14</x:f>
        <x:v>75.51024528632163</x:v>
      </x:c>
      <x:c r="R2" s="48" t="n">
        <x:f>F2-Inputs!$C$16/2</x:f>
        <x:v>3652.825190313778</x:v>
      </x:c>
      <x:c r="S2" s="48" t="n">
        <x:f>F2+Inputs!$C$16/2</x:f>
        <x:v>3682.825190313778</x:v>
      </x:c>
      <x:c r="T2" s="48" t="n">
        <x:f>F2-Inputs!$C$17/2</x:f>
        <x:v>3517.825190313778</x:v>
      </x:c>
      <x:c r="U2" s="48" t="n">
        <x:f>F2+Inputs!$C$17/2</x:f>
        <x:v>3817.825190313778</x:v>
      </x:c>
      <x:c r="V2" s="48" t="n">
        <x:f>ABS(P2)</x:f>
        <x:v>502.89823360690207</x:v>
      </x:c>
      <x:c r="W2" s="48" t="n">
        <x:f>ABS(Q2)</x:f>
        <x:v>75.51024528632163</x:v>
      </x:c>
      <x:c r="X2" s="48" t="n">
        <x: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(0.45*SIN(2*PI()*(((A2)/Inputs!$C$49)+Inputs!$C$47*0.137))+0.35*COS(2*PI()*(((0)/Inputs!$C$50)+Inputs!$C$47*0.173))+0.20*SIN(2*PI()*(((A2)+(0))/(0.5*(Inputs!$C$49+Inputs!$C$50))+Inputs!$C$47*0.097)))+0.30*(2*((SIN(((A2)*12.9898+(0)*78.233+Inputs!$C$47*37.719))*43758.5453)-INT((SIN(((A2)*12.9898+(0)*78.233+Inputs!$C$47*37.719))*43758.5453)))-1)))</x:f>
        <x:v>2.7642790376402013</x:v>
      </x:c>
      <x:c r="Y2" s="48" t="n">
        <x: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(0.45*SIN(2*PI()*(((A2)/Inputs!$C$49)+Inputs!$C$47*0.137))+0.35*COS(2*PI()*(((Inputs!$C$6)/Inputs!$C$50)+Inputs!$C$47*0.173))+0.20*SIN(2*PI()*(((A2)+(Inputs!$C$6))/(0.5*(Inputs!$C$49+Inputs!$C$50))+Inputs!$C$47*0.097)))+0.30*(2*((SIN(((A2)*12.9898+(Inputs!$C$6)*78.233+Inputs!$C$47*37.719))*43758.5453)-INT((SIN(((A2)*12.9898+(Inputs!$C$6)*78.233+Inputs!$C$47*37.719))*43758.5453)))-1)))</x:f>
        <x:v>119.42638570504096</x:v>
      </x:c>
      <x:c r="Z2" s="48" t="n">
        <x:f>B2-X2/1000</x:f>
        <x:v>403.99723572096235</x:v>
      </x:c>
      <x:c r="AA2" s="48" t="n">
        <x:f>SQRT((Inputs!$C$52+B2)^2+(Inputs!$C$52+Y2/1000)^2-2*(Inputs!$C$52+B2)*(Inputs!$C$52+Y2/1000)*COS(SQRT(A2^2+Inputs!$C$6^2)/Inputs!$C$52))</x:f>
        <x:v>410.41169798793055</x:v>
      </x:c>
      <x:c r="AB2" s="48" t="n">
        <x:f>(AA2-Z2)*1000</x:f>
        <x:v>6414.462266968201</x:v>
      </x:c>
      <x:c r="AC2" s="48" t="n">
        <x:f>AB2/Inputs!$C$12</x:f>
        <x:v>3603.6304870607873</x:v>
      </x:c>
      <x:c r="AD2" s="48" t="n">
        <x:f>2*AB2/Inputs!$C$21*1000000</x:f>
        <x:v>42.79268604527871</x:v>
      </x:c>
      <x:c r="AE2" s="48" t="n">
        <x:f>DEGREES(ATAN(H2/(B2-Y2/1000)))</x:f>
        <x:v>9.142708283534203</x:v>
      </x:c>
      <x:c r="AF2" s="48" t="n">
        <x:f>DEGREES((2*PI()/Inputs!$C$13)*Inputs!$C$15*SIN(RADIANS(AE2)))</x:f>
        <x:v>57.201854998802176</x:v>
      </x:c>
      <x:c r="AG2" s="48" t="n">
        <x:f>(Z2/AA2)^4</x:f>
        <x:v>0.9389331015884215</x:v>
      </x:c>
      <x:c r="AH2" s="48" t="n">
        <x:f>10*LOG10(AG2)</x:f>
        <x:v>-0.27365349848903</x:v>
      </x:c>
      <x:c r="AI2" s="48" t="n">
        <x:f>AC2-F2</x:f>
        <x:v>-64.19470325299062</x:v>
      </x:c>
      <x:c r="AJ2" s="48" t="n">
        <x:f>AD2-G2</x:f>
        <x:v>-0.7623045126126797</x:v>
      </x:c>
      <x:c r="AK2" s="48" t="n">
        <x:f>Y2-X2</x:f>
        <x:v>116.66210666740075</x:v>
      </x:c>
      <x:c r="AL2" s="48" t="n">
        <x:f>1000*(AA3-AA2)/(A3-A2)*Inputs!$C$11</x:f>
        <x:v>-1189.0455786242455</x:v>
      </x:c>
      <x:c r="AM2" s="48" t="n">
        <x:f>-2*AL2/Inputs!$C$13</x:f>
        <x:v>475.6182314496982</x:v>
      </x:c>
      <x:c r="AN2" s="48" t="n">
        <x:f>-2*AL2/Inputs!$C$14</x:f>
        <x:v>71.41414886632106</x:v>
      </x:c>
      <x:c r="AO2" s="48" t="n">
        <x:f>ABS(AM2)</x:f>
        <x:v>475.6182314496982</x:v>
      </x:c>
      <x:c r="AP2" s="48" t="n">
        <x:f>ABS(AN2)</x:f>
        <x:v>71.41414886632106</x:v>
      </x:c>
      <x:c r="AQ2" s="48" t="n">
        <x:f>IF(OR(Inputs!$C$27=TRUE,Inputs!$C$27="TRUE",Inputs!$C$27=1),Inputs!$C$46/Inputs!$C$12,0)</x:f>
        <x:v>42.13483146067416</x:v>
      </x:c>
      <x:c r="AR2" s="48" t="n">
        <x:f>AC2-AQ2</x:f>
        <x:v>3561.495655600113</x:v>
      </x:c>
      <x:c r="AS2" s="48" t="n">
        <x:f>AC2+AQ2</x:f>
        <x:v>3645.7653185214617</x:v>
      </x:c>
    </x:row>
    <x:row r="3">
      <x:c r="A3" s="48" t="n">
        <x:f>Inputs!$C$7+1*(Inputs!$C$8-Inputs!$C$7)/240</x:f>
        <x:v>-59.5</x:v>
      </x:c>
      <x:c r="B3" s="48" t="n">
        <x:f>Inputs!$C$5+Inputs!$C$9*(A3/Inputs!$C$10)^2</x:f>
        <x:v>403.93361111111113</x:v>
      </x:c>
      <x:c r="C3" s="48" t="n">
        <x:f>B3</x:f>
        <x:v>403.93361111111113</x:v>
      </x:c>
      <x:c r="D3" s="48" t="n">
        <x:f>SQRT((Inputs!$C$52+B3)^2+Inputs!$C$52^2-2*(Inputs!$C$52+B3)*Inputs!$C$52*COS(SQRT(A3^2+Inputs!$C$6^2)/Inputs!$C$52))</x:f>
        <x:v>410.37157314075637</x:v>
      </x:c>
      <x:c r="E3" s="48" t="n">
        <x:f>(D3-C3)*1000</x:f>
        <x:v>6437.962029645234</x:v>
      </x:c>
      <x:c r="F3" s="48" t="n">
        <x:f>E3/Inputs!$C$12</x:f>
        <x:v>3616.8326009242887</x:v>
      </x:c>
      <x:c r="G3" s="48" t="n">
        <x:f>2*E3/Inputs!$C$21*1000000</x:f>
        <x:v>42.94945958677342</x:v>
      </x:c>
      <x:c r="H3" s="48" t="n">
        <x:f>SQRT(A3^2+Inputs!$C$6^2)</x:f>
        <x:v>64.53874805107394</x:v>
      </x:c>
      <x:c r="I3" s="48" t="n">
        <x:f>DEGREES(ATAN(H3/B3))</x:f>
        <x:v>9.07774203179775</x:v>
      </x:c>
      <x:c r="J3" s="48" t="n">
        <x:f>DEGREES((2*PI()/Inputs!$C$13)*Inputs!$C$15*SIN(RADIANS(I3)))</x:f>
        <x:v>56.79880917100207</x:v>
      </x:c>
      <x:c r="K3" s="48" t="n">
        <x:f>(C3/D3)^4</x:f>
        <x:v>0.9387088058105011</x:v>
      </x:c>
      <x:c r="L3" s="48" t="n">
        <x:f>10*LOG10(K3)</x:f>
        <x:v>-0.274691080988063</x:v>
      </x:c>
      <x:c r="M3" s="48" t="n">
        <x:f>2*(Inputs!$C$9/(Inputs!$C$10^2))*A3</x:f>
        <x:v>-0.1322222222222222</x:v>
      </x:c>
      <x:c r="N3" s="48" t="n">
        <x:f>M3*Inputs!$C$11</x:f>
        <x:v>-0.5288888888888889</x:v>
      </x:c>
      <x:c r="O3" s="48" t="n">
        <x:f>1000*(D4-D2)/(A4-A2)*Inputs!$C$11</x:f>
        <x:v>-1252.157532299634</x:v>
      </x:c>
      <x:c r="P3" s="48" t="n">
        <x:f>-2*O3/Inputs!$C$13</x:f>
        <x:v>500.86301291985365</x:v>
      </x:c>
      <x:c r="Q3" s="48" t="n">
        <x:f>-2*O3/Inputs!$C$14</x:f>
        <x:v>75.20465659457263</x:v>
      </x:c>
      <x:c r="R3" s="48" t="n">
        <x:f>F3-Inputs!$C$16/2</x:f>
        <x:v>3601.8326009242887</x:v>
      </x:c>
      <x:c r="S3" s="48" t="n">
        <x:f>F3+Inputs!$C$16/2</x:f>
        <x:v>3631.8326009242887</x:v>
      </x:c>
      <x:c r="T3" s="48" t="n">
        <x:f>F3-Inputs!$C$17/2</x:f>
        <x:v>3466.8326009242887</x:v>
      </x:c>
      <x:c r="U3" s="48" t="n">
        <x:f>F3+Inputs!$C$17/2</x:f>
        <x:v>3766.8326009242887</x:v>
      </x:c>
      <x:c r="V3" s="48" t="n">
        <x:f>ABS(P3)</x:f>
        <x:v>500.86301291985365</x:v>
      </x:c>
      <x:c r="W3" s="48" t="n">
        <x:f>ABS(Q3)</x:f>
        <x:v>75.20465659457263</x:v>
      </x:c>
      <x:c r="X3" s="48" t="n">
        <x: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(0.45*SIN(2*PI()*(((A3)/Inputs!$C$49)+Inputs!$C$47*0.137))+0.35*COS(2*PI()*(((0)/Inputs!$C$50)+Inputs!$C$47*0.173))+0.20*SIN(2*PI()*(((A3)+(0))/(0.5*(Inputs!$C$49+Inputs!$C$50))+Inputs!$C$47*0.097)))+0.30*(2*((SIN(((A3)*12.9898+(0)*78.233+Inputs!$C$47*37.719))*43758.5453)-INT((SIN(((A3)*12.9898+(0)*78.233+Inputs!$C$47*37.719))*43758.5453)))-1)))</x:f>
        <x:v>19.645117006397193</x:v>
      </x:c>
      <x:c r="Y3" s="48" t="n">
        <x: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(0.45*SIN(2*PI()*(((A3)/Inputs!$C$49)+Inputs!$C$47*0.137))+0.35*COS(2*PI()*(((Inputs!$C$6)/Inputs!$C$50)+Inputs!$C$47*0.173))+0.20*SIN(2*PI()*(((A3)+(Inputs!$C$6))/(0.5*(Inputs!$C$49+Inputs!$C$50))+Inputs!$C$47*0.097)))+0.30*(2*((SIN(((A3)*12.9898+(Inputs!$C$6)*78.233+Inputs!$C$47*37.719))*43758.5453)-INT((SIN(((A3)*12.9898+(Inputs!$C$6)*78.233+Inputs!$C$47*37.719))*43758.5453)))-1)))</x:f>
        <x:v>110.69606493723512</x:v>
      </x:c>
      <x:c r="Z3" s="48" t="n">
        <x:f>B3-X3/1000</x:f>
        <x:v>403.91396599410473</x:v>
      </x:c>
      <x:c r="AA3" s="48" t="n">
        <x:f>SQRT((Inputs!$C$52+B3)^2+(Inputs!$C$52+Y3/1000)^2-2*(Inputs!$C$52+B3)*(Inputs!$C$52+Y3/1000)*COS(SQRT(A3^2+Inputs!$C$6^2)/Inputs!$C$52))</x:f>
        <x:v>410.2630672906025</x:v>
      </x:c>
      <x:c r="AB3" s="48" t="n">
        <x:f>(AA3-Z3)*1000</x:f>
        <x:v>6349.101296497793</x:v>
      </x:c>
      <x:c r="AC3" s="48" t="n">
        <x:f>AB3/Inputs!$C$12</x:f>
        <x:v>3566.910840729097</x:v>
      </x:c>
      <x:c r="AD3" s="48" t="n">
        <x:f>2*AB3/Inputs!$C$21*1000000</x:f>
        <x:v>42.356644585754005</x:v>
      </x:c>
      <x:c r="AE3" s="48" t="n">
        <x:f>DEGREES(ATAN(H3/(B3-Y3/1000)))</x:f>
        <x:v>9.080188974539194</x:v>
      </x:c>
      <x:c r="AF3" s="48" t="n">
        <x:f>DEGREES((2*PI()/Inputs!$C$13)*Inputs!$C$15*SIN(RADIANS(AE3)))</x:f>
        <x:v>56.81399114973656</x:v>
      </x:c>
      <x:c r="AG3" s="48" t="n">
        <x:f>(Z3/AA3)^4</x:f>
        <x:v>0.939519479319425</x:v>
      </x:c>
      <x:c r="AH3" s="48" t="n">
        <x:f>10*LOG10(AG3)</x:f>
        <x:v>-0.270942111214783</x:v>
      </x:c>
      <x:c r="AI3" s="48" t="n">
        <x:f>AC3-F3</x:f>
        <x:v>-49.92176019519184</x:v>
      </x:c>
      <x:c r="AJ3" s="48" t="n">
        <x:f>AD3-G3</x:f>
        <x:v>-0.5928150010194173</x:v>
      </x:c>
      <x:c r="AK3" s="48" t="n">
        <x:f>Y3-X3</x:f>
        <x:v>91.05094793083794</x:v>
      </x:c>
      <x:c r="AL3" s="48" t="n">
        <x:f>1000*(AA4-AA2)/(A4-A2)*Inputs!$C$11</x:f>
        <x:v>-1227.182503017275</x:v>
      </x:c>
      <x:c r="AM3" s="48" t="n">
        <x:f>-2*AL3/Inputs!$C$13</x:f>
        <x:v>490.87300120691</x:v>
      </x:c>
      <x:c r="AN3" s="48" t="n">
        <x:f>-2*AL3/Inputs!$C$14</x:f>
        <x:v>73.70465483587238</x:v>
      </x:c>
      <x:c r="AO3" s="48" t="n">
        <x:f>ABS(AM3)</x:f>
        <x:v>490.87300120691</x:v>
      </x:c>
      <x:c r="AP3" s="48" t="n">
        <x:f>ABS(AN3)</x:f>
        <x:v>73.70465483587238</x:v>
      </x:c>
      <x:c r="AQ3" s="48" t="n">
        <x:f>IF(OR(Inputs!$C$27=TRUE,Inputs!$C$27="TRUE",Inputs!$C$27=1),Inputs!$C$46/Inputs!$C$12,0)</x:f>
        <x:v>42.13483146067416</x:v>
      </x:c>
      <x:c r="AR3" s="48" t="n">
        <x:f>AC3-AQ3</x:f>
        <x:v>3524.7760092684225</x:v>
      </x:c>
      <x:c r="AS3" s="48" t="n">
        <x:f>AC3+AQ3</x:f>
        <x:v>3609.0456721897713</x:v>
      </x:c>
    </x:row>
    <x:row r="4">
      <x:c r="A4" s="48" t="n">
        <x:f>Inputs!$C$7+2*(Inputs!$C$8-Inputs!$C$7)/240</x:f>
        <x:v>-59</x:v>
      </x:c>
      <x:c r="B4" s="48" t="n">
        <x:f>Inputs!$C$5+Inputs!$C$9*(A4/Inputs!$C$10)^2</x:f>
        <x:v>403.8677777777778</x:v>
      </x:c>
      <x:c r="C4" s="48" t="n">
        <x:f>B4</x:f>
        <x:v>403.8677777777778</x:v>
      </x:c>
      <x:c r="D4" s="48" t="n">
        <x:f>SQRT((Inputs!$C$52+B4)^2+Inputs!$C$52^2-2*(Inputs!$C$52+B4)*Inputs!$C$52*COS(SQRT(A4^2+Inputs!$C$6^2)/Inputs!$C$52))</x:f>
        <x:v>410.2156894556836</x:v>
      </x:c>
      <x:c r="E4" s="48" t="n">
        <x:f>(D4-C4)*1000</x:f>
        <x:v>6347.911677905813</x:v>
      </x:c>
      <x:c r="F4" s="48" t="n">
        <x:f>E4/Inputs!$C$12</x:f>
        <x:v>3566.242515677423</x:v>
      </x:c>
      <x:c r="G4" s="48" t="n">
        <x:f>2*E4/Inputs!$C$21*1000000</x:f>
        <x:v>42.348708304768714</x:v>
      </x:c>
      <x:c r="H4" s="48" t="n">
        <x:f>SQRT(A4^2+Inputs!$C$6^2)</x:f>
        <x:v>64.07807737440318</x:v>
      </x:c>
      <x:c r="I4" s="48" t="n">
        <x:f>DEGREES(ATAN(H4/B4))</x:f>
        <x:v>9.015458913989574</x:v>
      </x:c>
      <x:c r="J4" s="48" t="n">
        <x:f>DEGREES((2*PI()/Inputs!$C$13)*Inputs!$C$15*SIN(RADIANS(I4)))</x:f>
        <x:v>56.41234073822082</x:v>
      </x:c>
      <x:c r="K4" s="48" t="n">
        <x:f>(C4/D4)^4</x:f>
        <x:v>0.9395237263655014</x:v>
      </x:c>
      <x:c r="L4" s="48" t="n">
        <x:f>10*LOG10(K4)</x:f>
        <x:v>-0.270922479216224</x:v>
      </x:c>
      <x:c r="M4" s="48" t="n">
        <x:f>2*(Inputs!$C$9/(Inputs!$C$10^2))*A4</x:f>
        <x:v>-0.13111111111111112</x:v>
      </x:c>
      <x:c r="N4" s="48" t="n">
        <x:f>M4*Inputs!$C$11</x:f>
        <x:v>-0.5244444444444445</x:v>
      </x:c>
      <x:c r="O4" s="48" t="n">
        <x:f>1000*(D5-D3)/(A5-A3)*Inputs!$C$11</x:f>
        <x:v>-1241.977276069747</x:v>
      </x:c>
      <x:c r="P4" s="48" t="n">
        <x:f>-2*O4/Inputs!$C$13</x:f>
        <x:v>496.7909104278988</x:v>
      </x:c>
      <x:c r="Q4" s="48" t="n">
        <x:f>-2*O4/Inputs!$C$14</x:f>
        <x:v>74.59322979397881</x:v>
      </x:c>
      <x:c r="R4" s="48" t="n">
        <x:f>F4-Inputs!$C$16/2</x:f>
        <x:v>3551.242515677423</x:v>
      </x:c>
      <x:c r="S4" s="48" t="n">
        <x:f>F4+Inputs!$C$16/2</x:f>
        <x:v>3581.242515677423</x:v>
      </x:c>
      <x:c r="T4" s="48" t="n">
        <x:f>F4-Inputs!$C$17/2</x:f>
        <x:v>3416.242515677423</x:v>
      </x:c>
      <x:c r="U4" s="48" t="n">
        <x:f>F4+Inputs!$C$17/2</x:f>
        <x:v>3716.242515677423</x:v>
      </x:c>
      <x:c r="V4" s="48" t="n">
        <x:f>ABS(P4)</x:f>
        <x:v>496.7909104278988</x:v>
      </x:c>
      <x:c r="W4" s="48" t="n">
        <x:f>ABS(Q4)</x:f>
        <x:v>74.59322979397881</x:v>
      </x:c>
      <x:c r="X4" s="48" t="n">
        <x: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(0.45*SIN(2*PI()*(((A4)/Inputs!$C$49)+Inputs!$C$47*0.137))+0.35*COS(2*PI()*(((0)/Inputs!$C$50)+Inputs!$C$47*0.173))+0.20*SIN(2*PI()*(((A4)+(0))/(0.5*(Inputs!$C$49+Inputs!$C$50))+Inputs!$C$47*0.097)))+0.30*(2*((SIN(((A4)*12.9898+(0)*78.233+Inputs!$C$47*37.719))*43758.5453)-INT((SIN(((A4)*12.9898+(0)*78.233+Inputs!$C$47*37.719))*43758.5453)))-1)))</x:f>
        <x:v>7.970448353767724</x:v>
      </x:c>
      <x:c r="Y4" s="48" t="n">
        <x: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(0.45*SIN(2*PI()*(((A4)/Inputs!$C$49)+Inputs!$C$47*0.137))+0.35*COS(2*PI()*(((Inputs!$C$6)/Inputs!$C$50)+Inputs!$C$47*0.173))+0.20*SIN(2*PI()*(((A4)+(Inputs!$C$6))/(0.5*(Inputs!$C$49+Inputs!$C$50))+Inputs!$C$47*0.097)))+0.30*(2*((SIN(((A4)*12.9898+(Inputs!$C$6)*78.233+Inputs!$C$47*37.719))*43758.5453)-INT((SIN(((A4)*12.9898+(Inputs!$C$6)*78.233+Inputs!$C$47*37.719))*43758.5453)))-1)))</x:f>
        <x:v>112.99219424849355</x:v>
      </x:c>
      <x:c r="Z4" s="48" t="n">
        <x:f>B4-X4/1000</x:f>
        <x:v>403.85980732942403</x:v>
      </x:c>
      <x:c r="AA4" s="48" t="n">
        <x:f>SQRT((Inputs!$C$52+B4)^2+(Inputs!$C$52+Y4/1000)^2-2*(Inputs!$C$52+B4)*(Inputs!$C$52+Y4/1000)*COS(SQRT(A4^2+Inputs!$C$6^2)/Inputs!$C$52))</x:f>
        <x:v>410.10490236217623</x:v>
      </x:c>
      <x:c r="AB4" s="48" t="n">
        <x:f>(AA4-Z4)*1000</x:f>
        <x:v>6245.095032752204</x:v>
      </x:c>
      <x:c r="AC4" s="48" t="n">
        <x:f>AB4/Inputs!$C$12</x:f>
        <x:v>3508.4803554787663</x:v>
      </x:c>
      <x:c r="AD4" s="48" t="n">
        <x:f>2*AB4/Inputs!$C$21*1000000</x:f>
        <x:v>41.66278948052925</x:v>
      </x:c>
      <x:c r="AE4" s="48" t="n">
        <x:f>DEGREES(ATAN(H4/(B4-Y4/1000)))</x:f>
        <x:v>9.017940465982647</x:v>
      </x:c>
      <x:c r="AF4" s="48" t="n">
        <x:f>DEGREES((2*PI()/Inputs!$C$13)*Inputs!$C$15*SIN(RADIANS(AE4)))</x:f>
        <x:v>56.42774011364456</x:v>
      </x:c>
      <x:c r="AG4" s="48" t="n">
        <x:f>(Z4/AA4)^4</x:f>
        <x:v>0.9404651169236314</x:v>
      </x:c>
      <x:c r="AH4" s="48" t="n">
        <x:f>10*LOG10(AG4)</x:f>
        <x:v>-0.266573083629729</x:v>
      </x:c>
      <x:c r="AI4" s="48" t="n">
        <x:f>AC4-F4</x:f>
        <x:v>-57.7621601986566</x:v>
      </x:c>
      <x:c r="AJ4" s="48" t="n">
        <x:f>AD4-G4</x:f>
        <x:v>-0.6859188242394652</x:v>
      </x:c>
      <x:c r="AK4" s="48" t="n">
        <x:f>Y4-X4</x:f>
        <x:v>105.02174589472583</x:v>
      </x:c>
      <x:c r="AL4" s="48" t="n">
        <x:f>1000*(AA5-AA3)/(A5-A3)*Inputs!$C$11</x:f>
        <x:v>-1335.150537362324</x:v>
      </x:c>
      <x:c r="AM4" s="48" t="n">
        <x:f>-2*AL4/Inputs!$C$13</x:f>
        <x:v>534.0602149449296</x:v>
      </x:c>
      <x:c r="AN4" s="48" t="n">
        <x:f>-2*AL4/Inputs!$C$14</x:f>
        <x:v>80.18922146320266</x:v>
      </x:c>
      <x:c r="AO4" s="48" t="n">
        <x:f>ABS(AM4)</x:f>
        <x:v>534.0602149449296</x:v>
      </x:c>
      <x:c r="AP4" s="48" t="n">
        <x:f>ABS(AN4)</x:f>
        <x:v>80.18922146320266</x:v>
      </x:c>
      <x:c r="AQ4" s="48" t="n">
        <x:f>IF(OR(Inputs!$C$27=TRUE,Inputs!$C$27="TRUE",Inputs!$C$27=1),Inputs!$C$46/Inputs!$C$12,0)</x:f>
        <x:v>42.13483146067416</x:v>
      </x:c>
      <x:c r="AR4" s="48" t="n">
        <x:f>AC4-AQ4</x:f>
        <x:v>3466.345524018092</x:v>
      </x:c>
      <x:c r="AS4" s="48" t="n">
        <x:f>AC4+AQ4</x:f>
        <x:v>3550.6151869394407</x:v>
      </x:c>
    </x:row>
    <x:row r="5">
      <x:c r="A5" s="48" t="n">
        <x:f>Inputs!$C$7+3*(Inputs!$C$8-Inputs!$C$7)/240</x:f>
        <x:v>-58.5</x:v>
      </x:c>
      <x:c r="B5" s="48" t="n">
        <x:f>Inputs!$C$5+Inputs!$C$9*(A5/Inputs!$C$10)^2</x:f>
        <x:v>403.8025</x:v>
      </x:c>
      <x:c r="C5" s="48" t="n">
        <x:f>B5</x:f>
        <x:v>403.8025</x:v>
      </x:c>
      <x:c r="D5" s="48" t="n">
        <x:f>SQRT((Inputs!$C$52+B5)^2+Inputs!$C$52^2-2*(Inputs!$C$52+B5)*Inputs!$C$52*COS(SQRT(A5^2+Inputs!$C$6^2)/Inputs!$C$52))</x:f>
        <x:v>410.06107882173893</x:v>
      </x:c>
      <x:c r="E5" s="48" t="n">
        <x:f>(D5-C5)*1000</x:f>
        <x:v>6258.578821738922</x:v>
      </x:c>
      <x:c r="F5" s="48" t="n">
        <x:f>E5/Inputs!$C$12</x:f>
        <x:v>3516.055517830855</x:v>
      </x:c>
      <x:c r="G5" s="48" t="n">
        <x:f>2*E5/Inputs!$C$21*1000000</x:f>
        <x:v>41.7527436379932</x:v>
      </x:c>
      <x:c r="H5" s="48" t="n">
        <x:f>SQRT(A5^2+Inputs!$C$6^2)</x:f>
        <x:v>63.61800059731522</x:v>
      </x:c>
      <x:c r="I5" s="48" t="n">
        <x:f>DEGREES(ATAN(H5/B5))</x:f>
        <x:v>8.953204095149154</x:v>
      </x:c>
      <x:c r="J5" s="48" t="n">
        <x:f>DEGREES((2*PI()/Inputs!$C$13)*Inputs!$C$15*SIN(RADIANS(I5)))</x:f>
        <x:v>56.02598128601325</x:v>
      </x:c>
      <x:c r="K5" s="48" t="n">
        <x:f>(C5/D5)^4</x:f>
        <x:v>0.9403332952175725</x:v>
      </x:c>
      <x:c r="L5" s="48" t="n">
        <x:f>10*LOG10(K5)</x:f>
        <x:v>-0.267181861681228</x:v>
      </x:c>
      <x:c r="M5" s="48" t="n">
        <x:f>2*(Inputs!$C$9/(Inputs!$C$10^2))*A5</x:f>
        <x:v>-0.13</x:v>
      </x:c>
      <x:c r="N5" s="48" t="n">
        <x:f>M5*Inputs!$C$11</x:f>
        <x:v>-0.52</x:v>
      </x:c>
      <x:c r="O5" s="48" t="n">
        <x:f>1000*(D6-D4)/(A6-A4)*Inputs!$C$11</x:f>
        <x:v>-1231.7887414533288</x:v>
      </x:c>
      <x:c r="P5" s="48" t="n">
        <x:f>-2*O5/Inputs!$C$13</x:f>
        <x:v>492.71549658133154</x:v>
      </x:c>
      <x:c r="Q5" s="48" t="n">
        <x:f>-2*O5/Inputs!$C$14</x:f>
        <x:v>73.98130579299273</x:v>
      </x:c>
      <x:c r="R5" s="48" t="n">
        <x:f>F5-Inputs!$C$16/2</x:f>
        <x:v>3501.055517830855</x:v>
      </x:c>
      <x:c r="S5" s="48" t="n">
        <x:f>F5+Inputs!$C$16/2</x:f>
        <x:v>3531.055517830855</x:v>
      </x:c>
      <x:c r="T5" s="48" t="n">
        <x:f>F5-Inputs!$C$17/2</x:f>
        <x:v>3366.055517830855</x:v>
      </x:c>
      <x:c r="U5" s="48" t="n">
        <x:f>F5+Inputs!$C$17/2</x:f>
        <x:v>3666.055517830855</x:v>
      </x:c>
      <x:c r="V5" s="48" t="n">
        <x:f>ABS(P5)</x:f>
        <x:v>492.71549658133154</x:v>
      </x:c>
      <x:c r="W5" s="48" t="n">
        <x:f>ABS(Q5)</x:f>
        <x:v>73.98130579299273</x:v>
      </x:c>
      <x:c r="X5" s="48" t="n">
        <x: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(0.45*SIN(2*PI()*(((A5)/Inputs!$C$49)+Inputs!$C$47*0.137))+0.35*COS(2*PI()*(((0)/Inputs!$C$50)+Inputs!$C$47*0.173))+0.20*SIN(2*PI()*(((A5)+(0))/(0.5*(Inputs!$C$49+Inputs!$C$50))+Inputs!$C$47*0.097)))+0.30*(2*((SIN(((A5)*12.9898+(0)*78.233+Inputs!$C$47*37.719))*43758.5453)-INT((SIN(((A5)*12.9898+(0)*78.233+Inputs!$C$47*37.719))*43758.5453)))-1)))</x:f>
        <x:v>21.747313566550197</x:v>
      </x:c>
      <x:c r="Y5" s="48" t="n">
        <x: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(0.45*SIN(2*PI()*(((A5)/Inputs!$C$49)+Inputs!$C$47*0.137))+0.35*COS(2*PI()*(((Inputs!$C$6)/Inputs!$C$50)+Inputs!$C$47*0.173))+0.20*SIN(2*PI()*(((A5)+(Inputs!$C$6))/(0.5*(Inputs!$C$49+Inputs!$C$50))+Inputs!$C$47*0.097)))+0.30*(2*((SIN(((A5)*12.9898+(Inputs!$C$6)*78.233+Inputs!$C$47*37.719))*43758.5453)-INT((SIN(((A5)*12.9898+(Inputs!$C$6)*78.233+Inputs!$C$47*37.719))*43758.5453)))-1)))</x:f>
        <x:v>134.3858310571132</x:v>
      </x:c>
      <x:c r="Z5" s="48" t="n">
        <x:f>B5-X5/1000</x:f>
        <x:v>403.78075268643346</x:v>
      </x:c>
      <x:c r="AA5" s="48" t="n">
        <x:f>SQRT((Inputs!$C$52+B5)^2+(Inputs!$C$52+Y5/1000)^2-2*(Inputs!$C$52+B5)*(Inputs!$C$52+Y5/1000)*COS(SQRT(A5^2+Inputs!$C$6^2)/Inputs!$C$52))</x:f>
        <x:v>409.92927965626194</x:v>
      </x:c>
      <x:c r="AB5" s="48" t="n">
        <x:f>(AA5-Z5)*1000</x:f>
        <x:v>6148.526969828481</x:v>
      </x:c>
      <x:c r="AC5" s="48" t="n">
        <x:f>AB5/Inputs!$C$12</x:f>
        <x:v>3454.2286347351014</x:v>
      </x:c>
      <x:c r="AD5" s="48" t="n">
        <x:f>2*AB5/Inputs!$C$21*1000000</x:f>
        <x:v>41.018556709845456</x:v>
      </x:c>
      <x:c r="AE5" s="48" t="n">
        <x:f>DEGREES(ATAN(H5/(B5-Y5/1000)))</x:f>
        <x:v>8.956136413347307</x:v>
      </x:c>
      <x:c r="AF5" s="48" t="n">
        <x:f>DEGREES((2*PI()/Inputs!$C$13)*Inputs!$C$15*SIN(RADIANS(AE5)))</x:f>
        <x:v>56.044181025503505</x:v>
      </x:c>
      <x:c r="AG5" s="48" t="n">
        <x:f>(Z5/AA5)^4</x:f>
        <x:v>0.9413403947256603</x:v>
      </x:c>
      <x:c r="AH5" s="48" t="n">
        <x:f>10*LOG10(AG5)</x:f>
        <x:v>-0.262533045011359</x:v>
      </x:c>
      <x:c r="AI5" s="48" t="n">
        <x:f>AC5-F5</x:f>
        <x:v>-61.8268830957536</x:v>
      </x:c>
      <x:c r="AJ5" s="48" t="n">
        <x:f>AD5-G5</x:f>
        <x:v>-0.7341869281477429</x:v>
      </x:c>
      <x:c r="AK5" s="48" t="n">
        <x:f>Y5-X5</x:f>
        <x:v>112.638517490563</x:v>
      </x:c>
      <x:c r="AL5" s="48" t="n">
        <x:f>1000*(AA6-AA4)/(A6-A4)*Inputs!$C$11</x:f>
        <x:v>-1259.8023655077668</x:v>
      </x:c>
      <x:c r="AM5" s="48" t="n">
        <x:f>-2*AL5/Inputs!$C$13</x:f>
        <x:v>503.9209462031067</x:v>
      </x:c>
      <x:c r="AN5" s="48" t="n">
        <x:f>-2*AL5/Inputs!$C$14</x:f>
        <x:v>75.66380573620222</x:v>
      </x:c>
      <x:c r="AO5" s="48" t="n">
        <x:f>ABS(AM5)</x:f>
        <x:v>503.9209462031067</x:v>
      </x:c>
      <x:c r="AP5" s="48" t="n">
        <x:f>ABS(AN5)</x:f>
        <x:v>75.66380573620222</x:v>
      </x:c>
      <x:c r="AQ5" s="48" t="n">
        <x:f>IF(OR(Inputs!$C$27=TRUE,Inputs!$C$27="TRUE",Inputs!$C$27=1),Inputs!$C$46/Inputs!$C$12,0)</x:f>
        <x:v>42.13483146067416</x:v>
      </x:c>
      <x:c r="AR5" s="48" t="n">
        <x:f>AC5-AQ5</x:f>
        <x:v>3412.093803274427</x:v>
      </x:c>
      <x:c r="AS5" s="48" t="n">
        <x:f>AC5+AQ5</x:f>
        <x:v>3496.363466195776</x:v>
      </x:c>
    </x:row>
    <x:row r="6">
      <x:c r="A6" s="48" t="n">
        <x:f>Inputs!$C$7+4*(Inputs!$C$8-Inputs!$C$7)/240</x:f>
        <x:v>-58</x:v>
      </x:c>
      <x:c r="B6" s="48" t="n">
        <x:f>Inputs!$C$5+Inputs!$C$9*(A6/Inputs!$C$10)^2</x:f>
        <x:v>403.73777777777775</x:v>
      </x:c>
      <x:c r="C6" s="48" t="n">
        <x:f>B6</x:f>
        <x:v>403.73777777777775</x:v>
      </x:c>
      <x:c r="D6" s="48" t="n">
        <x:f>SQRT((Inputs!$C$52+B6)^2+Inputs!$C$52^2-2*(Inputs!$C$52+B6)*Inputs!$C$52*COS(SQRT(A6^2+Inputs!$C$6^2)/Inputs!$C$52))</x:f>
        <x:v>409.9077422703203</x:v>
      </x:c>
      <x:c r="E6" s="48" t="n">
        <x:f>(D6-C6)*1000</x:f>
        <x:v>6169.964492542533</x:v>
      </x:c>
      <x:c r="F6" s="48" t="n">
        <x:f>E6/Inputs!$C$12</x:f>
        <x:v>3466.2721868216477</x:v>
      </x:c>
      <x:c r="G6" s="48" t="n">
        <x:f>2*E6/Inputs!$C$21*1000000</x:f>
        <x:v>41.1615724671935</x:v>
      </x:c>
      <x:c r="H6" s="48" t="n">
        <x:f>SQRT(A6^2+Inputs!$C$6^2)</x:f>
        <x:v>63.15853069855251</x:v>
      </x:c>
      <x:c r="I6" s="48" t="n">
        <x:f>DEGREES(ATAN(H6/B6))</x:f>
        <x:v>8.890979841704603</x:v>
      </x:c>
      <x:c r="J6" s="48" t="n">
        <x:f>DEGREES((2*PI()/Inputs!$C$13)*Inputs!$C$15*SIN(RADIANS(I6)))</x:f>
        <x:v>55.639745430303066</x:v>
      </x:c>
      <x:c r="K6" s="48" t="n">
        <x:f>(C6/D6)^4</x:f>
        <x:v>0.9411374775137034</x:v>
      </x:c>
      <x:c r="L6" s="48" t="n">
        <x:f>10*LOG10(K6)</x:f>
        <x:v>-0.263469319770038</x:v>
      </x:c>
      <x:c r="M6" s="48" t="n">
        <x:f>2*(Inputs!$C$9/(Inputs!$C$10^2))*A6</x:f>
        <x:v>-0.1288888888888889</x:v>
      </x:c>
      <x:c r="N6" s="48" t="n">
        <x:f>M6*Inputs!$C$11</x:f>
        <x:v>-0.5155555555555555</x:v>
      </x:c>
      <x:c r="O6" s="48" t="n">
        <x:f>1000*(D7-D5)/(A7-A5)*Inputs!$C$11</x:f>
        <x:v>-1221.5919830948678</x:v>
      </x:c>
      <x:c r="P6" s="48" t="n">
        <x:f>-2*O6/Inputs!$C$13</x:f>
        <x:v>488.63679323794713</x:v>
      </x:c>
      <x:c r="Q6" s="48" t="n">
        <x:f>-2*O6/Inputs!$C$14</x:f>
        <x:v>73.36888787356564</x:v>
      </x:c>
      <x:c r="R6" s="48" t="n">
        <x:f>F6-Inputs!$C$16/2</x:f>
        <x:v>3451.2721868216477</x:v>
      </x:c>
      <x:c r="S6" s="48" t="n">
        <x:f>F6+Inputs!$C$16/2</x:f>
        <x:v>3481.2721868216477</x:v>
      </x:c>
      <x:c r="T6" s="48" t="n">
        <x:f>F6-Inputs!$C$17/2</x:f>
        <x:v>3316.2721868216477</x:v>
      </x:c>
      <x:c r="U6" s="48" t="n">
        <x:f>F6+Inputs!$C$17/2</x:f>
        <x:v>3616.2721868216477</x:v>
      </x:c>
      <x:c r="V6" s="48" t="n">
        <x:f>ABS(P6)</x:f>
        <x:v>488.63679323794713</x:v>
      </x:c>
      <x:c r="W6" s="48" t="n">
        <x:f>ABS(Q6)</x:f>
        <x:v>73.36888787356564</x:v>
      </x:c>
      <x:c r="X6" s="48" t="n">
        <x: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(0.45*SIN(2*PI()*(((A6)/Inputs!$C$49)+Inputs!$C$47*0.137))+0.35*COS(2*PI()*(((0)/Inputs!$C$50)+Inputs!$C$47*0.173))+0.20*SIN(2*PI()*(((A6)+(0))/(0.5*(Inputs!$C$49+Inputs!$C$50))+Inputs!$C$47*0.097)))+0.30*(2*((SIN(((A6)*12.9898+(0)*78.233+Inputs!$C$47*37.719))*43758.5453)-INT((SIN(((A6)*12.9898+(0)*78.233+Inputs!$C$47*37.719))*43758.5453)))-1)))</x:f>
        <x:v>31.86691354901535</x:v>
      </x:c>
      <x:c r="Y6" s="48" t="n">
        <x: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(0.45*SIN(2*PI()*(((A6)/Inputs!$C$49)+Inputs!$C$47*0.137))+0.35*COS(2*PI()*(((Inputs!$C$6)/Inputs!$C$50)+Inputs!$C$47*0.173))+0.20*SIN(2*PI()*(((A6)+(Inputs!$C$6))/(0.5*(Inputs!$C$49+Inputs!$C$50))+Inputs!$C$47*0.097)))+0.30*(2*((SIN(((A6)*12.9898+(Inputs!$C$6)*78.233+Inputs!$C$47*37.719))*43758.5453)-INT((SIN(((A6)*12.9898+(Inputs!$C$6)*78.233+Inputs!$C$47*37.719))*43758.5453)))-1)))</x:f>
        <x:v>120.06952906780961</x:v>
      </x:c>
      <x:c r="Z6" s="48" t="n">
        <x:f>B6-X6/1000</x:f>
        <x:v>403.7059108642287</x:v>
      </x:c>
      <x:c r="AA6" s="48" t="n">
        <x:f>SQRT((Inputs!$C$52+B6)^2+(Inputs!$C$52+Y6/1000)^2-2*(Inputs!$C$52+B6)*(Inputs!$C$52+Y6/1000)*COS(SQRT(A6^2+Inputs!$C$6^2)/Inputs!$C$52))</x:f>
        <x:v>409.7899517707993</x:v>
      </x:c>
      <x:c r="AB6" s="48" t="n">
        <x:f>(AA6-Z6)*1000</x:f>
        <x:v>6084.040906570579</x:v>
      </x:c>
      <x:c r="AC6" s="48" t="n">
        <x:f>AB6/Inputs!$C$12</x:f>
        <x:v>3418.000509309314</x:v>
      </x:c>
      <x:c r="AD6" s="48" t="n">
        <x:f>2*AB6/Inputs!$C$21*1000000</x:f>
        <x:v>40.5883520029752</x:v>
      </x:c>
      <x:c r="AE6" s="48" t="n">
        <x:f>DEGREES(ATAN(H6/(B6-Y6/1000)))</x:f>
        <x:v>8.893582485768457</x:v>
      </x:c>
      <x:c r="AF6" s="48" t="n">
        <x:f>DEGREES((2*PI()/Inputs!$C$13)*Inputs!$C$15*SIN(RADIANS(AE6)))</x:f>
        <x:v>55.65590177488105</x:v>
      </x:c>
      <x:c r="AG6" s="48" t="n">
        <x:f>(Z6/AA6)^4</x:f>
        <x:v>0.9419225892839321</x:v>
      </x:c>
      <x:c r="AH6" s="48" t="n">
        <x:f>10*LOG10(AG6)</x:f>
        <x:v>-0.259847876829825</x:v>
      </x:c>
      <x:c r="AI6" s="48" t="n">
        <x:f>AC6-F6</x:f>
        <x:v>-48.271677512333554</x:v>
      </x:c>
      <x:c r="AJ6" s="48" t="n">
        <x:f>AD6-G6</x:f>
        <x:v>-0.5732204642183021</x:v>
      </x:c>
      <x:c r="AK6" s="48" t="n">
        <x:f>Y6-X6</x:f>
        <x:v>88.20261551879426</x:v>
      </x:c>
      <x:c r="AL6" s="48" t="n">
        <x:f>1000*(AA7-AA5)/(A7-A5)*Inputs!$C$11</x:f>
        <x:v>-1239.6019379007157</x:v>
      </x:c>
      <x:c r="AM6" s="48" t="n">
        <x:f>-2*AL6/Inputs!$C$13</x:f>
        <x:v>495.8407751602863</x:v>
      </x:c>
      <x:c r="AN6" s="48" t="n">
        <x:f>-2*AL6/Inputs!$C$14</x:f>
        <x:v>74.45056684088384</x:v>
      </x:c>
      <x:c r="AO6" s="48" t="n">
        <x:f>ABS(AM6)</x:f>
        <x:v>495.8407751602863</x:v>
      </x:c>
      <x:c r="AP6" s="48" t="n">
        <x:f>ABS(AN6)</x:f>
        <x:v>74.45056684088384</x:v>
      </x:c>
      <x:c r="AQ6" s="48" t="n">
        <x:f>IF(OR(Inputs!$C$27=TRUE,Inputs!$C$27="TRUE",Inputs!$C$27=1),Inputs!$C$46/Inputs!$C$12,0)</x:f>
        <x:v>42.13483146067416</x:v>
      </x:c>
      <x:c r="AR6" s="48" t="n">
        <x:f>AC6-AQ6</x:f>
        <x:v>3375.8656778486397</x:v>
      </x:c>
      <x:c r="AS6" s="48" t="n">
        <x:f>AC6+AQ6</x:f>
        <x:v>3460.1353407699885</x:v>
      </x:c>
    </x:row>
    <x:row r="7">
      <x:c r="A7" s="48" t="n">
        <x:f>Inputs!$C$7+5*(Inputs!$C$8-Inputs!$C$7)/240</x:f>
        <x:v>-57.5</x:v>
      </x:c>
      <x:c r="B7" s="48" t="n">
        <x:f>Inputs!$C$5+Inputs!$C$9*(A7/Inputs!$C$10)^2</x:f>
        <x:v>403.6736111111111</x:v>
      </x:c>
      <x:c r="C7" s="48" t="n">
        <x:f>B7</x:f>
        <x:v>403.6736111111111</x:v>
      </x:c>
      <x:c r="D7" s="48" t="n">
        <x:f>SQRT((Inputs!$C$52+B7)^2+Inputs!$C$52^2-2*(Inputs!$C$52+B7)*Inputs!$C$52*COS(SQRT(A7^2+Inputs!$C$6^2)/Inputs!$C$52))</x:f>
        <x:v>409.7556808259652</x:v>
      </x:c>
      <x:c r="E7" s="48" t="n">
        <x:f>(D7-C7)*1000</x:f>
        <x:v>6082.0697148541285</x:v>
      </x:c>
      <x:c r="F7" s="48" t="n">
        <x:f>E7/Inputs!$C$12</x:f>
        <x:v>3416.8930982326565</x:v>
      </x:c>
      <x:c r="G7" s="48" t="n">
        <x:f>2*E7/Inputs!$C$21*1000000</x:f>
        <x:v>40.575201627348</x:v>
      </x:c>
      <x:c r="H7" s="48" t="n">
        <x:f>SQRT(A7^2+Inputs!$C$6^2)</x:f>
        <x:v>62.69968101992226</x:v>
      </x:c>
      <x:c r="I7" s="48" t="n">
        <x:f>DEGREES(ATAN(H7/B7))</x:f>
        <x:v>8.828788473728661</x:v>
      </x:c>
      <x:c r="J7" s="48" t="n">
        <x:f>DEGREES((2*PI()/Inputs!$C$13)*Inputs!$C$15*SIN(RADIANS(I7)))</x:f>
        <x:v>55.25364812839616</x:v>
      </x:c>
      <x:c r="K7" s="48" t="n">
        <x:f>(C7/D7)^4</x:f>
        <x:v>0.9419362385433314</x:v>
      </x:c>
      <x:c r="L7" s="48" t="n">
        <x:f>10*LOG10(K7)</x:f>
        <x:v>-0.259784944321808</x:v>
      </x:c>
      <x:c r="M7" s="48" t="n">
        <x:f>2*(Inputs!$C$9/(Inputs!$C$10^2))*A7</x:f>
        <x:v>-0.12777777777777777</x:v>
      </x:c>
      <x:c r="N7" s="48" t="n">
        <x:f>M7*Inputs!$C$11</x:f>
        <x:v>-0.5111111111111111</x:v>
      </x:c>
      <x:c r="O7" s="48" t="n">
        <x:f>1000*(D8-D6)/(A8-A6)*Inputs!$C$11</x:f>
        <x:v>-1211.38705600697</x:v>
      </x:c>
      <x:c r="P7" s="48" t="n">
        <x:f>-2*O7/Inputs!$C$13</x:f>
        <x:v>484.554822402788</x:v>
      </x:c>
      <x:c r="Q7" s="48" t="n">
        <x:f>-2*O7/Inputs!$C$14</x:f>
        <x:v>72.75597933975796</x:v>
      </x:c>
      <x:c r="R7" s="48" t="n">
        <x:f>F7-Inputs!$C$16/2</x:f>
        <x:v>3401.8930982326565</x:v>
      </x:c>
      <x:c r="S7" s="48" t="n">
        <x:f>F7+Inputs!$C$16/2</x:f>
        <x:v>3431.8930982326565</x:v>
      </x:c>
      <x:c r="T7" s="48" t="n">
        <x:f>F7-Inputs!$C$17/2</x:f>
        <x:v>3266.8930982326565</x:v>
      </x:c>
      <x:c r="U7" s="48" t="n">
        <x:f>F7+Inputs!$C$17/2</x:f>
        <x:v>3566.8930982326565</x:v>
      </x:c>
      <x:c r="V7" s="48" t="n">
        <x:f>ABS(P7)</x:f>
        <x:v>484.554822402788</x:v>
      </x:c>
      <x:c r="W7" s="48" t="n">
        <x:f>ABS(Q7)</x:f>
        <x:v>72.75597933975796</x:v>
      </x:c>
      <x:c r="X7" s="48" t="n">
        <x: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(0.45*SIN(2*PI()*(((A7)/Inputs!$C$49)+Inputs!$C$47*0.137))+0.35*COS(2*PI()*(((0)/Inputs!$C$50)+Inputs!$C$47*0.173))+0.20*SIN(2*PI()*(((A7)+(0))/(0.5*(Inputs!$C$49+Inputs!$C$50))+Inputs!$C$47*0.097)))+0.30*(2*((SIN(((A7)*12.9898+(0)*78.233+Inputs!$C$47*37.719))*43758.5453)-INT((SIN(((A7)*12.9898+(0)*78.233+Inputs!$C$47*37.719))*43758.5453)))-1)))</x:f>
        <x:v>34.58634748797326</x:v>
      </x:c>
      <x:c r="Y7" s="48" t="n">
        <x: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(0.45*SIN(2*PI()*(((A7)/Inputs!$C$49)+Inputs!$C$47*0.137))+0.35*COS(2*PI()*(((Inputs!$C$6)/Inputs!$C$50)+Inputs!$C$47*0.173))+0.20*SIN(2*PI()*(((A7)+(Inputs!$C$6))/(0.5*(Inputs!$C$49+Inputs!$C$50))+Inputs!$C$47*0.097)))+0.30*(2*((SIN(((A7)*12.9898+(Inputs!$C$6)*78.233+Inputs!$C$47*37.719))*43758.5453)-INT((SIN(((A7)*12.9898+(Inputs!$C$6)*78.233+Inputs!$C$47*37.719))*43758.5453)))-1)))</x:f>
        <x:v>138.90151425445745</x:v>
      </x:c>
      <x:c r="Z7" s="48" t="n">
        <x:f>B7-X7/1000</x:f>
        <x:v>403.6390247636231</x:v>
      </x:c>
      <x:c r="AA7" s="48" t="n">
        <x:f>SQRT((Inputs!$C$52+B7)^2+(Inputs!$C$52+Y7/1000)^2-2*(Inputs!$C$52+B7)*(Inputs!$C$52+Y7/1000)*COS(SQRT(A7^2+Inputs!$C$6^2)/Inputs!$C$52))</x:f>
        <x:v>409.61937917178676</x:v>
      </x:c>
      <x:c r="AB7" s="48" t="n">
        <x:f>(AA7-Z7)*1000</x:f>
        <x:v>5980.354408163635</x:v>
      </x:c>
      <x:c r="AC7" s="48" t="n">
        <x:f>AB7/Inputs!$C$12</x:f>
        <x:v>3359.74966750766</x:v>
      </x:c>
      <x:c r="AD7" s="48" t="n">
        <x:f>2*AB7/Inputs!$C$21*1000000</x:f>
        <x:v>39.89663014246766</x:v>
      </x:c>
      <x:c r="AE7" s="48" t="n">
        <x:f>DEGREES(ATAN(H7/(B7-Y7/1000)))</x:f>
        <x:v>8.831779547584913</x:v>
      </x:c>
      <x:c r="AF7" s="48" t="n">
        <x:f>DEGREES((2*PI()/Inputs!$C$13)*Inputs!$C$15*SIN(RADIANS(AE7)))</x:f>
        <x:v>55.27221884786168</x:v>
      </x:c>
      <x:c r="AG7" s="48" t="n">
        <x:f>(Z7/AA7)^4</x:f>
        <x:v>0.9428673840668755</x:v>
      </x:c>
      <x:c r="AH7" s="48" t="n">
        <x:f>10*LOG10(AG7)</x:f>
        <x:v>-0.255493872395034</x:v>
      </x:c>
      <x:c r="AI7" s="48" t="n">
        <x:f>AC7-F7</x:f>
        <x:v>-57.143430724996506</x:v>
      </x:c>
      <x:c r="AJ7" s="48" t="n">
        <x:f>AD7-G7</x:f>
        <x:v>-0.6785714848803437</x:v>
      </x:c>
      <x:c r="AK7" s="48" t="n">
        <x:f>Y7-X7</x:f>
        <x:v>104.3151667664842</x:v>
      </x:c>
      <x:c r="AL7" s="48" t="n">
        <x:f>1000*(AA8-AA6)/(A8-A6)*Inputs!$C$11</x:f>
        <x:v>-1279.9416455063692</x:v>
      </x:c>
      <x:c r="AM7" s="48" t="n">
        <x:f>-2*AL7/Inputs!$C$13</x:f>
        <x:v>511.9766582025477</x:v>
      </x:c>
      <x:c r="AN7" s="48" t="n">
        <x:f>-2*AL7/Inputs!$C$14</x:f>
        <x:v>76.87337210248465</x:v>
      </x:c>
      <x:c r="AO7" s="48" t="n">
        <x:f>ABS(AM7)</x:f>
        <x:v>511.9766582025477</x:v>
      </x:c>
      <x:c r="AP7" s="48" t="n">
        <x:f>ABS(AN7)</x:f>
        <x:v>76.87337210248465</x:v>
      </x:c>
      <x:c r="AQ7" s="48" t="n">
        <x:f>IF(OR(Inputs!$C$27=TRUE,Inputs!$C$27="TRUE",Inputs!$C$27=1),Inputs!$C$46/Inputs!$C$12,0)</x:f>
        <x:v>42.13483146067416</x:v>
      </x:c>
      <x:c r="AR7" s="48" t="n">
        <x:f>AC7-AQ7</x:f>
        <x:v>3317.6148360469856</x:v>
      </x:c>
      <x:c r="AS7" s="48" t="n">
        <x:f>AC7+AQ7</x:f>
        <x:v>3401.8844989683344</x:v>
      </x:c>
    </x:row>
    <x:row r="8">
      <x:c r="A8" s="48" t="n">
        <x:f>Inputs!$C$7+6*(Inputs!$C$8-Inputs!$C$7)/240</x:f>
        <x:v>-57</x:v>
      </x:c>
      <x:c r="B8" s="48" t="n">
        <x:f>Inputs!$C$5+Inputs!$C$9*(A8/Inputs!$C$10)^2</x:f>
        <x:v>403.61</x:v>
      </x:c>
      <x:c r="C8" s="48" t="n">
        <x:f>B8</x:f>
        <x:v>403.61</x:v>
      </x:c>
      <x:c r="D8" s="48" t="n">
        <x:f>SQRT((Inputs!$C$52+B8)^2+Inputs!$C$52^2-2*(Inputs!$C$52+B8)*Inputs!$C$52*COS(SQRT(A8^2+Inputs!$C$6^2)/Inputs!$C$52))</x:f>
        <x:v>409.60489550631854</x:v>
      </x:c>
      <x:c r="E8" s="48" t="n">
        <x:f>(D8-C8)*1000</x:f>
        <x:v>5994.895506318528</x:v>
      </x:c>
      <x:c r="F8" s="48" t="n">
        <x:f>E8/Inputs!$C$12</x:f>
        <x:v>3367.918823774454</x:v>
      </x:c>
      <x:c r="G8" s="48" t="n">
        <x:f>2*E8/Inputs!$C$21*1000000</x:f>
        <x:v>39.99363790745215</x:v>
      </x:c>
      <x:c r="H8" s="48" t="n">
        <x:f>SQRT(A8^2+Inputs!$C$6^2)</x:f>
        <x:v>62.24146527838174</x:v>
      </x:c>
      <x:c r="I8" s="48" t="n">
        <x:f>DEGREES(ATAN(H8/B8))</x:f>
        <x:v>8.766632366658216</x:v>
      </x:c>
      <x:c r="J8" s="48" t="n">
        <x:f>DEGREES((2*PI()/Inputs!$C$13)*Inputs!$C$15*SIN(RADIANS(I8)))</x:f>
        <x:v>54.86770468976069</x:v>
      </x:c>
      <x:c r="K8" s="48" t="n">
        <x:f>(C8/D8)^4</x:f>
        <x:v>0.9427295437414654</x:v>
      </x:c>
      <x:c r="L8" s="48" t="n">
        <x:f>10*LOG10(K8)</x:f>
        <x:v>-0.256128825623194</x:v>
      </x:c>
      <x:c r="M8" s="48" t="n">
        <x:f>2*(Inputs!$C$9/(Inputs!$C$10^2))*A8</x:f>
        <x:v>-0.12666666666666668</x:v>
      </x:c>
      <x:c r="N8" s="48" t="n">
        <x:f>M8*Inputs!$C$11</x:f>
        <x:v>-0.5066666666666667</x:v>
      </x:c>
      <x:c r="O8" s="48" t="n">
        <x:f>1000*(D9-D7)/(A9-A7)*Inputs!$C$11</x:f>
        <x:v>-1201.1740155269308</x:v>
      </x:c>
      <x:c r="P8" s="48" t="n">
        <x:f>-2*O8/Inputs!$C$13</x:f>
        <x:v>480.4696062107723</x:v>
      </x:c>
      <x:c r="Q8" s="48" t="n">
        <x:f>-2*O8/Inputs!$C$14</x:f>
        <x:v>72.14258351513098</x:v>
      </x:c>
      <x:c r="R8" s="48" t="n">
        <x:f>F8-Inputs!$C$16/2</x:f>
        <x:v>3352.918823774454</x:v>
      </x:c>
      <x:c r="S8" s="48" t="n">
        <x:f>F8+Inputs!$C$16/2</x:f>
        <x:v>3382.918823774454</x:v>
      </x:c>
      <x:c r="T8" s="48" t="n">
        <x:f>F8-Inputs!$C$17/2</x:f>
        <x:v>3217.918823774454</x:v>
      </x:c>
      <x:c r="U8" s="48" t="n">
        <x:f>F8+Inputs!$C$17/2</x:f>
        <x:v>3517.918823774454</x:v>
      </x:c>
      <x:c r="V8" s="48" t="n">
        <x:f>ABS(P8)</x:f>
        <x:v>480.4696062107723</x:v>
      </x:c>
      <x:c r="W8" s="48" t="n">
        <x:f>ABS(Q8)</x:f>
        <x:v>72.14258351513098</x:v>
      </x:c>
      <x:c r="X8" s="48" t="n">
        <x: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(0.45*SIN(2*PI()*(((A8)/Inputs!$C$49)+Inputs!$C$47*0.137))+0.35*COS(2*PI()*(((0)/Inputs!$C$50)+Inputs!$C$47*0.173))+0.20*SIN(2*PI()*(((A8)+(0))/(0.5*(Inputs!$C$49+Inputs!$C$50))+Inputs!$C$47*0.097)))+0.30*(2*((SIN(((A8)*12.9898+(0)*78.233+Inputs!$C$47*37.719))*43758.5453)-INT((SIN(((A8)*12.9898+(0)*78.233+Inputs!$C$47*37.719))*43758.5453)))-1)))</x:f>
        <x:v>55.44088303799376</x:v>
      </x:c>
      <x:c r="Y8" s="48" t="n">
        <x: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(0.45*SIN(2*PI()*(((A8)/Inputs!$C$49)+Inputs!$C$47*0.137))+0.35*COS(2*PI()*(((Inputs!$C$6)/Inputs!$C$50)+Inputs!$C$47*0.173))+0.20*SIN(2*PI()*(((A8)+(Inputs!$C$6))/(0.5*(Inputs!$C$49+Inputs!$C$50))+Inputs!$C$47*0.097)))+0.30*(2*((SIN(((A8)*12.9898+(Inputs!$C$6)*78.233+Inputs!$C$47*37.719))*43758.5453)-INT((SIN(((A8)*12.9898+(Inputs!$C$6)*78.233+Inputs!$C$47*37.719))*43758.5453)))-1)))</x:f>
        <x:v>137.46604725484156</x:v>
      </x:c>
      <x:c r="Z8" s="48" t="n">
        <x:f>B8-X8/1000</x:f>
        <x:v>403.554559116962</x:v>
      </x:c>
      <x:c r="AA8" s="48" t="n">
        <x:f>SQRT((Inputs!$C$52+B8)^2+(Inputs!$C$52+Y8/1000)^2-2*(Inputs!$C$52+B8)*(Inputs!$C$52+Y8/1000)*COS(SQRT(A8^2+Inputs!$C$6^2)/Inputs!$C$52))</x:f>
        <x:v>409.4699663594227</x:v>
      </x:c>
      <x:c r="AB8" s="48" t="n">
        <x:f>(AA8-Z8)*1000</x:f>
        <x:v>5915.407242460674</x:v>
      </x:c>
      <x:c r="AC8" s="48" t="n">
        <x:f>AB8/Inputs!$C$12</x:f>
        <x:v>3323.2624957644234</x:v>
      </x:c>
      <x:c r="AD8" s="48" t="n">
        <x:f>2*AB8/Inputs!$C$21*1000000</x:f>
        <x:v>39.463349291199805</x:v>
      </x:c>
      <x:c r="AE8" s="48" t="n">
        <x:f>DEGREES(ATAN(H8/(B8-Y8/1000)))</x:f>
        <x:v>8.769572800126648</x:v>
      </x:c>
      <x:c r="AF8" s="48" t="n">
        <x:f>DEGREES((2*PI()/Inputs!$C$13)*Inputs!$C$15*SIN(RADIANS(AE8)))</x:f>
        <x:v>54.885964064778655</x:v>
      </x:c>
      <x:c r="AG8" s="48" t="n">
        <x:f>(Z8/AA8)^4</x:f>
        <x:v>0.943454197571992</x:v>
      </x:c>
      <x:c r="AH8" s="48" t="n">
        <x:f>10*LOG10(AG8)</x:f>
        <x:v>-0.25279178937928404</x:v>
      </x:c>
      <x:c r="AI8" s="48" t="n">
        <x:f>AC8-F8</x:f>
        <x:v>-44.65632801003039</x:v>
      </x:c>
      <x:c r="AJ8" s="48" t="n">
        <x:f>AD8-G8</x:f>
        <x:v>-0.5302886162523421</x:v>
      </x:c>
      <x:c r="AK8" s="48" t="n">
        <x:f>Y8-X8</x:f>
        <x:v>82.0251642168478</x:v>
      </x:c>
      <x:c r="AL8" s="48" t="n">
        <x:f>1000*(AA9-AA7)/(A9-A7)*Inputs!$C$11</x:f>
        <x:v>-1211.4958575868968</x:v>
      </x:c>
      <x:c r="AM8" s="48" t="n">
        <x:f>-2*AL8/Inputs!$C$13</x:f>
        <x:v>484.5983430347587</x:v>
      </x:c>
      <x:c r="AN8" s="48" t="n">
        <x:f>-2*AL8/Inputs!$C$14</x:f>
        <x:v>72.762513969183</x:v>
      </x:c>
      <x:c r="AO8" s="48" t="n">
        <x:f>ABS(AM8)</x:f>
        <x:v>484.5983430347587</x:v>
      </x:c>
      <x:c r="AP8" s="48" t="n">
        <x:f>ABS(AN8)</x:f>
        <x:v>72.762513969183</x:v>
      </x:c>
      <x:c r="AQ8" s="48" t="n">
        <x:f>IF(OR(Inputs!$C$27=TRUE,Inputs!$C$27="TRUE",Inputs!$C$27=1),Inputs!$C$46/Inputs!$C$12,0)</x:f>
        <x:v>42.13483146067416</x:v>
      </x:c>
      <x:c r="AR8" s="48" t="n">
        <x:f>AC8-AQ8</x:f>
        <x:v>3281.127664303749</x:v>
      </x:c>
      <x:c r="AS8" s="48" t="n">
        <x:f>AC8+AQ8</x:f>
        <x:v>3365.397327225098</x:v>
      </x:c>
    </x:row>
    <x:row r="9">
      <x:c r="A9" s="48" t="n">
        <x:f>Inputs!$C$7+7*(Inputs!$C$8-Inputs!$C$7)/240</x:f>
        <x:v>-56.5</x:v>
      </x:c>
      <x:c r="B9" s="48" t="n">
        <x:f>Inputs!$C$5+Inputs!$C$9*(A9/Inputs!$C$10)^2</x:f>
        <x:v>403.5469444444444</x:v>
      </x:c>
      <x:c r="C9" s="48" t="n">
        <x:f>B9</x:f>
        <x:v>403.5469444444444</x:v>
      </x:c>
      <x:c r="D9" s="48" t="n">
        <x:f>SQRT((Inputs!$C$52+B9)^2+Inputs!$C$52^2-2*(Inputs!$C$52+B9)*Inputs!$C$52*COS(SQRT(A9^2+Inputs!$C$6^2)/Inputs!$C$52))</x:f>
        <x:v>409.4553873220835</x:v>
      </x:c>
      <x:c r="E9" s="48" t="n">
        <x:f>(D9-C9)*1000</x:f>
        <x:v>5908.442877639061</x:v>
      </x:c>
      <x:c r="F9" s="48" t="n">
        <x:f>E9/Inputs!$C$12</x:f>
        <x:v>3319.3499312578997</x:v>
      </x:c>
      <x:c r="G9" s="48" t="n">
        <x:f>2*E9/Inputs!$C$21*1000000</x:f>
        <x:v>39.41688805019279</x:v>
      </x:c>
      <x:c r="H9" s="48" t="n">
        <x:f>SQRT(A9^2+Inputs!$C$6^2)</x:f>
        <x:v>61.78389757857625</x:v>
      </x:c>
      <x:c r="I9" s="48" t="n">
        <x:f>DEGREES(ATAN(H9/B9))</x:f>
        <x:v>8.704513953078392</x:v>
      </x:c>
      <x:c r="J9" s="48" t="n">
        <x:f>DEGREES((2*PI()/Inputs!$C$13)*Inputs!$C$15*SIN(RADIANS(I9)))</x:f>
        <x:v>54.48193078721229</x:v>
      </x:c>
      <x:c r="K9" s="48" t="n">
        <x:f>(C9/D9)^4</x:f>
        <x:v>0.943517358691968</x:v>
      </x:c>
      <x:c r="L9" s="48" t="n">
        <x:f>10*LOG10(K9)</x:f>
        <x:v>-0.252501053402946</x:v>
      </x:c>
      <x:c r="M9" s="48" t="n">
        <x:f>2*(Inputs!$C$9/(Inputs!$C$10^2))*A9</x:f>
        <x:v>-0.12555555555555556</x:v>
      </x:c>
      <x:c r="N9" s="48" t="n">
        <x:f>M9*Inputs!$C$11</x:f>
        <x:v>-0.5022222222222222</x:v>
      </x:c>
      <x:c r="O9" s="48" t="n">
        <x:f>1000*(D10-D8)/(A10-A8)*Inputs!$C$11</x:f>
        <x:v>-1190.9529173883584</x:v>
      </x:c>
      <x:c r="P9" s="48" t="n">
        <x:f>-2*O9/Inputs!$C$13</x:f>
        <x:v>476.38116695534336</x:v>
      </x:c>
      <x:c r="Q9" s="48" t="n">
        <x:f>-2*O9/Inputs!$C$14</x:f>
        <x:v>71.52870374704855</x:v>
      </x:c>
      <x:c r="R9" s="48" t="n">
        <x:f>F9-Inputs!$C$16/2</x:f>
        <x:v>3304.3499312578997</x:v>
      </x:c>
      <x:c r="S9" s="48" t="n">
        <x:f>F9+Inputs!$C$16/2</x:f>
        <x:v>3334.3499312578997</x:v>
      </x:c>
      <x:c r="T9" s="48" t="n">
        <x:f>F9-Inputs!$C$17/2</x:f>
        <x:v>3169.3499312578997</x:v>
      </x:c>
      <x:c r="U9" s="48" t="n">
        <x:f>F9+Inputs!$C$17/2</x:f>
        <x:v>3469.3499312578997</x:v>
      </x:c>
      <x:c r="V9" s="48" t="n">
        <x:f>ABS(P9)</x:f>
        <x:v>476.38116695534336</x:v>
      </x:c>
      <x:c r="W9" s="48" t="n">
        <x:f>ABS(Q9)</x:f>
        <x:v>71.52870374704855</x:v>
      </x:c>
      <x:c r="X9" s="48" t="n">
        <x: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(0.45*SIN(2*PI()*(((A9)/Inputs!$C$49)+Inputs!$C$47*0.137))+0.35*COS(2*PI()*(((0)/Inputs!$C$50)+Inputs!$C$47*0.173))+0.20*SIN(2*PI()*(((A9)+(0))/(0.5*(Inputs!$C$49+Inputs!$C$50))+Inputs!$C$47*0.097)))+0.30*(2*((SIN(((A9)*12.9898+(0)*78.233+Inputs!$C$47*37.719))*43758.5453)-INT((SIN(((A9)*12.9898+(0)*78.233+Inputs!$C$47*37.719))*43758.5453)))-1)))</x:f>
        <x:v>57.32564727891993</x:v>
      </x:c>
      <x:c r="Y9" s="48" t="n">
        <x: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(0.45*SIN(2*PI()*(((A9)/Inputs!$C$49)+Inputs!$C$47*0.137))+0.35*COS(2*PI()*(((Inputs!$C$6)/Inputs!$C$50)+Inputs!$C$47*0.173))+0.20*SIN(2*PI()*(((A9)+(Inputs!$C$6))/(0.5*(Inputs!$C$49+Inputs!$C$50))+Inputs!$C$47*0.097)))+0.30*(2*((SIN(((A9)*12.9898+(Inputs!$C$6)*78.233+Inputs!$C$47*37.719))*43758.5453)-INT((SIN(((A9)*12.9898+(Inputs!$C$6)*78.233+Inputs!$C$47*37.719))*43758.5453)))-1)))</x:f>
        <x:v>141.4558244940569</x:v>
      </x:c>
      <x:c r="Z9" s="48" t="n">
        <x:f>B9-X9/1000</x:f>
        <x:v>403.4896187971655</x:v>
      </x:c>
      <x:c r="AA9" s="48" t="n">
        <x:f>SQRT((Inputs!$C$52+B9)^2+(Inputs!$C$52+Y9/1000)^2-2*(Inputs!$C$52+B9)*(Inputs!$C$52+Y9/1000)*COS(SQRT(A9^2+Inputs!$C$6^2)/Inputs!$C$52))</x:f>
        <x:v>409.31650520739004</x:v>
      </x:c>
      <x:c r="AB9" s="48" t="n">
        <x:f>(AA9-Z9)*1000</x:f>
        <x:v>5826.886410224517</x:v>
      </x:c>
      <x:c r="AC9" s="48" t="n">
        <x:f>AB9/Inputs!$C$12</x:f>
        <x:v>3273.531691137369</x:v>
      </x:c>
      <x:c r="AD9" s="48" t="n">
        <x:f>2*AB9/Inputs!$C$21*1000000</x:f>
        <x:v>38.87280186497899</x:v>
      </x:c>
      <x:c r="AE9" s="48" t="n">
        <x:f>DEGREES(ATAN(H9/(B9-Y9/1000)))</x:f>
        <x:v>8.70751945434895</x:v>
      </x:c>
      <x:c r="AF9" s="48" t="n">
        <x:f>DEGREES((2*PI()/Inputs!$C$13)*Inputs!$C$15*SIN(RADIANS(AE9)))</x:f>
        <x:v>54.50059732573532</x:v>
      </x:c>
      <x:c r="AG9" s="48" t="n">
        <x:f>(Z9/AA9)^4</x:f>
        <x:v>0.9442618247329704</x:v>
      </x:c>
      <x:c r="AH9" s="48" t="n">
        <x:f>10*LOG10(AG9)</x:f>
        <x:v>-0.24907567915185402</x:v>
      </x:c>
      <x:c r="AI9" s="48" t="n">
        <x:f>AC9-F9</x:f>
        <x:v>-45.818240120530845</x:v>
      </x:c>
      <x:c r="AJ9" s="48" t="n">
        <x:f>AD9-G9</x:f>
        <x:v>-0.5440861852137999</x:v>
      </x:c>
      <x:c r="AK9" s="48" t="n">
        <x:f>Y9-X9</x:f>
        <x:v>84.13017721513698</x:v>
      </x:c>
      <x:c r="AL9" s="48" t="n">
        <x:f>1000*(AA10-AA8)/(A10-A8)*Inputs!$C$11</x:f>
        <x:v>-1307.7070373344668</x:v>
      </x:c>
      <x:c r="AM9" s="48" t="n">
        <x:f>-2*AL9/Inputs!$C$13</x:f>
        <x:v>523.0828149337867</x:v>
      </x:c>
      <x:c r="AN9" s="48" t="n">
        <x:f>-2*AL9/Inputs!$C$14</x:f>
        <x:v>78.54096320327129</x:v>
      </x:c>
      <x:c r="AO9" s="48" t="n">
        <x:f>ABS(AM9)</x:f>
        <x:v>523.0828149337867</x:v>
      </x:c>
      <x:c r="AP9" s="48" t="n">
        <x:f>ABS(AN9)</x:f>
        <x:v>78.54096320327129</x:v>
      </x:c>
      <x:c r="AQ9" s="48" t="n">
        <x:f>IF(OR(Inputs!$C$27=TRUE,Inputs!$C$27="TRUE",Inputs!$C$27=1),Inputs!$C$46/Inputs!$C$12,0)</x:f>
        <x:v>42.13483146067416</x:v>
      </x:c>
      <x:c r="AR9" s="48" t="n">
        <x:f>AC9-AQ9</x:f>
        <x:v>3231.3968596766945</x:v>
      </x:c>
      <x:c r="AS9" s="48" t="n">
        <x:f>AC9+AQ9</x:f>
        <x:v>3315.6665225980432</x:v>
      </x:c>
    </x:row>
    <x:row r="10">
      <x:c r="A10" s="48" t="n">
        <x:f>Inputs!$C$7+8*(Inputs!$C$8-Inputs!$C$7)/240</x:f>
        <x:v>-56</x:v>
      </x:c>
      <x:c r="B10" s="48" t="n">
        <x:f>Inputs!$C$5+Inputs!$C$9*(A10/Inputs!$C$10)^2</x:f>
        <x:v>403.4844444444444</x:v>
      </x:c>
      <x:c r="C10" s="48" t="n">
        <x:f>B10</x:f>
        <x:v>403.4844444444444</x:v>
      </x:c>
      <x:c r="D10" s="48" t="n">
        <x:f>SQRT((Inputs!$C$52+B10)^2+Inputs!$C$52^2-2*(Inputs!$C$52+B10)*Inputs!$C$52*COS(SQRT(A10^2+Inputs!$C$6^2)/Inputs!$C$52))</x:f>
        <x:v>409.30715727697145</x:v>
      </x:c>
      <x:c r="E10" s="48" t="n">
        <x:f>(D10-C10)*1000</x:f>
        <x:v>5822.712832527031</x:v>
      </x:c>
      <x:c r="F10" s="48" t="n">
        <x:f>E10/Inputs!$C$12</x:f>
        <x:v>3271.186984565748</x:v>
      </x:c>
      <x:c r="G10" s="48" t="n">
        <x:f>2*E10/Inputs!$C$21*1000000</x:f>
        <x:v>38.84495875161097</x:v>
      </x:c>
      <x:c r="H10" s="48" t="n">
        <x:f>SQRT(A10^2+Inputs!$C$6^2)</x:f>
        <x:v>61.326992425847855</x:v>
      </x:c>
      <x:c r="I10" s="48" t="n">
        <x:f>DEGREES(ATAN(H10/B10))</x:f>
        <x:v>8.642435724573849</x:v>
      </x:c>
      <x:c r="J10" s="48" t="n">
        <x:f>DEGREES((2*PI()/Inputs!$C$13)*Inputs!$C$15*SIN(RADIANS(I10)))</x:f>
        <x:v>54.09634246852054</x:v>
      </x:c>
      <x:c r="K10" s="48" t="n">
        <x:f>(C10/D10)^4</x:f>
        <x:v>0.9442996491308502</x:v>
      </x:c>
      <x:c r="L10" s="48" t="n">
        <x:f>10*LOG10(K10)</x:f>
        <x:v>-0.248901716826454</x:v>
      </x:c>
      <x:c r="M10" s="48" t="n">
        <x:f>2*(Inputs!$C$9/(Inputs!$C$10^2))*A10</x:f>
        <x:v>-0.12444444444444444</x:v>
      </x:c>
      <x:c r="N10" s="48" t="n">
        <x:f>M10*Inputs!$C$11</x:f>
        <x:v>-0.49777777777777776</x:v>
      </x:c>
      <x:c r="O10" s="48" t="n">
        <x:f>1000*(D11-D9)/(A11-A9)*Inputs!$C$11</x:f>
        <x:v>-1180.7238176422743</x:v>
      </x:c>
      <x:c r="P10" s="48" t="n">
        <x:f>-2*O10/Inputs!$C$13</x:f>
        <x:v>472.2895270569097</x:v>
      </x:c>
      <x:c r="Q10" s="48" t="n">
        <x:f>-2*O10/Inputs!$C$14</x:f>
        <x:v>70.9143434019384</x:v>
      </x:c>
      <x:c r="R10" s="48" t="n">
        <x:f>F10-Inputs!$C$16/2</x:f>
        <x:v>3256.186984565748</x:v>
      </x:c>
      <x:c r="S10" s="48" t="n">
        <x:f>F10+Inputs!$C$16/2</x:f>
        <x:v>3286.186984565748</x:v>
      </x:c>
      <x:c r="T10" s="48" t="n">
        <x:f>F10-Inputs!$C$17/2</x:f>
        <x:v>3121.186984565748</x:v>
      </x:c>
      <x:c r="U10" s="48" t="n">
        <x:f>F10+Inputs!$C$17/2</x:f>
        <x:v>3421.186984565748</x:v>
      </x:c>
      <x:c r="V10" s="48" t="n">
        <x:f>ABS(P10)</x:f>
        <x:v>472.2895270569097</x:v>
      </x:c>
      <x:c r="W10" s="48" t="n">
        <x:f>ABS(Q10)</x:f>
        <x:v>70.9143434019384</x:v>
      </x:c>
      <x:c r="X10" s="48" t="n">
        <x: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(0.45*SIN(2*PI()*(((A10)/Inputs!$C$49)+Inputs!$C$47*0.137))+0.35*COS(2*PI()*(((0)/Inputs!$C$50)+Inputs!$C$47*0.173))+0.20*SIN(2*PI()*(((A10)+(0))/(0.5*(Inputs!$C$49+Inputs!$C$50))+Inputs!$C$47*0.097)))+0.30*(2*((SIN(((A10)*12.9898+(0)*78.233+Inputs!$C$47*37.719))*43758.5453)-INT((SIN(((A10)*12.9898+(0)*78.233+Inputs!$C$47*37.719))*43758.5453)))-1)))</x:f>
        <x:v>61.55956835196879</x:v>
      </x:c>
      <x:c r="Y10" s="48" t="n">
        <x: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(0.45*SIN(2*PI()*(((A10)/Inputs!$C$49)+Inputs!$C$47*0.137))+0.35*COS(2*PI()*(((Inputs!$C$6)/Inputs!$C$50)+Inputs!$C$47*0.173))+0.20*SIN(2*PI()*(((A10)+(Inputs!$C$6))/(0.5*(Inputs!$C$49+Inputs!$C$50))+Inputs!$C$47*0.097)))+0.30*(2*((SIN(((A10)*12.9898+(Inputs!$C$6)*78.233+Inputs!$C$47*37.719))*43758.5453)-INT((SIN(((A10)*12.9898+(Inputs!$C$6)*78.233+Inputs!$C$47*37.719))*43758.5453)))-1)))</x:f>
        <x:v>167.1152389347629</x:v>
      </x:c>
      <x:c r="Z10" s="48" t="n">
        <x:f>B10-X10/1000</x:f>
        <x:v>403.42288487609244</x:v>
      </x:c>
      <x:c r="AA10" s="48" t="n">
        <x:f>SQRT((Inputs!$C$52+B10)^2+(Inputs!$C$52+Y10/1000)^2-2*(Inputs!$C$52+B10)*(Inputs!$C$52+Y10/1000)*COS(SQRT(A10^2+Inputs!$C$6^2)/Inputs!$C$52))</x:f>
        <x:v>409.1430396000891</x:v>
      </x:c>
      <x:c r="AB10" s="48" t="n">
        <x:f>(AA10-Z10)*1000</x:f>
        <x:v>5720.154723996643</x:v>
      </x:c>
      <x:c r="AC10" s="48" t="n">
        <x:f>AB10/Inputs!$C$12</x:f>
        <x:v>3213.570069661035</x:v>
      </x:c>
      <x:c r="AD10" s="48" t="n">
        <x:f>2*AB10/Inputs!$C$21*1000000</x:f>
        <x:v>38.16076469806751</x:v>
      </x:c>
      <x:c r="AE10" s="48" t="n">
        <x:f>DEGREES(ATAN(H10/(B10-Y10/1000)))</x:f>
        <x:v>8.645962628857616</x:v>
      </x:c>
      <x:c r="AF10" s="48" t="n">
        <x:f>DEGREES((2*PI()/Inputs!$C$13)*Inputs!$C$15*SIN(RADIANS(AE10)))</x:f>
        <x:v>54.118250938122365</x:v>
      </x:c>
      <x:c r="AG10" s="48" t="n">
        <x:f>(Z10/AA10)^4</x:f>
        <x:v>0.9452386115986542</x:v>
      </x:c>
      <x:c r="AH10" s="48" t="n">
        <x:f>10*LOG10(AG10)</x:f>
        <x:v>-0.24458546390347902</x:v>
      </x:c>
      <x:c r="AI10" s="48" t="n">
        <x:f>AC10-F10</x:f>
        <x:v>-57.61691490471276</x:v>
      </x:c>
      <x:c r="AJ10" s="48" t="n">
        <x:f>AD10-G10</x:f>
        <x:v>-0.6841940535434574</x:v>
      </x:c>
      <x:c r="AK10" s="48" t="n">
        <x:f>Y10-X10</x:f>
        <x:v>105.55567058279412</x:v>
      </x:c>
      <x:c r="AL10" s="48" t="n">
        <x:f>1000*(AA11-AA9)/(A11-A9)*Inputs!$C$11</x:f>
        <x:v>-1256.1566725983084</x:v>
      </x:c>
      <x:c r="AM10" s="48" t="n">
        <x:f>-2*AL10/Inputs!$C$13</x:f>
        <x:v>502.4626690393234</x:v>
      </x:c>
      <x:c r="AN10" s="48" t="n">
        <x:f>-2*AL10/Inputs!$C$14</x:f>
        <x:v>75.44484520109961</x:v>
      </x:c>
      <x:c r="AO10" s="48" t="n">
        <x:f>ABS(AM10)</x:f>
        <x:v>502.4626690393234</x:v>
      </x:c>
      <x:c r="AP10" s="48" t="n">
        <x:f>ABS(AN10)</x:f>
        <x:v>75.44484520109961</x:v>
      </x:c>
      <x:c r="AQ10" s="48" t="n">
        <x:f>IF(OR(Inputs!$C$27=TRUE,Inputs!$C$27="TRUE",Inputs!$C$27=1),Inputs!$C$46/Inputs!$C$12,0)</x:f>
        <x:v>42.13483146067416</x:v>
      </x:c>
      <x:c r="AR10" s="48" t="n">
        <x:f>AC10-AQ10</x:f>
        <x:v>3171.435238200361</x:v>
      </x:c>
      <x:c r="AS10" s="48" t="n">
        <x:f>AC10+AQ10</x:f>
        <x:v>3255.7049011217096</x:v>
      </x:c>
    </x:row>
    <x:row r="11">
      <x:c r="A11" s="48" t="n">
        <x:f>Inputs!$C$7+9*(Inputs!$C$8-Inputs!$C$7)/240</x:f>
        <x:v>-55.5</x:v>
      </x:c>
      <x:c r="B11" s="48" t="n">
        <x:f>Inputs!$C$5+Inputs!$C$9*(A11/Inputs!$C$10)^2</x:f>
        <x:v>403.4225</x:v>
      </x:c>
      <x:c r="C11" s="48" t="n">
        <x:f>B11</x:f>
        <x:v>403.4225</x:v>
      </x:c>
      <x:c r="D11" s="48" t="n">
        <x:f>SQRT((Inputs!$C$52+B11)^2+Inputs!$C$52^2-2*(Inputs!$C$52+B11)*Inputs!$C$52*COS(SQRT(A11^2+Inputs!$C$6^2)/Inputs!$C$52))</x:f>
        <x:v>409.1602063676729</x:v>
      </x:c>
      <x:c r="E11" s="48" t="n">
        <x:f>(D11-C11)*1000</x:f>
        <x:v>5737.706367672899</x:v>
      </x:c>
      <x:c r="F11" s="48" t="n">
        <x:f>E11/Inputs!$C$12</x:f>
        <x:v>3223.4305436364602</x:v>
      </x:c>
      <x:c r="G11" s="48" t="n">
        <x:f>2*E11/Inputs!$C$21*1000000</x:f>
        <x:v>38.27785666090973</x:v>
      </x:c>
      <x:c r="H11" s="48" t="n">
        <x:f>SQRT(A11^2+Inputs!$C$6^2)</x:f>
        <x:v>60.87076473973364</x:v>
      </x:c>
      <x:c r="I11" s="48" t="n">
        <x:f>DEGREES(ATAN(H11/B11))</x:f>
        <x:v>8.580400233649934</x:v>
      </x:c>
      <x:c r="J11" s="48" t="n">
        <x:f>DEGREES((2*PI()/Inputs!$C$13)*Inputs!$C$15*SIN(RADIANS(I11)))</x:f>
        <x:v>53.71095616845376</x:v>
      </x:c>
      <x:c r="K11" s="48" t="n">
        <x:f>(C11/D11)^4</x:f>
        <x:v>0.9450763809493679</x:v>
      </x:c>
      <x:c r="L11" s="48" t="n">
        <x:f>10*LOG10(K11)</x:f>
        <x:v>-0.24533090449122702</x:v>
      </x:c>
      <x:c r="M11" s="48" t="n">
        <x:f>2*(Inputs!$C$9/(Inputs!$C$10^2))*A11</x:f>
        <x:v>-0.12333333333333334</x:v>
      </x:c>
      <x:c r="N11" s="48" t="n">
        <x:f>M11*Inputs!$C$11</x:f>
        <x:v>-0.49333333333333335</x:v>
      </x:c>
      <x:c r="O11" s="48" t="n">
        <x:f>1000*(D12-D10)/(A12-A10)*Inputs!$C$11</x:f>
        <x:v>-1170.4867727003148</x:v>
      </x:c>
      <x:c r="P11" s="48" t="n">
        <x:f>-2*O11/Inputs!$C$13</x:f>
        <x:v>468.1947090801259</x:v>
      </x:c>
      <x:c r="Q11" s="48" t="n">
        <x:f>-2*O11/Inputs!$C$14</x:f>
        <x:v>70.29950586788678</x:v>
      </x:c>
      <x:c r="R11" s="48" t="n">
        <x:f>F11-Inputs!$C$16/2</x:f>
        <x:v>3208.4305436364602</x:v>
      </x:c>
      <x:c r="S11" s="48" t="n">
        <x:f>F11+Inputs!$C$16/2</x:f>
        <x:v>3238.4305436364602</x:v>
      </x:c>
      <x:c r="T11" s="48" t="n">
        <x:f>F11-Inputs!$C$17/2</x:f>
        <x:v>3073.4305436364602</x:v>
      </x:c>
      <x:c r="U11" s="48" t="n">
        <x:f>F11+Inputs!$C$17/2</x:f>
        <x:v>3373.4305436364602</x:v>
      </x:c>
      <x:c r="V11" s="48" t="n">
        <x:f>ABS(P11)</x:f>
        <x:v>468.1947090801259</x:v>
      </x:c>
      <x:c r="W11" s="48" t="n">
        <x:f>ABS(Q11)</x:f>
        <x:v>70.29950586788678</x:v>
      </x:c>
      <x:c r="X11" s="48" t="n">
        <x: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(0.45*SIN(2*PI()*(((A11)/Inputs!$C$49)+Inputs!$C$47*0.137))+0.35*COS(2*PI()*(((0)/Inputs!$C$50)+Inputs!$C$47*0.173))+0.20*SIN(2*PI()*(((A11)+(0))/(0.5*(Inputs!$C$49+Inputs!$C$50))+Inputs!$C$47*0.097)))+0.30*(2*((SIN(((A11)*12.9898+(0)*78.233+Inputs!$C$47*37.719))*43758.5453)-INT((SIN(((A11)*12.9898+(0)*78.233+Inputs!$C$47*37.719))*43758.5453)))-1)))</x:f>
        <x:v>38.49658216595124</x:v>
      </x:c>
      <x:c r="Y11" s="48" t="n">
        <x: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(0.45*SIN(2*PI()*(((A11)/Inputs!$C$49)+Inputs!$C$47*0.137))+0.35*COS(2*PI()*(((Inputs!$C$6)/Inputs!$C$50)+Inputs!$C$47*0.173))+0.20*SIN(2*PI()*(((A11)+(Inputs!$C$6))/(0.5*(Inputs!$C$49+Inputs!$C$50))+Inputs!$C$47*0.097)))+0.30*(2*((SIN(((A11)*12.9898+(Inputs!$C$6)*78.233+Inputs!$C$47*37.719))*43758.5453)-INT((SIN(((A11)*12.9898+(Inputs!$C$6)*78.233+Inputs!$C$47*37.719))*43758.5453)))-1)))</x:f>
        <x:v>160.57943103446084</x:v>
      </x:c>
      <x:c r="Z11" s="48" t="n">
        <x:f>B11-X11/1000</x:f>
        <x:v>403.38400341783404</x:v>
      </x:c>
      <x:c r="AA11" s="48" t="n">
        <x:f>SQRT((Inputs!$C$52+B11)^2+(Inputs!$C$52+Y11/1000)^2-2*(Inputs!$C$52+B11)*(Inputs!$C$52+Y11/1000)*COS(SQRT(A11^2+Inputs!$C$6^2)/Inputs!$C$52))</x:f>
        <x:v>409.00246603924046</x:v>
      </x:c>
      <x:c r="AB11" s="48" t="n">
        <x:f>(AA11-Z11)*1000</x:f>
        <x:v>5618.462621406423</x:v>
      </x:c>
      <x:c r="AC11" s="48" t="n">
        <x:f>AB11/Inputs!$C$12</x:f>
        <x:v>3156.4396749474286</x:v>
      </x:c>
      <x:c r="AD11" s="48" t="n">
        <x:f>2*AB11/Inputs!$C$21*1000000</x:f>
        <x:v>37.48234801428142</x:v>
      </x:c>
      <x:c r="AE11" s="48" t="n">
        <x:f>DEGREES(ATAN(H11/(B11-Y11/1000)))</x:f>
        <x:v>8.583766074736308</x:v>
      </x:c>
      <x:c r="AF11" s="48" t="n">
        <x:f>DEGREES((2*PI()/Inputs!$C$13)*Inputs!$C$15*SIN(RADIANS(AE11)))</x:f>
        <x:v>53.731867577258406</x:v>
      </x:c>
      <x:c r="AG11" s="48" t="n">
        <x:f>(Z11/AA11)^4</x:f>
        <x:v>0.9461739375699839</x:v>
      </x:c>
      <x:c r="AH11" s="48" t="n">
        <x:f>10*LOG10(AG11)</x:f>
        <x:v>-0.24029018795832</x:v>
      </x:c>
      <x:c r="AI11" s="48" t="n">
        <x:f>AC11-F11</x:f>
        <x:v>-66.99086868903169</x:v>
      </x:c>
      <x:c r="AJ11" s="48" t="n">
        <x:f>AD11-G11</x:f>
        <x:v>-0.7955086466283063</x:v>
      </x:c>
      <x:c r="AK11" s="48" t="n">
        <x:f>Y11-X11</x:f>
        <x:v>122.0828488685096</x:v>
      </x:c>
      <x:c r="AL11" s="48" t="n">
        <x:f>1000*(AA12-AA10)/(A12-A10)*Inputs!$C$11</x:f>
        <x:v>-1206.179141654502</x:v>
      </x:c>
      <x:c r="AM11" s="48" t="n">
        <x:f>-2*AL11/Inputs!$C$13</x:f>
        <x:v>482.4716566618008</x:v>
      </x:c>
      <x:c r="AN11" s="48" t="n">
        <x:f>-2*AL11/Inputs!$C$14</x:f>
        <x:v>72.44319169096109</x:v>
      </x:c>
      <x:c r="AO11" s="48" t="n">
        <x:f>ABS(AM11)</x:f>
        <x:v>482.4716566618008</x:v>
      </x:c>
      <x:c r="AP11" s="48" t="n">
        <x:f>ABS(AN11)</x:f>
        <x:v>72.44319169096109</x:v>
      </x:c>
      <x:c r="AQ11" s="48" t="n">
        <x:f>IF(OR(Inputs!$C$27=TRUE,Inputs!$C$27="TRUE",Inputs!$C$27=1),Inputs!$C$46/Inputs!$C$12,0)</x:f>
        <x:v>42.13483146067416</x:v>
      </x:c>
      <x:c r="AR11" s="48" t="n">
        <x:f>AC11-AQ11</x:f>
        <x:v>3114.304843486754</x:v>
      </x:c>
      <x:c r="AS11" s="48" t="n">
        <x:f>AC11+AQ11</x:f>
        <x:v>3198.574506408103</x:v>
      </x:c>
    </x:row>
    <x:row r="12">
      <x:c r="A12" s="48" t="n">
        <x:f>Inputs!$C$7+10*(Inputs!$C$8-Inputs!$C$7)/240</x:f>
        <x:v>-55</x:v>
      </x:c>
      <x:c r="B12" s="48" t="n">
        <x:f>Inputs!$C$5+Inputs!$C$9*(A12/Inputs!$C$10)^2</x:f>
        <x:v>403.3611111111111</x:v>
      </x:c>
      <x:c r="C12" s="48" t="n">
        <x:f>B12</x:f>
        <x:v>403.3611111111111</x:v>
      </x:c>
      <x:c r="D12" s="48" t="n">
        <x:f>SQRT((Inputs!$C$52+B12)^2+Inputs!$C$52^2-2*(Inputs!$C$52+B12)*Inputs!$C$52*COS(SQRT(A12^2+Inputs!$C$6^2)/Inputs!$C$52))</x:f>
        <x:v>409.0145355837964</x:v>
      </x:c>
      <x:c r="E12" s="48" t="n">
        <x:f>(D12-C12)*1000</x:f>
        <x:v>5653.424472685288</x:v>
      </x:c>
      <x:c r="F12" s="48" t="n">
        <x:f>E12/Inputs!$C$12</x:f>
        <x:v>3176.081164429937</x:v>
      </x:c>
      <x:c r="G12" s="48" t="n">
        <x:f>2*E12/Inputs!$C$21*1000000</x:f>
        <x:v>37.71558838004716</x:v>
      </x:c>
      <x:c r="H12" s="48" t="n">
        <x:f>SQRT(A12^2+Inputs!$C$6^2)</x:f>
        <x:v>60.41522986797286</x:v>
      </x:c>
      <x:c r="I12" s="48" t="n">
        <x:f>DEGREES(ATAN(H12/B12))</x:f>
        <x:v>8.518410095726479</x:v>
      </x:c>
      <x:c r="J12" s="48" t="n">
        <x:f>DEGREES((2*PI()/Inputs!$C$13)*Inputs!$C$15*SIN(RADIANS(I12)))</x:f>
        <x:v>53.32578872127919</x:v>
      </x:c>
      <x:c r="K12" s="48" t="n">
        <x:f>(C12/D12)^4</x:f>
        <x:v>0.9458475201974168</x:v>
      </x:c>
      <x:c r="L12" s="48" t="n">
        <x:f>10*LOG10(K12)</x:f>
        <x:v>-0.24178870442099198</x:v>
      </x:c>
      <x:c r="M12" s="48" t="n">
        <x:f>2*(Inputs!$C$9/(Inputs!$C$10^2))*A12</x:f>
        <x:v>-0.12222222222222222</x:v>
      </x:c>
      <x:c r="N12" s="48" t="n">
        <x:f>M12*Inputs!$C$11</x:f>
        <x:v>-0.4888888888888889</x:v>
      </x:c>
      <x:c r="O12" s="48" t="n">
        <x:f>1000*(D13-D11)/(A13-A11)*Inputs!$C$11</x:f>
        <x:v>-1160.241839347691</x:v>
      </x:c>
      <x:c r="P12" s="48" t="n">
        <x:f>-2*O12/Inputs!$C$13</x:f>
        <x:v>464.0967357390764</x:v>
      </x:c>
      <x:c r="Q12" s="48" t="n">
        <x:f>-2*O12/Inputs!$C$14</x:f>
        <x:v>69.68419455541688</x:v>
      </x:c>
      <x:c r="R12" s="48" t="n">
        <x:f>F12-Inputs!$C$16/2</x:f>
        <x:v>3161.081164429937</x:v>
      </x:c>
      <x:c r="S12" s="48" t="n">
        <x:f>F12+Inputs!$C$16/2</x:f>
        <x:v>3191.081164429937</x:v>
      </x:c>
      <x:c r="T12" s="48" t="n">
        <x:f>F12-Inputs!$C$17/2</x:f>
        <x:v>3026.081164429937</x:v>
      </x:c>
      <x:c r="U12" s="48" t="n">
        <x:f>F12+Inputs!$C$17/2</x:f>
        <x:v>3326.081164429937</x:v>
      </x:c>
      <x:c r="V12" s="48" t="n">
        <x:f>ABS(P12)</x:f>
        <x:v>464.0967357390764</x:v>
      </x:c>
      <x:c r="W12" s="48" t="n">
        <x:f>ABS(Q12)</x:f>
        <x:v>69.68419455541688</x:v>
      </x:c>
      <x:c r="X12" s="48" t="n">
        <x: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(0.45*SIN(2*PI()*(((A12)/Inputs!$C$49)+Inputs!$C$47*0.137))+0.35*COS(2*PI()*(((0)/Inputs!$C$50)+Inputs!$C$47*0.173))+0.20*SIN(2*PI()*(((A12)+(0))/(0.5*(Inputs!$C$49+Inputs!$C$50))+Inputs!$C$47*0.097)))+0.30*(2*((SIN(((A12)*12.9898+(0)*78.233+Inputs!$C$47*37.719))*43758.5453)-INT((SIN(((A12)*12.9898+(0)*78.233+Inputs!$C$47*37.719))*43758.5453)))-1)))</x:f>
        <x:v>46.51195593176057</x:v>
      </x:c>
      <x:c r="Y12" s="48" t="n">
        <x: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(0.45*SIN(2*PI()*(((A12)/Inputs!$C$49)+Inputs!$C$47*0.137))+0.35*COS(2*PI()*(((Inputs!$C$6)/Inputs!$C$50)+Inputs!$C$47*0.173))+0.20*SIN(2*PI()*(((A12)+(Inputs!$C$6))/(0.5*(Inputs!$C$49+Inputs!$C$50))+Inputs!$C$47*0.097)))+0.30*(2*((SIN(((A12)*12.9898+(Inputs!$C$6)*78.233+Inputs!$C$47*37.719))*43758.5453)-INT((SIN(((A12)*12.9898+(Inputs!$C$6)*78.233+Inputs!$C$47*37.719))*43758.5453)))-1)))</x:f>
        <x:v>176.10976359434375</x:v>
      </x:c>
      <x:c r="Z12" s="48" t="n">
        <x:f>B12-X12/1000</x:f>
        <x:v>403.31459915517934</x:v>
      </x:c>
      <x:c r="AA12" s="48" t="n">
        <x:f>SQRT((Inputs!$C$52+B12)^2+(Inputs!$C$52+Y12/1000)^2-2*(Inputs!$C$52+B12)*(Inputs!$C$52+Y12/1000)*COS(SQRT(A12^2+Inputs!$C$6^2)/Inputs!$C$52))</x:f>
        <x:v>408.84149481467546</x:v>
      </x:c>
      <x:c r="AB12" s="48" t="n">
        <x:f>(AA12-Z12)*1000</x:f>
        <x:v>5526.89565949612</x:v>
      </x:c>
      <x:c r="AC12" s="48" t="n">
        <x:f>AB12/Inputs!$C$12</x:f>
        <x:v>3104.997561514674</x:v>
      </x:c>
      <x:c r="AD12" s="48" t="n">
        <x:f>2*AB12/Inputs!$C$21*1000000</x:f>
        <x:v>36.87147899828834</x:v>
      </x:c>
      <x:c r="AE12" s="48" t="n">
        <x:f>DEGREES(ATAN(H12/(B12-Y12/1000)))</x:f>
        <x:v>8.522076283477121</x:v>
      </x:c>
      <x:c r="AF12" s="48" t="n">
        <x:f>DEGREES((2*PI()/Inputs!$C$13)*Inputs!$C$15*SIN(RADIANS(AE12)))</x:f>
        <x:v>53.34856983060745</x:v>
      </x:c>
      <x:c r="AG12" s="48" t="n">
        <x:f>(Z12/AA12)^4</x:f>
        <x:v>0.947012914248392</x:v>
      </x:c>
      <x:c r="AH12" s="48" t="n">
        <x:f>10*LOG10(AG12)</x:f>
        <x:v>-0.236440985589518</x:v>
      </x:c>
      <x:c r="AI12" s="48" t="n">
        <x:f>AC12-F12</x:f>
        <x:v>-71.08360291526287</x:v>
      </x:c>
      <x:c r="AJ12" s="48" t="n">
        <x:f>AD12-G12</x:f>
        <x:v>-0.8441093817588197</x:v>
      </x:c>
      <x:c r="AK12" s="48" t="n">
        <x:f>Y12-X12</x:f>
        <x:v>129.5978076625832</x:v>
      </x:c>
      <x:c r="AL12" s="48" t="n">
        <x:f>1000*(AA13-AA11)/(A13-A11)*Inputs!$C$11</x:f>
        <x:v>-1293.5627553272298</x:v>
      </x:c>
      <x:c r="AM12" s="48" t="n">
        <x:f>-2*AL12/Inputs!$C$13</x:f>
        <x:v>517.4251021308919</x:v>
      </x:c>
      <x:c r="AN12" s="48" t="n">
        <x:f>-2*AL12/Inputs!$C$14</x:f>
        <x:v>77.6914567764102</x:v>
      </x:c>
      <x:c r="AO12" s="48" t="n">
        <x:f>ABS(AM12)</x:f>
        <x:v>517.4251021308919</x:v>
      </x:c>
      <x:c r="AP12" s="48" t="n">
        <x:f>ABS(AN12)</x:f>
        <x:v>77.6914567764102</x:v>
      </x:c>
      <x:c r="AQ12" s="48" t="n">
        <x:f>IF(OR(Inputs!$C$27=TRUE,Inputs!$C$27="TRUE",Inputs!$C$27=1),Inputs!$C$46/Inputs!$C$12,0)</x:f>
        <x:v>42.13483146067416</x:v>
      </x:c>
      <x:c r="AR12" s="48" t="n">
        <x:f>AC12-AQ12</x:f>
        <x:v>3062.8627300539997</x:v>
      </x:c>
      <x:c r="AS12" s="48" t="n">
        <x:f>AC12+AQ12</x:f>
        <x:v>3147.1323929753485</x:v>
      </x:c>
    </x:row>
    <x:row r="13">
      <x:c r="A13" s="48" t="n">
        <x:f>Inputs!$C$7+11*(Inputs!$C$8-Inputs!$C$7)/240</x:f>
        <x:v>-54.5</x:v>
      </x:c>
      <x:c r="B13" s="48" t="n">
        <x:f>Inputs!$C$5+Inputs!$C$9*(A13/Inputs!$C$10)^2</x:f>
        <x:v>403.30027777777775</x:v>
      </x:c>
      <x:c r="C13" s="48" t="n">
        <x:f>B13</x:f>
        <x:v>403.30027777777775</x:v>
      </x:c>
      <x:c r="D13" s="48" t="n">
        <x:f>SQRT((Inputs!$C$52+B13)^2+Inputs!$C$52^2-2*(Inputs!$C$52+B13)*Inputs!$C$52*COS(SQRT(A13^2+Inputs!$C$6^2)/Inputs!$C$52))</x:f>
        <x:v>408.870145907836</x:v>
      </x:c>
      <x:c r="E13" s="48" t="n">
        <x:f>(D13-C13)*1000</x:f>
        <x:v>5569.868130058239</x:v>
      </x:c>
      <x:c r="F13" s="48" t="n">
        <x:f>E13/Inputs!$C$12</x:f>
        <x:v>3129.139398909123</x:v>
      </x:c>
      <x:c r="G13" s="48" t="n">
        <x:f>2*E13/Inputs!$C$21*1000000</x:f>
        <x:v>37.158160463517994</x:v>
      </x:c>
      <x:c r="H13" s="48" t="n">
        <x:f>SQRT(A13^2+Inputs!$C$6^2)</x:f>
        <x:v>59.96040360104325</x:v>
      </x:c>
      <x:c r="I13" s="48" t="n">
        <x:f>DEGREES(ATAN(H13/B13))</x:f>
        <x:v>8.45646799120709</x:v>
      </x:c>
      <x:c r="J13" s="48" t="n">
        <x:f>DEGREES((2*PI()/Inputs!$C$13)*Inputs!$C$15*SIN(RADIANS(I13)))</x:f>
        <x:v>52.94085737373685</x:v>
      </x:c>
      <x:c r="K13" s="48" t="n">
        <x:f>(C13/D13)^4</x:f>
        <x:v>0.9466130330866598</x:v>
      </x:c>
      <x:c r="L13" s="48" t="n">
        <x:f>10*LOG10(K13)</x:f>
        <x:v>-0.238275204061051</x:v>
      </x:c>
      <x:c r="M13" s="48" t="n">
        <x:f>2*(Inputs!$C$9/(Inputs!$C$10^2))*A13</x:f>
        <x:v>-0.12111111111111111</x:v>
      </x:c>
      <x:c r="N13" s="48" t="n">
        <x:f>M13*Inputs!$C$11</x:f>
        <x:v>-0.48444444444444446</x:v>
      </x:c>
      <x:c r="O13" s="48" t="n">
        <x:f>1000*(D14-D12)/(A14-A12)*Inputs!$C$11</x:f>
        <x:v>-1149.9890746863457</x:v>
      </x:c>
      <x:c r="P13" s="48" t="n">
        <x:f>-2*O13/Inputs!$C$13</x:f>
        <x:v>459.9956298745383</x:v>
      </x:c>
      <x:c r="Q13" s="48" t="n">
        <x:f>-2*O13/Inputs!$C$14</x:f>
        <x:v>69.06841289407483</x:v>
      </x:c>
      <x:c r="R13" s="48" t="n">
        <x:f>F13-Inputs!$C$16/2</x:f>
        <x:v>3114.139398909123</x:v>
      </x:c>
      <x:c r="S13" s="48" t="n">
        <x:f>F13+Inputs!$C$16/2</x:f>
        <x:v>3144.139398909123</x:v>
      </x:c>
      <x:c r="T13" s="48" t="n">
        <x:f>F13-Inputs!$C$17/2</x:f>
        <x:v>2979.139398909123</x:v>
      </x:c>
      <x:c r="U13" s="48" t="n">
        <x:f>F13+Inputs!$C$17/2</x:f>
        <x:v>3279.139398909123</x:v>
      </x:c>
      <x:c r="V13" s="48" t="n">
        <x:f>ABS(P13)</x:f>
        <x:v>459.9956298745383</x:v>
      </x:c>
      <x:c r="W13" s="48" t="n">
        <x:f>ABS(Q13)</x:f>
        <x:v>69.06841289407483</x:v>
      </x:c>
      <x:c r="X13" s="48" t="n">
        <x: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(0.45*SIN(2*PI()*(((A13)/Inputs!$C$49)+Inputs!$C$47*0.137))+0.35*COS(2*PI()*(((0)/Inputs!$C$50)+Inputs!$C$47*0.173))+0.20*SIN(2*PI()*(((A13)+(0))/(0.5*(Inputs!$C$49+Inputs!$C$50))+Inputs!$C$47*0.097)))+0.30*(2*((SIN(((A13)*12.9898+(0)*78.233+Inputs!$C$47*37.719))*43758.5453)-INT((SIN(((A13)*12.9898+(0)*78.233+Inputs!$C$47*37.719))*43758.5453)))-1)))</x:f>
        <x:v>49.77469341509185</x:v>
      </x:c>
      <x:c r="Y13" s="48" t="n">
        <x: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(0.45*SIN(2*PI()*(((A13)/Inputs!$C$49)+Inputs!$C$47*0.137))+0.35*COS(2*PI()*(((Inputs!$C$6)/Inputs!$C$50)+Inputs!$C$47*0.173))+0.20*SIN(2*PI()*(((A13)+(Inputs!$C$6))/(0.5*(Inputs!$C$49+Inputs!$C$50))+Inputs!$C$47*0.097)))+0.30*(2*((SIN(((A13)*12.9898+(Inputs!$C$6)*78.233+Inputs!$C$47*37.719))*43758.5453)-INT((SIN(((A13)*12.9898+(Inputs!$C$6)*78.233+Inputs!$C$47*37.719))*43758.5453)))-1)))</x:f>
        <x:v>194.40953580817023</x:v>
      </x:c>
      <x:c r="Z13" s="48" t="n">
        <x:f>B13-X13/1000</x:f>
        <x:v>403.25050308436266</x:v>
      </x:c>
      <x:c r="AA13" s="48" t="n">
        <x:f>SQRT((Inputs!$C$52+B13)^2+(Inputs!$C$52+Y13/1000)^2-2*(Inputs!$C$52+B13)*(Inputs!$C$52+Y13/1000)*COS(SQRT(A13^2+Inputs!$C$6^2)/Inputs!$C$52))</x:f>
        <x:v>408.67907535040865</x:v>
      </x:c>
      <x:c r="AB13" s="48" t="n">
        <x:f>(AA13-Z13)*1000</x:f>
        <x:v>5428.57226604599</x:v>
      </x:c>
      <x:c r="AC13" s="48" t="n">
        <x:f>AB13/Inputs!$C$12</x:f>
        <x:v>3049.759700025837</x:v>
      </x:c>
      <x:c r="AD13" s="48" t="n">
        <x:f>2*AB13/Inputs!$C$21*1000000</x:f>
        <x:v>36.21553592282825</x:v>
      </x:c>
      <x:c r="AE13" s="48" t="n">
        <x:f>DEGREES(ATAN(H13/(B13-Y13/1000)))</x:f>
        <x:v>8.460487356312948</x:v>
      </x:c>
      <x:c r="AF13" s="48" t="n">
        <x:f>DEGREES((2*PI()/Inputs!$C$13)*Inputs!$C$15*SIN(RADIANS(AE13)))</x:f>
        <x:v>52.965837090190576</x:v>
      </x:c>
      <x:c r="AG13" s="48" t="n">
        <x:f>(Z13/AA13)^4</x:f>
        <x:v>0.9479164566960486</x:v>
      </x:c>
      <x:c r="AH13" s="48" t="n">
        <x:f>10*LOG10(AG13)</x:f>
        <x:v>-0.23229936917955302</x:v>
      </x:c>
      <x:c r="AI13" s="48" t="n">
        <x:f>AC13-F13</x:f>
        <x:v>-79.37969888328598</x:v>
      </x:c>
      <x:c r="AJ13" s="48" t="n">
        <x:f>AD13-G13</x:f>
        <x:v>-0.9426245406897422</x:v>
      </x:c>
      <x:c r="AK13" s="48" t="n">
        <x:f>Y13-X13</x:f>
        <x:v>144.63484239307837</x:v>
      </x:c>
      <x:c r="AL13" s="48" t="n">
        <x:f>1000*(AA14-AA12)/(A14-A12)*Inputs!$C$11</x:f>
        <x:v>-1230.1153969865481</x:v>
      </x:c>
      <x:c r="AM13" s="48" t="n">
        <x:f>-2*AL13/Inputs!$C$13</x:f>
        <x:v>492.04615879461926</x:v>
      </x:c>
      <x:c r="AN13" s="48" t="n">
        <x:f>-2*AL13/Inputs!$C$14</x:f>
        <x:v>73.88080462381672</x:v>
      </x:c>
      <x:c r="AO13" s="48" t="n">
        <x:f>ABS(AM13)</x:f>
        <x:v>492.04615879461926</x:v>
      </x:c>
      <x:c r="AP13" s="48" t="n">
        <x:f>ABS(AN13)</x:f>
        <x:v>73.88080462381672</x:v>
      </x:c>
      <x:c r="AQ13" s="48" t="n">
        <x:f>IF(OR(Inputs!$C$27=TRUE,Inputs!$C$27="TRUE",Inputs!$C$27=1),Inputs!$C$46/Inputs!$C$12,0)</x:f>
        <x:v>42.13483146067416</x:v>
      </x:c>
      <x:c r="AR13" s="48" t="n">
        <x:f>AC13-AQ13</x:f>
        <x:v>3007.6248685651626</x:v>
      </x:c>
      <x:c r="AS13" s="48" t="n">
        <x:f>AC13+AQ13</x:f>
        <x:v>3091.8945314865114</x:v>
      </x:c>
    </x:row>
    <x:row r="14">
      <x:c r="A14" s="48" t="n">
        <x:f>Inputs!$C$7+12*(Inputs!$C$8-Inputs!$C$7)/240</x:f>
        <x:v>-54</x:v>
      </x:c>
      <x:c r="B14" s="48" t="n">
        <x:f>Inputs!$C$5+Inputs!$C$9*(A14/Inputs!$C$10)^2</x:f>
        <x:v>403.24</x:v>
      </x:c>
      <x:c r="C14" s="48" t="n">
        <x:f>B14</x:f>
        <x:v>403.24</x:v>
      </x:c>
      <x:c r="D14" s="48" t="n">
        <x:f>SQRT((Inputs!$C$52+B14)^2+Inputs!$C$52^2-2*(Inputs!$C$52+B14)*Inputs!$C$52*COS(SQRT(A14^2+Inputs!$C$6^2)/Inputs!$C$52))</x:f>
        <x:v>408.7270383151248</x:v>
      </x:c>
      <x:c r="E14" s="48" t="n">
        <x:f>(D14-C14)*1000</x:f>
        <x:v>5487.038315124778</x:v>
      </x:c>
      <x:c r="F14" s="48" t="n">
        <x:f>E14/Inputs!$C$12</x:f>
        <x:v>3082.60579501392</x:v>
      </x:c>
      <x:c r="G14" s="48" t="n">
        <x:f>2*E14/Inputs!$C$21*1000000</x:f>
        <x:v>36.60557941804378</x:v>
      </x:c>
      <x:c r="H14" s="48" t="n">
        <x:f>SQRT(A14^2+Inputs!$C$6^2)</x:f>
        <x:v>59.50630218724736</x:v>
      </x:c>
      <x:c r="I14" s="48" t="n">
        <x:f>DEGREES(ATAN(H14/B14))</x:f>
        <x:v>8.394576667627003</x:v>
      </x:c>
      <x:c r="J14" s="48" t="n">
        <x:f>DEGREES((2*PI()/Inputs!$C$13)*Inputs!$C$15*SIN(RADIANS(I14)))</x:f>
        <x:v>52.55617979850606</x:v>
      </x:c>
      <x:c r="K14" s="48" t="n">
        <x:f>(C14/D14)^4</x:f>
        <x:v>0.947372885993786</x:v>
      </x:c>
      <x:c r="L14" s="48" t="n">
        <x:f>10*LOG10(K14)</x:f>
        <x:v>-0.23479049027301602</x:v>
      </x:c>
      <x:c r="M14" s="48" t="n">
        <x:f>2*(Inputs!$C$9/(Inputs!$C$10^2))*A14</x:f>
        <x:v>-0.12</x:v>
      </x:c>
      <x:c r="N14" s="48" t="n">
        <x:f>M14*Inputs!$C$11</x:f>
        <x:v>-0.48</x:v>
      </x:c>
      <x:c r="O14" s="48" t="n">
        <x:f>1000*(D15-D13)/(A15-A13)*Inputs!$C$11</x:f>
        <x:v>-1139.7285361831564</x:v>
      </x:c>
      <x:c r="P14" s="48" t="n">
        <x:f>-2*O14/Inputs!$C$13</x:f>
        <x:v>455.89141447326256</x:v>
      </x:c>
      <x:c r="Q14" s="48" t="n">
        <x:f>-2*O14/Inputs!$C$14</x:f>
        <x:v>68.45216433532471</x:v>
      </x:c>
      <x:c r="R14" s="48" t="n">
        <x:f>F14-Inputs!$C$16/2</x:f>
        <x:v>3067.60579501392</x:v>
      </x:c>
      <x:c r="S14" s="48" t="n">
        <x:f>F14+Inputs!$C$16/2</x:f>
        <x:v>3097.60579501392</x:v>
      </x:c>
      <x:c r="T14" s="48" t="n">
        <x:f>F14-Inputs!$C$17/2</x:f>
        <x:v>2932.60579501392</x:v>
      </x:c>
      <x:c r="U14" s="48" t="n">
        <x:f>F14+Inputs!$C$17/2</x:f>
        <x:v>3232.60579501392</x:v>
      </x:c>
      <x:c r="V14" s="48" t="n">
        <x:f>ABS(P14)</x:f>
        <x:v>455.89141447326256</x:v>
      </x:c>
      <x:c r="W14" s="48" t="n">
        <x:f>ABS(Q14)</x:f>
        <x:v>68.45216433532471</x:v>
      </x:c>
      <x:c r="X14" s="48" t="n">
        <x: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(0.45*SIN(2*PI()*(((A14)/Inputs!$C$49)+Inputs!$C$47*0.137))+0.35*COS(2*PI()*(((0)/Inputs!$C$50)+Inputs!$C$47*0.173))+0.20*SIN(2*PI()*(((A14)+(0))/(0.5*(Inputs!$C$49+Inputs!$C$50))+Inputs!$C$47*0.097)))+0.30*(2*((SIN(((A14)*12.9898+(0)*78.233+Inputs!$C$47*37.719))*43758.5453)-INT((SIN(((A14)*12.9898+(0)*78.233+Inputs!$C$47*37.719))*43758.5453)))-1)))</x:f>
        <x:v>37.91568406723211</x:v>
      </x:c>
      <x:c r="Y14" s="48" t="n">
        <x: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(0.45*SIN(2*PI()*(((A14)/Inputs!$C$49)+Inputs!$C$47*0.137))+0.35*COS(2*PI()*(((Inputs!$C$6)/Inputs!$C$50)+Inputs!$C$47*0.173))+0.20*SIN(2*PI()*(((A14)+(Inputs!$C$6))/(0.5*(Inputs!$C$49+Inputs!$C$50))+Inputs!$C$47*0.097)))+0.30*(2*((SIN(((A14)*12.9898+(Inputs!$C$6)*78.233+Inputs!$C$47*37.719))*43758.5453)-INT((SIN(((A14)*12.9898+(Inputs!$C$6)*78.233+Inputs!$C$47*37.719))*43758.5453)))-1)))</x:f>
        <x:v>196.39629745562698</x:v>
      </x:c>
      <x:c r="Z14" s="48" t="n">
        <x:f>B14-X14/1000</x:f>
        <x:v>403.2020843159328</x:v>
      </x:c>
      <x:c r="AA14" s="48" t="n">
        <x:f>SQRT((Inputs!$C$52+B14)^2+(Inputs!$C$52+Y14/1000)^2-2*(Inputs!$C$52+B14)*(Inputs!$C$52+Y14/1000)*COS(SQRT(A14^2+Inputs!$C$6^2)/Inputs!$C$52))</x:f>
        <x:v>408.5339659654288</x:v>
      </x:c>
      <x:c r="AB14" s="48" t="n">
        <x:f>(AA14-Z14)*1000</x:f>
        <x:v>5331.88164949604</x:v>
      </x:c>
      <x:c r="AC14" s="48" t="n">
        <x:f>AB14/Inputs!$C$12</x:f>
        <x:v>2995.4391289303594</x:v>
      </x:c>
      <x:c r="AD14" s="48" t="n">
        <x:f>2*AB14/Inputs!$C$21*1000000</x:f>
        <x:v>35.57048556235554</x:v>
      </x:c>
      <x:c r="AE14" s="48" t="n">
        <x:f>DEGREES(ATAN(H14/(B14-Y14/1000)))</x:f>
        <x:v>8.398608872635315</x:v>
      </x:c>
      <x:c r="AF14" s="48" t="n">
        <x:f>DEGREES((2*PI()/Inputs!$C$13)*Inputs!$C$15*SIN(RADIANS(AE14)))</x:f>
        <x:v>52.581243323387255</x:v>
      </x:c>
      <x:c r="AG14" s="48" t="n">
        <x:f>(Z14/AA14)^4</x:f>
        <x:v>0.948808121767259</x:v>
      </x:c>
      <x:c r="AH14" s="48" t="n">
        <x:f>10*LOG10(AG14)</x:f>
        <x:v>-0.228216064169887</x:v>
      </x:c>
      <x:c r="AI14" s="48" t="n">
        <x:f>AC14-F14</x:f>
        <x:v>-87.16666608356081</x:v>
      </x:c>
      <x:c r="AJ14" s="48" t="n">
        <x:f>AD14-G14</x:f>
        <x:v>-1.0350938556882383</x:v>
      </x:c>
      <x:c r="AK14" s="48" t="n">
        <x:f>Y14-X14</x:f>
        <x:v>158.4806133883949</x:v>
      </x:c>
      <x:c r="AL14" s="48" t="n">
        <x:f>1000*(AA15-AA13)/(A15-A13)*Inputs!$C$11</x:f>
        <x:v>-1221.2811372673968</x:v>
      </x:c>
      <x:c r="AM14" s="48" t="n">
        <x:f>-2*AL14/Inputs!$C$13</x:f>
        <x:v>488.51245490695874</x:v>
      </x:c>
      <x:c r="AN14" s="48" t="n">
        <x:f>-2*AL14/Inputs!$C$14</x:f>
        <x:v>73.35021845449832</x:v>
      </x:c>
      <x:c r="AO14" s="48" t="n">
        <x:f>ABS(AM14)</x:f>
        <x:v>488.51245490695874</x:v>
      </x:c>
      <x:c r="AP14" s="48" t="n">
        <x:f>ABS(AN14)</x:f>
        <x:v>73.35021845449832</x:v>
      </x:c>
      <x:c r="AQ14" s="48" t="n">
        <x:f>IF(OR(Inputs!$C$27=TRUE,Inputs!$C$27="TRUE",Inputs!$C$27=1),Inputs!$C$46/Inputs!$C$12,0)</x:f>
        <x:v>42.13483146067416</x:v>
      </x:c>
      <x:c r="AR14" s="48" t="n">
        <x:f>AC14-AQ14</x:f>
        <x:v>2953.304297469685</x:v>
      </x:c>
      <x:c r="AS14" s="48" t="n">
        <x:f>AC14+AQ14</x:f>
        <x:v>3037.573960391034</x:v>
      </x:c>
    </x:row>
    <x:row r="15">
      <x:c r="A15" s="48" t="n">
        <x:f>Inputs!$C$7+13*(Inputs!$C$8-Inputs!$C$7)/240</x:f>
        <x:v>-53.5</x:v>
      </x:c>
      <x:c r="B15" s="48" t="n">
        <x:f>Inputs!$C$5+Inputs!$C$9*(A15/Inputs!$C$10)^2</x:f>
        <x:v>403.1802777777778</x:v>
      </x:c>
      <x:c r="C15" s="48" t="n">
        <x:f>B15</x:f>
        <x:v>403.1802777777778</x:v>
      </x:c>
      <x:c r="D15" s="48" t="n">
        <x:f>SQRT((Inputs!$C$52+B15)^2+Inputs!$C$52^2-2*(Inputs!$C$52+B15)*Inputs!$C$52*COS(SQRT(A15^2+Inputs!$C$6^2)/Inputs!$C$52))</x:f>
        <x:v>408.5852137737902</x:v>
      </x:c>
      <x:c r="E15" s="48" t="n">
        <x:f>(D15-C15)*1000</x:f>
        <x:v>5404.935996012398</x:v>
      </x:c>
      <x:c r="F15" s="48" t="n">
        <x:f>E15/Inputs!$C$12</x:f>
        <x:v>3036.480896636179</x:v>
      </x:c>
      <x:c r="G15" s="48" t="n">
        <x:f>2*E15/Inputs!$C$21*1000000</x:f>
        <x:v>36.05785170227597</x:v>
      </x:c>
      <x:c r="H15" s="48" t="n">
        <x:f>SQRT(A15^2+Inputs!$C$6^2)</x:f>
        <x:v>59.052942348370756</x:v>
      </x:c>
      <x:c r="I15" s="48" t="n">
        <x:f>DEGREES(ATAN(H15/B15))</x:f>
        <x:v>8.33273894188251</x:v>
      </x:c>
      <x:c r="J15" s="48" t="n">
        <x:f>DEGREES((2*PI()/Inputs!$C$13)*Inputs!$C$15*SIN(RADIANS(I15)))</x:f>
        <x:v>52.17177410818362</x:v>
      </x:c>
      <x:c r="K15" s="48" t="n">
        <x:f>(C15/D15)^4</x:f>
        <x:v>0.9481270454637457</x:v>
      </x:c>
      <x:c r="L15" s="48" t="n">
        <x:f>10*LOG10(K15)</x:f>
        <x:v>-0.231334649329681</x:v>
      </x:c>
      <x:c r="M15" s="48" t="n">
        <x:f>2*(Inputs!$C$9/(Inputs!$C$10^2))*A15</x:f>
        <x:v>-0.11888888888888889</x:v>
      </x:c>
      <x:c r="N15" s="48" t="n">
        <x:f>M15*Inputs!$C$11</x:f>
        <x:v>-0.47555555555555556</x:v>
      </x:c>
      <x:c r="O15" s="48" t="n">
        <x:f>1000*(D16-D14)/(A16-A14)*Inputs!$C$11</x:f>
        <x:v>-1129.4602816408315</x:v>
      </x:c>
      <x:c r="P15" s="48" t="n">
        <x:f>-2*O15/Inputs!$C$13</x:f>
        <x:v>451.7841126563326</x:v>
      </x:c>
      <x:c r="Q15" s="48" t="n">
        <x:f>-2*O15/Inputs!$C$14</x:f>
        <x:v>67.8354523508007</x:v>
      </x:c>
      <x:c r="R15" s="48" t="n">
        <x:f>F15-Inputs!$C$16/2</x:f>
        <x:v>3021.480896636179</x:v>
      </x:c>
      <x:c r="S15" s="48" t="n">
        <x:f>F15+Inputs!$C$16/2</x:f>
        <x:v>3051.480896636179</x:v>
      </x:c>
      <x:c r="T15" s="48" t="n">
        <x:f>F15-Inputs!$C$17/2</x:f>
        <x:v>2886.480896636179</x:v>
      </x:c>
      <x:c r="U15" s="48" t="n">
        <x:f>F15+Inputs!$C$17/2</x:f>
        <x:v>3186.480896636179</x:v>
      </x:c>
      <x:c r="V15" s="48" t="n">
        <x:f>ABS(P15)</x:f>
        <x:v>451.7841126563326</x:v>
      </x:c>
      <x:c r="W15" s="48" t="n">
        <x:f>ABS(Q15)</x:f>
        <x:v>67.8354523508007</x:v>
      </x:c>
      <x:c r="X15" s="48" t="n">
        <x: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(0.45*SIN(2*PI()*(((A15)/Inputs!$C$49)+Inputs!$C$47*0.137))+0.35*COS(2*PI()*(((0)/Inputs!$C$50)+Inputs!$C$47*0.173))+0.20*SIN(2*PI()*(((A15)+(0))/(0.5*(Inputs!$C$49+Inputs!$C$50))+Inputs!$C$47*0.097)))+0.30*(2*((SIN(((A15)*12.9898+(0)*78.233+Inputs!$C$47*37.719))*43758.5453)-INT((SIN(((A15)*12.9898+(0)*78.233+Inputs!$C$47*37.719))*43758.5453)))-1)))</x:f>
        <x:v>49.305692333608725</x:v>
      </x:c>
      <x:c r="Y15" s="48" t="n">
        <x: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(0.45*SIN(2*PI()*(((A15)/Inputs!$C$49)+Inputs!$C$47*0.137))+0.35*COS(2*PI()*(((Inputs!$C$6)/Inputs!$C$50)+Inputs!$C$47*0.173))+0.20*SIN(2*PI()*(((A15)+(Inputs!$C$6))/(0.5*(Inputs!$C$49+Inputs!$C$50))+Inputs!$C$47*0.097)))+0.30*(2*((SIN(((A15)*12.9898+(Inputs!$C$6)*78.233+Inputs!$C$47*37.719))*43758.5453)-INT((SIN(((A15)*12.9898+(Inputs!$C$6)*78.233+Inputs!$C$47*37.719))*43758.5453)))-1)))</x:f>
        <x:v>215.04504497494062</x:v>
      </x:c>
      <x:c r="Z15" s="48" t="n">
        <x:f>B15-X15/1000</x:f>
        <x:v>403.13097208544417</x:v>
      </x:c>
      <x:c r="AA15" s="48" t="n">
        <x:f>SQRT((Inputs!$C$52+B15)^2+(Inputs!$C$52+Y15/1000)^2-2*(Inputs!$C$52+B15)*(Inputs!$C$52+Y15/1000)*COS(SQRT(A15^2+Inputs!$C$6^2)/Inputs!$C$52))</x:f>
        <x:v>408.3737550660918</x:v>
      </x:c>
      <x:c r="AB15" s="48" t="n">
        <x:f>(AA15-Z15)*1000</x:f>
        <x:v>5242.782980647633</x:v>
      </x:c>
      <x:c r="AC15" s="48" t="n">
        <x:f>AB15/Inputs!$C$12</x:f>
        <x:v>2945.383696993052</x:v>
      </x:c>
      <x:c r="AD15" s="48" t="n">
        <x:f>2*AB15/Inputs!$C$21*1000000</x:f>
        <x:v>34.97608322519997</x:v>
      </x:c>
      <x:c r="AE15" s="48" t="n">
        <x:f>DEGREES(ATAN(H15/(B15-Y15/1000)))</x:f>
        <x:v>8.337123275300746</x:v>
      </x:c>
      <x:c r="AF15" s="48" t="n">
        <x:f>DEGREES((2*PI()/Inputs!$C$13)*Inputs!$C$15*SIN(RADIANS(AE15)))</x:f>
        <x:v>52.19903071884576</x:v>
      </x:c>
      <x:c r="AG15" s="48" t="n">
        <x:f>(Z15/AA15)^4</x:f>
        <x:v>0.949627688565342</x:v>
      </x:c>
      <x:c r="AH15" s="48" t="n">
        <x:f>10*LOG10(AG15)</x:f>
        <x:v>-0.224466310207882</x:v>
      </x:c>
      <x:c r="AI15" s="48" t="n">
        <x:f>AC15-F15</x:f>
        <x:v>-91.09719964312671</x:v>
      </x:c>
      <x:c r="AJ15" s="48" t="n">
        <x:f>AD15-G15</x:f>
        <x:v>-1.0817684770759968</x:v>
      </x:c>
      <x:c r="AK15" s="48" t="n">
        <x:f>Y15-X15</x:f>
        <x:v>165.7393526413319</x:v>
      </x:c>
      <x:c r="AL15" s="48" t="n">
        <x:f>1000*(AA16-AA14)/(A16-A14)*Inputs!$C$11</x:f>
        <x:v>-1223.807754682639</x:v>
      </x:c>
      <x:c r="AM15" s="48" t="n">
        <x:f>-2*AL15/Inputs!$C$13</x:f>
        <x:v>489.52310187305557</x:v>
      </x:c>
      <x:c r="AN15" s="48" t="n">
        <x:f>-2*AL15/Inputs!$C$14</x:f>
        <x:v>73.50196724820655</x:v>
      </x:c>
      <x:c r="AO15" s="48" t="n">
        <x:f>ABS(AM15)</x:f>
        <x:v>489.52310187305557</x:v>
      </x:c>
      <x:c r="AP15" s="48" t="n">
        <x:f>ABS(AN15)</x:f>
        <x:v>73.50196724820655</x:v>
      </x:c>
      <x:c r="AQ15" s="48" t="n">
        <x:f>IF(OR(Inputs!$C$27=TRUE,Inputs!$C$27="TRUE",Inputs!$C$27=1),Inputs!$C$46/Inputs!$C$12,0)</x:f>
        <x:v>42.13483146067416</x:v>
      </x:c>
      <x:c r="AR15" s="48" t="n">
        <x:f>AC15-AQ15</x:f>
        <x:v>2903.2488655323777</x:v>
      </x:c>
      <x:c r="AS15" s="48" t="n">
        <x:f>AC15+AQ15</x:f>
        <x:v>2987.5185284537265</x:v>
      </x:c>
    </x:row>
    <x:row r="16">
      <x:c r="A16" s="48" t="n">
        <x:f>Inputs!$C$7+14*(Inputs!$C$8-Inputs!$C$7)/240</x:f>
        <x:v>-53</x:v>
      </x:c>
      <x:c r="B16" s="48" t="n">
        <x:f>Inputs!$C$5+Inputs!$C$9*(A16/Inputs!$C$10)^2</x:f>
        <x:v>403.12111111111113</x:v>
      </x:c>
      <x:c r="C16" s="48" t="n">
        <x:f>B16</x:f>
        <x:v>403.12111111111113</x:v>
      </x:c>
      <x:c r="D16" s="48" t="n">
        <x:f>SQRT((Inputs!$C$52+B16)^2+Inputs!$C$52^2-2*(Inputs!$C$52+B16)*Inputs!$C$52*COS(SQRT(A16^2+Inputs!$C$6^2)/Inputs!$C$52))</x:f>
        <x:v>408.4446732447146</x:v>
      </x:c>
      <x:c r="E16" s="48" t="n">
        <x:f>(D16-C16)*1000</x:f>
        <x:v>5323.562133603446</x:v>
      </x:c>
      <x:c r="F16" s="48" t="n">
        <x:f>E16/Inputs!$C$12</x:f>
        <x:v>2990.7652435974414</x:v>
      </x:c>
      <x:c r="G16" s="48" t="n">
        <x:f>2*E16/Inputs!$C$21*1000000</x:f>
        <x:v>35.51498372653154</x:v>
      </x:c>
      <x:c r="H16" s="48" t="n">
        <x:f>SQRT(A16^2+Inputs!$C$6^2)</x:f>
        <x:v>58.60034129593445</x:v>
      </x:c>
      <x:c r="I16" s="48" t="n">
        <x:f>DEGREES(ATAN(H16/B16))</x:f>
        <x:v>8.27095770254524</x:v>
      </x:c>
      <x:c r="J16" s="48" t="n">
        <x:f>DEGREES((2*PI()/Inputs!$C$13)*Inputs!$C$15*SIN(RADIANS(I16)))</x:f>
        <x:v>51.78765886979433</x:v>
      </x:c>
      <x:c r="K16" s="48" t="n">
        <x:f>(C16/D16)^4</x:f>
        <x:v>0.9488754782129414</x:v>
      </x:c>
      <x:c r="L16" s="48" t="n">
        <x:f>10*LOG10(K16)</x:f>
        <x:v>-0.22790776691008</x:v>
      </x:c>
      <x:c r="M16" s="48" t="n">
        <x:f>2*(Inputs!$C$9/(Inputs!$C$10^2))*A16</x:f>
        <x:v>-0.11777777777777777</x:v>
      </x:c>
      <x:c r="N16" s="48" t="n">
        <x:f>M16*Inputs!$C$11</x:f>
        <x:v>-0.4711111111111111</x:v>
      </x:c>
      <x:c r="O16" s="48" t="n">
        <x:f>1000*(D17-D15)/(A17-A15)*Inputs!$C$11</x:f>
        <x:v>-1119.1843692326984</x:v>
      </x:c>
      <x:c r="P16" s="48" t="n">
        <x:f>-2*O16/Inputs!$C$13</x:f>
        <x:v>447.67374769307935</x:v>
      </x:c>
      <x:c r="Q16" s="48" t="n">
        <x:f>-2*O16/Inputs!$C$14</x:f>
        <x:v>67.2182804343963</x:v>
      </x:c>
      <x:c r="R16" s="48" t="n">
        <x:f>F16-Inputs!$C$16/2</x:f>
        <x:v>2975.7652435974414</x:v>
      </x:c>
      <x:c r="S16" s="48" t="n">
        <x:f>F16+Inputs!$C$16/2</x:f>
        <x:v>3005.7652435974414</x:v>
      </x:c>
      <x:c r="T16" s="48" t="n">
        <x:f>F16-Inputs!$C$17/2</x:f>
        <x:v>2840.7652435974414</x:v>
      </x:c>
      <x:c r="U16" s="48" t="n">
        <x:f>F16+Inputs!$C$17/2</x:f>
        <x:v>3140.7652435974414</x:v>
      </x:c>
      <x:c r="V16" s="48" t="n">
        <x:f>ABS(P16)</x:f>
        <x:v>447.67374769307935</x:v>
      </x:c>
      <x:c r="W16" s="48" t="n">
        <x:f>ABS(Q16)</x:f>
        <x:v>67.2182804343963</x:v>
      </x:c>
      <x:c r="X16" s="48" t="n">
        <x: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(0.45*SIN(2*PI()*(((A16)/Inputs!$C$49)+Inputs!$C$47*0.137))+0.35*COS(2*PI()*(((0)/Inputs!$C$50)+Inputs!$C$47*0.173))+0.20*SIN(2*PI()*(((A16)+(0))/(0.5*(Inputs!$C$49+Inputs!$C$50))+Inputs!$C$47*0.097)))+0.30*(2*((SIN(((A16)*12.9898+(0)*78.233+Inputs!$C$47*37.719))*43758.5453)-INT((SIN(((A16)*12.9898+(0)*78.233+Inputs!$C$47*37.719))*43758.5453)))-1)))</x:f>
        <x:v>54.9618266833629</x:v>
      </x:c>
      <x:c r="Y16" s="48" t="n">
        <x: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(0.45*SIN(2*PI()*(((A16)/Inputs!$C$49)+Inputs!$C$47*0.137))+0.35*COS(2*PI()*(((Inputs!$C$6)/Inputs!$C$50)+Inputs!$C$47*0.173))+0.20*SIN(2*PI()*(((A16)+(Inputs!$C$6))/(0.5*(Inputs!$C$49+Inputs!$C$50))+Inputs!$C$47*0.097)))+0.30*(2*((SIN(((A16)*12.9898+(Inputs!$C$6)*78.233+Inputs!$C$47*37.719))*43758.5453)-INT((SIN(((A16)*12.9898+(Inputs!$C$6)*78.233+Inputs!$C$47*37.719))*43758.5453)))-1)))</x:f>
        <x:v>220.27863667842527</x:v>
      </x:c>
      <x:c r="Z16" s="48" t="n">
        <x:f>B16-X16/1000</x:f>
        <x:v>403.06614928442775</x:v>
      </x:c>
      <x:c r="AA16" s="48" t="n">
        <x:f>SQRT((Inputs!$C$52+B16)^2+(Inputs!$C$52+Y16/1000)^2-2*(Inputs!$C$52+B16)*(Inputs!$C$52+Y16/1000)*COS(SQRT(A16^2+Inputs!$C$6^2)/Inputs!$C$52))</x:f>
        <x:v>408.22801402675816</x:v>
      </x:c>
      <x:c r="AB16" s="48" t="n">
        <x:f>(AA16-Z16)*1000</x:f>
        <x:v>5161.864742330408</x:v>
      </x:c>
      <x:c r="AC16" s="48" t="n">
        <x:f>AB16/Inputs!$C$12</x:f>
        <x:v>2899.9240125451734</x:v>
      </x:c>
      <x:c r="AD16" s="48" t="n">
        <x:f>2*AB16/Inputs!$C$21*1000000</x:f>
        <x:v>34.4362548462137</x:v>
      </x:c>
      <x:c r="AE16" s="48" t="n">
        <x:f>DEGREES(ATAN(H16/(B16-Y16/1000)))</x:f>
        <x:v>8.275417086693468</x:v>
      </x:c>
      <x:c r="AF16" s="48" t="n">
        <x:f>DEGREES((2*PI()/Inputs!$C$13)*Inputs!$C$15*SIN(RADIANS(AE16)))</x:f>
        <x:v>51.81538641816805</x:v>
      </x:c>
      <x:c r="AG16" s="48" t="n">
        <x:f>(Z16/AA16)^4</x:f>
        <x:v>0.9503729976389372</x:v>
      </x:c>
      <x:c r="AH16" s="48" t="n">
        <x:f>10*LOG10(AG16)</x:f>
        <x:v>-0.221059115284983</x:v>
      </x:c>
      <x:c r="AI16" s="48" t="n">
        <x:f>AC16-F16</x:f>
        <x:v>-90.84123105226809</x:v>
      </x:c>
      <x:c r="AJ16" s="48" t="n">
        <x:f>AD16-G16</x:f>
        <x:v>-1.0787288803178399</x:v>
      </x:c>
      <x:c r="AK16" s="48" t="n">
        <x:f>Y16-X16</x:f>
        <x:v>165.31680999506239</x:v>
      </x:c>
      <x:c r="AL16" s="48" t="n">
        <x:f>1000*(AA17-AA15)/(A17-A15)*Inputs!$C$11</x:f>
        <x:v>-1172.4981951017526</x:v>
      </x:c>
      <x:c r="AM16" s="48" t="n">
        <x:f>-2*AL16/Inputs!$C$13</x:f>
        <x:v>468.99927804070103</x:v>
      </x:c>
      <x:c r="AN16" s="48" t="n">
        <x:f>-2*AL16/Inputs!$C$14</x:f>
        <x:v>70.42031201812328</x:v>
      </x:c>
      <x:c r="AO16" s="48" t="n">
        <x:f>ABS(AM16)</x:f>
        <x:v>468.99927804070103</x:v>
      </x:c>
      <x:c r="AP16" s="48" t="n">
        <x:f>ABS(AN16)</x:f>
        <x:v>70.42031201812328</x:v>
      </x:c>
      <x:c r="AQ16" s="48" t="n">
        <x:f>IF(OR(Inputs!$C$27=TRUE,Inputs!$C$27="TRUE",Inputs!$C$27=1),Inputs!$C$46/Inputs!$C$12,0)</x:f>
        <x:v>42.13483146067416</x:v>
      </x:c>
      <x:c r="AR16" s="48" t="n">
        <x:f>AC16-AQ16</x:f>
        <x:v>2857.789181084499</x:v>
      </x:c>
      <x:c r="AS16" s="48" t="n">
        <x:f>AC16+AQ16</x:f>
        <x:v>2942.0588440058477</x:v>
      </x:c>
    </x:row>
    <x:row r="17">
      <x:c r="A17" s="48" t="n">
        <x:f>Inputs!$C$7+15*(Inputs!$C$8-Inputs!$C$7)/240</x:f>
        <x:v>-52.5</x:v>
      </x:c>
      <x:c r="B17" s="48" t="n">
        <x:f>Inputs!$C$5+Inputs!$C$9*(A17/Inputs!$C$10)^2</x:f>
        <x:v>403.0625</x:v>
      </x:c>
      <x:c r="C17" s="48" t="n">
        <x:f>B17</x:f>
        <x:v>403.0625</x:v>
      </x:c>
      <x:c r="D17" s="48" t="n">
        <x:f>SQRT((Inputs!$C$52+B17)^2+Inputs!$C$52^2-2*(Inputs!$C$52+B17)*Inputs!$C$52*COS(SQRT(A17^2+Inputs!$C$6^2)/Inputs!$C$52))</x:f>
        <x:v>408.305417681482</x:v>
      </x:c>
      <x:c r="E17" s="48" t="n">
        <x:f>(D17-C17)*1000</x:f>
        <x:v>5242.917681482027</x:v>
      </x:c>
      <x:c r="F17" s="48" t="n">
        <x:f>E17/Inputs!$C$12</x:f>
        <x:v>2945.459371619116</x:v>
      </x:c>
      <x:c r="G17" s="48" t="n">
        <x:f>2*E17/Inputs!$C$21*1000000</x:f>
        <x:v>34.97698185243891</x:v>
      </x:c>
      <x:c r="H17" s="48" t="n">
        <x:f>SQRT(A17^2+Inputs!$C$6^2)</x:f>
        <x:v>58.148516748065035</x:v>
      </x:c>
      <x:c r="I17" s="48" t="n">
        <x:f>DEGREES(ATAN(H17/B17))</x:f>
        <x:v>8.2092359122646</x:v>
      </x:c>
      <x:c r="J17" s="48" t="n">
        <x:f>DEGREES((2*PI()/Inputs!$C$13)*Inputs!$C$15*SIN(RADIANS(I17)))</x:f>
        <x:v>51.403853119854354</x:v>
      </x:c>
      <x:c r="K17" s="48" t="n">
        <x:f>(C17/D17)^4</x:f>
        <x:v>0.9496181511325368</x:v>
      </x:c>
      <x:c r="L17" s="48" t="n">
        <x:f>10*LOG10(K17)</x:f>
        <x:v>-0.22450992809401601</x:v>
      </x:c>
      <x:c r="M17" s="48" t="n">
        <x:f>2*(Inputs!$C$9/(Inputs!$C$10^2))*A17</x:f>
        <x:v>-0.11666666666666667</x:v>
      </x:c>
      <x:c r="N17" s="48" t="n">
        <x:f>M17*Inputs!$C$11</x:f>
        <x:v>-0.4666666666666667</x:v>
      </x:c>
      <x:c r="O17" s="48" t="n">
        <x:f>1000*(D18-D16)/(A18-A16)*Inputs!$C$11</x:f>
        <x:v>-1108.9008574281252</x:v>
      </x:c>
      <x:c r="P17" s="48" t="n">
        <x:f>-2*O17/Inputs!$C$13</x:f>
        <x:v>443.56034297125007</x:v>
      </x:c>
      <x:c r="Q17" s="48" t="n">
        <x:f>-2*O17/Inputs!$C$14</x:f>
        <x:v>66.6006520977853</x:v>
      </x:c>
      <x:c r="R17" s="48" t="n">
        <x:f>F17-Inputs!$C$16/2</x:f>
        <x:v>2930.459371619116</x:v>
      </x:c>
      <x:c r="S17" s="48" t="n">
        <x:f>F17+Inputs!$C$16/2</x:f>
        <x:v>2960.459371619116</x:v>
      </x:c>
      <x:c r="T17" s="48" t="n">
        <x:f>F17-Inputs!$C$17/2</x:f>
        <x:v>2795.459371619116</x:v>
      </x:c>
      <x:c r="U17" s="48" t="n">
        <x:f>F17+Inputs!$C$17/2</x:f>
        <x:v>3095.459371619116</x:v>
      </x:c>
      <x:c r="V17" s="48" t="n">
        <x:f>ABS(P17)</x:f>
        <x:v>443.56034297125007</x:v>
      </x:c>
      <x:c r="W17" s="48" t="n">
        <x:f>ABS(Q17)</x:f>
        <x:v>66.6006520977853</x:v>
      </x:c>
      <x:c r="X17" s="48" t="n">
        <x: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(0.45*SIN(2*PI()*(((A17)/Inputs!$C$49)+Inputs!$C$47*0.137))+0.35*COS(2*PI()*(((0)/Inputs!$C$50)+Inputs!$C$47*0.173))+0.20*SIN(2*PI()*(((A17)+(0))/(0.5*(Inputs!$C$49+Inputs!$C$50))+Inputs!$C$47*0.097)))+0.30*(2*((SIN(((A17)*12.9898+(0)*78.233+Inputs!$C$47*37.719))*43758.5453)-INT((SIN(((A17)*12.9898+(0)*78.233+Inputs!$C$47*37.719))*43758.5453)))-1)))</x:f>
        <x:v>41.913539426844665</x:v>
      </x:c>
      <x:c r="Y17" s="48" t="n">
        <x: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(0.45*SIN(2*PI()*(((A17)/Inputs!$C$49)+Inputs!$C$47*0.137))+0.35*COS(2*PI()*(((Inputs!$C$6)/Inputs!$C$50)+Inputs!$C$47*0.173))+0.20*SIN(2*PI()*(((A17)+(Inputs!$C$6))/(0.5*(Inputs!$C$49+Inputs!$C$50))+Inputs!$C$47*0.097)))+0.30*(2*((SIN(((A17)*12.9898+(Inputs!$C$6)*78.233+Inputs!$C$47*37.719))*43758.5453)-INT((SIN(((A17)*12.9898+(Inputs!$C$6)*78.233+Inputs!$C$47*37.719))*43758.5453)))-1)))</x:f>
        <x:v>228.48571186718385</x:v>
      </x:c>
      <x:c r="Z17" s="48" t="n">
        <x:f>B17-X17/1000</x:f>
        <x:v>403.02058646057316</x:v>
      </x:c>
      <x:c r="AA17" s="48" t="n">
        <x:f>SQRT((Inputs!$C$52+B17)^2+(Inputs!$C$52+Y17/1000)^2-2*(Inputs!$C$52+B17)*(Inputs!$C$52+Y17/1000)*COS(SQRT(A17^2+Inputs!$C$6^2)/Inputs!$C$52))</x:f>
        <x:v>408.08063051731637</x:v>
      </x:c>
      <x:c r="AB17" s="48" t="n">
        <x:f>(AA17-Z17)*1000</x:f>
        <x:v>5060.044056743209</x:v>
      </x:c>
      <x:c r="AC17" s="48" t="n">
        <x:f>AB17/Inputs!$C$12</x:f>
        <x:v>2842.7213801928137</x:v>
      </x:c>
      <x:c r="AD17" s="48" t="n">
        <x:f>2*AB17/Inputs!$C$21*1000000</x:f>
        <x:v>33.7569803490067</x:v>
      </x:c>
      <x:c r="AE17" s="48" t="n">
        <x:f>DEGREES(ATAN(H17/(B17-Y17/1000)))</x:f>
        <x:v>8.213828639165651</x:v>
      </x:c>
      <x:c r="AF17" s="48" t="n">
        <x:f>DEGREES((2*PI()/Inputs!$C$13)*Inputs!$C$15*SIN(RADIANS(AE17)))</x:f>
        <x:v>51.43241421819657</x:v>
      </x:c>
      <x:c r="AG17" s="48" t="n">
        <x:f>(Z17/AA17)^4</x:f>
        <x:v>0.9513164278258599</x:v>
      </x:c>
      <x:c r="AH17" s="48" t="n">
        <x:f>10*LOG10(AG17)</x:f>
        <x:v>-0.216750035659588</x:v>
      </x:c>
      <x:c r="AI17" s="48" t="n">
        <x:f>AC17-F17</x:f>
        <x:v>-102.73799142630241</x:v>
      </x:c>
      <x:c r="AJ17" s="48" t="n">
        <x:f>AD17-G17</x:f>
        <x:v>-1.2200015034322078</x:v>
      </x:c>
      <x:c r="AK17" s="48" t="n">
        <x:f>Y17-X17</x:f>
        <x:v>186.5721724403392</x:v>
      </x:c>
      <x:c r="AL17" s="48" t="n">
        <x:f>1000*(AA18-AA16)/(A18-A16)*Inputs!$C$11</x:f>
        <x:v>-1191.8525830433282</x:v>
      </x:c>
      <x:c r="AM17" s="48" t="n">
        <x:f>-2*AL17/Inputs!$C$13</x:f>
        <x:v>476.7410332173313</x:v>
      </x:c>
      <x:c r="AN17" s="48" t="n">
        <x:f>-2*AL17/Inputs!$C$14</x:f>
        <x:v>71.58273772032001</x:v>
      </x:c>
      <x:c r="AO17" s="48" t="n">
        <x:f>ABS(AM17)</x:f>
        <x:v>476.7410332173313</x:v>
      </x:c>
      <x:c r="AP17" s="48" t="n">
        <x:f>ABS(AN17)</x:f>
        <x:v>71.58273772032001</x:v>
      </x:c>
      <x:c r="AQ17" s="48" t="n">
        <x:f>IF(OR(Inputs!$C$27=TRUE,Inputs!$C$27="TRUE",Inputs!$C$27=1),Inputs!$C$46/Inputs!$C$12,0)</x:f>
        <x:v>42.13483146067416</x:v>
      </x:c>
      <x:c r="AR17" s="48" t="n">
        <x:f>AC17-AQ17</x:f>
        <x:v>2800.5865487321394</x:v>
      </x:c>
      <x:c r="AS17" s="48" t="n">
        <x:f>AC17+AQ17</x:f>
        <x:v>2884.856211653488</x:v>
      </x:c>
    </x:row>
    <x:row r="18">
      <x:c r="A18" s="48" t="n">
        <x:f>Inputs!$C$7+16*(Inputs!$C$8-Inputs!$C$7)/240</x:f>
        <x:v>-52</x:v>
      </x:c>
      <x:c r="B18" s="48" t="n">
        <x:f>Inputs!$C$5+Inputs!$C$9*(A18/Inputs!$C$10)^2</x:f>
        <x:v>403.00444444444446</x:v>
      </x:c>
      <x:c r="C18" s="48" t="n">
        <x:f>B18</x:f>
        <x:v>403.00444444444446</x:v>
      </x:c>
      <x:c r="D18" s="48" t="n">
        <x:f>SQRT((Inputs!$C$52+B18)^2+Inputs!$C$52^2-2*(Inputs!$C$52+B18)*Inputs!$C$52*COS(SQRT(A18^2+Inputs!$C$6^2)/Inputs!$C$52))</x:f>
        <x:v>408.16744803035755</x:v>
      </x:c>
      <x:c r="E18" s="48" t="n">
        <x:f>(D18-C18)*1000</x:f>
        <x:v>5163.0035859130885</x:v>
      </x:c>
      <x:c r="F18" s="48" t="n">
        <x:f>E18/Inputs!$C$12</x:f>
        <x:v>2900.5638123107237</x:v>
      </x:c>
      <x:c r="G18" s="48" t="n">
        <x:f>2*E18/Inputs!$C$21*1000000</x:f>
        <x:v>34.44385239279828</x:v>
      </x:c>
      <x:c r="H18" s="48" t="n">
        <x:f>SQRT(A18^2+Inputs!$C$6^2)</x:f>
        <x:v>57.697486947006624</x:v>
      </x:c>
      <x:c r="I18" s="48" t="n">
        <x:f>DEGREES(ATAN(H18/B18))</x:f>
        <x:v>8.147576610261819</x:v>
      </x:c>
      <x:c r="J18" s="48" t="n">
        <x:f>DEGREES((2*PI()/Inputs!$C$13)*Inputs!$C$15*SIN(RADIANS(I18)))</x:f>
        <x:v>51.02037638000933</x:v>
      </x:c>
      <x:c r="K18" s="48" t="n">
        <x:f>(C18/D18)^4</x:f>
        <x:v>0.950355031291467</x:v>
      </x:c>
      <x:c r="L18" s="48" t="n">
        <x:f>10*LOG10(K18)</x:f>
        <x:v>-0.221141217357954</x:v>
      </x:c>
      <x:c r="M18" s="48" t="n">
        <x:f>2*(Inputs!$C$9/(Inputs!$C$10^2))*A18</x:f>
        <x:v>-0.11555555555555555</x:v>
      </x:c>
      <x:c r="N18" s="48" t="n">
        <x:f>M18*Inputs!$C$11</x:f>
        <x:v>-0.4622222222222222</x:v>
      </x:c>
      <x:c r="O18" s="48" t="n">
        <x:f>1000*(D19-D17)/(A19-A17)*Inputs!$C$11</x:f>
        <x:v>-1098.6098050404962</x:v>
      </x:c>
      <x:c r="P18" s="48" t="n">
        <x:f>-2*O18/Inputs!$C$13</x:f>
        <x:v>439.4439220161985</x:v>
      </x:c>
      <x:c r="Q18" s="48" t="n">
        <x:f>-2*O18/Inputs!$C$14</x:f>
        <x:v>65.98257087330308</x:v>
      </x:c>
      <x:c r="R18" s="48" t="n">
        <x:f>F18-Inputs!$C$16/2</x:f>
        <x:v>2885.5638123107237</x:v>
      </x:c>
      <x:c r="S18" s="48" t="n">
        <x:f>F18+Inputs!$C$16/2</x:f>
        <x:v>2915.5638123107237</x:v>
      </x:c>
      <x:c r="T18" s="48" t="n">
        <x:f>F18-Inputs!$C$17/2</x:f>
        <x:v>2750.5638123107237</x:v>
      </x:c>
      <x:c r="U18" s="48" t="n">
        <x:f>F18+Inputs!$C$17/2</x:f>
        <x:v>3050.5638123107237</x:v>
      </x:c>
      <x:c r="V18" s="48" t="n">
        <x:f>ABS(P18)</x:f>
        <x:v>439.4439220161985</x:v>
      </x:c>
      <x:c r="W18" s="48" t="n">
        <x:f>ABS(Q18)</x:f>
        <x:v>65.98257087330308</x:v>
      </x:c>
      <x:c r="X18" s="48" t="n">
        <x: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(0.45*SIN(2*PI()*(((A18)/Inputs!$C$49)+Inputs!$C$47*0.137))+0.35*COS(2*PI()*(((0)/Inputs!$C$50)+Inputs!$C$47*0.173))+0.20*SIN(2*PI()*(((A18)+(0))/(0.5*(Inputs!$C$49+Inputs!$C$50))+Inputs!$C$47*0.097)))+0.30*(2*((SIN(((A18)*12.9898+(0)*78.233+Inputs!$C$47*37.719))*43758.5453)-INT((SIN(((A18)*12.9898+(0)*78.233+Inputs!$C$47*37.719))*43758.5453)))-1)))</x:f>
        <x:v>44.0092440465048</x:v>
      </x:c>
      <x:c r="Y18" s="48" t="n">
        <x: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(0.45*SIN(2*PI()*(((A18)/Inputs!$C$49)+Inputs!$C$47*0.137))+0.35*COS(2*PI()*(((Inputs!$C$6)/Inputs!$C$50)+Inputs!$C$47*0.173))+0.20*SIN(2*PI()*(((A18)+(Inputs!$C$6))/(0.5*(Inputs!$C$49+Inputs!$C$50))+Inputs!$C$47*0.097)))+0.30*(2*((SIN(((A18)*12.9898+(Inputs!$C$6)*78.233+Inputs!$C$47*37.719))*43758.5453)-INT((SIN(((A18)*12.9898+(Inputs!$C$6)*78.233+Inputs!$C$47*37.719))*43758.5453)))-1)))</x:f>
        <x:v>241.24392327938918</x:v>
      </x:c>
      <x:c r="Z18" s="48" t="n">
        <x:f>B18-X18/1000</x:f>
        <x:v>402.96043520039797</x:v>
      </x:c>
      <x:c r="AA18" s="48" t="n">
        <x:f>SQRT((Inputs!$C$52+B18)^2+(Inputs!$C$52+Y18/1000)^2-2*(Inputs!$C$52+B18)*(Inputs!$C$52+Y18/1000)*COS(SQRT(A18^2+Inputs!$C$6^2)/Inputs!$C$52))</x:f>
        <x:v>407.9300508809973</x:v>
      </x:c>
      <x:c r="AB18" s="48" t="n">
        <x:f>(AA18-Z18)*1000</x:f>
        <x:v>4969.615680599361</x:v>
      </x:c>
      <x:c r="AC18" s="48" t="n">
        <x:f>AB18/Inputs!$C$12</x:f>
        <x:v>2791.9189216850345</x:v>
      </x:c>
      <x:c r="AD18" s="48" t="n">
        <x:f>2*AB18/Inputs!$C$21*1000000</x:f>
        <x:v>33.15370715963349</x:v>
      </x:c>
      <x:c r="AE18" s="48" t="n">
        <x:f>DEGREES(ATAN(H18/(B18-Y18/1000)))</x:f>
        <x:v>8.152391199699375</x:v>
      </x:c>
      <x:c r="AF18" s="48" t="n">
        <x:f>DEGREES((2*PI()/Inputs!$C$13)*Inputs!$C$15*SIN(RADIANS(AE18)))</x:f>
        <x:v>51.05032181386523</x:v>
      </x:c>
      <x:c r="AG18" s="48" t="n">
        <x:f>(Z18/AA18)^4</x:f>
        <x:v>0.9521531956234554</x:v>
      </x:c>
      <x:c r="AH18" s="48" t="n">
        <x:f>10*LOG10(AG18)</x:f>
        <x:v>-0.21293170668745898</x:v>
      </x:c>
      <x:c r="AI18" s="48" t="n">
        <x:f>AC18-F18</x:f>
        <x:v>-108.64489062568919</x:v>
      </x:c>
      <x:c r="AJ18" s="48" t="n">
        <x:f>AD18-G18</x:f>
        <x:v>-1.290145233164786</x:v>
      </x:c>
      <x:c r="AK18" s="48" t="n">
        <x:f>Y18-X18</x:f>
        <x:v>197.2346792328844</x:v>
      </x:c>
      <x:c r="AL18" s="48" t="n">
        <x:f>1000*(AA19-AA17)/(A19-A17)*Inputs!$C$11</x:f>
        <x:v>-1228.6234868731754</x:v>
      </x:c>
      <x:c r="AM18" s="48" t="n">
        <x:f>-2*AL18/Inputs!$C$13</x:f>
        <x:v>491.44939474927014</x:v>
      </x:c>
      <x:c r="AN18" s="48" t="n">
        <x:f>-2*AL18/Inputs!$C$14</x:f>
        <x:v>73.79120041280333</x:v>
      </x:c>
      <x:c r="AO18" s="48" t="n">
        <x:f>ABS(AM18)</x:f>
        <x:v>491.44939474927014</x:v>
      </x:c>
      <x:c r="AP18" s="48" t="n">
        <x:f>ABS(AN18)</x:f>
        <x:v>73.79120041280333</x:v>
      </x:c>
      <x:c r="AQ18" s="48" t="n">
        <x:f>IF(OR(Inputs!$C$27=TRUE,Inputs!$C$27="TRUE",Inputs!$C$27=1),Inputs!$C$46/Inputs!$C$12,0)</x:f>
        <x:v>42.13483146067416</x:v>
      </x:c>
      <x:c r="AR18" s="48" t="n">
        <x:f>AC18-AQ18</x:f>
        <x:v>2749.78409022436</x:v>
      </x:c>
      <x:c r="AS18" s="48" t="n">
        <x:f>AC18+AQ18</x:f>
        <x:v>2834.053753145709</x:v>
      </x:c>
    </x:row>
    <x:row r="19">
      <x:c r="A19" s="48" t="n">
        <x:f>Inputs!$C$7+17*(Inputs!$C$8-Inputs!$C$7)/240</x:f>
        <x:v>-51.5</x:v>
      </x:c>
      <x:c r="B19" s="48" t="n">
        <x:f>Inputs!$C$5+Inputs!$C$9*(A19/Inputs!$C$10)^2</x:f>
        <x:v>402.94694444444445</x:v>
      </x:c>
      <x:c r="C19" s="48" t="n">
        <x:f>B19</x:f>
        <x:v>402.94694444444445</x:v>
      </x:c>
      <x:c r="D19" s="48" t="n">
        <x:f>SQRT((Inputs!$C$52+B19)^2+Inputs!$C$52^2-2*(Inputs!$C$52+B19)*Inputs!$C$52*COS(SQRT(A19^2+Inputs!$C$6^2)/Inputs!$C$52))</x:f>
        <x:v>408.0307652302219</x:v>
      </x:c>
      <x:c r="E19" s="48" t="n">
        <x:f>(D19-C19)*1000</x:f>
        <x:v>5083.820785777448</x:v>
      </x:c>
      <x:c r="F19" s="48" t="n">
        <x:f>E19/Inputs!$C$12</x:f>
        <x:v>2856.0790931333977</x:v>
      </x:c>
      <x:c r="G19" s="48" t="n">
        <x:f>2*E19/Inputs!$C$21*1000000</x:f>
        <x:v>33.91560161114826</x:v>
      </x:c>
      <x:c r="H19" s="48" t="n">
        <x:f>SQRT(A19^2+Inputs!$C$6^2)</x:f>
        <x:v>57.24727067729954</x:v>
      </x:c>
      <x:c r="I19" s="48" t="n">
        <x:f>DEGREES(ATAN(H19/B19))</x:f>
        <x:v>8.085982914919201</x:v>
      </x:c>
      <x:c r="J19" s="48" t="n">
        <x:f>DEGREES((2*PI()/Inputs!$C$13)*Inputs!$C$15*SIN(RADIANS(I19)))</x:f>
        <x:v>50.63724867326966</x:v>
      </x:c>
      <x:c r="K19" s="48" t="n">
        <x:f>(C19/D19)^4</x:f>
        <x:v>0.9510860859398544</x:v>
      </x:c>
      <x:c r="L19" s="48" t="n">
        <x:f>10*LOG10(K19)</x:f>
        <x:v>-0.21780171856905</x:v>
      </x:c>
      <x:c r="M19" s="48" t="n">
        <x:f>2*(Inputs!$C$9/(Inputs!$C$10^2))*A19</x:f>
        <x:v>-0.11444444444444445</x:v>
      </x:c>
      <x:c r="N19" s="48" t="n">
        <x:f>M19*Inputs!$C$11</x:f>
        <x:v>-0.4577777777777778</x:v>
      </x:c>
      <x:c r="O19" s="48" t="n">
        <x:f>1000*(D20-D18)/(A20-A18)*Inputs!$C$11</x:f>
        <x:v>-1088.3112712756429</x:v>
      </x:c>
      <x:c r="P19" s="48" t="n">
        <x:f>-2*O19/Inputs!$C$13</x:f>
        <x:v>435.32450851025715</x:v>
      </x:c>
      <x:c r="Q19" s="48" t="n">
        <x:f>-2*O19/Inputs!$C$14</x:f>
        <x:v>65.36404031685544</x:v>
      </x:c>
      <x:c r="R19" s="48" t="n">
        <x:f>F19-Inputs!$C$16/2</x:f>
        <x:v>2841.0790931333977</x:v>
      </x:c>
      <x:c r="S19" s="48" t="n">
        <x:f>F19+Inputs!$C$16/2</x:f>
        <x:v>2871.0790931333977</x:v>
      </x:c>
      <x:c r="T19" s="48" t="n">
        <x:f>F19-Inputs!$C$17/2</x:f>
        <x:v>2706.0790931333977</x:v>
      </x:c>
      <x:c r="U19" s="48" t="n">
        <x:f>F19+Inputs!$C$17/2</x:f>
        <x:v>3006.0790931333977</x:v>
      </x:c>
      <x:c r="V19" s="48" t="n">
        <x:f>ABS(P19)</x:f>
        <x:v>435.32450851025715</x:v>
      </x:c>
      <x:c r="W19" s="48" t="n">
        <x:f>ABS(Q19)</x:f>
        <x:v>65.36404031685544</x:v>
      </x:c>
      <x:c r="X19" s="48" t="n">
        <x: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(0.45*SIN(2*PI()*(((A19)/Inputs!$C$49)+Inputs!$C$47*0.137))+0.35*COS(2*PI()*(((0)/Inputs!$C$50)+Inputs!$C$47*0.173))+0.20*SIN(2*PI()*(((A19)+(0))/(0.5*(Inputs!$C$49+Inputs!$C$50))+Inputs!$C$47*0.097)))+0.30*(2*((SIN(((A19)*12.9898+(0)*78.233+Inputs!$C$47*37.719))*43758.5453)-INT((SIN(((A19)*12.9898+(0)*78.233+Inputs!$C$47*37.719))*43758.5453)))-1)))</x:f>
        <x:v>32.491619283106324</x:v>
      </x:c>
      <x:c r="Y19" s="48" t="n">
        <x: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(0.45*SIN(2*PI()*(((A19)/Inputs!$C$49)+Inputs!$C$47*0.137))+0.35*COS(2*PI()*(((Inputs!$C$6)/Inputs!$C$50)+Inputs!$C$47*0.173))+0.20*SIN(2*PI()*(((A19)+(Inputs!$C$6))/(0.5*(Inputs!$C$49+Inputs!$C$50))+Inputs!$C$47*0.097)))+0.30*(2*((SIN(((A19)*12.9898+(Inputs!$C$6)*78.233+Inputs!$C$47*37.719))*43758.5453)-INT((SIN(((A19)*12.9898+(Inputs!$C$6)*78.233+Inputs!$C$47*37.719))*43758.5453)))-1)))</x:f>
        <x:v>261.3961473371179</x:v>
      </x:c>
      <x:c r="Z19" s="48" t="n">
        <x:f>B19-X19/1000</x:f>
        <x:v>402.91445282516133</x:v>
      </x:c>
      <x:c r="AA19" s="48" t="n">
        <x:f>SQRT((Inputs!$C$52+B19)^2+(Inputs!$C$52+Y19/1000)^2-2*(Inputs!$C$52+B19)*(Inputs!$C$52+Y19/1000)*COS(SQRT(A19^2+Inputs!$C$6^2)/Inputs!$C$52))</x:f>
        <x:v>407.77347464559807</x:v>
      </x:c>
      <x:c r="AB19" s="48" t="n">
        <x:f>(AA19-Z19)*1000</x:f>
        <x:v>4859.0218204367375</x:v>
      </x:c>
      <x:c r="AC19" s="48" t="n">
        <x:f>AB19/Inputs!$C$12</x:f>
        <x:v>2729.787539571201</x:v>
      </x:c>
      <x:c r="AD19" s="48" t="n">
        <x:f>2*AB19/Inputs!$C$21*1000000</x:f>
        <x:v>32.41590434164116</x:v>
      </x:c>
      <x:c r="AE19" s="48" t="n">
        <x:f>DEGREES(ATAN(H19/(B19-Y19/1000)))</x:f>
        <x:v>8.09116230323489</x:v>
      </x:c>
      <x:c r="AF19" s="48" t="n">
        <x:f>DEGREES((2*PI()/Inputs!$C$13)*Inputs!$C$15*SIN(RADIANS(AE19)))</x:f>
        <x:v>50.66946798304117</x:v>
      </x:c>
      <x:c r="AG19" s="48" t="n">
        <x:f>(Z19/AA19)^4</x:f>
        <x:v>0.9531812639620874</x:v>
      </x:c>
      <x:c r="AH19" s="48" t="n">
        <x:f>10*LOG10(AG19)</x:f>
        <x:v>-0.20824502873891398</x:v>
      </x:c>
      <x:c r="AI19" s="48" t="n">
        <x:f>AC19-F19</x:f>
        <x:v>-126.2915535621969</x:v>
      </x:c>
      <x:c r="AJ19" s="48" t="n">
        <x:f>AD19-G19</x:f>
        <x:v>-1.4996972695071022</x:v>
      </x:c>
      <x:c r="AK19" s="48" t="n">
        <x:f>Y19-X19</x:f>
        <x:v>228.90452805401156</x:v>
      </x:c>
      <x:c r="AL19" s="48" t="n">
        <x:f>1000*(AA20-AA18)/(A20-A18)*Inputs!$C$11</x:f>
        <x:v>-1131.0023230334991</x:v>
      </x:c>
      <x:c r="AM19" s="48" t="n">
        <x:f>-2*AL19/Inputs!$C$13</x:f>
        <x:v>452.40092921339965</x:v>
      </x:c>
      <x:c r="AN19" s="48" t="n">
        <x:f>-2*AL19/Inputs!$C$14</x:f>
        <x:v>67.92806744945942</x:v>
      </x:c>
      <x:c r="AO19" s="48" t="n">
        <x:f>ABS(AM19)</x:f>
        <x:v>452.40092921339965</x:v>
      </x:c>
      <x:c r="AP19" s="48" t="n">
        <x:f>ABS(AN19)</x:f>
        <x:v>67.92806744945942</x:v>
      </x:c>
      <x:c r="AQ19" s="48" t="n">
        <x:f>IF(OR(Inputs!$C$27=TRUE,Inputs!$C$27="TRUE",Inputs!$C$27=1),Inputs!$C$46/Inputs!$C$12,0)</x:f>
        <x:v>42.13483146067416</x:v>
      </x:c>
      <x:c r="AR19" s="48" t="n">
        <x:f>AC19-AQ19</x:f>
        <x:v>2687.6527081105264</x:v>
      </x:c>
      <x:c r="AS19" s="48" t="n">
        <x:f>AC19+AQ19</x:f>
        <x:v>2771.922371031875</x:v>
      </x:c>
    </x:row>
    <x:row r="20">
      <x:c r="A20" s="48" t="n">
        <x:f>Inputs!$C$7+18*(Inputs!$C$8-Inputs!$C$7)/240</x:f>
        <x:v>-51</x:v>
      </x:c>
      <x:c r="B20" s="48" t="n">
        <x:f>Inputs!$C$5+Inputs!$C$9*(A20/Inputs!$C$10)^2</x:f>
        <x:v>402.89</x:v>
      </x:c>
      <x:c r="C20" s="48" t="n">
        <x:f>B20</x:f>
        <x:v>402.89</x:v>
      </x:c>
      <x:c r="D20" s="48" t="n">
        <x:f>SQRT((Inputs!$C$52+B20)^2+Inputs!$C$52^2-2*(Inputs!$C$52+B20)*Inputs!$C$52*COS(SQRT(A20^2+Inputs!$C$6^2)/Inputs!$C$52))</x:f>
        <x:v>407.89537021253864</x:v>
      </x:c>
      <x:c r="E20" s="48" t="n">
        <x:f>(D20-C20)*1000</x:f>
        <x:v>5005.370212538651</x:v>
      </x:c>
      <x:c r="F20" s="48" t="n">
        <x:f>E20/Inputs!$C$12</x:f>
        <x:v>2812.005737381264</x:v>
      </x:c>
      <x:c r="G20" s="48" t="n">
        <x:f>2*E20/Inputs!$C$21*1000000</x:f>
        <x:v>33.39223572154474</x:v>
      </x:c>
      <x:c r="H20" s="48" t="n">
        <x:f>SQRT(A20^2+Inputs!$C$6^2)</x:f>
        <x:v>56.79788728465171</x:v>
      </x:c>
      <x:c r="I20" s="48" t="n">
        <x:f>DEGREES(ATAN(H20/B20))</x:f>
        <x:v>8.024458026468219</x:v>
      </x:c>
      <x:c r="J20" s="48" t="n">
        <x:f>DEGREES((2*PI()/Inputs!$C$13)*Inputs!$C$15*SIN(RADIANS(I20)))</x:f>
        <x:v>50.25449054086581</x:v>
      </x:c>
      <x:c r="K20" s="48" t="n">
        <x:f>(C20/D20)^4</x:f>
        <x:v>0.9518112825121221</x:v>
      </x:c>
      <x:c r="L20" s="48" t="n">
        <x:f>10*LOG10(K20)</x:f>
        <x:v>-0.214491514980564</x:v>
      </x:c>
      <x:c r="M20" s="48" t="n">
        <x:f>2*(Inputs!$C$9/(Inputs!$C$10^2))*A20</x:f>
        <x:v>-0.11333333333333333</x:v>
      </x:c>
      <x:c r="N20" s="48" t="n">
        <x:f>M20*Inputs!$C$11</x:f>
        <x:v>-0.4533333333333333</x:v>
      </x:c>
      <x:c r="O20" s="48" t="n">
        <x:f>1000*(D21-D19)/(A21-A19)*Inputs!$C$11</x:f>
        <x:v>-1078.0053156152007</x:v>
      </x:c>
      <x:c r="P20" s="48" t="n">
        <x:f>-2*O20/Inputs!$C$13</x:f>
        <x:v>431.2021262460803</x:v>
      </x:c>
      <x:c r="Q20" s="48" t="n">
        <x:f>-2*O20/Inputs!$C$14</x:f>
        <x:v>64.74506400091296</x:v>
      </x:c>
      <x:c r="R20" s="48" t="n">
        <x:f>F20-Inputs!$C$16/2</x:f>
        <x:v>2797.005737381264</x:v>
      </x:c>
      <x:c r="S20" s="48" t="n">
        <x:f>F20+Inputs!$C$16/2</x:f>
        <x:v>2827.005737381264</x:v>
      </x:c>
      <x:c r="T20" s="48" t="n">
        <x:f>F20-Inputs!$C$17/2</x:f>
        <x:v>2662.005737381264</x:v>
      </x:c>
      <x:c r="U20" s="48" t="n">
        <x:f>F20+Inputs!$C$17/2</x:f>
        <x:v>2962.005737381264</x:v>
      </x:c>
      <x:c r="V20" s="48" t="n">
        <x:f>ABS(P20)</x:f>
        <x:v>431.2021262460803</x:v>
      </x:c>
      <x:c r="W20" s="48" t="n">
        <x:f>ABS(Q20)</x:f>
        <x:v>64.74506400091296</x:v>
      </x:c>
      <x:c r="X20" s="48" t="n">
        <x: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(0.45*SIN(2*PI()*(((A20)/Inputs!$C$49)+Inputs!$C$47*0.137))+0.35*COS(2*PI()*(((0)/Inputs!$C$50)+Inputs!$C$47*0.173))+0.20*SIN(2*PI()*(((A20)+(0))/(0.5*(Inputs!$C$49+Inputs!$C$50))+Inputs!$C$47*0.097)))+0.30*(2*((SIN(((A20)*12.9898+(0)*78.233+Inputs!$C$47*37.719))*43758.5453)-INT((SIN(((A20)*12.9898+(0)*78.233+Inputs!$C$47*37.719))*43758.5453)))-1)))</x:f>
        <x:v>39.10881658677256</x:v>
      </x:c>
      <x:c r="Y20" s="48" t="n">
        <x: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(0.45*SIN(2*PI()*(((A20)/Inputs!$C$49)+Inputs!$C$47*0.137))+0.35*COS(2*PI()*(((Inputs!$C$6)/Inputs!$C$50)+Inputs!$C$47*0.173))+0.20*SIN(2*PI()*(((A20)+(Inputs!$C$6))/(0.5*(Inputs!$C$49+Inputs!$C$50))+Inputs!$C$47*0.097)))+0.30*(2*((SIN(((A20)*12.9898+(Inputs!$C$6)*78.233+Inputs!$C$47*37.719))*43758.5453)-INT((SIN(((A20)*12.9898+(Inputs!$C$6)*78.233+Inputs!$C$47*37.719))*43758.5453)))-1)))</x:f>
        <x:v>251.96732827517536</x:v>
      </x:c>
      <x:c r="Z20" s="48" t="n">
        <x:f>B20-X20/1000</x:f>
        <x:v>402.85089118341324</x:v>
      </x:c>
      <x:c r="AA20" s="48" t="n">
        <x:f>SQRT((Inputs!$C$52+B20)^2+(Inputs!$C$52+Y20/1000)^2-2*(Inputs!$C$52+B20)*(Inputs!$C$52+Y20/1000)*COS(SQRT(A20^2+Inputs!$C$6^2)/Inputs!$C$52))</x:f>
        <x:v>407.64730030023895</x:v>
      </x:c>
      <x:c r="AB20" s="48" t="n">
        <x:f>(AA20-Z20)*1000</x:f>
        <x:v>4796.409116825715</x:v>
      </x:c>
      <x:c r="AC20" s="48" t="n">
        <x:f>AB20/Inputs!$C$12</x:f>
        <x:v>2694.611863385233</x:v>
      </x:c>
      <x:c r="AD20" s="48" t="n">
        <x:f>2*AB20/Inputs!$C$21*1000000</x:f>
        <x:v>31.99819734508274</x:v>
      </x:c>
      <x:c r="AE20" s="48" t="n">
        <x:f>DEGREES(ATAN(H20/(B20-Y20/1000)))</x:f>
        <x:v>8.029414192252009</x:v>
      </x:c>
      <x:c r="AF20" s="48" t="n">
        <x:f>DEGREES((2*PI()/Inputs!$C$13)*Inputs!$C$15*SIN(RADIANS(AE20)))</x:f>
        <x:v>50.285325950718175</x:v>
      </x:c>
      <x:c r="AG20" s="48" t="n">
        <x:f>(Z20/AA20)^4</x:f>
        <x:v>0.9537598428217167</x:v>
      </x:c>
      <x:c r="AH20" s="48" t="n">
        <x:f>10*LOG10(AG20)</x:f>
        <x:v>-0.205609670857127</x:v>
      </x:c>
      <x:c r="AI20" s="48" t="n">
        <x:f>AC20-F20</x:f>
        <x:v>-117.39387399603129</x:v>
      </x:c>
      <x:c r="AJ20" s="48" t="n">
        <x:f>AD20-G20</x:f>
        <x:v>-1.394038376462003</x:v>
      </x:c>
      <x:c r="AK20" s="48" t="n">
        <x:f>Y20-X20</x:f>
        <x:v>212.8585116884028</x:v>
      </x:c>
      <x:c r="AL20" s="48" t="n">
        <x:f>1000*(AA21-AA19)/(A21-A19)*Inputs!$C$11</x:f>
        <x:v>-1032.5390646050892</x:v>
      </x:c>
      <x:c r="AM20" s="48" t="n">
        <x:f>-2*AL20/Inputs!$C$13</x:f>
        <x:v>413.01562584203566</x:v>
      </x:c>
      <x:c r="AN20" s="48" t="n">
        <x:f>-2*AL20/Inputs!$C$14</x:f>
        <x:v>62.01435823453989</x:v>
      </x:c>
      <x:c r="AO20" s="48" t="n">
        <x:f>ABS(AM20)</x:f>
        <x:v>413.01562584203566</x:v>
      </x:c>
      <x:c r="AP20" s="48" t="n">
        <x:f>ABS(AN20)</x:f>
        <x:v>62.01435823453989</x:v>
      </x:c>
      <x:c r="AQ20" s="48" t="n">
        <x:f>IF(OR(Inputs!$C$27=TRUE,Inputs!$C$27="TRUE",Inputs!$C$27=1),Inputs!$C$46/Inputs!$C$12,0)</x:f>
        <x:v>42.13483146067416</x:v>
      </x:c>
      <x:c r="AR20" s="48" t="n">
        <x:f>AC20-AQ20</x:f>
        <x:v>2652.4770319245586</x:v>
      </x:c>
      <x:c r="AS20" s="48" t="n">
        <x:f>AC20+AQ20</x:f>
        <x:v>2736.7466948459073</x:v>
      </x:c>
    </x:row>
    <x:row r="21">
      <x:c r="A21" s="48" t="n">
        <x:f>Inputs!$C$7+19*(Inputs!$C$8-Inputs!$C$7)/240</x:f>
        <x:v>-50.5</x:v>
      </x:c>
      <x:c r="B21" s="48" t="n">
        <x:f>Inputs!$C$5+Inputs!$C$9*(A21/Inputs!$C$10)^2</x:f>
        <x:v>402.8336111111111</x:v>
      </x:c>
      <x:c r="C21" s="48" t="n">
        <x:f>B21</x:f>
        <x:v>402.8336111111111</x:v>
      </x:c>
      <x:c r="D21" s="48" t="n">
        <x:f>SQRT((Inputs!$C$52+B21)^2+Inputs!$C$52^2-2*(Inputs!$C$52+B21)*Inputs!$C$52*COS(SQRT(A21^2+Inputs!$C$6^2)/Inputs!$C$52))</x:f>
        <x:v>407.7612639013181</x:v>
      </x:c>
      <x:c r="E21" s="48" t="n">
        <x:f>(D21-C21)*1000</x:f>
        <x:v>4927.652790206992</x:v>
      </x:c>
      <x:c r="F21" s="48" t="n">
        <x:f>E21/Inputs!$C$12</x:f>
        <x:v>2768.3442641612314</x:v>
      </x:c>
      <x:c r="G21" s="48" t="n">
        <x:f>2*E21/Inputs!$C$21*1000000</x:f>
        <x:v>32.873760888320895</x:v>
      </x:c>
      <x:c r="H21" s="48" t="n">
        <x:f>SQRT(A21^2+Inputs!$C$6^2)</x:f>
        <x:v>56.349356695529366</x:v>
      </x:c>
      <x:c r="I21" s="48" t="n">
        <x:f>DEGREES(ATAN(H21/B21))</x:f>
        <x:v>7.9630052297803156</x:v>
      </x:c>
      <x:c r="J21" s="48" t="n">
        <x:f>DEGREES((2*PI()/Inputs!$C$13)*Inputs!$C$15*SIN(RADIANS(I21)))</x:f>
        <x:v>49.87212305974802</x:v>
      </x:c>
      <x:c r="K21" s="48" t="n">
        <x:f>(C21/D21)^4</x:f>
        <x:v>0.9525305886301312</x:v>
      </x:c>
      <x:c r="L21" s="48" t="n">
        <x:f>10*LOG10(K21)</x:f>
        <x:v>-0.211210689227154</x:v>
      </x:c>
      <x:c r="M21" s="48" t="n">
        <x:f>2*(Inputs!$C$9/(Inputs!$C$10^2))*A21</x:f>
        <x:v>-0.11222222222222222</x:v>
      </x:c>
      <x:c r="N21" s="48" t="n">
        <x:f>M21*Inputs!$C$11</x:f>
        <x:v>-0.4488888888888889</x:v>
      </x:c>
      <x:c r="O21" s="48" t="n">
        <x:f>1000*(D22-D20)/(A22-A20)*Inputs!$C$11</x:f>
        <x:v>-1067.691997902557</x:v>
      </x:c>
      <x:c r="P21" s="48" t="n">
        <x:f>-2*O21/Inputs!$C$13</x:f>
        <x:v>427.0767991610228</x:v>
      </x:c>
      <x:c r="Q21" s="48" t="n">
        <x:f>-2*O21/Inputs!$C$14</x:f>
        <x:v>64.1256455196731</x:v>
      </x:c>
      <x:c r="R21" s="48" t="n">
        <x:f>F21-Inputs!$C$16/2</x:f>
        <x:v>2753.3442641612314</x:v>
      </x:c>
      <x:c r="S21" s="48" t="n">
        <x:f>F21+Inputs!$C$16/2</x:f>
        <x:v>2783.3442641612314</x:v>
      </x:c>
      <x:c r="T21" s="48" t="n">
        <x:f>F21-Inputs!$C$17/2</x:f>
        <x:v>2618.3442641612314</x:v>
      </x:c>
      <x:c r="U21" s="48" t="n">
        <x:f>F21+Inputs!$C$17/2</x:f>
        <x:v>2918.3442641612314</x:v>
      </x:c>
      <x:c r="V21" s="48" t="n">
        <x:f>ABS(P21)</x:f>
        <x:v>427.0767991610228</x:v>
      </x:c>
      <x:c r="W21" s="48" t="n">
        <x:f>ABS(Q21)</x:f>
        <x:v>64.1256455196731</x:v>
      </x:c>
      <x:c r="X21" s="48" t="n">
        <x: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(0.45*SIN(2*PI()*(((A21)/Inputs!$C$49)+Inputs!$C$47*0.137))+0.35*COS(2*PI()*(((0)/Inputs!$C$50)+Inputs!$C$47*0.173))+0.20*SIN(2*PI()*(((A21)+(0))/(0.5*(Inputs!$C$49+Inputs!$C$50))+Inputs!$C$47*0.097)))+0.30*(2*((SIN(((A21)*12.9898+(0)*78.233+Inputs!$C$47*37.719))*43758.5453)-INT((SIN(((A21)*12.9898+(0)*78.233+Inputs!$C$47*37.719))*43758.5453)))-1)))</x:f>
        <x:v>47.99583170220943</x:v>
      </x:c>
      <x:c r="Y21" s="48" t="n">
        <x: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(0.45*SIN(2*PI()*(((A21)/Inputs!$C$49)+Inputs!$C$47*0.137))+0.35*COS(2*PI()*(((Inputs!$C$6)/Inputs!$C$50)+Inputs!$C$47*0.173))+0.20*SIN(2*PI()*(((A21)+(Inputs!$C$6))/(0.5*(Inputs!$C$49+Inputs!$C$50))+Inputs!$C$47*0.097)))+0.30*(2*((SIN(((A21)*12.9898+(Inputs!$C$6)*78.233+Inputs!$C$47*37.719))*43758.5453)-INT((SIN(((A21)*12.9898+(Inputs!$C$6)*78.233+Inputs!$C$47*37.719))*43758.5453)))-1)))</x:f>
        <x:v>249.7278681272967</x:v>
      </x:c>
      <x:c r="Z21" s="48" t="n">
        <x:f>B21-X21/1000</x:f>
        <x:v>402.7856152794089</x:v>
      </x:c>
      <x:c r="AA21" s="48" t="n">
        <x:f>SQRT((Inputs!$C$52+B21)^2+(Inputs!$C$52+Y21/1000)^2-2*(Inputs!$C$52+B21)*(Inputs!$C$52+Y21/1000)*COS(SQRT(A21^2+Inputs!$C$6^2)/Inputs!$C$52))</x:f>
        <x:v>407.5153398794468</x:v>
      </x:c>
      <x:c r="AB21" s="48" t="n">
        <x:f>(AA21-Z21)*1000</x:f>
        <x:v>4729.724600037912</x:v>
      </x:c>
      <x:c r="AC21" s="48" t="n">
        <x:f>AB21/Inputs!$C$12</x:f>
        <x:v>2657.148651706692</x:v>
      </x:c>
      <x:c r="AD21" s="48" t="n">
        <x:f>2*AB21/Inputs!$C$21*1000000</x:f>
        <x:v>31.55332613496175</x:v>
      </x:c>
      <x:c r="AE21" s="48" t="n">
        <x:f>DEGREES(ATAN(H21/(B21-Y21/1000)))</x:f>
        <x:v>7.967881362692557</x:v>
      </x:c>
      <x:c r="AF21" s="48" t="n">
        <x:f>DEGREES((2*PI()/Inputs!$C$13)*Inputs!$C$15*SIN(RADIANS(AE21)))</x:f>
        <x:v>49.902465109119724</x:v>
      </x:c>
      <x:c r="AG21" s="48" t="n">
        <x:f>(Z21/AA21)^4</x:f>
        <x:v>0.9543769976690754</x:v>
      </x:c>
      <x:c r="AH21" s="48" t="n">
        <x:f>10*LOG10(AG21)</x:f>
        <x:v>-0.202800365482941</x:v>
      </x:c>
      <x:c r="AI21" s="48" t="n">
        <x:f>AC21-F21</x:f>
        <x:v>-111.19561245453951</x:v>
      </x:c>
      <x:c r="AJ21" s="48" t="n">
        <x:f>AD21-G21</x:f>
        <x:v>-1.3204347533591445</x:v>
      </x:c>
      <x:c r="AK21" s="48" t="n">
        <x:f>Y21-X21</x:f>
        <x:v>201.73203642508724</x:v>
      </x:c>
      <x:c r="AL21" s="48" t="n">
        <x:f>1000*(AA22-AA20)/(A22-A20)*Inputs!$C$11</x:f>
        <x:v>-1153.850653468453</x:v>
      </x:c>
      <x:c r="AM21" s="48" t="n">
        <x:f>-2*AL21/Inputs!$C$13</x:f>
        <x:v>461.5402613873812</x:v>
      </x:c>
      <x:c r="AN21" s="48" t="n">
        <x:f>-2*AL21/Inputs!$C$14</x:f>
        <x:v>69.30033954765484</x:v>
      </x:c>
      <x:c r="AO21" s="48" t="n">
        <x:f>ABS(AM21)</x:f>
        <x:v>461.5402613873812</x:v>
      </x:c>
      <x:c r="AP21" s="48" t="n">
        <x:f>ABS(AN21)</x:f>
        <x:v>69.30033954765484</x:v>
      </x:c>
      <x:c r="AQ21" s="48" t="n">
        <x:f>IF(OR(Inputs!$C$27=TRUE,Inputs!$C$27="TRUE",Inputs!$C$27=1),Inputs!$C$46/Inputs!$C$12,0)</x:f>
        <x:v>42.13483146067416</x:v>
      </x:c>
      <x:c r="AR21" s="48" t="n">
        <x:f>AC21-AQ21</x:f>
        <x:v>2615.0138202460175</x:v>
      </x:c>
      <x:c r="AS21" s="48" t="n">
        <x:f>AC21+AQ21</x:f>
        <x:v>2699.2834831673663</x:v>
      </x:c>
    </x:row>
    <x:row r="22">
      <x:c r="A22" s="48" t="n">
        <x:f>Inputs!$C$7+20*(Inputs!$C$8-Inputs!$C$7)/240</x:f>
        <x:v>-50</x:v>
      </x:c>
      <x:c r="B22" s="48" t="n">
        <x:f>Inputs!$C$5+Inputs!$C$9*(A22/Inputs!$C$10)^2</x:f>
        <x:v>402.77777777777777</x:v>
      </x:c>
      <x:c r="C22" s="48" t="n">
        <x:f>B22</x:f>
        <x:v>402.77777777777777</x:v>
      </x:c>
      <x:c r="D22" s="48" t="n">
        <x:f>SQRT((Inputs!$C$52+B22)^2+Inputs!$C$52^2-2*(Inputs!$C$52+B22)*Inputs!$C$52*COS(SQRT(A22^2+Inputs!$C$6^2)/Inputs!$C$52))</x:f>
        <x:v>407.628447213063</x:v>
      </x:c>
      <x:c r="E22" s="48" t="n">
        <x:f>(D22-C22)*1000</x:f>
        <x:v>4850.669435285226</x:v>
      </x:c>
      <x:c r="F22" s="48" t="n">
        <x:f>E22/Inputs!$C$12</x:f>
        <x:v>2725.0951883624866</x:v>
      </x:c>
      <x:c r="G22" s="48" t="n">
        <x:f>2*E22/Inputs!$C$21*1000000</x:f>
        <x:v>32.36018322572495</x:v>
      </x:c>
      <x:c r="H22" s="48" t="n">
        <x:f>SQRT(A22^2+Inputs!$C$6^2)</x:f>
        <x:v>55.90169943749474</x:v>
      </x:c>
      <x:c r="I22" s="48" t="n">
        <x:f>DEGREES(ATAN(H22/B22))</x:f>
        <x:v>7.901627897264307</x:v>
      </x:c>
      <x:c r="J22" s="48" t="n">
        <x:f>DEGREES((2*PI()/Inputs!$C$13)*Inputs!$C$15*SIN(RADIANS(I22)))</x:f>
        <x:v>49.490167860754674</x:v>
      </x:c>
      <x:c r="K22" s="48" t="n">
        <x:f>(C22/D22)^4</x:f>
        <x:v>0.9532439721064818</x:v>
      </x:c>
      <x:c r="L22" s="48" t="n">
        <x:f>10*LOG10(K22)</x:f>
        <x:v>-0.20795932331941502</x:v>
      </x:c>
      <x:c r="M22" s="48" t="n">
        <x:f>2*(Inputs!$C$9/(Inputs!$C$10^2))*A22</x:f>
        <x:v>-0.1111111111111111</x:v>
      </x:c>
      <x:c r="N22" s="48" t="n">
        <x:f>M22*Inputs!$C$11</x:f>
        <x:v>-0.4444444444444444</x:v>
      </x:c>
      <x:c r="O22" s="48" t="n">
        <x:f>1000*(D23-D21)/(A23-A21)*Inputs!$C$11</x:f>
        <x:v>-1057.371378303742</x:v>
      </x:c>
      <x:c r="P22" s="48" t="n">
        <x:f>-2*O22/Inputs!$C$13</x:f>
        <x:v>422.9485513214968</x:v>
      </x:c>
      <x:c r="Q22" s="48" t="n">
        <x:f>-2*O22/Inputs!$C$14</x:f>
        <x:v>63.50578848671123</x:v>
      </x:c>
      <x:c r="R22" s="48" t="n">
        <x:f>F22-Inputs!$C$16/2</x:f>
        <x:v>2710.0951883624866</x:v>
      </x:c>
      <x:c r="S22" s="48" t="n">
        <x:f>F22+Inputs!$C$16/2</x:f>
        <x:v>2740.0951883624866</x:v>
      </x:c>
      <x:c r="T22" s="48" t="n">
        <x:f>F22-Inputs!$C$17/2</x:f>
        <x:v>2575.0951883624866</x:v>
      </x:c>
      <x:c r="U22" s="48" t="n">
        <x:f>F22+Inputs!$C$17/2</x:f>
        <x:v>2875.0951883624866</x:v>
      </x:c>
      <x:c r="V22" s="48" t="n">
        <x:f>ABS(P22)</x:f>
        <x:v>422.9485513214968</x:v>
      </x:c>
      <x:c r="W22" s="48" t="n">
        <x:f>ABS(Q22)</x:f>
        <x:v>63.50578848671123</x:v>
      </x:c>
      <x:c r="X22" s="48" t="n">
        <x: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(0.45*SIN(2*PI()*(((A22)/Inputs!$C$49)+Inputs!$C$47*0.137))+0.35*COS(2*PI()*(((0)/Inputs!$C$50)+Inputs!$C$47*0.173))+0.20*SIN(2*PI()*(((A22)+(0))/(0.5*(Inputs!$C$49+Inputs!$C$50))+Inputs!$C$47*0.097)))+0.30*(2*((SIN(((A22)*12.9898+(0)*78.233+Inputs!$C$47*37.719))*43758.5453)-INT((SIN(((A22)*12.9898+(0)*78.233+Inputs!$C$47*37.719))*43758.5453)))-1)))</x:f>
        <x:v>29.034419664389077</x:v>
      </x:c>
      <x:c r="Y22" s="48" t="n">
        <x: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(0.45*SIN(2*PI()*(((A22)/Inputs!$C$49)+Inputs!$C$47*0.137))+0.35*COS(2*PI()*(((Inputs!$C$6)/Inputs!$C$50)+Inputs!$C$47*0.173))+0.20*SIN(2*PI()*(((A22)+(Inputs!$C$6))/(0.5*(Inputs!$C$49+Inputs!$C$50))+Inputs!$C$47*0.097)))+0.30*(2*((SIN(((A22)*12.9898+(Inputs!$C$6)*78.233+Inputs!$C$47*37.719))*43758.5453)-INT((SIN(((A22)*12.9898+(Inputs!$C$6)*78.233+Inputs!$C$47*37.719))*43758.5453)))-1)))</x:f>
        <x:v>273.71504099052385</x:v>
      </x:c>
      <x:c r="Z22" s="48" t="n">
        <x:f>B22-X22/1000</x:f>
        <x:v>402.74874335811336</x:v>
      </x:c>
      <x:c r="AA22" s="48" t="n">
        <x:f>SQRT((Inputs!$C$52+B22)^2+(Inputs!$C$52+Y22/1000)^2-2*(Inputs!$C$52+B22)*(Inputs!$C$52+Y22/1000)*COS(SQRT(A22^2+Inputs!$C$6^2)/Inputs!$C$52))</x:f>
        <x:v>407.35883763687184</x:v>
      </x:c>
      <x:c r="AB22" s="48" t="n">
        <x:f>(AA22-Z22)*1000</x:f>
        <x:v>4610.094278758481</x:v>
      </x:c>
      <x:c r="AC22" s="48" t="n">
        <x:f>AB22/Inputs!$C$12</x:f>
        <x:v>2589.94060604409</x:v>
      </x:c>
      <x:c r="AD22" s="48" t="n">
        <x:f>2*AB22/Inputs!$C$21*1000000</x:f>
        <x:v>30.755238537445</x:v>
      </x:c>
      <x:c r="AE22" s="48" t="n">
        <x:f>DEGREES(ATAN(H22/(B22-Y22/1000)))</x:f>
        <x:v>7.906933305257061</x:v>
      </x:c>
      <x:c r="AF22" s="48" t="n">
        <x:f>DEGREES((2*PI()/Inputs!$C$13)*Inputs!$C$15*SIN(RADIANS(AE22)))</x:f>
        <x:v>49.523186014169305</x:v>
      </x:c>
      <x:c r="AG22" s="48" t="n">
        <x:f>(Z22/AA22)^4</x:f>
        <x:v>0.9554945298324417</x:v>
      </x:c>
      <x:c r="AH22" s="48" t="n">
        <x:f>10*LOG10(AG22)</x:f>
        <x:v>-0.197717949202043</x:v>
      </x:c>
      <x:c r="AI22" s="48" t="n">
        <x:f>AC22-F22</x:f>
        <x:v>-135.15458231839648</x:v>
      </x:c>
      <x:c r="AJ22" s="48" t="n">
        <x:f>AD22-G22</x:f>
        <x:v>-1.6049446882799536</x:v>
      </x:c>
      <x:c r="AK22" s="48" t="n">
        <x:f>Y22-X22</x:f>
        <x:v>244.68062132613477</x:v>
      </x:c>
      <x:c r="AL22" s="48" t="n">
        <x:f>1000*(AA23-AA21)/(A23-A21)*Inputs!$C$11</x:f>
        <x:v>-1094.0516865593963</x:v>
      </x:c>
      <x:c r="AM22" s="48" t="n">
        <x:f>-2*AL22/Inputs!$C$13</x:f>
        <x:v>437.62067462375853</x:v>
      </x:c>
      <x:c r="AN22" s="48" t="n">
        <x:f>-2*AL22/Inputs!$C$14</x:f>
        <x:v>65.70881000356735</x:v>
      </x:c>
      <x:c r="AO22" s="48" t="n">
        <x:f>ABS(AM22)</x:f>
        <x:v>437.62067462375853</x:v>
      </x:c>
      <x:c r="AP22" s="48" t="n">
        <x:f>ABS(AN22)</x:f>
        <x:v>65.70881000356735</x:v>
      </x:c>
      <x:c r="AQ22" s="48" t="n">
        <x:f>IF(OR(Inputs!$C$27=TRUE,Inputs!$C$27="TRUE",Inputs!$C$27=1),Inputs!$C$46/Inputs!$C$12,0)</x:f>
        <x:v>42.13483146067416</x:v>
      </x:c>
      <x:c r="AR22" s="48" t="n">
        <x:f>AC22-AQ22</x:f>
        <x:v>2547.8057745834158</x:v>
      </x:c>
      <x:c r="AS22" s="48" t="n">
        <x:f>AC22+AQ22</x:f>
        <x:v>2632.0754375047645</x:v>
      </x:c>
    </x:row>
    <x:row r="23">
      <x:c r="A23" s="48" t="n">
        <x:f>Inputs!$C$7+21*(Inputs!$C$8-Inputs!$C$7)/240</x:f>
        <x:v>-49.5</x:v>
      </x:c>
      <x:c r="B23" s="48" t="n">
        <x:f>Inputs!$C$5+Inputs!$C$9*(A23/Inputs!$C$10)^2</x:f>
        <x:v>402.7225</x:v>
      </x:c>
      <x:c r="C23" s="48" t="n">
        <x:f>B23</x:f>
        <x:v>402.7225</x:v>
      </x:c>
      <x:c r="D23" s="48" t="n">
        <x:f>SQRT((Inputs!$C$52+B23)^2+Inputs!$C$52^2-2*(Inputs!$C$52+B23)*Inputs!$C$52*COS(SQRT(A23^2+Inputs!$C$6^2)/Inputs!$C$52))</x:f>
        <x:v>407.49692105674217</x:v>
      </x:c>
      <x:c r="E23" s="48" t="n">
        <x:f>(D23-C23)*1000</x:f>
        <x:v>4774.421056742141</x:v>
      </x:c>
      <x:c r="F23" s="48" t="n">
        <x:f>E23/Inputs!$C$12</x:f>
        <x:v>2682.2590206416526</x:v>
      </x:c>
      <x:c r="G23" s="48" t="n">
        <x:f>2*E23/Inputs!$C$21*1000000</x:f>
        <x:v>31.851508797743943</x:v>
      </x:c>
      <x:c r="H23" s="48" t="n">
        <x:f>SQRT(A23^2+Inputs!$C$6^2)</x:f>
        <x:v>55.45493666031907</x:v>
      </x:c>
      <x:c r="I23" s="48" t="n">
        <x:f>DEGREES(ATAN(H23/B23))</x:f>
        <x:v>7.84032949187448</x:v>
      </x:c>
      <x:c r="J23" s="48" t="n">
        <x:f>DEGREES((2*PI()/Inputs!$C$13)*Inputs!$C$15*SIN(RADIANS(I23)))</x:f>
        <x:v>49.108647147475075</x:v>
      </x:c>
      <x:c r="K23" s="48" t="n">
        <x:f>(C23/D23)^4</x:f>
        <x:v>0.9539514009475519</x:v>
      </x:c>
      <x:c r="L23" s="48" t="n">
        <x:f>10*LOG10(K23)</x:f>
        <x:v>-0.204737498639604</x:v>
      </x:c>
      <x:c r="M23" s="48" t="n">
        <x:f>2*(Inputs!$C$9/(Inputs!$C$10^2))*A23</x:f>
        <x:v>-0.11</x:v>
      </x:c>
      <x:c r="N23" s="48" t="n">
        <x:f>M23*Inputs!$C$11</x:f>
        <x:v>-0.44</x:v>
      </x:c>
      <x:c r="O23" s="48" t="n">
        <x:f>1000*(D24-D22)/(A24-A22)*Inputs!$C$11</x:f>
        <x:v>-1047.0435173044734</x:v>
      </x:c>
      <x:c r="P23" s="48" t="n">
        <x:f>-2*O23/Inputs!$C$13</x:f>
        <x:v>418.81740692178937</x:v>
      </x:c>
      <x:c r="Q23" s="48" t="n">
        <x:f>-2*O23/Inputs!$C$14</x:f>
        <x:v>62.88549653480322</x:v>
      </x:c>
      <x:c r="R23" s="48" t="n">
        <x:f>F23-Inputs!$C$16/2</x:f>
        <x:v>2667.2590206416526</x:v>
      </x:c>
      <x:c r="S23" s="48" t="n">
        <x:f>F23+Inputs!$C$16/2</x:f>
        <x:v>2697.2590206416526</x:v>
      </x:c>
      <x:c r="T23" s="48" t="n">
        <x:f>F23-Inputs!$C$17/2</x:f>
        <x:v>2532.2590206416526</x:v>
      </x:c>
      <x:c r="U23" s="48" t="n">
        <x:f>F23+Inputs!$C$17/2</x:f>
        <x:v>2832.2590206416526</x:v>
      </x:c>
      <x:c r="V23" s="48" t="n">
        <x:f>ABS(P23)</x:f>
        <x:v>418.81740692178937</x:v>
      </x:c>
      <x:c r="W23" s="48" t="n">
        <x:f>ABS(Q23)</x:f>
        <x:v>62.88549653480322</x:v>
      </x:c>
      <x:c r="X23" s="48" t="n">
        <x: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(0.45*SIN(2*PI()*(((A23)/Inputs!$C$49)+Inputs!$C$47*0.137))+0.35*COS(2*PI()*(((0)/Inputs!$C$50)+Inputs!$C$47*0.173))+0.20*SIN(2*PI()*(((A23)+(0))/(0.5*(Inputs!$C$49+Inputs!$C$50))+Inputs!$C$47*0.097)))+0.30*(2*((SIN(((A23)*12.9898+(0)*78.233+Inputs!$C$47*37.719))*43758.5453)-INT((SIN(((A23)*12.9898+(0)*78.233+Inputs!$C$47*37.719))*43758.5453)))-1)))</x:f>
        <x:v>51.90461728837901</x:v>
      </x:c>
      <x:c r="Y23" s="48" t="n">
        <x: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(0.45*SIN(2*PI()*(((A23)/Inputs!$C$49)+Inputs!$C$47*0.137))+0.35*COS(2*PI()*(((Inputs!$C$6)/Inputs!$C$50)+Inputs!$C$47*0.173))+0.20*SIN(2*PI()*(((A23)+(Inputs!$C$6))/(0.5*(Inputs!$C$49+Inputs!$C$50))+Inputs!$C$47*0.097)))+0.30*(2*((SIN(((A23)*12.9898+(Inputs!$C$6)*78.233+Inputs!$C$47*37.719))*43758.5453)-INT((SIN(((A23)*12.9898+(Inputs!$C$6)*78.233+Inputs!$C$47*37.719))*43758.5453)))-1)))</x:f>
        <x:v>258.91748425644914</x:v>
      </x:c>
      <x:c r="Z23" s="48" t="n">
        <x:f>B23-X23/1000</x:f>
        <x:v>402.67059538271167</x:v>
      </x:c>
      <x:c r="AA23" s="48" t="n">
        <x:f>SQRT((Inputs!$C$52+B23)^2+(Inputs!$C$52+Y23/1000)^2-2*(Inputs!$C$52+B23)*(Inputs!$C$52+Y23/1000)*COS(SQRT(A23^2+Inputs!$C$6^2)/Inputs!$C$52))</x:f>
        <x:v>407.24182695780695</x:v>
      </x:c>
      <x:c r="AB23" s="48" t="n">
        <x:f>(AA23-Z23)*1000</x:f>
        <x:v>4571.231575095282</x:v>
      </x:c>
      <x:c r="AC23" s="48" t="n">
        <x:f>AB23/Inputs!$C$12</x:f>
        <x:v>2568.107626458024</x:v>
      </x:c>
      <x:c r="AD23" s="48" t="n">
        <x:f>2*AB23/Inputs!$C$21*1000000</x:f>
        <x:v>30.495974485757625</x:v>
      </x:c>
      <x:c r="AE23" s="48" t="n">
        <x:f>DEGREES(ATAN(H23/(B23-Y23/1000)))</x:f>
        <x:v>7.845310632947393</x:v>
      </x:c>
      <x:c r="AF23" s="48" t="n">
        <x:f>DEGREES((2*PI()/Inputs!$C$13)*Inputs!$C$15*SIN(RADIANS(AE23)))</x:f>
        <x:v>49.139651827960755</x:v>
      </x:c>
      <x:c r="AG23" s="48" t="n">
        <x:f>(Z23/AA23)^4</x:f>
        <x:v>0.9558509122737895</x:v>
      </x:c>
      <x:c r="AH23" s="48" t="n">
        <x:f>10*LOG10(AG23)</x:f>
        <x:v>-0.196098410147421</x:v>
      </x:c>
      <x:c r="AI23" s="48" t="n">
        <x:f>AC23-F23</x:f>
        <x:v>-114.15139418362878</x:v>
      </x:c>
      <x:c r="AJ23" s="48" t="n">
        <x:f>AD23-G23</x:f>
        <x:v>-1.3555343119863181</x:v>
      </x:c>
      <x:c r="AK23" s="48" t="n">
        <x:f>Y23-X23</x:f>
        <x:v>207.01286696807014</x:v>
      </x:c>
      <x:c r="AL23" s="48" t="n">
        <x:f>1000*(AA24-AA22)/(A24-A22)*Inputs!$C$11</x:f>
        <x:v>-1028.1460184489788</x:v>
      </x:c>
      <x:c r="AM23" s="48" t="n">
        <x:f>-2*AL23/Inputs!$C$13</x:f>
        <x:v>411.2584073795915</x:v>
      </x:c>
      <x:c r="AN23" s="48" t="n">
        <x:f>-2*AL23/Inputs!$C$14</x:f>
        <x:v>61.75051161855729</x:v>
      </x:c>
      <x:c r="AO23" s="48" t="n">
        <x:f>ABS(AM23)</x:f>
        <x:v>411.2584073795915</x:v>
      </x:c>
      <x:c r="AP23" s="48" t="n">
        <x:f>ABS(AN23)</x:f>
        <x:v>61.75051161855729</x:v>
      </x:c>
      <x:c r="AQ23" s="48" t="n">
        <x:f>IF(OR(Inputs!$C$27=TRUE,Inputs!$C$27="TRUE",Inputs!$C$27=1),Inputs!$C$46/Inputs!$C$12,0)</x:f>
        <x:v>42.13483146067416</x:v>
      </x:c>
      <x:c r="AR23" s="48" t="n">
        <x:f>AC23-AQ23</x:f>
        <x:v>2525.9727949973494</x:v>
      </x:c>
      <x:c r="AS23" s="48" t="n">
        <x:f>AC23+AQ23</x:f>
        <x:v>2610.242457918698</x:v>
      </x:c>
    </x:row>
    <x:row r="24">
      <x:c r="A24" s="48" t="n">
        <x:f>Inputs!$C$7+22*(Inputs!$C$8-Inputs!$C$7)/240</x:f>
        <x:v>-49</x:v>
      </x:c>
      <x:c r="B24" s="48" t="n">
        <x:f>Inputs!$C$5+Inputs!$C$9*(A24/Inputs!$C$10)^2</x:f>
        <x:v>402.66777777777776</x:v>
      </x:c>
      <x:c r="C24" s="48" t="n">
        <x:f>B24</x:f>
        <x:v>402.66777777777776</x:v>
      </x:c>
      <x:c r="D24" s="48" t="n">
        <x:f>SQRT((Inputs!$C$52+B24)^2+Inputs!$C$52^2-2*(Inputs!$C$52+B24)*Inputs!$C$52*COS(SQRT(A24^2+Inputs!$C$6^2)/Inputs!$C$52))</x:f>
        <x:v>407.3666863337369</x:v>
      </x:c>
      <x:c r="E24" s="48" t="n">
        <x:f>(D24-C24)*1000</x:f>
        <x:v>4698.908555959122</x:v>
      </x:c>
      <x:c r="F24" s="48" t="n">
        <x:f>E24/Inputs!$C$12</x:f>
        <x:v>2639.8362673927654</x:v>
      </x:c>
      <x:c r="G24" s="48" t="n">
        <x:f>2*E24/Inputs!$C$21*1000000</x:f>
        <x:v>31.347743617747195</x:v>
      </x:c>
      <x:c r="H24" s="48" t="n">
        <x:f>SQRT(A24^2+Inputs!$C$6^2)</x:f>
        <x:v>55.00909015790027</x:v>
      </x:c>
      <x:c r="I24" s="48" t="n">
        <x:f>DEGREES(ATAN(H24/B24))</x:f>
        <x:v>7.779113570233542</x:v>
      </x:c>
      <x:c r="J24" s="48" t="n">
        <x:f>DEGREES((2*PI()/Inputs!$C$13)*Inputs!$C$15*SIN(RADIANS(I24)))</x:f>
        <x:v>48.727583715832836</x:v>
      </x:c>
      <x:c r="K24" s="48" t="n">
        <x:f>(C24/D24)^4</x:f>
        <x:v>0.954652843356775</x:v>
      </x:c>
      <x:c r="L24" s="48" t="n">
        <x:f>10*LOG10(K24)</x:f>
        <x:v>-0.20154529593626297</x:v>
      </x:c>
      <x:c r="M24" s="48" t="n">
        <x:f>2*(Inputs!$C$9/(Inputs!$C$10^2))*A24</x:f>
        <x:v>-0.10888888888888888</x:v>
      </x:c>
      <x:c r="N24" s="48" t="n">
        <x:f>M24*Inputs!$C$11</x:f>
        <x:v>-0.43555555555555553</x:v>
      </x:c>
      <x:c r="O24" s="48" t="n">
        <x:f>1000*(D25-D23)/(A25-A23)*Inputs!$C$11</x:f>
        <x:v>-1036.7084757508565</x:v>
      </x:c>
      <x:c r="P24" s="48" t="n">
        <x:f>-2*O24/Inputs!$C$13</x:f>
        <x:v>414.6833903003426</x:v>
      </x:c>
      <x:c r="Q24" s="48" t="n">
        <x:f>-2*O24/Inputs!$C$14</x:f>
        <x:v>62.26477331836976</x:v>
      </x:c>
      <x:c r="R24" s="48" t="n">
        <x:f>F24-Inputs!$C$16/2</x:f>
        <x:v>2624.8362673927654</x:v>
      </x:c>
      <x:c r="S24" s="48" t="n">
        <x:f>F24+Inputs!$C$16/2</x:f>
        <x:v>2654.8362673927654</x:v>
      </x:c>
      <x:c r="T24" s="48" t="n">
        <x:f>F24-Inputs!$C$17/2</x:f>
        <x:v>2489.8362673927654</x:v>
      </x:c>
      <x:c r="U24" s="48" t="n">
        <x:f>F24+Inputs!$C$17/2</x:f>
        <x:v>2789.8362673927654</x:v>
      </x:c>
      <x:c r="V24" s="48" t="n">
        <x:f>ABS(P24)</x:f>
        <x:v>414.6833903003426</x:v>
      </x:c>
      <x:c r="W24" s="48" t="n">
        <x:f>ABS(Q24)</x:f>
        <x:v>62.26477331836976</x:v>
      </x:c>
      <x:c r="X24" s="48" t="n">
        <x: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(0.45*SIN(2*PI()*(((A24)/Inputs!$C$49)+Inputs!$C$47*0.137))+0.35*COS(2*PI()*(((0)/Inputs!$C$50)+Inputs!$C$47*0.173))+0.20*SIN(2*PI()*(((A24)+(0))/(0.5*(Inputs!$C$49+Inputs!$C$50))+Inputs!$C$47*0.097)))+0.30*(2*((SIN(((A24)*12.9898+(0)*78.233+Inputs!$C$47*37.719))*43758.5453)-INT((SIN(((A24)*12.9898+(0)*78.233+Inputs!$C$47*37.719))*43758.5453)))-1)))</x:f>
        <x:v>39.64300304421553</x:v>
      </x:c>
      <x:c r="Y24" s="48" t="n">
        <x: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(0.45*SIN(2*PI()*(((A24)/Inputs!$C$49)+Inputs!$C$47*0.137))+0.35*COS(2*PI()*(((Inputs!$C$6)/Inputs!$C$50)+Inputs!$C$47*0.173))+0.20*SIN(2*PI()*(((A24)+(Inputs!$C$6))/(0.5*(Inputs!$C$49+Inputs!$C$50))+Inputs!$C$47*0.097)))+0.30*(2*((SIN(((A24)*12.9898+(Inputs!$C$6)*78.233+Inputs!$C$47*37.719))*43758.5453)-INT((SIN(((A24)*12.9898+(Inputs!$C$6)*78.233+Inputs!$C$47*37.719))*43758.5453)))-1)))</x:f>
        <x:v>268.7927966209557</x:v>
      </x:c>
      <x:c r="Z24" s="48" t="n">
        <x:f>B24-X24/1000</x:f>
        <x:v>402.62813477473355</x:v>
      </x:c>
      <x:c r="AA24" s="48" t="n">
        <x:f>SQRT((Inputs!$C$52+B24)^2+(Inputs!$C$52+Y24/1000)^2-2*(Inputs!$C$52+B24)*(Inputs!$C$52+Y24/1000)*COS(SQRT(A24^2+Inputs!$C$6^2)/Inputs!$C$52))</x:f>
        <x:v>407.1018011322596</x:v>
      </x:c>
      <x:c r="AB24" s="48" t="n">
        <x:f>(AA24-Z24)*1000</x:f>
        <x:v>4473.666357526043</x:v>
      </x:c>
      <x:c r="AC24" s="48" t="n">
        <x:f>AB24/Inputs!$C$12</x:f>
        <x:v>2513.295706475305</x:v>
      </x:c>
      <x:c r="AD24" s="48" t="n">
        <x:f>2*AB24/Inputs!$C$21*1000000</x:f>
        <x:v>29.84508941533174</x:v>
      </x:c>
      <x:c r="AE24" s="48" t="n">
        <x:f>DEGREES(ATAN(H24/(B24-Y24/1000)))</x:f>
        <x:v>7.784246144390463</x:v>
      </x:c>
      <x:c r="AF24" s="48" t="n">
        <x:f>DEGREES((2*PI()/Inputs!$C$13)*Inputs!$C$15*SIN(RADIANS(AE24)))</x:f>
        <x:v>48.75953565604719</x:v>
      </x:c>
      <x:c r="AG24" s="48" t="n">
        <x:f>(Z24/AA24)^4</x:f>
        <x:v>0.9567630208204264</x:v>
      </x:c>
      <x:c r="AH24" s="48" t="n">
        <x:f>10*LOG10(AG24)</x:f>
        <x:v>-0.19195618644114598</x:v>
      </x:c>
      <x:c r="AI24" s="48" t="n">
        <x:f>AC24-F24</x:f>
        <x:v>-126.54056091746043</x:v>
      </x:c>
      <x:c r="AJ24" s="48" t="n">
        <x:f>AD24-G24</x:f>
        <x:v>-1.5026542024154566</x:v>
      </x:c>
      <x:c r="AK24" s="48" t="n">
        <x:f>Y24-X24</x:f>
        <x:v>229.14979357674017</x:v>
      </x:c>
      <x:c r="AL24" s="48" t="n">
        <x:f>1000*(AA25-AA23)/(A25-A23)*Inputs!$C$11</x:f>
        <x:v>-1063.0657247854742</x:v>
      </x:c>
      <x:c r="AM24" s="48" t="n">
        <x:f>-2*AL24/Inputs!$C$13</x:f>
        <x:v>425.2262899141897</x:v>
      </x:c>
      <x:c r="AN24" s="48" t="n">
        <x:f>-2*AL24/Inputs!$C$14</x:f>
        <x:v>63.847791278406866</x:v>
      </x:c>
      <x:c r="AO24" s="48" t="n">
        <x:f>ABS(AM24)</x:f>
        <x:v>425.2262899141897</x:v>
      </x:c>
      <x:c r="AP24" s="48" t="n">
        <x:f>ABS(AN24)</x:f>
        <x:v>63.847791278406866</x:v>
      </x:c>
      <x:c r="AQ24" s="48" t="n">
        <x:f>IF(OR(Inputs!$C$27=TRUE,Inputs!$C$27="TRUE",Inputs!$C$27=1),Inputs!$C$46/Inputs!$C$12,0)</x:f>
        <x:v>42.13483146067416</x:v>
      </x:c>
      <x:c r="AR24" s="48" t="n">
        <x:f>AC24-AQ24</x:f>
        <x:v>2471.1608750146306</x:v>
      </x:c>
      <x:c r="AS24" s="48" t="n">
        <x:f>AC24+AQ24</x:f>
        <x:v>2555.4305379359794</x:v>
      </x:c>
    </x:row>
    <x:row r="25">
      <x:c r="A25" s="48" t="n">
        <x:f>Inputs!$C$7+23*(Inputs!$C$8-Inputs!$C$7)/240</x:f>
        <x:v>-48.5</x:v>
      </x:c>
      <x:c r="B25" s="48" t="n">
        <x:f>Inputs!$C$5+Inputs!$C$9*(A25/Inputs!$C$10)^2</x:f>
        <x:v>402.6136111111111</x:v>
      </x:c>
      <x:c r="C25" s="48" t="n">
        <x:f>B25</x:f>
        <x:v>402.6136111111111</x:v>
      </x:c>
      <x:c r="D25" s="48" t="n">
        <x:f>SQRT((Inputs!$C$52+B25)^2+Inputs!$C$52^2-2*(Inputs!$C$52+B25)*Inputs!$C$52*COS(SQRT(A25^2+Inputs!$C$6^2)/Inputs!$C$52))</x:f>
        <x:v>407.23774393780445</x:v>
      </x:c>
      <x:c r="E25" s="48" t="n">
        <x:f>(D25-C25)*1000</x:f>
        <x:v>4624.132826693369</x:v>
      </x:c>
      <x:c r="F25" s="48" t="n">
        <x:f>E25/Inputs!$C$12</x:f>
        <x:v>2597.8274307266115</x:v>
      </x:c>
      <x:c r="G25" s="48" t="n">
        <x:f>2*E25/Inputs!$C$21*1000000</x:f>
        <x:v>30.84889364824094</x:v>
      </x:c>
      <x:c r="H25" s="48" t="n">
        <x:f>SQRT(A25^2+Inputs!$C$6^2)</x:f>
        <x:v>54.56418239101544</x:v>
      </x:c>
      <x:c r="I25" s="48" t="n">
        <x:f>DEGREES(ATAN(H25/B25))</x:f>
        <x:v>7.717983785874701</x:v>
      </x:c>
      <x:c r="J25" s="48" t="n">
        <x:f>DEGREES((2*PI()/Inputs!$C$13)*Inputs!$C$15*SIN(RADIANS(I25)))</x:f>
        <x:v>48.347000974416595</x:v>
      </x:c>
      <x:c r="K25" s="48" t="n">
        <x:f>(C25/D25)^4</x:f>
        <x:v>0.9553482677377663</x:v>
      </x:c>
      <x:c r="L25" s="48" t="n">
        <x:f>10*LOG10(K25)</x:f>
        <x:v>-0.198382795319515</x:v>
      </x:c>
      <x:c r="M25" s="48" t="n">
        <x:f>2*(Inputs!$C$9/(Inputs!$C$10^2))*A25</x:f>
        <x:v>-0.10777777777777778</x:v>
      </x:c>
      <x:c r="N25" s="48" t="n">
        <x:f>M25*Inputs!$C$11</x:f>
        <x:v>-0.4311111111111111</x:v>
      </x:c>
      <x:c r="O25" s="48" t="n">
        <x:f>1000*(D26-D24)/(A26-A24)*Inputs!$C$11</x:f>
        <x:v>-1026.3663147777606</x:v>
      </x:c>
      <x:c r="P25" s="48" t="n">
        <x:f>-2*O25/Inputs!$C$13</x:f>
        <x:v>410.54652591110425</x:v>
      </x:c>
      <x:c r="Q25" s="48" t="n">
        <x:f>-2*O25/Inputs!$C$14</x:f>
        <x:v>61.64362250917482</x:v>
      </x:c>
      <x:c r="R25" s="48" t="n">
        <x:f>F25-Inputs!$C$16/2</x:f>
        <x:v>2582.8274307266115</x:v>
      </x:c>
      <x:c r="S25" s="48" t="n">
        <x:f>F25+Inputs!$C$16/2</x:f>
        <x:v>2612.8274307266115</x:v>
      </x:c>
      <x:c r="T25" s="48" t="n">
        <x:f>F25-Inputs!$C$17/2</x:f>
        <x:v>2447.8274307266115</x:v>
      </x:c>
      <x:c r="U25" s="48" t="n">
        <x:f>F25+Inputs!$C$17/2</x:f>
        <x:v>2747.8274307266115</x:v>
      </x:c>
      <x:c r="V25" s="48" t="n">
        <x:f>ABS(P25)</x:f>
        <x:v>410.54652591110425</x:v>
      </x:c>
      <x:c r="W25" s="48" t="n">
        <x:f>ABS(Q25)</x:f>
        <x:v>61.64362250917482</x:v>
      </x:c>
      <x:c r="X25" s="48" t="n">
        <x: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(0.45*SIN(2*PI()*(((A25)/Inputs!$C$49)+Inputs!$C$47*0.137))+0.35*COS(2*PI()*(((0)/Inputs!$C$50)+Inputs!$C$47*0.173))+0.20*SIN(2*PI()*(((A25)+(0))/(0.5*(Inputs!$C$49+Inputs!$C$50))+Inputs!$C$47*0.097)))+0.30*(2*((SIN(((A25)*12.9898+(0)*78.233+Inputs!$C$47*37.719))*43758.5453)-INT((SIN(((A25)*12.9898+(0)*78.233+Inputs!$C$47*37.719))*43758.5453)))-1)))</x:f>
        <x:v>40.329360187280464</x:v>
      </x:c>
      <x:c r="Y25" s="48" t="n">
        <x: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(0.45*SIN(2*PI()*(((A25)/Inputs!$C$49)+Inputs!$C$47*0.137))+0.35*COS(2*PI()*(((Inputs!$C$6)/Inputs!$C$50)+Inputs!$C$47*0.173))+0.20*SIN(2*PI()*(((A25)+(Inputs!$C$6))/(0.5*(Inputs!$C$49+Inputs!$C$50))+Inputs!$C$47*0.097)))+0.30*(2*((SIN(((A25)*12.9898+(Inputs!$C$6)*78.233+Inputs!$C$47*37.719))*43758.5453)-INT((SIN(((A25)*12.9898+(Inputs!$C$6)*78.233+Inputs!$C$47*37.719))*43758.5453)))-1)))</x:f>
        <x:v>265.4824606971943</x:v>
      </x:c>
      <x:c r="Z25" s="48" t="n">
        <x:f>B25-X25/1000</x:f>
        <x:v>402.5732817509238</x:v>
      </x:c>
      <x:c r="AA25" s="48" t="n">
        <x:f>SQRT((Inputs!$C$52+B25)^2+(Inputs!$C$52+Y25/1000)^2-2*(Inputs!$C$52+B25)*(Inputs!$C$52+Y25/1000)*COS(SQRT(A25^2+Inputs!$C$6^2)/Inputs!$C$52))</x:f>
        <x:v>406.9760605266106</x:v>
      </x:c>
      <x:c r="AB25" s="48" t="n">
        <x:f>(AA25-Z25)*1000</x:f>
        <x:v>4402.778775686784</x:v>
      </x:c>
      <x:c r="AC25" s="48" t="n">
        <x:f>AB25/Inputs!$C$12</x:f>
        <x:v>2473.471222295946</x:v>
      </x:c>
      <x:c r="AD25" s="48" t="n">
        <x:f>2*AB25/Inputs!$C$21*1000000</x:f>
        <x:v>29.372178373391794</x:v>
      </x:c>
      <x:c r="AE25" s="48" t="n">
        <x:f>DEGREES(ATAN(H25/(B25-Y25/1000)))</x:f>
        <x:v>7.72301492341192</x:v>
      </x:c>
      <x:c r="AF25" s="48" t="n">
        <x:f>DEGREES((2*PI()/Inputs!$C$13)*Inputs!$C$15*SIN(RADIANS(AE25)))</x:f>
        <x:v>48.37832599125807</x:v>
      </x:c>
      <x:c r="AG25" s="48" t="n">
        <x:f>(Z25/AA25)^4</x:f>
        <x:v>0.9574240612450751</x:v>
      </x:c>
      <x:c r="AH25" s="48" t="n">
        <x:f>10*LOG10(AG25)</x:f>
        <x:v>-0.188956623620541</x:v>
      </x:c>
      <x:c r="AI25" s="48" t="n">
        <x:f>AC25-F25</x:f>
        <x:v>-124.35620843066545</x:v>
      </x:c>
      <x:c r="AJ25" s="48" t="n">
        <x:f>AD25-G25</x:f>
        <x:v>-1.4767152748491448</x:v>
      </x:c>
      <x:c r="AK25" s="48" t="n">
        <x:f>Y25-X25</x:f>
        <x:v>225.15310050991386</x:v>
      </x:c>
      <x:c r="AL25" s="48" t="n">
        <x:f>1000*(AA26-AA24)/(A26-A24)*Inputs!$C$11</x:f>
        <x:v>-967.0844764020785</x:v>
      </x:c>
      <x:c r="AM25" s="48" t="n">
        <x:f>-2*AL25/Inputs!$C$13</x:f>
        <x:v>386.8337905608314</x:v>
      </x:c>
      <x:c r="AN25" s="48" t="n">
        <x:f>-2*AL25/Inputs!$C$14</x:f>
        <x:v>58.083151735860575</x:v>
      </x:c>
      <x:c r="AO25" s="48" t="n">
        <x:f>ABS(AM25)</x:f>
        <x:v>386.8337905608314</x:v>
      </x:c>
      <x:c r="AP25" s="48" t="n">
        <x:f>ABS(AN25)</x:f>
        <x:v>58.083151735860575</x:v>
      </x:c>
      <x:c r="AQ25" s="48" t="n">
        <x:f>IF(OR(Inputs!$C$27=TRUE,Inputs!$C$27="TRUE",Inputs!$C$27=1),Inputs!$C$46/Inputs!$C$12,0)</x:f>
        <x:v>42.13483146067416</x:v>
      </x:c>
      <x:c r="AR25" s="48" t="n">
        <x:f>AC25-AQ25</x:f>
        <x:v>2431.3363908352717</x:v>
      </x:c>
      <x:c r="AS25" s="48" t="n">
        <x:f>AC25+AQ25</x:f>
        <x:v>2515.6060537566204</x:v>
      </x:c>
    </x:row>
    <x:row r="26">
      <x:c r="A26" s="48" t="n">
        <x:f>Inputs!$C$7+24*(Inputs!$C$8-Inputs!$C$7)/240</x:f>
        <x:v>-48</x:v>
      </x:c>
      <x:c r="B26" s="48" t="n">
        <x:f>Inputs!$C$5+Inputs!$C$9*(A26/Inputs!$C$10)^2</x:f>
        <x:v>402.56</x:v>
      </x:c>
      <x:c r="C26" s="48" t="n">
        <x:f>B26</x:f>
        <x:v>402.56</x:v>
      </x:c>
      <x:c r="D26" s="48" t="n">
        <x:f>SQRT((Inputs!$C$52+B26)^2+Inputs!$C$52^2-2*(Inputs!$C$52+B26)*Inputs!$C$52*COS(SQRT(A26^2+Inputs!$C$6^2)/Inputs!$C$52))</x:f>
        <x:v>407.11009475504244</x:v>
      </x:c>
      <x:c r="E26" s="48" t="n">
        <x:f>(D26-C26)*1000</x:f>
        <x:v>4550.094755042437</x:v>
      </x:c>
      <x:c r="F26" s="48" t="n">
        <x:f>E26/Inputs!$C$12</x:f>
        <x:v>2556.233008450807</x:v>
      </x:c>
      <x:c r="G26" s="48" t="n">
        <x:f>2*E26/Inputs!$C$21*1000000</x:f>
        <x:v>30.354964800631755</x:v>
      </x:c>
      <x:c r="H26" s="48" t="n">
        <x:f>SQRT(A26^2+Inputs!$C$6^2)</x:f>
        <x:v>54.120236510939236</x:v>
      </x:c>
      <x:c r="I26" s="48" t="n">
        <x:f>DEGREES(ATAN(H26/B26))</x:f>
        <x:v>7.656943892607386</x:v>
      </x:c>
      <x:c r="J26" s="48" t="n">
        <x:f>DEGREES((2*PI()/Inputs!$C$13)*Inputs!$C$15*SIN(RADIANS(I26)))</x:f>
        <x:v>47.96692296558639</x:v>
      </x:c>
      <x:c r="K26" s="48" t="n">
        <x:f>(C26/D26)^4</x:f>
        <x:v>0.9560376426974181</x:v>
      </x:c>
      <x:c r="L26" s="48" t="n">
        <x:f>10*LOG10(K26)</x:f>
        <x:v>-0.195250076256491</x:v>
      </x:c>
      <x:c r="M26" s="48" t="n">
        <x:f>2*(Inputs!$C$9/(Inputs!$C$10^2))*A26</x:f>
        <x:v>-0.10666666666666666</x:v>
      </x:c>
      <x:c r="N26" s="48" t="n">
        <x:f>M26*Inputs!$C$11</x:f>
        <x:v>-0.42666666666666664</x:v>
      </x:c>
      <x:c r="O26" s="48" t="n">
        <x:f>1000*(D27-D25)/(A27-A25)*Inputs!$C$11</x:f>
        <x:v>-1016.0170958615709</x:v>
      </x:c>
      <x:c r="P26" s="48" t="n">
        <x:f>-2*O26/Inputs!$C$13</x:f>
        <x:v>406.40683834462834</x:v>
      </x:c>
      <x:c r="Q26" s="48" t="n">
        <x:f>-2*O26/Inputs!$C$14</x:f>
        <x:v>61.02204779949375</x:v>
      </x:c>
      <x:c r="R26" s="48" t="n">
        <x:f>F26-Inputs!$C$16/2</x:f>
        <x:v>2541.233008450807</x:v>
      </x:c>
      <x:c r="S26" s="48" t="n">
        <x:f>F26+Inputs!$C$16/2</x:f>
        <x:v>2571.233008450807</x:v>
      </x:c>
      <x:c r="T26" s="48" t="n">
        <x:f>F26-Inputs!$C$17/2</x:f>
        <x:v>2406.233008450807</x:v>
      </x:c>
      <x:c r="U26" s="48" t="n">
        <x:f>F26+Inputs!$C$17/2</x:f>
        <x:v>2706.233008450807</x:v>
      </x:c>
      <x:c r="V26" s="48" t="n">
        <x:f>ABS(P26)</x:f>
        <x:v>406.40683834462834</x:v>
      </x:c>
      <x:c r="W26" s="48" t="n">
        <x:f>ABS(Q26)</x:f>
        <x:v>61.02204779949375</x:v>
      </x:c>
      <x:c r="X26" s="48" t="n">
        <x: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(0.45*SIN(2*PI()*(((A26)/Inputs!$C$49)+Inputs!$C$47*0.137))+0.35*COS(2*PI()*(((0)/Inputs!$C$50)+Inputs!$C$47*0.173))+0.20*SIN(2*PI()*(((A26)+(0))/(0.5*(Inputs!$C$49+Inputs!$C$50))+Inputs!$C$47*0.097)))+0.30*(2*((SIN(((A26)*12.9898+(0)*78.233+Inputs!$C$47*37.719))*43758.5453)-INT((SIN(((A26)*12.9898+(0)*78.233+Inputs!$C$47*37.719))*43758.5453)))-1)))</x:f>
        <x:v>55.67705400563339</x:v>
      </x:c>
      <x:c r="Y26" s="48" t="n">
        <x: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(0.45*SIN(2*PI()*(((A26)/Inputs!$C$49)+Inputs!$C$47*0.137))+0.35*COS(2*PI()*(((Inputs!$C$6)/Inputs!$C$50)+Inputs!$C$47*0.173))+0.20*SIN(2*PI()*(((A26)+(Inputs!$C$6))/(0.5*(Inputs!$C$49+Inputs!$C$50))+Inputs!$C$47*0.097)))+0.30*(2*((SIN(((A26)*12.9898+(Inputs!$C$6)*78.233+Inputs!$C$47*37.719))*43758.5453)-INT((SIN(((A26)*12.9898+(Inputs!$C$6)*78.233+Inputs!$C$47*37.719))*43758.5453)))-1)))</x:f>
        <x:v>253.6370227527636</x:v>
      </x:c>
      <x:c r="Z26" s="48" t="n">
        <x:f>B26-X26/1000</x:f>
        <x:v>402.5043229459944</x:v>
      </x:c>
      <x:c r="AA26" s="48" t="n">
        <x:f>SQRT((Inputs!$C$52+B26)^2+(Inputs!$C$52+Y26/1000)^2-2*(Inputs!$C$52+B26)*(Inputs!$C$52+Y26/1000)*COS(SQRT(A26^2+Inputs!$C$6^2)/Inputs!$C$52))</x:f>
        <x:v>406.8600300131591</x:v>
      </x:c>
      <x:c r="AB26" s="48" t="n">
        <x:f>(AA26-Z26)*1000</x:f>
        <x:v>4355.707067164702</x:v>
      </x:c>
      <x:c r="AC26" s="48" t="n">
        <x:f>AB26/Inputs!$C$12</x:f>
        <x:v>2447.0264422273603</x:v>
      </x:c>
      <x:c r="AD26" s="48" t="n">
        <x:f>2*AB26/Inputs!$C$21*1000000</x:f>
        <x:v>29.058149736139804</x:v>
      </x:c>
      <x:c r="AE26" s="48" t="n">
        <x:f>DEGREES(ATAN(H26/(B26-Y26/1000)))</x:f>
        <x:v>7.661713945198251</x:v>
      </x:c>
      <x:c r="AF26" s="48" t="n">
        <x:f>DEGREES((2*PI()/Inputs!$C$13)*Inputs!$C$15*SIN(RADIANS(AE26)))</x:f>
        <x:v>47.996626689338996</x:v>
      </x:c>
      <x:c r="AG26" s="48" t="n">
        <x:f>(Z26/AA26)^4</x:f>
        <x:v>0.957860113859787</x:v>
      </x:c>
      <x:c r="AH26" s="48" t="n">
        <x:f>10*LOG10(AG26)</x:f>
        <x:v>-0.186979107697605</x:v>
      </x:c>
      <x:c r="AI26" s="48" t="n">
        <x:f>AC26-F26</x:f>
        <x:v>-109.20656622344677</x:v>
      </x:c>
      <x:c r="AJ26" s="48" t="n">
        <x:f>AD26-G26</x:f>
        <x:v>-1.2968150644919518</x:v>
      </x:c>
      <x:c r="AK26" s="48" t="n">
        <x:f>Y26-X26</x:f>
        <x:v>197.95996874713023</x:v>
      </x:c>
      <x:c r="AL26" s="48" t="n">
        <x:f>1000*(AA27-AA25)/(A27-A25)*Inputs!$C$11</x:f>
        <x:v>-1005.7343116893662</x:v>
      </x:c>
      <x:c r="AM26" s="48" t="n">
        <x:f>-2*AL26/Inputs!$C$13</x:f>
        <x:v>402.2937246757465</x:v>
      </x:c>
      <x:c r="AN26" s="48" t="n">
        <x:f>-2*AL26/Inputs!$C$14</x:f>
        <x:v>60.404463164526504</x:v>
      </x:c>
      <x:c r="AO26" s="48" t="n">
        <x:f>ABS(AM26)</x:f>
        <x:v>402.2937246757465</x:v>
      </x:c>
      <x:c r="AP26" s="48" t="n">
        <x:f>ABS(AN26)</x:f>
        <x:v>60.404463164526504</x:v>
      </x:c>
      <x:c r="AQ26" s="48" t="n">
        <x:f>IF(OR(Inputs!$C$27=TRUE,Inputs!$C$27="TRUE",Inputs!$C$27=1),Inputs!$C$46/Inputs!$C$12,0)</x:f>
        <x:v>42.13483146067416</x:v>
      </x:c>
      <x:c r="AR26" s="48" t="n">
        <x:f>AC26-AQ26</x:f>
        <x:v>2404.891610766686</x:v>
      </x:c>
      <x:c r="AS26" s="48" t="n">
        <x:f>AC26+AQ26</x:f>
        <x:v>2489.1612736880347</x:v>
      </x:c>
    </x:row>
    <x:row r="27">
      <x:c r="A27" s="48" t="n">
        <x:f>Inputs!$C$7+25*(Inputs!$C$8-Inputs!$C$7)/240</x:f>
        <x:v>-47.5</x:v>
      </x:c>
      <x:c r="B27" s="48" t="n">
        <x:f>Inputs!$C$5+Inputs!$C$9*(A27/Inputs!$C$10)^2</x:f>
        <x:v>402.50694444444446</x:v>
      </x:c>
      <x:c r="C27" s="48" t="n">
        <x:f>B27</x:f>
        <x:v>402.50694444444446</x:v>
      </x:c>
      <x:c r="D27" s="48" t="n">
        <x:f>SQRT((Inputs!$C$52+B27)^2+Inputs!$C$52^2-2*(Inputs!$C$52+B27)*Inputs!$C$52*COS(SQRT(A27^2+Inputs!$C$6^2)/Inputs!$C$52))</x:f>
        <x:v>406.98373966383906</x:v>
      </x:c>
      <x:c r="E27" s="48" t="n">
        <x:f>(D27-C27)*1000</x:f>
        <x:v>4476.795219394603</x:v>
      </x:c>
      <x:c r="F27" s="48" t="n">
        <x:f>E27/Inputs!$C$12</x:f>
        <x:v>2515.0534940419116</x:v>
      </x:c>
      <x:c r="G27" s="48" t="n">
        <x:f>2*E27/Inputs!$C$21*1000000</x:f>
        <x:v>29.865962934895467</x:v>
      </x:c>
      <x:c r="H27" s="48" t="n">
        <x:f>SQRT(A27^2+Inputs!$C$6^2)</x:f>
        <x:v>53.67727638395972</x:v>
      </x:c>
      <x:c r="I27" s="48" t="n">
        <x:f>DEGREES(ATAN(H27/B27))</x:f>
        <x:v>7.595997748011028</x:v>
      </x:c>
      <x:c r="J27" s="48" t="n">
        <x:f>DEGREES((2*PI()/Inputs!$C$13)*Inputs!$C$15*SIN(RADIANS(I27)))</x:f>
        <x:v>47.58737438738348</x:v>
      </x:c>
      <x:c r="K27" s="48" t="n">
        <x:f>(C27/D27)^4</x:f>
        <x:v>0.956720937049129</x:v>
      </x:c>
      <x:c r="L27" s="48" t="n">
        <x:f>10*LOG10(K27)</x:f>
        <x:v>-0.192147217566126</x:v>
      </x:c>
      <x:c r="M27" s="48" t="n">
        <x:f>2*(Inputs!$C$9/(Inputs!$C$10^2))*A27</x:f>
        <x:v>-0.10555555555555556</x:v>
      </x:c>
      <x:c r="N27" s="48" t="n">
        <x:f>M27*Inputs!$C$11</x:f>
        <x:v>-0.4222222222222222</x:v>
      </x:c>
      <x:c r="O27" s="48" t="n">
        <x:f>1000*(D28-D26)/(A28-A26)*Inputs!$C$11</x:f>
        <x:v>-1005.6608808090459</x:v>
      </x:c>
      <x:c r="P27" s="48" t="n">
        <x:f>-2*O27/Inputs!$C$13</x:f>
        <x:v>402.26435232361837</x:v>
      </x:c>
      <x:c r="Q27" s="48" t="n">
        <x:f>-2*O27/Inputs!$C$14</x:f>
        <x:v>60.400052901444205</x:v>
      </x:c>
      <x:c r="R27" s="48" t="n">
        <x:f>F27-Inputs!$C$16/2</x:f>
        <x:v>2500.0534940419116</x:v>
      </x:c>
      <x:c r="S27" s="48" t="n">
        <x:f>F27+Inputs!$C$16/2</x:f>
        <x:v>2530.0534940419116</x:v>
      </x:c>
      <x:c r="T27" s="48" t="n">
        <x:f>F27-Inputs!$C$17/2</x:f>
        <x:v>2365.0534940419116</x:v>
      </x:c>
      <x:c r="U27" s="48" t="n">
        <x:f>F27+Inputs!$C$17/2</x:f>
        <x:v>2665.0534940419116</x:v>
      </x:c>
      <x:c r="V27" s="48" t="n">
        <x:f>ABS(P27)</x:f>
        <x:v>402.26435232361837</x:v>
      </x:c>
      <x:c r="W27" s="48" t="n">
        <x:f>ABS(Q27)</x:f>
        <x:v>60.400052901444205</x:v>
      </x:c>
      <x:c r="X27" s="48" t="n">
        <x: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(0.45*SIN(2*PI()*(((A27)/Inputs!$C$49)+Inputs!$C$47*0.137))+0.35*COS(2*PI()*(((0)/Inputs!$C$50)+Inputs!$C$47*0.173))+0.20*SIN(2*PI()*(((A27)+(0))/(0.5*(Inputs!$C$49+Inputs!$C$50))+Inputs!$C$47*0.097)))+0.30*(2*((SIN(((A27)*12.9898+(0)*78.233+Inputs!$C$47*37.719))*43758.5453)-INT((SIN(((A27)*12.9898+(0)*78.233+Inputs!$C$47*37.719))*43758.5453)))-1)))</x:f>
        <x:v>53.974959185609514</x:v>
      </x:c>
      <x:c r="Y27" s="48" t="n">
        <x: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(0.45*SIN(2*PI()*(((A27)/Inputs!$C$49)+Inputs!$C$47*0.137))+0.35*COS(2*PI()*(((Inputs!$C$6)/Inputs!$C$50)+Inputs!$C$47*0.173))+0.20*SIN(2*PI()*(((A27)+(Inputs!$C$6))/(0.5*(Inputs!$C$49+Inputs!$C$50))+Inputs!$C$47*0.097)))+0.30*(2*((SIN(((A27)*12.9898+(Inputs!$C$6)*78.233+Inputs!$C$47*37.719))*43758.5453)-INT((SIN(((A27)*12.9898+(Inputs!$C$6)*78.233+Inputs!$C$47*37.719))*43758.5453)))-1)))</x:f>
        <x:v>262.7548434853875</x:v>
      </x:c>
      <x:c r="Z27" s="48" t="n">
        <x:f>B27-X27/1000</x:f>
        <x:v>402.45296948525885</x:v>
      </x:c>
      <x:c r="AA27" s="48" t="n">
        <x:f>SQRT((Inputs!$C$52+B27)^2+(Inputs!$C$52+Y27/1000)^2-2*(Inputs!$C$52+B27)*(Inputs!$C$52+Y27/1000)*COS(SQRT(A27^2+Inputs!$C$6^2)/Inputs!$C$52))</x:f>
        <x:v>406.72462694868824</x:v>
      </x:c>
      <x:c r="AB27" s="48" t="n">
        <x:f>(AA27-Z27)*1000</x:f>
        <x:v>4271.657463429392</x:v>
      </x:c>
      <x:c r="AC27" s="48" t="n">
        <x:f>AB27/Inputs!$C$12</x:f>
        <x:v>2399.8075637243774</x:v>
      </x:c>
      <x:c r="AD27" s="48" t="n">
        <x:f>2*AB27/Inputs!$C$21*1000000</x:f>
        <x:v>28.497431135705167</x:v>
      </x:c>
      <x:c r="AE27" s="48" t="n">
        <x:f>DEGREES(ATAN(H27/(B27-Y27/1000)))</x:f>
        <x:v>7.600901630072561</x:v>
      </x:c>
      <x:c r="AF27" s="48" t="n">
        <x:f>DEGREES((2*PI()/Inputs!$C$13)*Inputs!$C$15*SIN(RADIANS(AE27)))</x:f>
        <x:v>47.617915830572606</x:v>
      </x:c>
      <x:c r="AG27" s="48" t="n">
        <x:f>(Z27/AA27)^4</x:f>
        <x:v>0.9586468878420843</x:v>
      </x:c>
      <x:c r="AH27" s="48" t="n">
        <x:f>10*LOG10(AG27)</x:f>
        <x:v>-0.183413332900972</x:v>
      </x:c>
      <x:c r="AI27" s="48" t="n">
        <x:f>AC27-F27</x:f>
        <x:v>-115.2459303175342</x:v>
      </x:c>
      <x:c r="AJ27" s="48" t="n">
        <x:f>AD27-G27</x:f>
        <x:v>-1.3685317991903005</x:v>
      </x:c>
      <x:c r="AK27" s="48" t="n">
        <x:f>Y27-X27</x:f>
        <x:v>208.77988429977796</x:v>
      </x:c>
      <x:c r="AL27" s="48" t="n">
        <x:f>1000*(AA28-AA26)/(A28-A26)*Inputs!$C$11</x:f>
        <x:v>-1007.2076257256413</x:v>
      </x:c>
      <x:c r="AM27" s="48" t="n">
        <x:f>-2*AL27/Inputs!$C$13</x:f>
        <x:v>402.8830502902565</x:v>
      </x:c>
      <x:c r="AN27" s="48" t="n">
        <x:f>-2*AL27/Inputs!$C$14</x:f>
        <x:v>60.49295049403251</x:v>
      </x:c>
      <x:c r="AO27" s="48" t="n">
        <x:f>ABS(AM27)</x:f>
        <x:v>402.8830502902565</x:v>
      </x:c>
      <x:c r="AP27" s="48" t="n">
        <x:f>ABS(AN27)</x:f>
        <x:v>60.49295049403251</x:v>
      </x:c>
      <x:c r="AQ27" s="48" t="n">
        <x:f>IF(OR(Inputs!$C$27=TRUE,Inputs!$C$27="TRUE",Inputs!$C$27=1),Inputs!$C$46/Inputs!$C$12,0)</x:f>
        <x:v>42.13483146067416</x:v>
      </x:c>
      <x:c r="AR27" s="48" t="n">
        <x:f>AC27-AQ27</x:f>
        <x:v>2357.672732263703</x:v>
      </x:c>
      <x:c r="AS27" s="48" t="n">
        <x:f>AC27+AQ27</x:f>
        <x:v>2441.9423951850517</x:v>
      </x:c>
    </x:row>
    <x:row r="28">
      <x:c r="A28" s="48" t="n">
        <x:f>Inputs!$C$7+26*(Inputs!$C$8-Inputs!$C$7)/240</x:f>
        <x:v>-47</x:v>
      </x:c>
      <x:c r="B28" s="48" t="n">
        <x:f>Inputs!$C$5+Inputs!$C$9*(A28/Inputs!$C$10)^2</x:f>
        <x:v>402.45444444444445</x:v>
      </x:c>
      <x:c r="C28" s="48" t="n">
        <x:f>B28</x:f>
        <x:v>402.45444444444445</x:v>
      </x:c>
      <x:c r="D28" s="48" t="n">
        <x:f>SQRT((Inputs!$C$52+B28)^2+Inputs!$C$52^2-2*(Inputs!$C$52+B28)*Inputs!$C$52*COS(SQRT(A28^2+Inputs!$C$6^2)/Inputs!$C$52))</x:f>
        <x:v>406.8586795348402</x:v>
      </x:c>
      <x:c r="E28" s="48" t="n">
        <x:f>(D28-C28)*1000</x:f>
        <x:v>4404.23509039573</x:v>
      </x:c>
      <x:c r="F28" s="48" t="n">
        <x:f>E28/Inputs!$C$12</x:f>
        <x:v>2474.289376626815</x:v>
      </x:c>
      <x:c r="G28" s="48" t="n">
        <x:f>2*E28/Inputs!$C$21*1000000</x:f>
        <x:v>29.381893859356065</x:v>
      </x:c>
      <x:c r="H28" s="48" t="n">
        <x:f>SQRT(A28^2+Inputs!$C$6^2)</x:f>
        <x:v>53.23532661682466</x:v>
      </x:c>
      <x:c r="I28" s="48" t="n">
        <x:f>DEGREES(ATAN(H28/B28))</x:f>
        <x:v>7.535149317061624</x:v>
      </x:c>
      <x:c r="J28" s="48" t="n">
        <x:f>DEGREES((2*PI()/Inputs!$C$13)*Inputs!$C$15*SIN(RADIANS(I28)))</x:f>
        <x:v>47.20838061627316</x:v>
      </x:c>
      <x:c r="K28" s="48" t="n">
        <x:f>(C28/D28)^4</x:f>
        <x:v>0.957398119815864</x:v>
      </x:c>
      <x:c r="L28" s="48" t="n">
        <x:f>10*LOG10(K28)</x:f>
        <x:v>-0.189074297414705</x:v>
      </x:c>
      <x:c r="M28" s="48" t="n">
        <x:f>2*(Inputs!$C$9/(Inputs!$C$10^2))*A28</x:f>
        <x:v>-0.10444444444444445</x:v>
      </x:c>
      <x:c r="N28" s="48" t="n">
        <x:f>M28*Inputs!$C$11</x:f>
        <x:v>-0.4177777777777778</x:v>
      </x:c>
      <x:c r="O28" s="48" t="n">
        <x:f>1000*(D29-D27)/(A29-A27)*Inputs!$C$11</x:f>
        <x:v>-995.2977317227578</x:v>
      </x:c>
      <x:c r="P28" s="48" t="n">
        <x:f>-2*O28/Inputs!$C$13</x:f>
        <x:v>398.1190926891031</x:v>
      </x:c>
      <x:c r="Q28" s="48" t="n">
        <x:f>-2*O28/Inputs!$C$14</x:f>
        <x:v>59.77764154491039</x:v>
      </x:c>
      <x:c r="R28" s="48" t="n">
        <x:f>F28-Inputs!$C$16/2</x:f>
        <x:v>2459.289376626815</x:v>
      </x:c>
      <x:c r="S28" s="48" t="n">
        <x:f>F28+Inputs!$C$16/2</x:f>
        <x:v>2489.289376626815</x:v>
      </x:c>
      <x:c r="T28" s="48" t="n">
        <x:f>F28-Inputs!$C$17/2</x:f>
        <x:v>2324.289376626815</x:v>
      </x:c>
      <x:c r="U28" s="48" t="n">
        <x:f>F28+Inputs!$C$17/2</x:f>
        <x:v>2624.289376626815</x:v>
      </x:c>
      <x:c r="V28" s="48" t="n">
        <x:f>ABS(P28)</x:f>
        <x:v>398.1190926891031</x:v>
      </x:c>
      <x:c r="W28" s="48" t="n">
        <x:f>ABS(Q28)</x:f>
        <x:v>59.77764154491039</x:v>
      </x:c>
      <x:c r="X28" s="48" t="n">
        <x: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(0.45*SIN(2*PI()*(((A28)/Inputs!$C$49)+Inputs!$C$47*0.137))+0.35*COS(2*PI()*(((0)/Inputs!$C$50)+Inputs!$C$47*0.173))+0.20*SIN(2*PI()*(((A28)+(0))/(0.5*(Inputs!$C$49+Inputs!$C$50))+Inputs!$C$47*0.097)))+0.30*(2*((SIN(((A28)*12.9898+(0)*78.233+Inputs!$C$47*37.719))*43758.5453)-INT((SIN(((A28)*12.9898+(0)*78.233+Inputs!$C$47*37.719))*43758.5453)))-1)))</x:f>
        <x:v>61.213442747759345</x:v>
      </x:c>
      <x:c r="Y28" s="48" t="n">
        <x: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(0.45*SIN(2*PI()*(((A28)/Inputs!$C$49)+Inputs!$C$47*0.137))+0.35*COS(2*PI()*(((Inputs!$C$6)/Inputs!$C$50)+Inputs!$C$47*0.173))+0.20*SIN(2*PI()*(((A28)+(Inputs!$C$6))/(0.5*(Inputs!$C$49+Inputs!$C$50))+Inputs!$C$47*0.097)))+0.30*(2*((SIN(((A28)*12.9898+(Inputs!$C$6)*78.233+Inputs!$C$47*37.719))*43758.5453)-INT((SIN(((A28)*12.9898+(Inputs!$C$6)*78.233+Inputs!$C$47*37.719))*43758.5453)))-1)))</x:f>
        <x:v>253.91481019774176</x:v>
      </x:c>
      <x:c r="Z28" s="48" t="n">
        <x:f>B28-X28/1000</x:f>
        <x:v>402.3932310016967</x:v>
      </x:c>
      <x:c r="AA28" s="48" t="n">
        <x:f>SQRT((Inputs!$C$52+B28)^2+(Inputs!$C$52+Y28/1000)^2-2*(Inputs!$C$52+B28)*(Inputs!$C$52+Y28/1000)*COS(SQRT(A28^2+Inputs!$C$6^2)/Inputs!$C$52))</x:f>
        <x:v>406.60822810672767</x:v>
      </x:c>
      <x:c r="AB28" s="48" t="n">
        <x:f>(AA28-Z28)*1000</x:f>
        <x:v>4214.997105030989</x:v>
      </x:c>
      <x:c r="AC28" s="48" t="n">
        <x:f>AB28/Inputs!$C$12</x:f>
        <x:v>2367.9759017028027</x:v>
      </x:c>
      <x:c r="AD28" s="48" t="n">
        <x:f>2*AB28/Inputs!$C$21*1000000</x:f>
        <x:v>28.11943391204984</x:v>
      </x:c>
      <x:c r="AE28" s="48" t="n">
        <x:f>DEGREES(ATAN(H28/(B28-Y28/1000)))</x:f>
        <x:v>7.539851649413639</x:v>
      </x:c>
      <x:c r="AF28" s="48" t="n">
        <x:f>DEGREES((2*PI()/Inputs!$C$13)*Inputs!$C$15*SIN(RADIANS(AE28)))</x:f>
        <x:v>47.237670944520744</x:v>
      </x:c>
      <x:c r="AG28" s="48" t="n">
        <x:f>(Z28/AA28)^4</x:f>
        <x:v>0.9591753624534429</x:v>
      </x:c>
      <x:c r="AH28" s="48" t="n">
        <x:f>10*LOG10(AG28)</x:f>
        <x:v>-0.181019851301592</x:v>
      </x:c>
      <x:c r="AI28" s="48" t="n">
        <x:f>AC28-F28</x:f>
        <x:v>-106.3134749240121</x:v>
      </x:c>
      <x:c r="AJ28" s="48" t="n">
        <x:f>AD28-G28</x:f>
        <x:v>-1.2624599473062261</x:v>
      </x:c>
      <x:c r="AK28" s="48" t="n">
        <x:f>Y28-X28</x:f>
        <x:v>192.7013674499824</x:v>
      </x:c>
      <x:c r="AL28" s="48" t="n">
        <x:f>1000*(AA29-AA27)/(A29-A27)*Inputs!$C$11</x:f>
        <x:v>-960.2176124369635</x:v>
      </x:c>
      <x:c r="AM28" s="48" t="n">
        <x:f>-2*AL28/Inputs!$C$13</x:f>
        <x:v>384.0870449747854</x:v>
      </x:c>
      <x:c r="AN28" s="48" t="n">
        <x:f>-2*AL28/Inputs!$C$14</x:f>
        <x:v>57.67072747369151</x:v>
      </x:c>
      <x:c r="AO28" s="48" t="n">
        <x:f>ABS(AM28)</x:f>
        <x:v>384.0870449747854</x:v>
      </x:c>
      <x:c r="AP28" s="48" t="n">
        <x:f>ABS(AN28)</x:f>
        <x:v>57.67072747369151</x:v>
      </x:c>
      <x:c r="AQ28" s="48" t="n">
        <x:f>IF(OR(Inputs!$C$27=TRUE,Inputs!$C$27="TRUE",Inputs!$C$27=1),Inputs!$C$46/Inputs!$C$12,0)</x:f>
        <x:v>42.13483146067416</x:v>
      </x:c>
      <x:c r="AR28" s="48" t="n">
        <x:f>AC28-AQ28</x:f>
        <x:v>2325.8410702421284</x:v>
      </x:c>
      <x:c r="AS28" s="48" t="n">
        <x:f>AC28+AQ28</x:f>
        <x:v>2410.110733163477</x:v>
      </x:c>
    </x:row>
    <x:row r="29">
      <x:c r="A29" s="48" t="n">
        <x:f>Inputs!$C$7+27*(Inputs!$C$8-Inputs!$C$7)/240</x:f>
        <x:v>-46.5</x:v>
      </x:c>
      <x:c r="B29" s="48" t="n">
        <x:f>Inputs!$C$5+Inputs!$C$9*(A29/Inputs!$C$10)^2</x:f>
        <x:v>402.4025</x:v>
      </x:c>
      <x:c r="C29" s="48" t="n">
        <x:f>B29</x:f>
        <x:v>402.4025</x:v>
      </x:c>
      <x:c r="D29" s="48" t="n">
        <x:f>SQRT((Inputs!$C$52+B29)^2+Inputs!$C$52^2-2*(Inputs!$C$52+B29)*Inputs!$C$52*COS(SQRT(A29^2+Inputs!$C$6^2)/Inputs!$C$52))</x:f>
        <x:v>406.73491523090837</x:v>
      </x:c>
      <x:c r="E29" s="48" t="n">
        <x:f>(D29-C29)*1000</x:f>
        <x:v>4332.415230908396</x:v>
      </x:c>
      <x:c r="F29" s="48" t="n">
        <x:f>E29/Inputs!$C$12</x:f>
        <x:v>2433.941140959773</x:v>
      </x:c>
      <x:c r="G29" s="48" t="n">
        <x:f>2*E29/Inputs!$C$21*1000000</x:f>
        <x:v>28.90276333041304</x:v>
      </x:c>
      <x:c r="H29" s="48" t="n">
        <x:f>SQRT(A29^2+Inputs!$C$6^2)</x:f>
        <x:v>52.79441258315126</x:v>
      </x:c>
      <x:c r="I29" s="48" t="n">
        <x:f>DEGREES(ATAN(H29/B29))</x:f>
        <x:v>7.4744026758958535</x:v>
      </x:c>
      <x:c r="J29" s="48" t="n">
        <x:f>DEGREES((2*PI()/Inputs!$C$13)*Inputs!$C$15*SIN(RADIANS(I29)))</x:f>
        <x:v>46.82996773075058</x:v>
      </x:c>
      <x:c r="K29" s="48" t="n">
        <x:f>(C29/D29)^4</x:f>
        <x:v>0.9580691602332851</x:v>
      </x:c>
      <x:c r="L29" s="48" t="n">
        <x:f>10*LOG10(K29)</x:f>
        <x:v>-0.186031393311067</x:v>
      </x:c>
      <x:c r="M29" s="48" t="n">
        <x:f>2*(Inputs!$C$9/(Inputs!$C$10^2))*A29</x:f>
        <x:v>-0.10333333333333333</x:v>
      </x:c>
      <x:c r="N29" s="48" t="n">
        <x:f>M29*Inputs!$C$11</x:f>
        <x:v>-0.41333333333333333</x:v>
      </x:c>
      <x:c r="O29" s="48" t="n">
        <x:f>1000*(D30-D28)/(A30-A28)*Inputs!$C$11</x:f>
        <x:v>-984.927711027467</x:v>
      </x:c>
      <x:c r="P29" s="48" t="n">
        <x:f>-2*O29/Inputs!$C$13</x:f>
        <x:v>393.9710844109868</x:v>
      </x:c>
      <x:c r="Q29" s="48" t="n">
        <x:f>-2*O29/Inputs!$C$14</x:f>
        <x:v>59.15481747912715</x:v>
      </x:c>
      <x:c r="R29" s="48" t="n">
        <x:f>F29-Inputs!$C$16/2</x:f>
        <x:v>2418.941140959773</x:v>
      </x:c>
      <x:c r="S29" s="48" t="n">
        <x:f>F29+Inputs!$C$16/2</x:f>
        <x:v>2448.941140959773</x:v>
      </x:c>
      <x:c r="T29" s="48" t="n">
        <x:f>F29-Inputs!$C$17/2</x:f>
        <x:v>2283.941140959773</x:v>
      </x:c>
      <x:c r="U29" s="48" t="n">
        <x:f>F29+Inputs!$C$17/2</x:f>
        <x:v>2583.941140959773</x:v>
      </x:c>
      <x:c r="V29" s="48" t="n">
        <x:f>ABS(P29)</x:f>
        <x:v>393.9710844109868</x:v>
      </x:c>
      <x:c r="W29" s="48" t="n">
        <x:f>ABS(Q29)</x:f>
        <x:v>59.15481747912715</x:v>
      </x:c>
      <x:c r="X29" s="48" t="n">
        <x: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(0.45*SIN(2*PI()*(((A29)/Inputs!$C$49)+Inputs!$C$47*0.137))+0.35*COS(2*PI()*(((0)/Inputs!$C$50)+Inputs!$C$47*0.173))+0.20*SIN(2*PI()*(((A29)+(0))/(0.5*(Inputs!$C$49+Inputs!$C$50))+Inputs!$C$47*0.097)))+0.30*(2*((SIN(((A29)*12.9898+(0)*78.233+Inputs!$C$47*37.719))*43758.5453)-INT((SIN(((A29)*12.9898+(0)*78.233+Inputs!$C$47*37.719))*43758.5453)))-1)))</x:f>
        <x:v>57.529820703344</x:v>
      </x:c>
      <x:c r="Y29" s="48" t="n">
        <x: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(0.45*SIN(2*PI()*(((A29)/Inputs!$C$49)+Inputs!$C$47*0.137))+0.35*COS(2*PI()*(((Inputs!$C$6)/Inputs!$C$50)+Inputs!$C$47*0.173))+0.20*SIN(2*PI()*(((A29)+(Inputs!$C$6))/(0.5*(Inputs!$C$49+Inputs!$C$50))+Inputs!$C$47*0.097)))+0.30*(2*((SIN(((A29)*12.9898+(Inputs!$C$6)*78.233+Inputs!$C$47*37.719))*43758.5453)-INT((SIN(((A29)*12.9898+(Inputs!$C$6)*78.233+Inputs!$C$47*37.719))*43758.5453)))-1)))</x:f>
        <x:v>253.748238320312</x:v>
      </x:c>
      <x:c r="Z29" s="48" t="n">
        <x:f>B29-X29/1000</x:f>
        <x:v>402.34497017929664</x:v>
      </x:c>
      <x:c r="AA29" s="48" t="n">
        <x:f>SQRT((Inputs!$C$52+B29)^2+(Inputs!$C$52+Y29/1000)^2-2*(Inputs!$C$52+B29)*(Inputs!$C$52+Y29/1000)*COS(SQRT(A29^2+Inputs!$C$6^2)/Inputs!$C$52))</x:f>
        <x:v>406.484572545579</x:v>
      </x:c>
      <x:c r="AB29" s="48" t="n">
        <x:f>(AA29-Z29)*1000</x:f>
        <x:v>4139.602366282361</x:v>
      </x:c>
      <x:c r="AC29" s="48" t="n">
        <x:f>AB29/Inputs!$C$12</x:f>
        <x:v>2325.619306900203</x:v>
      </x:c>
      <x:c r="AD29" s="48" t="n">
        <x:f>2*AB29/Inputs!$C$21*1000000</x:f>
        <x:v>27.616454355782096</x:v>
      </x:c>
      <x:c r="AE29" s="48" t="n">
        <x:f>DEGREES(ATAN(H29/(B29-Y29/1000)))</x:f>
        <x:v>7.479065507472053</x:v>
      </x:c>
      <x:c r="AF29" s="48" t="n">
        <x:f>DEGREES((2*PI()/Inputs!$C$13)*Inputs!$C$15*SIN(RADIANS(AE29)))</x:f>
        <x:v>46.859016072413276</x:v>
      </x:c>
      <x:c r="AG29" s="48" t="n">
        <x:f>(Z29/AA29)^4</x:f>
        <x:v>0.9598824175158267</x:v>
      </x:c>
      <x:c r="AH29" s="48" t="n">
        <x:f>10*LOG10(AG29)</x:f>
        <x:v>-0.17781963368339598</x:v>
      </x:c>
      <x:c r="AI29" s="48" t="n">
        <x:f>AC29-F29</x:f>
        <x:v>-108.32183405956994</x:v>
      </x:c>
      <x:c r="AJ29" s="48" t="n">
        <x:f>AD29-G29</x:f>
        <x:v>-1.2863089746309448</x:v>
      </x:c>
      <x:c r="AK29" s="48" t="n">
        <x:f>Y29-X29</x:f>
        <x:v>196.218417616968</x:v>
      </x:c>
      <x:c r="AL29" s="48" t="n">
        <x:f>1000*(AA30-AA28)/(A30-A28)*Inputs!$C$11</x:f>
        <x:v>-920.2023249702052</x:v>
      </x:c>
      <x:c r="AM29" s="48" t="n">
        <x:f>-2*AL29/Inputs!$C$13</x:f>
        <x:v>368.08092998808206</x:v>
      </x:c>
      <x:c r="AN29" s="48" t="n">
        <x:f>-2*AL29/Inputs!$C$14</x:f>
        <x:v>55.26740690511743</x:v>
      </x:c>
      <x:c r="AO29" s="48" t="n">
        <x:f>ABS(AM29)</x:f>
        <x:v>368.08092998808206</x:v>
      </x:c>
      <x:c r="AP29" s="48" t="n">
        <x:f>ABS(AN29)</x:f>
        <x:v>55.26740690511743</x:v>
      </x:c>
      <x:c r="AQ29" s="48" t="n">
        <x:f>IF(OR(Inputs!$C$27=TRUE,Inputs!$C$27="TRUE",Inputs!$C$27=1),Inputs!$C$46/Inputs!$C$12,0)</x:f>
        <x:v>42.13483146067416</x:v>
      </x:c>
      <x:c r="AR29" s="48" t="n">
        <x:f>AC29-AQ29</x:f>
        <x:v>2283.4844754395285</x:v>
      </x:c>
      <x:c r="AS29" s="48" t="n">
        <x:f>AC29+AQ29</x:f>
        <x:v>2367.7541383608773</x:v>
      </x:c>
    </x:row>
    <x:row r="30">
      <x:c r="A30" s="48" t="n">
        <x:f>Inputs!$C$7+28*(Inputs!$C$8-Inputs!$C$7)/240</x:f>
        <x:v>-46</x:v>
      </x:c>
      <x:c r="B30" s="48" t="n">
        <x:f>Inputs!$C$5+Inputs!$C$9*(A30/Inputs!$C$10)^2</x:f>
        <x:v>402.3511111111111</x:v>
      </x:c>
      <x:c r="C30" s="48" t="n">
        <x:f>B30</x:f>
        <x:v>402.3511111111111</x:v>
      </x:c>
      <x:c r="D30" s="48" t="n">
        <x:f>SQRT((Inputs!$C$52+B30)^2+Inputs!$C$52^2-2*(Inputs!$C$52+B30)*Inputs!$C$52*COS(SQRT(A30^2+Inputs!$C$6^2)/Inputs!$C$52))</x:f>
        <x:v>406.6124476070833</x:v>
      </x:c>
      <x:c r="E30" s="48" t="n">
        <x:f>(D30-C30)*1000</x:f>
        <x:v>4261.336495972217</x:v>
      </x:c>
      <x:c r="F30" s="48" t="n">
        <x:f>E30/Inputs!$C$12</x:f>
        <x:v>2394.0092674001216</x:v>
      </x:c>
      <x:c r="G30" s="48" t="n">
        <x:f>2*E30/Inputs!$C$21*1000000</x:f>
        <x:v>28.428577052276722</x:v>
      </x:c>
      <x:c r="H30" s="48" t="n">
        <x:f>SQRT(A30^2+Inputs!$C$6^2)</x:f>
        <x:v>52.354560450833695</x:v>
      </x:c>
      <x:c r="I30" s="48" t="n">
        <x:f>DEGREES(ATAN(H30/B30))</x:f>
        <x:v>7.413762015717533</x:v>
      </x:c>
      <x:c r="J30" s="48" t="n">
        <x:f>DEGREES((2*PI()/Inputs!$C$13)*Inputs!$C$15*SIN(RADIANS(I30)))</x:f>
        <x:v>46.45216253583958</x:v>
      </x:c>
      <x:c r="K30" s="48" t="n">
        <x:f>(C30/D30)^4</x:f>
        <x:v>0.9587340277528538</x:v>
      </x:c>
      <x:c r="L30" s="48" t="n">
        <x:f>10*LOG10(K30)</x:f>
        <x:v>-0.18301858210191102</x:v>
      </x:c>
      <x:c r="M30" s="48" t="n">
        <x:f>2*(Inputs!$C$9/(Inputs!$C$10^2))*A30</x:f>
        <x:v>-0.10222222222222223</x:v>
      </x:c>
      <x:c r="N30" s="48" t="n">
        <x:f>M30*Inputs!$C$11</x:f>
        <x:v>-0.4088888888888889</x:v>
      </x:c>
      <x:c r="O30" s="48" t="n">
        <x:f>1000*(D31-D29)/(A31-A29)*Inputs!$C$11</x:f>
        <x:v>-974.5508814573896</x:v>
      </x:c>
      <x:c r="P30" s="48" t="n">
        <x:f>-2*O30/Inputs!$C$13</x:f>
        <x:v>389.8203525829558</x:v>
      </x:c>
      <x:c r="Q30" s="48" t="n">
        <x:f>-2*O30/Inputs!$C$14</x:f>
        <x:v>58.531584471915295</x:v>
      </x:c>
      <x:c r="R30" s="48" t="n">
        <x:f>F30-Inputs!$C$16/2</x:f>
        <x:v>2379.0092674001216</x:v>
      </x:c>
      <x:c r="S30" s="48" t="n">
        <x:f>F30+Inputs!$C$16/2</x:f>
        <x:v>2409.0092674001216</x:v>
      </x:c>
      <x:c r="T30" s="48" t="n">
        <x:f>F30-Inputs!$C$17/2</x:f>
        <x:v>2244.0092674001216</x:v>
      </x:c>
      <x:c r="U30" s="48" t="n">
        <x:f>F30+Inputs!$C$17/2</x:f>
        <x:v>2544.0092674001216</x:v>
      </x:c>
      <x:c r="V30" s="48" t="n">
        <x:f>ABS(P30)</x:f>
        <x:v>389.8203525829558</x:v>
      </x:c>
      <x:c r="W30" s="48" t="n">
        <x:f>ABS(Q30)</x:f>
        <x:v>58.531584471915295</x:v>
      </x:c>
      <x:c r="X30" s="48" t="n">
        <x: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(0.45*SIN(2*PI()*(((A30)/Inputs!$C$49)+Inputs!$C$47*0.137))+0.35*COS(2*PI()*(((0)/Inputs!$C$50)+Inputs!$C$47*0.173))+0.20*SIN(2*PI()*(((A30)+(0))/(0.5*(Inputs!$C$49+Inputs!$C$50))+Inputs!$C$47*0.097)))+0.30*(2*((SIN(((A30)*12.9898+(0)*78.233+Inputs!$C$47*37.719))*43758.5453)-INT((SIN(((A30)*12.9898+(0)*78.233+Inputs!$C$47*37.719))*43758.5453)))-1)))</x:f>
        <x:v>49.53962065283257</x:v>
      </x:c>
      <x:c r="Y30" s="48" t="n">
        <x: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(0.45*SIN(2*PI()*(((A30)/Inputs!$C$49)+Inputs!$C$47*0.137))+0.35*COS(2*PI()*(((Inputs!$C$6)/Inputs!$C$50)+Inputs!$C$47*0.173))+0.20*SIN(2*PI()*(((A30)+(Inputs!$C$6))/(0.5*(Inputs!$C$49+Inputs!$C$50))+Inputs!$C$47*0.097)))+0.30*(2*((SIN(((A30)*12.9898+(Inputs!$C$6)*78.233+Inputs!$C$47*37.719))*43758.5453)-INT((SIN(((A30)*12.9898+(Inputs!$C$6)*78.233+Inputs!$C$47*37.719))*43758.5453)))-1)))</x:f>
        <x:v>237.40469511010875</x:v>
      </x:c>
      <x:c r="Z30" s="48" t="n">
        <x:f>B30-X30/1000</x:f>
        <x:v>402.3015714904583</x:v>
      </x:c>
      <x:c r="AA30" s="48" t="n">
        <x:f>SQRT((Inputs!$C$52+B30)^2+(Inputs!$C$52+Y30/1000)^2-2*(Inputs!$C$52+B30)*(Inputs!$C$52+Y30/1000)*COS(SQRT(A30^2+Inputs!$C$6^2)/Inputs!$C$52))</x:f>
        <x:v>406.3781775254851</x:v>
      </x:c>
      <x:c r="AB30" s="48" t="n">
        <x:f>(AA30-Z30)*1000</x:f>
        <x:v>4076.6060350268276</x:v>
      </x:c>
      <x:c r="AC30" s="48" t="n">
        <x:f>AB30/Inputs!$C$12</x:f>
        <x:v>2290.2281095656335</x:v>
      </x:c>
      <x:c r="AD30" s="48" t="n">
        <x:f>2*AB30/Inputs!$C$21*1000000</x:f>
        <x:v>27.196188071061</x:v>
      </x:c>
      <x:c r="AE30" s="48" t="n">
        <x:f>DEGREES(ATAN(H30/(B30-Y30/1000)))</x:f>
        <x:v>7.418090305696445</x:v>
      </x:c>
      <x:c r="AF30" s="48" t="n">
        <x:f>DEGREES((2*PI()/Inputs!$C$13)*Inputs!$C$15*SIN(RADIANS(AE30)))</x:f>
        <x:v>46.47913050271021</x:v>
      </x:c>
      <x:c r="AG30" s="48" t="n">
        <x:f>(Z30/AA30)^4</x:f>
        <x:v>0.9604735352002972</x:v>
      </x:c>
      <x:c r="AH30" s="48" t="n">
        <x:f>10*LOG10(AG30)</x:f>
        <x:v>-0.17514597147753197</x:v>
      </x:c>
      <x:c r="AI30" s="48" t="n">
        <x:f>AC30-F30</x:f>
        <x:v>-103.78115783448811</x:v>
      </x:c>
      <x:c r="AJ30" s="48" t="n">
        <x:f>AD30-G30</x:f>
        <x:v>-1.232388981215724</x:v>
      </x:c>
      <x:c r="AK30" s="48" t="n">
        <x:f>Y30-X30</x:f>
        <x:v>187.8650744572762</x:v>
      </x:c>
      <x:c r="AL30" s="48" t="n">
        <x:f>1000*(AA31-AA29)/(A31-A29)*Inputs!$C$11</x:f>
        <x:v>-881.3699710087803</x:v>
      </x:c>
      <x:c r="AM30" s="48" t="n">
        <x:f>-2*AL30/Inputs!$C$13</x:f>
        <x:v>352.54798840351214</x:v>
      </x:c>
      <x:c r="AN30" s="48" t="n">
        <x:f>-2*AL30/Inputs!$C$14</x:f>
        <x:v>52.935133393920744</x:v>
      </x:c>
      <x:c r="AO30" s="48" t="n">
        <x:f>ABS(AM30)</x:f>
        <x:v>352.54798840351214</x:v>
      </x:c>
      <x:c r="AP30" s="48" t="n">
        <x:f>ABS(AN30)</x:f>
        <x:v>52.935133393920744</x:v>
      </x:c>
      <x:c r="AQ30" s="48" t="n">
        <x:f>IF(OR(Inputs!$C$27=TRUE,Inputs!$C$27="TRUE",Inputs!$C$27=1),Inputs!$C$46/Inputs!$C$12,0)</x:f>
        <x:v>42.13483146067416</x:v>
      </x:c>
      <x:c r="AR30" s="48" t="n">
        <x:f>AC30-AQ30</x:f>
        <x:v>2248.093278104959</x:v>
      </x:c>
      <x:c r="AS30" s="48" t="n">
        <x:f>AC30+AQ30</x:f>
        <x:v>2332.362941026308</x:v>
      </x:c>
    </x:row>
    <x:row r="31">
      <x:c r="A31" s="48" t="n">
        <x:f>Inputs!$C$7+29*(Inputs!$C$8-Inputs!$C$7)/240</x:f>
        <x:v>-45.5</x:v>
      </x:c>
      <x:c r="B31" s="48" t="n">
        <x:f>Inputs!$C$5+Inputs!$C$9*(A31/Inputs!$C$10)^2</x:f>
        <x:v>402.30027777777775</x:v>
      </x:c>
      <x:c r="C31" s="48" t="n">
        <x:f>B31</x:f>
        <x:v>402.30027777777775</x:v>
      </x:c>
      <x:c r="D31" s="48" t="n">
        <x:f>SQRT((Inputs!$C$52+B31)^2+Inputs!$C$52^2-2*(Inputs!$C$52+B31)*Inputs!$C$52*COS(SQRT(A31^2+Inputs!$C$6^2)/Inputs!$C$52))</x:f>
        <x:v>406.491277510544</x:v>
      </x:c>
      <x:c r="E31" s="48" t="n">
        <x:f>(D31-C31)*1000</x:f>
        <x:v>4190.999732766272</x:v>
      </x:c>
      <x:c r="F31" s="48" t="n">
        <x:f>E31/Inputs!$C$12</x:f>
        <x:v>2354.494231891164</x:v>
      </x:c>
      <x:c r="G31" s="48" t="n">
        <x:f>2*E31/Inputs!$C$21*1000000</x:f>
        <x:v>27.959340676717574</x:v>
      </x:c>
      <x:c r="H31" s="48" t="n">
        <x:f>SQRT(A31^2+Inputs!$C$6^2)</x:f>
        <x:v>51.915797210483056</x:v>
      </x:c>
      <x:c r="I31" s="48" t="n">
        <x:f>DEGREES(ATAN(H31/B31))</x:f>
        <x:v>7.353231646851434</x:v>
      </x:c>
      <x:c r="J31" s="48" t="n">
        <x:f>DEGREES((2*PI()/Inputs!$C$13)*Inputs!$C$15*SIN(RADIANS(I31)))</x:f>
        <x:v>46.07499258851599</x:v>
      </x:c>
      <x:c r="K31" s="48" t="n">
        <x:f>(C31/D31)^4</x:f>
        <x:v>0.9593926920449115</x:v>
      </x:c>
      <x:c r="L31" s="48" t="n">
        <x:f>10*LOG10(K31)</x:f>
        <x:v>-0.180035939967183</x:v>
      </x:c>
      <x:c r="M31" s="48" t="n">
        <x:f>2*(Inputs!$C$9/(Inputs!$C$10^2))*A31</x:f>
        <x:v>-0.10111111111111111</x:v>
      </x:c>
      <x:c r="N31" s="48" t="n">
        <x:f>M31*Inputs!$C$11</x:f>
        <x:v>-0.40444444444444444</x:v>
      </x:c>
      <x:c r="O31" s="48" t="n">
        <x:f>1000*(D32-D30)/(A32-A30)*Inputs!$C$11</x:f>
        <x:v>-964.1673060955327</x:v>
      </x:c>
      <x:c r="P31" s="48" t="n">
        <x:f>-2*O31/Inputs!$C$13</x:f>
        <x:v>385.6669224382131</x:v>
      </x:c>
      <x:c r="Q31" s="48" t="n">
        <x:f>-2*O31/Inputs!$C$14</x:f>
        <x:v>57.90794631204401</x:v>
      </x:c>
      <x:c r="R31" s="48" t="n">
        <x:f>F31-Inputs!$C$16/2</x:f>
        <x:v>2339.494231891164</x:v>
      </x:c>
      <x:c r="S31" s="48" t="n">
        <x:f>F31+Inputs!$C$16/2</x:f>
        <x:v>2369.494231891164</x:v>
      </x:c>
      <x:c r="T31" s="48" t="n">
        <x:f>F31-Inputs!$C$17/2</x:f>
        <x:v>2204.494231891164</x:v>
      </x:c>
      <x:c r="U31" s="48" t="n">
        <x:f>F31+Inputs!$C$17/2</x:f>
        <x:v>2504.494231891164</x:v>
      </x:c>
      <x:c r="V31" s="48" t="n">
        <x:f>ABS(P31)</x:f>
        <x:v>385.6669224382131</x:v>
      </x:c>
      <x:c r="W31" s="48" t="n">
        <x:f>ABS(Q31)</x:f>
        <x:v>57.90794631204401</x:v>
      </x:c>
      <x:c r="X31" s="48" t="n">
        <x: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(0.45*SIN(2*PI()*(((A31)/Inputs!$C$49)+Inputs!$C$47*0.137))+0.35*COS(2*PI()*(((0)/Inputs!$C$50)+Inputs!$C$47*0.173))+0.20*SIN(2*PI()*(((A31)+(0))/(0.5*(Inputs!$C$49+Inputs!$C$50))+Inputs!$C$47*0.097)))+0.30*(2*((SIN(((A31)*12.9898+(0)*78.233+Inputs!$C$47*37.719))*43758.5453)-INT((SIN(((A31)*12.9898+(0)*78.233+Inputs!$C$47*37.719))*43758.5453)))-1)))</x:f>
        <x:v>36.8829185081177</x:v>
      </x:c>
      <x:c r="Y31" s="48" t="n">
        <x: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(0.45*SIN(2*PI()*(((A31)/Inputs!$C$49)+Inputs!$C$47*0.137))+0.35*COS(2*PI()*(((Inputs!$C$6)/Inputs!$C$50)+Inputs!$C$47*0.173))+0.20*SIN(2*PI()*(((A31)+(Inputs!$C$6))/(0.5*(Inputs!$C$49+Inputs!$C$50))+Inputs!$C$47*0.097)))+0.30*(2*((SIN(((A31)*12.9898+(Inputs!$C$6)*78.233+Inputs!$C$47*37.719))*43758.5453)-INT((SIN(((A31)*12.9898+(Inputs!$C$6)*78.233+Inputs!$C$47*37.719))*43758.5453)))-1)))</x:f>
        <x:v>230.03534200748854</x:v>
      </x:c>
      <x:c r="Z31" s="48" t="n">
        <x:f>B31-X31/1000</x:f>
        <x:v>402.2633948592696</x:v>
      </x:c>
      <x:c r="AA31" s="48" t="n">
        <x:f>SQRT((Inputs!$C$52+B31)^2+(Inputs!$C$52+Y31/1000)^2-2*(Inputs!$C$52+B31)*(Inputs!$C$52+Y31/1000)*COS(SQRT(A31^2+Inputs!$C$6^2)/Inputs!$C$52))</x:f>
        <x:v>406.2642300528268</x:v>
      </x:c>
      <x:c r="AB31" s="48" t="n">
        <x:f>(AA31-Z31)*1000</x:f>
        <x:v>4000.8351935571795</x:v>
      </x:c>
      <x:c r="AC31" s="48" t="n">
        <x:f>AB31/Inputs!$C$12</x:f>
        <x:v>2247.660221099539</x:v>
      </x:c>
      <x:c r="AD31" s="48" t="n">
        <x:f>2*AB31/Inputs!$C$21*1000000</x:f>
        <x:v>26.69069942751648</x:v>
      </x:c>
      <x:c r="AE31" s="48" t="n">
        <x:f>DEGREES(ATAN(H31/(B31-Y31/1000)))</x:f>
        <x:v>7.357392549418959</x:v>
      </x:c>
      <x:c r="AF31" s="48" t="n">
        <x:f>DEGREES((2*PI()/Inputs!$C$13)*Inputs!$C$15*SIN(RADIANS(AE31)))</x:f>
        <x:v>46.10092118193517</x:v>
      </x:c>
      <x:c r="AG31" s="48" t="n">
        <x:f>(Z31/AA31)^4</x:f>
        <x:v>0.9611866128140696</x:v>
      </x:c>
      <x:c r="AH31" s="48" t="n">
        <x:f>10*LOG10(AG31)</x:f>
        <x:v>-0.171922865796081</x:v>
      </x:c>
      <x:c r="AI31" s="48" t="n">
        <x:f>AC31-F31</x:f>
        <x:v>-106.83401079162513</x:v>
      </x:c>
      <x:c r="AJ31" s="48" t="n">
        <x:f>AD31-G31</x:f>
        <x:v>-1.2686412492010923</x:v>
      </x:c>
      <x:c r="AK31" s="48" t="n">
        <x:f>Y31-X31</x:f>
        <x:v>193.15242349937085</x:v>
      </x:c>
      <x:c r="AL31" s="48" t="n">
        <x:f>1000*(AA32-AA30)/(A32-A30)*Inputs!$C$11</x:f>
        <x:v>-851.7037206324858</x:v>
      </x:c>
      <x:c r="AM31" s="48" t="n">
        <x:f>-2*AL31/Inputs!$C$13</x:f>
        <x:v>340.6814882529943</x:v>
      </x:c>
      <x:c r="AN31" s="48" t="n">
        <x:f>-2*AL31/Inputs!$C$14</x:f>
        <x:v>51.15337661456371</x:v>
      </x:c>
      <x:c r="AO31" s="48" t="n">
        <x:f>ABS(AM31)</x:f>
        <x:v>340.6814882529943</x:v>
      </x:c>
      <x:c r="AP31" s="48" t="n">
        <x:f>ABS(AN31)</x:f>
        <x:v>51.15337661456371</x:v>
      </x:c>
      <x:c r="AQ31" s="48" t="n">
        <x:f>IF(OR(Inputs!$C$27=TRUE,Inputs!$C$27="TRUE",Inputs!$C$27=1),Inputs!$C$46/Inputs!$C$12,0)</x:f>
        <x:v>42.13483146067416</x:v>
      </x:c>
      <x:c r="AR31" s="48" t="n">
        <x:f>AC31-AQ31</x:f>
        <x:v>2205.5253896388645</x:v>
      </x:c>
      <x:c r="AS31" s="48" t="n">
        <x:f>AC31+AQ31</x:f>
        <x:v>2289.795052560213</x:v>
      </x:c>
    </x:row>
    <x:row r="32">
      <x:c r="A32" s="48" t="n">
        <x:f>Inputs!$C$7+30*(Inputs!$C$8-Inputs!$C$7)/240</x:f>
        <x:v>-45</x:v>
      </x:c>
      <x:c r="B32" s="48" t="n">
        <x:f>Inputs!$C$5+Inputs!$C$9*(A32/Inputs!$C$10)^2</x:f>
        <x:v>402.25</x:v>
      </x:c>
      <x:c r="C32" s="48" t="n">
        <x:f>B32</x:f>
        <x:v>402.25</x:v>
      </x:c>
      <x:c r="D32" s="48" t="n">
        <x:f>SQRT((Inputs!$C$52+B32)^2+Inputs!$C$52^2-2*(Inputs!$C$52+B32)*Inputs!$C$52*COS(SQRT(A32^2+Inputs!$C$6^2)/Inputs!$C$52))</x:f>
        <x:v>406.3714057805594</x:v>
      </x:c>
      <x:c r="E32" s="48" t="n">
        <x:f>(D32-C32)*1000</x:f>
        <x:v>4121.4057805594275</x:v>
      </x:c>
      <x:c r="F32" s="48" t="n">
        <x:f>E32/Inputs!$C$12</x:f>
        <x:v>2315.3965059322627</x:v>
      </x:c>
      <x:c r="G32" s="48" t="n">
        <x:f>2*E32/Inputs!$C$21*1000000</x:f>
        <x:v>27.49505980273478</x:v>
      </x:c>
      <x:c r="H32" s="48" t="n">
        <x:f>SQRT(A32^2+Inputs!$C$6^2)</x:f>
        <x:v>51.478150704935004</x:v>
      </x:c>
      <x:c r="I32" s="48" t="n">
        <x:f>DEGREES(ATAN(H32/B32))</x:f>
        <x:v>7.292816002949435</x:v>
      </x:c>
      <x:c r="J32" s="48" t="n">
        <x:f>DEGREES((2*PI()/Inputs!$C$13)*Inputs!$C$15*SIN(RADIANS(I32)))</x:f>
        <x:v>45.69848622408668</x:v>
      </x:c>
      <x:c r="K32" s="48" t="n">
        <x:f>(C32/D32)^4</x:f>
        <x:v>0.9600451230018592</x:v>
      </x:c>
      <x:c r="L32" s="48" t="n">
        <x:f>10*LOG10(K32)</x:f>
        <x:v>-0.177083542414979</x:v>
      </x:c>
      <x:c r="M32" s="48" t="n">
        <x:f>2*(Inputs!$C$9/(Inputs!$C$10^2))*A32</x:f>
        <x:v>-0.1</x:v>
      </x:c>
      <x:c r="N32" s="48" t="n">
        <x:f>M32*Inputs!$C$11</x:f>
        <x:v>-0.4</x:v>
      </x:c>
      <x:c r="O32" s="48" t="n">
        <x:f>1000*(D33-D31)/(A33-A31)*Inputs!$C$11</x:f>
        <x:v>-953.7770482984342</x:v>
      </x:c>
      <x:c r="P32" s="48" t="n">
        <x:f>-2*O32/Inputs!$C$13</x:f>
        <x:v>381.5108193193737</x:v>
      </x:c>
      <x:c r="Q32" s="48" t="n">
        <x:f>-2*O32/Inputs!$C$14</x:f>
        <x:v>57.28390680471077</x:v>
      </x:c>
      <x:c r="R32" s="48" t="n">
        <x:f>F32-Inputs!$C$16/2</x:f>
        <x:v>2300.3965059322627</x:v>
      </x:c>
      <x:c r="S32" s="48" t="n">
        <x:f>F32+Inputs!$C$16/2</x:f>
        <x:v>2330.3965059322627</x:v>
      </x:c>
      <x:c r="T32" s="48" t="n">
        <x:f>F32-Inputs!$C$17/2</x:f>
        <x:v>2165.3965059322627</x:v>
      </x:c>
      <x:c r="U32" s="48" t="n">
        <x:f>F32+Inputs!$C$17/2</x:f>
        <x:v>2465.3965059322627</x:v>
      </x:c>
      <x:c r="V32" s="48" t="n">
        <x:f>ABS(P32)</x:f>
        <x:v>381.5108193193737</x:v>
      </x:c>
      <x:c r="W32" s="48" t="n">
        <x:f>ABS(Q32)</x:f>
        <x:v>57.28390680471077</x:v>
      </x:c>
      <x:c r="X32" s="48" t="n">
        <x: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(0.45*SIN(2*PI()*(((A32)/Inputs!$C$49)+Inputs!$C$47*0.137))+0.35*COS(2*PI()*(((0)/Inputs!$C$50)+Inputs!$C$47*0.173))+0.20*SIN(2*PI()*(((A32)+(0))/(0.5*(Inputs!$C$49+Inputs!$C$50))+Inputs!$C$47*0.097)))+0.30*(2*((SIN(((A32)*12.9898+(0)*78.233+Inputs!$C$47*37.719))*43758.5453)-INT((SIN(((A32)*12.9898+(0)*78.233+Inputs!$C$47*37.719))*43758.5453)))-1)))</x:f>
        <x:v>46.59917835352822</x:v>
      </x:c>
      <x:c r="Y32" s="48" t="n">
        <x: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(0.45*SIN(2*PI()*(((A32)/Inputs!$C$49)+Inputs!$C$47*0.137))+0.35*COS(2*PI()*(((Inputs!$C$6)/Inputs!$C$50)+Inputs!$C$47*0.173))+0.20*SIN(2*PI()*(((A32)+(Inputs!$C$6))/(0.5*(Inputs!$C$49+Inputs!$C$50))+Inputs!$C$47*0.097)))+0.30*(2*((SIN(((A32)*12.9898+(Inputs!$C$6)*78.233+Inputs!$C$47*37.719))*43758.5453)-INT((SIN(((A32)*12.9898+(Inputs!$C$6)*78.233+Inputs!$C$47*37.719))*43758.5453)))-1)))</x:f>
        <x:v>208.8220272535724</x:v>
      </x:c>
      <x:c r="Z32" s="48" t="n">
        <x:f>B32-X32/1000</x:f>
        <x:v>402.2034008216465</x:v>
      </x:c>
      <x:c r="AA32" s="48" t="n">
        <x:f>SQRT((Inputs!$C$52+B32)^2+(Inputs!$C$52+Y32/1000)^2-2*(Inputs!$C$52+B32)*(Inputs!$C$52+Y32/1000)*COS(SQRT(A32^2+Inputs!$C$6^2)/Inputs!$C$52))</x:f>
        <x:v>406.165251595327</x:v>
      </x:c>
      <x:c r="AB32" s="48" t="n">
        <x:f>(AA32-Z32)*1000</x:f>
        <x:v>3961.85077368051</x:v>
      </x:c>
      <x:c r="AC32" s="48" t="n">
        <x:f>AB32/Inputs!$C$12</x:f>
        <x:v>2225.758861618264</x:v>
      </x:c>
      <x:c r="AD32" s="48" t="n">
        <x:f>2*AB32/Inputs!$C$21*1000000</x:f>
        <x:v>26.43062337265676</x:v>
      </x:c>
      <x:c r="AE32" s="48" t="n">
        <x:f>DEGREES(ATAN(H32/(B32-Y32/1000)))</x:f>
        <x:v>7.296563113535691</x:v>
      </x:c>
      <x:c r="AF32" s="48" t="n">
        <x:f>DEGREES((2*PI()/Inputs!$C$13)*Inputs!$C$15*SIN(RADIANS(AE32)))</x:f>
        <x:v>45.72183945589311</x:v>
      </x:c>
      <x:c r="AG32" s="48" t="n">
        <x:f>(Z32/AA32)^4</x:f>
        <x:v>0.9615500412844539</x:v>
      </x:c>
      <x:c r="AH32" s="48" t="n">
        <x:f>10*LOG10(AG32)</x:f>
        <x:v>-0.170281091496957</x:v>
      </x:c>
      <x:c r="AI32" s="48" t="n">
        <x:f>AC32-F32</x:f>
        <x:v>-89.63764431399886</x:v>
      </x:c>
      <x:c r="AJ32" s="48" t="n">
        <x:f>AD32-G32</x:f>
        <x:v>-1.0644364300780182</x:v>
      </x:c>
      <x:c r="AK32" s="48" t="n">
        <x:f>Y32-X32</x:f>
        <x:v>162.2228489000442</x:v>
      </x:c>
      <x:c r="AL32" s="48" t="n">
        <x:f>1000*(AA33-AA31)/(A33-A31)*Inputs!$C$11</x:f>
        <x:v>-842.1083627717962</x:v>
      </x:c>
      <x:c r="AM32" s="48" t="n">
        <x:f>-2*AL32/Inputs!$C$13</x:f>
        <x:v>336.8433451087185</x:v>
      </x:c>
      <x:c r="AN32" s="48" t="n">
        <x:f>-2*AL32/Inputs!$C$14</x:f>
        <x:v>50.57707884515293</x:v>
      </x:c>
      <x:c r="AO32" s="48" t="n">
        <x:f>ABS(AM32)</x:f>
        <x:v>336.8433451087185</x:v>
      </x:c>
      <x:c r="AP32" s="48" t="n">
        <x:f>ABS(AN32)</x:f>
        <x:v>50.57707884515293</x:v>
      </x:c>
      <x:c r="AQ32" s="48" t="n">
        <x:f>IF(OR(Inputs!$C$27=TRUE,Inputs!$C$27="TRUE",Inputs!$C$27=1),Inputs!$C$46/Inputs!$C$12,0)</x:f>
        <x:v>42.13483146067416</x:v>
      </x:c>
      <x:c r="AR32" s="48" t="n">
        <x:f>AC32-AQ32</x:f>
        <x:v>2183.6240301575895</x:v>
      </x:c>
      <x:c r="AS32" s="48" t="n">
        <x:f>AC32+AQ32</x:f>
        <x:v>2267.893693078938</x:v>
      </x:c>
    </x:row>
    <x:row r="33">
      <x:c r="A33" s="48" t="n">
        <x:f>Inputs!$C$7+31*(Inputs!$C$8-Inputs!$C$7)/240</x:f>
        <x:v>-44.5</x:v>
      </x:c>
      <x:c r="B33" s="48" t="n">
        <x:f>Inputs!$C$5+Inputs!$C$9*(A33/Inputs!$C$10)^2</x:f>
        <x:v>402.2002777777778</x:v>
      </x:c>
      <x:c r="C33" s="48" t="n">
        <x:f>B33</x:f>
        <x:v>402.2002777777778</x:v>
      </x:c>
      <x:c r="D33" s="48" t="n">
        <x:f>SQRT((Inputs!$C$52+B33)^2+Inputs!$C$52^2-2*(Inputs!$C$52+B33)*Inputs!$C$52*COS(SQRT(A33^2+Inputs!$C$6^2)/Inputs!$C$52))</x:f>
        <x:v>406.2528332484694</x:v>
      </x:c>
      <x:c r="E33" s="48" t="n">
        <x:f>(D33-C33)*1000</x:f>
        <x:v>4052.5554706916296</x:v>
      </x:c>
      <x:c r="F33" s="48" t="n">
        <x:f>E33/Inputs!$C$12</x:f>
        <x:v>2276.7165565683313</x:v>
      </x:c>
      <x:c r="G33" s="48" t="n">
        <x:f>2*E33/Inputs!$C$21*1000000</x:f>
        <x:v>27.035739976431493</x:v>
      </x:c>
      <x:c r="H33" s="48" t="n">
        <x:f>SQRT(A33^2+Inputs!$C$6^2)</x:f>
        <x:v>51.041649659861115</x:v>
      </x:c>
      <x:c r="I33" s="48" t="n">
        <x:f>DEGREES(ATAN(H33/B33))</x:f>
        <x:v>7.232519645354166</x:v>
      </x:c>
      <x:c r="J33" s="48" t="n">
        <x:f>DEGREES((2*PI()/Inputs!$C$13)*Inputs!$C$15*SIN(RADIANS(I33)))</x:f>
        <x:v>45.32267258355667</x:v>
      </x:c>
      <x:c r="K33" s="48" t="n">
        <x:f>(C33/D33)^4</x:f>
        <x:v>0.9606912907410361</x:v>
      </x:c>
      <x:c r="L33" s="48" t="n">
        <x:f>10*LOG10(K33)</x:f>
        <x:v>-0.174161464277788</x:v>
      </x:c>
      <x:c r="M33" s="48" t="n">
        <x:f>2*(Inputs!$C$9/(Inputs!$C$10^2))*A33</x:f>
        <x:v>-0.09888888888888889</x:v>
      </x:c>
      <x:c r="N33" s="48" t="n">
        <x:f>M33*Inputs!$C$11</x:f>
        <x:v>-0.39555555555555555</x:v>
      </x:c>
      <x:c r="O33" s="48" t="n">
        <x:f>1000*(D34-D32)/(A34-A32)*Inputs!$C$11</x:f>
        <x:v>-943.3801717254937</x:v>
      </x:c>
      <x:c r="P33" s="48" t="n">
        <x:f>-2*O33/Inputs!$C$13</x:f>
        <x:v>377.3520686901975</x:v>
      </x:c>
      <x:c r="Q33" s="48" t="n">
        <x:f>-2*O33/Inputs!$C$14</x:f>
        <x:v>56.65946977330293</x:v>
      </x:c>
      <x:c r="R33" s="48" t="n">
        <x:f>F33-Inputs!$C$16/2</x:f>
        <x:v>2261.7165565683313</x:v>
      </x:c>
      <x:c r="S33" s="48" t="n">
        <x:f>F33+Inputs!$C$16/2</x:f>
        <x:v>2291.7165565683313</x:v>
      </x:c>
      <x:c r="T33" s="48" t="n">
        <x:f>F33-Inputs!$C$17/2</x:f>
        <x:v>2126.7165565683313</x:v>
      </x:c>
      <x:c r="U33" s="48" t="n">
        <x:f>F33+Inputs!$C$17/2</x:f>
        <x:v>2426.7165565683313</x:v>
      </x:c>
      <x:c r="V33" s="48" t="n">
        <x:f>ABS(P33)</x:f>
        <x:v>377.3520686901975</x:v>
      </x:c>
      <x:c r="W33" s="48" t="n">
        <x:f>ABS(Q33)</x:f>
        <x:v>56.65946977330293</x:v>
      </x:c>
      <x:c r="X33" s="48" t="n">
        <x: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(0.45*SIN(2*PI()*(((A33)/Inputs!$C$49)+Inputs!$C$47*0.137))+0.35*COS(2*PI()*(((0)/Inputs!$C$50)+Inputs!$C$47*0.173))+0.20*SIN(2*PI()*(((A33)+(0))/(0.5*(Inputs!$C$49+Inputs!$C$50))+Inputs!$C$47*0.097)))+0.30*(2*((SIN(((A33)*12.9898+(0)*78.233+Inputs!$C$47*37.719))*43758.5453)-INT((SIN(((A33)*12.9898+(0)*78.233+Inputs!$C$47*37.719))*43758.5453)))-1)))</x:f>
        <x:v>27.91531821493412</x:v>
      </x:c>
      <x:c r="Y33" s="48" t="n">
        <x: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(0.45*SIN(2*PI()*(((A33)/Inputs!$C$49)+Inputs!$C$47*0.137))+0.35*COS(2*PI()*(((Inputs!$C$6)/Inputs!$C$50)+Inputs!$C$47*0.173))+0.20*SIN(2*PI()*(((A33)+(Inputs!$C$6))/(0.5*(Inputs!$C$49+Inputs!$C$50))+Inputs!$C$47*0.097)))+0.30*(2*((SIN(((A33)*12.9898+(Inputs!$C$6)*78.233+Inputs!$C$47*37.719))*43758.5453)-INT((SIN(((A33)*12.9898+(Inputs!$C$6)*78.233+Inputs!$C$47*37.719))*43758.5453)))-1)))</x:f>
        <x:v>201.66422960156285</x:v>
      </x:c>
      <x:c r="Z33" s="48" t="n">
        <x:f>B33-X33/1000</x:f>
        <x:v>402.17236245956286</x:v>
      </x:c>
      <x:c r="AA33" s="48" t="n">
        <x:f>SQRT((Inputs!$C$52+B33)^2+(Inputs!$C$52+Y33/1000)^2-2*(Inputs!$C$52+B33)*(Inputs!$C$52+Y33/1000)*COS(SQRT(A33^2+Inputs!$C$6^2)/Inputs!$C$52))</x:f>
        <x:v>406.05370296213385</x:v>
      </x:c>
      <x:c r="AB33" s="48" t="n">
        <x:f>(AA33-Z33)*1000</x:f>
        <x:v>3881.3405025709926</x:v>
      </x:c>
      <x:c r="AC33" s="48" t="n">
        <x:f>AB33/Inputs!$C$12</x:f>
        <x:v>2180.5283722308945</x:v>
      </x:c>
      <x:c r="AD33" s="48" t="n">
        <x:f>2*AB33/Inputs!$C$21*1000000</x:f>
        <x:v>25.893516657920678</x:v>
      </x:c>
      <x:c r="AE33" s="48" t="n">
        <x:f>DEGREES(ATAN(H33/(B33-Y33/1000)))</x:f>
        <x:v>7.23610941995349</x:v>
      </x:c>
      <x:c r="AF33" s="48" t="n">
        <x:f>DEGREES((2*PI()/Inputs!$C$13)*Inputs!$C$15*SIN(RADIANS(AE33)))</x:f>
        <x:v>45.34504825087364</x:v>
      </x:c>
      <x:c r="AG33" s="48" t="n">
        <x:f>(Z33/AA33)^4</x:f>
        <x:v>0.9623099754796202</x:v>
      </x:c>
      <x:c r="AH33" s="48" t="n">
        <x:f>10*LOG10(AG33)</x:f>
        <x:v>-0.166850122072368</x:v>
      </x:c>
      <x:c r="AI33" s="48" t="n">
        <x:f>AC33-F33</x:f>
        <x:v>-96.18818433743672</x:v>
      </x:c>
      <x:c r="AJ33" s="48" t="n">
        <x:f>AD33-G33</x:f>
        <x:v>-1.1422233185108155</x:v>
      </x:c>
      <x:c r="AK33" s="48" t="n">
        <x:f>Y33-X33</x:f>
        <x:v>173.74891138662872</x:v>
      </x:c>
      <x:c r="AL33" s="48" t="n">
        <x:f>1000*(AA34-AA32)/(A34-A32)*Inputs!$C$11</x:f>
        <x:v>-909.3389569372903</x:v>
      </x:c>
      <x:c r="AM33" s="48" t="n">
        <x:f>-2*AL33/Inputs!$C$13</x:f>
        <x:v>363.7355827749161</x:v>
      </x:c>
      <x:c r="AN33" s="48" t="n">
        <x:f>-2*AL33/Inputs!$C$14</x:f>
        <x:v>54.614952368606026</x:v>
      </x:c>
      <x:c r="AO33" s="48" t="n">
        <x:f>ABS(AM33)</x:f>
        <x:v>363.7355827749161</x:v>
      </x:c>
      <x:c r="AP33" s="48" t="n">
        <x:f>ABS(AN33)</x:f>
        <x:v>54.614952368606026</x:v>
      </x:c>
      <x:c r="AQ33" s="48" t="n">
        <x:f>IF(OR(Inputs!$C$27=TRUE,Inputs!$C$27="TRUE",Inputs!$C$27=1),Inputs!$C$46/Inputs!$C$12,0)</x:f>
        <x:v>42.13483146067416</x:v>
      </x:c>
      <x:c r="AR33" s="48" t="n">
        <x:f>AC33-AQ33</x:f>
        <x:v>2138.39354077022</x:v>
      </x:c>
      <x:c r="AS33" s="48" t="n">
        <x:f>AC33+AQ33</x:f>
        <x:v>2222.663203691569</x:v>
      </x:c>
    </x:row>
    <x:row r="34">
      <x:c r="A34" s="48" t="n">
        <x:f>Inputs!$C$7+32*(Inputs!$C$8-Inputs!$C$7)/240</x:f>
        <x:v>-44</x:v>
      </x:c>
      <x:c r="B34" s="48" t="n">
        <x:f>Inputs!$C$5+Inputs!$C$9*(A34/Inputs!$C$10)^2</x:f>
        <x:v>402.1511111111111</x:v>
      </x:c>
      <x:c r="C34" s="48" t="n">
        <x:f>B34</x:f>
        <x:v>402.1511111111111</x:v>
      </x:c>
      <x:c r="D34" s="48" t="n">
        <x:f>SQRT((Inputs!$C$52+B34)^2+Inputs!$C$52^2-2*(Inputs!$C$52+B34)*Inputs!$C$52*COS(SQRT(A34^2+Inputs!$C$6^2)/Inputs!$C$52))</x:f>
        <x:v>406.13556073762805</x:v>
      </x:c>
      <x:c r="E34" s="48" t="n">
        <x:f>(D34-C34)*1000</x:f>
        <x:v>3984.4496265169482</x:v>
      </x:c>
      <x:c r="F34" s="48" t="n">
        <x:f>E34/Inputs!$C$12</x:f>
        <x:v>2238.4548463578362</x:v>
      </x:c>
      <x:c r="G34" s="48" t="n">
        <x:f>2*E34/Inputs!$C$21*1000000</x:f>
        <x:v>26.58138669063481</x:v>
      </x:c>
      <x:c r="H34" s="48" t="n">
        <x:f>SQRT(A34^2+Inputs!$C$6^2)</x:f>
        <x:v>50.60632371551998</x:v>
      </x:c>
      <x:c r="I34" s="48" t="n">
        <x:f>DEGREES(ATAN(H34/B34))</x:f>
        <x:v>7.172347267625263</x:v>
      </x:c>
      <x:c r="J34" s="48" t="n">
        <x:f>DEGREES((2*PI()/Inputs!$C$13)*Inputs!$C$15*SIN(RADIANS(I34)))</x:f>
        <x:v>44.94758164201636</x:v>
      </x:c>
      <x:c r="K34" s="48" t="n">
        <x:f>(C34/D34)^4</x:f>
        <x:v>0.9613311656079478</x:v>
      </x:c>
      <x:c r="L34" s="48" t="n">
        <x:f>10*LOG10(K34)</x:f>
        <x:v>-0.17126977970711998</x:v>
      </x:c>
      <x:c r="M34" s="48" t="n">
        <x:f>2*(Inputs!$C$9/(Inputs!$C$10^2))*A34</x:f>
        <x:v>-0.09777777777777778</x:v>
      </x:c>
      <x:c r="N34" s="48" t="n">
        <x:f>M34*Inputs!$C$11</x:f>
        <x:v>-0.39111111111111113</x:v>
      </x:c>
      <x:c r="O34" s="48" t="n">
        <x:f>1000*(D35-D33)/(A35-A33)*Inputs!$C$11</x:f>
        <x:v>-932.9767403644382</x:v>
      </x:c>
      <x:c r="P34" s="48" t="n">
        <x:f>-2*O34/Inputs!$C$13</x:f>
        <x:v>373.1906961457753</x:v>
      </x:c>
      <x:c r="Q34" s="48" t="n">
        <x:f>-2*O34/Inputs!$C$14</x:f>
        <x:v>56.034639060927226</x:v>
      </x:c>
      <x:c r="R34" s="48" t="n">
        <x:f>F34-Inputs!$C$16/2</x:f>
        <x:v>2223.4548463578362</x:v>
      </x:c>
      <x:c r="S34" s="48" t="n">
        <x:f>F34+Inputs!$C$16/2</x:f>
        <x:v>2253.4548463578362</x:v>
      </x:c>
      <x:c r="T34" s="48" t="n">
        <x:f>F34-Inputs!$C$17/2</x:f>
        <x:v>2088.4548463578362</x:v>
      </x:c>
      <x:c r="U34" s="48" t="n">
        <x:f>F34+Inputs!$C$17/2</x:f>
        <x:v>2388.4548463578362</x:v>
      </x:c>
      <x:c r="V34" s="48" t="n">
        <x:f>ABS(P34)</x:f>
        <x:v>373.1906961457753</x:v>
      </x:c>
      <x:c r="W34" s="48" t="n">
        <x:f>ABS(Q34)</x:f>
        <x:v>56.034639060927226</x:v>
      </x:c>
      <x:c r="X34" s="48" t="n">
        <x: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(0.45*SIN(2*PI()*(((A34)/Inputs!$C$49)+Inputs!$C$47*0.137))+0.35*COS(2*PI()*(((0)/Inputs!$C$50)+Inputs!$C$47*0.173))+0.20*SIN(2*PI()*(((A34)+(0))/(0.5*(Inputs!$C$49+Inputs!$C$50))+Inputs!$C$47*0.097)))+0.30*(2*((SIN(((A34)*12.9898+(0)*78.233+Inputs!$C$47*37.719))*43758.5453)-INT((SIN(((A34)*12.9898+(0)*78.233+Inputs!$C$47*37.719))*43758.5453)))-1)))</x:f>
        <x:v>18.82539201019003</x:v>
      </x:c>
      <x:c r="Y34" s="48" t="n">
        <x: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(0.45*SIN(2*PI()*(((A34)/Inputs!$C$49)+Inputs!$C$47*0.137))+0.35*COS(2*PI()*(((Inputs!$C$6)/Inputs!$C$50)+Inputs!$C$47*0.173))+0.20*SIN(2*PI()*(((A34)+(Inputs!$C$6))/(0.5*(Inputs!$C$49+Inputs!$C$50))+Inputs!$C$47*0.097)))+0.30*(2*((SIN(((A34)*12.9898+(Inputs!$C$6)*78.233+Inputs!$C$47*37.719))*43758.5453)-INT((SIN(((A34)*12.9898+(Inputs!$C$6)*78.233+Inputs!$C$47*37.719))*43758.5453)))-1)))</x:f>
        <x:v>200.11672258234324</x:v>
      </x:c>
      <x:c r="Z34" s="48" t="n">
        <x:f>B34-X34/1000</x:f>
        <x:v>402.13228571910093</x:v>
      </x:c>
      <x:c r="AA34" s="48" t="n">
        <x:f>SQRT((Inputs!$C$52+B34)^2+(Inputs!$C$52+Y34/1000)^2-2*(Inputs!$C$52+B34)*(Inputs!$C$52+Y34/1000)*COS(SQRT(A34^2+Inputs!$C$6^2)/Inputs!$C$52))</x:f>
        <x:v>405.93791685609267</x:v>
      </x:c>
      <x:c r="AB34" s="48" t="n">
        <x:f>(AA34-Z34)*1000</x:f>
        <x:v>3805.6311369917353</x:v>
      </x:c>
      <x:c r="AC34" s="48" t="n">
        <x:f>AB34/Inputs!$C$12</x:f>
        <x:v>2137.995020781874</x:v>
      </x:c>
      <x:c r="AD34" s="48" t="n">
        <x:f>2*AB34/Inputs!$C$21*1000000</x:f>
        <x:v>25.388438137371256</x:v>
      </x:c>
      <x:c r="AE34" s="48" t="n">
        <x:f>DEGREES(ATAN(H34/(B34-Y34/1000)))</x:f>
        <x:v>7.175880902541359</x:v>
      </x:c>
      <x:c r="AF34" s="48" t="n">
        <x:f>DEGREES((2*PI()/Inputs!$C$13)*Inputs!$C$15*SIN(RADIANS(AE34)))</x:f>
        <x:v>44.96961030675303</x:v>
      </x:c>
      <x:c r="AG34" s="48" t="n">
        <x:f>(Z34/AA34)^4</x:f>
        <x:v>0.9630244084113373</x:v>
      </x:c>
      <x:c r="AH34" s="48" t="n">
        <x:f>10*LOG10(AG34)</x:f>
        <x:v>-0.16362705290815902</x:v>
      </x:c>
      <x:c r="AI34" s="48" t="n">
        <x:f>AC34-F34</x:f>
        <x:v>-100.45982557596244</x:v>
      </x:c>
      <x:c r="AJ34" s="48" t="n">
        <x:f>AD34-G34</x:f>
        <x:v>-1.1929485532635553</x:v>
      </x:c>
      <x:c r="AK34" s="48" t="n">
        <x:f>Y34-X34</x:f>
        <x:v>181.2913305721532</x:v>
      </x:c>
      <x:c r="AL34" s="48" t="n">
        <x:f>1000*(AA35-AA33)/(A35-A33)*Inputs!$C$11</x:f>
        <x:v>-969.6007884754181</x:v>
      </x:c>
      <x:c r="AM34" s="48" t="n">
        <x:f>-2*AL34/Inputs!$C$13</x:f>
        <x:v>387.84031539016723</x:v>
      </x:c>
      <x:c r="AN34" s="48" t="n">
        <x:f>-2*AL34/Inputs!$C$14</x:f>
        <x:v>58.2342815901152</x:v>
      </x:c>
      <x:c r="AO34" s="48" t="n">
        <x:f>ABS(AM34)</x:f>
        <x:v>387.84031539016723</x:v>
      </x:c>
      <x:c r="AP34" s="48" t="n">
        <x:f>ABS(AN34)</x:f>
        <x:v>58.2342815901152</x:v>
      </x:c>
      <x:c r="AQ34" s="48" t="n">
        <x:f>IF(OR(Inputs!$C$27=TRUE,Inputs!$C$27="TRUE",Inputs!$C$27=1),Inputs!$C$46/Inputs!$C$12,0)</x:f>
        <x:v>42.13483146067416</x:v>
      </x:c>
      <x:c r="AR34" s="48" t="n">
        <x:f>AC34-AQ34</x:f>
        <x:v>2095.8601893211994</x:v>
      </x:c>
      <x:c r="AS34" s="48" t="n">
        <x:f>AC34+AQ34</x:f>
        <x:v>2180.129852242548</x:v>
      </x:c>
    </x:row>
    <x:row r="35">
      <x:c r="A35" s="48" t="n">
        <x:f>Inputs!$C$7+33*(Inputs!$C$8-Inputs!$C$7)/240</x:f>
        <x:v>-43.5</x:v>
      </x:c>
      <x:c r="B35" s="48" t="n">
        <x:f>Inputs!$C$5+Inputs!$C$9*(A35/Inputs!$C$10)^2</x:f>
        <x:v>402.1025</x:v>
      </x:c>
      <x:c r="C35" s="48" t="n">
        <x:f>B35</x:f>
        <x:v>402.1025</x:v>
      </x:c>
      <x:c r="D35" s="48" t="n">
        <x:f>SQRT((Inputs!$C$52+B35)^2+Inputs!$C$52^2-2*(Inputs!$C$52+B35)*Inputs!$C$52*COS(SQRT(A35^2+Inputs!$C$6^2)/Inputs!$C$52))</x:f>
        <x:v>406.0195890633783</x:v>
      </x:c>
      <x:c r="E35" s="48" t="n">
        <x:f>(D35-C35)*1000</x:f>
        <x:v>3917.0890633782847</x:v>
      </x:c>
      <x:c r="F35" s="48" t="n">
        <x:f>E35/Inputs!$C$12</x:f>
        <x:v>2200.611833358587</x:v>
      </x:c>
      <x:c r="G35" s="48" t="n">
        <x:f>2*E35/Inputs!$C$21*1000000</x:f>
        <x:v>26.132005384727087</x:v>
      </x:c>
      <x:c r="H35" s="48" t="n">
        <x:f>SQRT(A35^2+Inputs!$C$6^2)</x:f>
        <x:v>50.172203459684724</x:v>
      </x:c>
      <x:c r="I35" s="48" t="n">
        <x:f>DEGREES(ATAN(H35/B35))</x:f>
        <x:v>7.1123037002334435</x:v>
      </x:c>
      <x:c r="J35" s="48" t="n">
        <x:f>DEGREES((2*PI()/Inputs!$C$13)*Inputs!$C$15*SIN(RADIANS(I35)))</x:f>
        <x:v>44.57324423808168</x:v>
      </x:c>
      <x:c r="K35" s="48" t="n">
        <x:f>(C35/D35)^4</x:f>
        <x:v>0.9619647181791856</x:v>
      </x:c>
      <x:c r="L35" s="48" t="n">
        <x:f>10*LOG10(K35)</x:f>
        <x:v>-0.168408562169498</x:v>
      </x:c>
      <x:c r="M35" s="48" t="n">
        <x:f>2*(Inputs!$C$9/(Inputs!$C$10^2))*A35</x:f>
        <x:v>-0.09666666666666666</x:v>
      </x:c>
      <x:c r="N35" s="48" t="n">
        <x:f>M35*Inputs!$C$11</x:f>
        <x:v>-0.38666666666666666</x:v>
      </x:c>
      <x:c r="O35" s="48" t="n">
        <x:f>1000*(D36-D34)/(A36-A34)*Inputs!$C$11</x:f>
        <x:v>-922.566818496307</x:v>
      </x:c>
      <x:c r="P35" s="48" t="n">
        <x:f>-2*O35/Inputs!$C$13</x:f>
        <x:v>369.0267273985228</x:v>
      </x:c>
      <x:c r="Q35" s="48" t="n">
        <x:f>-2*O35/Inputs!$C$14</x:f>
        <x:v>55.40941852830673</x:v>
      </x:c>
      <x:c r="R35" s="48" t="n">
        <x:f>F35-Inputs!$C$16/2</x:f>
        <x:v>2185.611833358587</x:v>
      </x:c>
      <x:c r="S35" s="48" t="n">
        <x:f>F35+Inputs!$C$16/2</x:f>
        <x:v>2215.611833358587</x:v>
      </x:c>
      <x:c r="T35" s="48" t="n">
        <x:f>F35-Inputs!$C$17/2</x:f>
        <x:v>2050.611833358587</x:v>
      </x:c>
      <x:c r="U35" s="48" t="n">
        <x:f>F35+Inputs!$C$17/2</x:f>
        <x:v>2350.611833358587</x:v>
      </x:c>
      <x:c r="V35" s="48" t="n">
        <x:f>ABS(P35)</x:f>
        <x:v>369.0267273985228</x:v>
      </x:c>
      <x:c r="W35" s="48" t="n">
        <x:f>ABS(Q35)</x:f>
        <x:v>55.40941852830673</x:v>
      </x:c>
      <x:c r="X35" s="48" t="n">
        <x: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(0.45*SIN(2*PI()*(((A35)/Inputs!$C$49)+Inputs!$C$47*0.137))+0.35*COS(2*PI()*(((0)/Inputs!$C$50)+Inputs!$C$47*0.173))+0.20*SIN(2*PI()*(((A35)+(0))/(0.5*(Inputs!$C$49+Inputs!$C$50))+Inputs!$C$47*0.097)))+0.30*(2*((SIN(((A35)*12.9898+(0)*78.233+Inputs!$C$47*37.719))*43758.5453)-INT((SIN(((A35)*12.9898+(0)*78.233+Inputs!$C$47*37.719))*43758.5453)))-1)))</x:f>
        <x:v>22.55480739682735</x:v>
      </x:c>
      <x:c r="Y35" s="48" t="n">
        <x: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(0.45*SIN(2*PI()*(((A35)/Inputs!$C$49)+Inputs!$C$47*0.137))+0.35*COS(2*PI()*(((Inputs!$C$6)/Inputs!$C$50)+Inputs!$C$47*0.173))+0.20*SIN(2*PI()*(((A35)+(Inputs!$C$6))/(0.5*(Inputs!$C$49+Inputs!$C$50))+Inputs!$C$47*0.097)))+0.30*(2*((SIN(((A35)*12.9898+(Inputs!$C$6)*78.233+Inputs!$C$47*37.719))*43758.5453)-INT((SIN(((A35)*12.9898+(Inputs!$C$6)*78.233+Inputs!$C$47*37.719))*43758.5453)))-1)))</x:f>
        <x:v>210.8483953416035</x:v>
      </x:c>
      <x:c r="Z35" s="48" t="n">
        <x:f>B35-X35/1000</x:f>
        <x:v>402.0799451926032</x:v>
      </x:c>
      <x:c r="AA35" s="48" t="n">
        <x:f>SQRT((Inputs!$C$52+B35)^2+(Inputs!$C$52+Y35/1000)^2-2*(Inputs!$C$52+B35)*(Inputs!$C$52+Y35/1000)*COS(SQRT(A35^2+Inputs!$C$6^2)/Inputs!$C$52))</x:f>
        <x:v>405.811302765015</x:v>
      </x:c>
      <x:c r="AB35" s="48" t="n">
        <x:f>(AA35-Z35)*1000</x:f>
        <x:v>3731.3575724118095</x:v>
      </x:c>
      <x:c r="AC35" s="48" t="n">
        <x:f>AB35/Inputs!$C$12</x:f>
        <x:v>2096.268299107758</x:v>
      </x:c>
      <x:c r="AD35" s="48" t="n">
        <x:f>2*AB35/Inputs!$C$21*1000000</x:f>
        <x:v>24.892938250046367</x:v>
      </x:c>
      <x:c r="AE35" s="48" t="n">
        <x:f>DEGREES(ATAN(H35/(B35-Y35/1000)))</x:f>
        <x:v>7.115996855286921</x:v>
      </x:c>
      <x:c r="AF35" s="48" t="n">
        <x:f>DEGREES((2*PI()/Inputs!$C$13)*Inputs!$C$15*SIN(RADIANS(AE35)))</x:f>
        <x:v>44.5962703709262</x:v>
      </x:c>
      <x:c r="AG35" s="48" t="n">
        <x:f>(Z35/AA35)^4</x:f>
        <x:v>0.9637249272693234</x:v>
      </x:c>
      <x:c r="AH35" s="48" t="n">
        <x:f>10*LOG10(AG35)</x:f>
        <x:v>-0.160469076078856</x:v>
      </x:c>
      <x:c r="AI35" s="48" t="n">
        <x:f>AC35-F35</x:f>
        <x:v>-104.34353425082872</x:v>
      </x:c>
      <x:c r="AJ35" s="48" t="n">
        <x:f>AD35-G35</x:f>
        <x:v>-1.2390671346807203</x:v>
      </x:c>
      <x:c r="AK35" s="48" t="n">
        <x:f>Y35-X35</x:f>
        <x:v>188.29358794477614</x:v>
      </x:c>
      <x:c r="AL35" s="48" t="n">
        <x:f>1000*(AA36-AA34)/(A36-A34)*Inputs!$C$11</x:f>
        <x:v>-845.595718056984</x:v>
      </x:c>
      <x:c r="AM35" s="48" t="n">
        <x:f>-2*AL35/Inputs!$C$13</x:f>
        <x:v>338.2382872227936</x:v>
      </x:c>
      <x:c r="AN35" s="48" t="n">
        <x:f>-2*AL35/Inputs!$C$14</x:f>
        <x:v>50.78652961303207</x:v>
      </x:c>
      <x:c r="AO35" s="48" t="n">
        <x:f>ABS(AM35)</x:f>
        <x:v>338.2382872227936</x:v>
      </x:c>
      <x:c r="AP35" s="48" t="n">
        <x:f>ABS(AN35)</x:f>
        <x:v>50.78652961303207</x:v>
      </x:c>
      <x:c r="AQ35" s="48" t="n">
        <x:f>IF(OR(Inputs!$C$27=TRUE,Inputs!$C$27="TRUE",Inputs!$C$27=1),Inputs!$C$46/Inputs!$C$12,0)</x:f>
        <x:v>42.13483146067416</x:v>
      </x:c>
      <x:c r="AR35" s="48" t="n">
        <x:f>AC35-AQ35</x:f>
        <x:v>2054.1334676470838</x:v>
      </x:c>
      <x:c r="AS35" s="48" t="n">
        <x:f>AC35+AQ35</x:f>
        <x:v>2138.4031305684325</x:v>
      </x:c>
    </x:row>
    <x:row r="36">
      <x:c r="A36" s="48" t="n">
        <x:f>Inputs!$C$7+34*(Inputs!$C$8-Inputs!$C$7)/240</x:f>
        <x:v>-43</x:v>
      </x:c>
      <x:c r="B36" s="48" t="n">
        <x:f>Inputs!$C$5+Inputs!$C$9*(A36/Inputs!$C$10)^2</x:f>
        <x:v>402.05444444444447</x:v>
      </x:c>
      <x:c r="C36" s="48" t="n">
        <x:f>B36</x:f>
        <x:v>402.05444444444447</x:v>
      </x:c>
      <x:c r="D36" s="48" t="n">
        <x:f>SQRT((Inputs!$C$52+B36)^2+Inputs!$C$52^2-2*(Inputs!$C$52+B36)*Inputs!$C$52*COS(SQRT(A36^2+Inputs!$C$6^2)/Inputs!$C$52))</x:f>
        <x:v>405.904919033004</x:v>
      </x:c>
      <x:c r="E36" s="48" t="n">
        <x:f>(D36-C36)*1000</x:f>
        <x:v>3850.474588559507</x:v>
      </x:c>
      <x:c r="F36" s="48" t="n">
        <x:f>E36/Inputs!$C$12</x:f>
        <x:v>2163.1879711008464</x:v>
      </x:c>
      <x:c r="G36" s="48" t="n">
        <x:f>2*E36/Inputs!$C$21*1000000</x:f>
        <x:v>25.687601444326575</x:v>
      </x:c>
      <x:c r="H36" s="48" t="n">
        <x:f>SQRT(A36^2+Inputs!$C$6^2)</x:f>
        <x:v>49.73932046178355</x:v>
      </x:c>
      <x:c r="I36" s="48" t="n">
        <x:f>DEGREES(ATAN(H36/B36))</x:f>
        <x:v>7.05239391542762</x:v>
      </x:c>
      <x:c r="J36" s="48" t="n">
        <x:f>DEGREES((2*PI()/Inputs!$C$13)*Inputs!$C$15*SIN(RADIANS(I36)))</x:f>
        <x:v>44.1996921044198</x:v>
      </x:c>
      <x:c r="K36" s="48" t="n">
        <x:f>(C36/D36)^4</x:f>
        <x:v>0.9625919192655438</x:v>
      </x:c>
      <x:c r="L36" s="48" t="n">
        <x:f>10*LOG10(K36)</x:f>
        <x:v>-0.165577884441521</x:v>
      </x:c>
      <x:c r="M36" s="48" t="n">
        <x:f>2*(Inputs!$C$9/(Inputs!$C$10^2))*A36</x:f>
        <x:v>-0.09555555555555556</x:v>
      </x:c>
      <x:c r="N36" s="48" t="n">
        <x:f>M36*Inputs!$C$11</x:f>
        <x:v>-0.38222222222222224</x:v>
      </x:c>
      <x:c r="O36" s="48" t="n">
        <x:f>1000*(D37-D35)/(A37-A35)*Inputs!$C$11</x:f>
        <x:v>-912.1504706984069</x:v>
      </x:c>
      <x:c r="P36" s="48" t="n">
        <x:f>-2*O36/Inputs!$C$13</x:f>
        <x:v>364.8601882793628</x:v>
      </x:c>
      <x:c r="Q36" s="48" t="n">
        <x:f>-2*O36/Inputs!$C$14</x:f>
        <x:v>54.78381205395838</x:v>
      </x:c>
      <x:c r="R36" s="48" t="n">
        <x:f>F36-Inputs!$C$16/2</x:f>
        <x:v>2148.1879711008464</x:v>
      </x:c>
      <x:c r="S36" s="48" t="n">
        <x:f>F36+Inputs!$C$16/2</x:f>
        <x:v>2178.1879711008464</x:v>
      </x:c>
      <x:c r="T36" s="48" t="n">
        <x:f>F36-Inputs!$C$17/2</x:f>
        <x:v>2013.1879711008464</x:v>
      </x:c>
      <x:c r="U36" s="48" t="n">
        <x:f>F36+Inputs!$C$17/2</x:f>
        <x:v>2313.1879711008464</x:v>
      </x:c>
      <x:c r="V36" s="48" t="n">
        <x:f>ABS(P36)</x:f>
        <x:v>364.8601882793628</x:v>
      </x:c>
      <x:c r="W36" s="48" t="n">
        <x:f>ABS(Q36)</x:f>
        <x:v>54.78381205395838</x:v>
      </x:c>
      <x:c r="X36" s="48" t="n">
        <x: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(0.45*SIN(2*PI()*(((A36)/Inputs!$C$49)+Inputs!$C$47*0.137))+0.35*COS(2*PI()*(((0)/Inputs!$C$50)+Inputs!$C$47*0.173))+0.20*SIN(2*PI()*(((A36)+(0))/(0.5*(Inputs!$C$49+Inputs!$C$50))+Inputs!$C$47*0.097)))+0.30*(2*((SIN(((A36)*12.9898+(0)*78.233+Inputs!$C$47*37.719))*43758.5453)-INT((SIN(((A36)*12.9898+(0)*78.233+Inputs!$C$47*37.719))*43758.5453)))-1)))</x:f>
        <x:v>3.69479063881065</x:v>
      </x:c>
      <x:c r="Y36" s="48" t="n">
        <x: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(0.45*SIN(2*PI()*(((A36)/Inputs!$C$49)+Inputs!$C$47*0.137))+0.35*COS(2*PI()*(((Inputs!$C$6)/Inputs!$C$50)+Inputs!$C$47*0.173))+0.20*SIN(2*PI()*(((A36)+(Inputs!$C$6))/(0.5*(Inputs!$C$49+Inputs!$C$50))+Inputs!$C$47*0.097)))+0.30*(2*((SIN(((A36)*12.9898+(Inputs!$C$6)*78.233+Inputs!$C$47*37.719))*43758.5453)-INT((SIN(((A36)*12.9898+(Inputs!$C$6)*78.233+Inputs!$C$47*37.719))*43758.5453)))-1)))</x:f>
        <x:v>180.5581841932563</x:v>
      </x:c>
      <x:c r="Z36" s="48" t="n">
        <x:f>B36-X36/1000</x:f>
        <x:v>402.05074965380567</x:v>
      </x:c>
      <x:c r="AA36" s="48" t="n">
        <x:f>SQRT((Inputs!$C$52+B36)^2+(Inputs!$C$52+Y36/1000)^2-2*(Inputs!$C$52+B36)*(Inputs!$C$52+Y36/1000)*COS(SQRT(A36^2+Inputs!$C$6^2)/Inputs!$C$52))</x:f>
        <x:v>405.7265179265784</x:v>
      </x:c>
      <x:c r="AB36" s="48" t="n">
        <x:f>(AA36-Z36)*1000</x:f>
        <x:v>3675.768272772757</x:v>
      </x:c>
      <x:c r="AC36" s="48" t="n">
        <x:f>AB36/Inputs!$C$12</x:f>
        <x:v>2065.038355490313</x:v>
      </x:c>
      <x:c r="AD36" s="48" t="n">
        <x:f>2*AB36/Inputs!$C$21*1000000</x:f>
        <x:v>24.522086361310375</x:v>
      </x:c>
      <x:c r="AE36" s="48" t="n">
        <x:f>DEGREES(ATAN(H36/(B36-Y36/1000)))</x:f>
        <x:v>7.055530562016414</x:v>
      </x:c>
      <x:c r="AF36" s="48" t="n">
        <x:f>DEGREES((2*PI()/Inputs!$C$13)*Inputs!$C$15*SIN(RADIANS(AE36)))</x:f>
        <x:v>44.219251064000694</x:v>
      </x:c>
      <x:c r="AG36" s="48" t="n">
        <x:f>(Z36/AA36)^4</x:f>
        <x:v>0.9642506270710544</x:v>
      </x:c>
      <x:c r="AH36" s="48" t="n">
        <x:f>10*LOG10(AG36)</x:f>
        <x:v>-0.15810070031627402</x:v>
      </x:c>
      <x:c r="AI36" s="48" t="n">
        <x:f>AC36-F36</x:f>
        <x:v>-98.1496156105336</x:v>
      </x:c>
      <x:c r="AJ36" s="48" t="n">
        <x:f>AD36-G36</x:f>
        <x:v>-1.1655150830161993</x:v>
      </x:c>
      <x:c r="AK36" s="48" t="n">
        <x:f>Y36-X36</x:f>
        <x:v>176.86339355444565</x:v>
      </x:c>
      <x:c r="AL36" s="48" t="n">
        <x:f>1000*(AA37-AA35)/(A37-A35)*Inputs!$C$11</x:f>
        <x:v>-797.384205355911</x:v>
      </x:c>
      <x:c r="AM36" s="48" t="n">
        <x:f>-2*AL36/Inputs!$C$13</x:f>
        <x:v>318.9536821423644</x:v>
      </x:c>
      <x:c r="AN36" s="48" t="n">
        <x:f>-2*AL36/Inputs!$C$14</x:f>
        <x:v>47.89094326461929</x:v>
      </x:c>
      <x:c r="AO36" s="48" t="n">
        <x:f>ABS(AM36)</x:f>
        <x:v>318.9536821423644</x:v>
      </x:c>
      <x:c r="AP36" s="48" t="n">
        <x:f>ABS(AN36)</x:f>
        <x:v>47.89094326461929</x:v>
      </x:c>
      <x:c r="AQ36" s="48" t="n">
        <x:f>IF(OR(Inputs!$C$27=TRUE,Inputs!$C$27="TRUE",Inputs!$C$27=1),Inputs!$C$46/Inputs!$C$12,0)</x:f>
        <x:v>42.13483146067416</x:v>
      </x:c>
      <x:c r="AR36" s="48" t="n">
        <x:f>AC36-AQ36</x:f>
        <x:v>2022.9035240296387</x:v>
      </x:c>
      <x:c r="AS36" s="48" t="n">
        <x:f>AC36+AQ36</x:f>
        <x:v>2107.173186950987</x:v>
      </x:c>
    </x:row>
    <x:row r="37">
      <x:c r="A37" s="48" t="n">
        <x:f>Inputs!$C$7+35*(Inputs!$C$8-Inputs!$C$7)/240</x:f>
        <x:v>-42.5</x:v>
      </x:c>
      <x:c r="B37" s="48" t="n">
        <x:f>Inputs!$C$5+Inputs!$C$9*(A37/Inputs!$C$10)^2</x:f>
        <x:v>402.00694444444446</x:v>
      </x:c>
      <x:c r="C37" s="48" t="n">
        <x:f>B37</x:f>
        <x:v>402.00694444444446</x:v>
      </x:c>
      <x:c r="D37" s="48" t="n">
        <x:f>SQRT((Inputs!$C$52+B37)^2+Inputs!$C$52^2-2*(Inputs!$C$52+B37)*Inputs!$C$52*COS(SQRT(A37^2+Inputs!$C$6^2)/Inputs!$C$52))</x:f>
        <x:v>405.7915514457037</x:v>
      </x:c>
      <x:c r="E37" s="48" t="n">
        <x:f>(D37-C37)*1000</x:f>
        <x:v>3784.6070012592463</x:v>
      </x:c>
      <x:c r="F37" s="48" t="n">
        <x:f>E37/Inputs!$C$12</x:f>
        <x:v>2126.18370857261</x:v>
      </x:c>
      <x:c r="G37" s="48" t="n">
        <x:f>2*E37/Inputs!$C$21*1000000</x:f>
        <x:v>25.24818020111264</x:v>
      </x:c>
      <x:c r="H37" s="48" t="n">
        <x:f>SQRT(A37^2+Inputs!$C$6^2)</x:f>
        <x:v>49.30770730829005</x:v>
      </x:c>
      <x:c r="I37" s="48" t="n">
        <x:f>DEGREES(ATAN(H37/B37))</x:f>
        <x:v>6.992623032280269</x:v>
      </x:c>
      <x:c r="J37" s="48" t="n">
        <x:f>DEGREES((2*PI()/Inputs!$C$13)*Inputs!$C$15*SIN(RADIANS(I37)))</x:f>
        <x:v>43.82695789939304</x:v>
      </x:c>
      <x:c r="K37" s="48" t="n">
        <x:f>(C37/D37)^4</x:f>
        <x:v>0.9632127399149205</x:v>
      </x:c>
      <x:c r="L37" s="48" t="n">
        <x:f>10*LOG10(K37)</x:f>
        <x:v>-0.16277781860586701</x:v>
      </x:c>
      <x:c r="M37" s="48" t="n">
        <x:f>2*(Inputs!$C$9/(Inputs!$C$10^2))*A37</x:f>
        <x:v>-0.09444444444444444</x:v>
      </x:c>
      <x:c r="N37" s="48" t="n">
        <x:f>M37*Inputs!$C$11</x:f>
        <x:v>-0.37777777777777777</x:v>
      </x:c>
      <x:c r="O37" s="48" t="n">
        <x:f>1000*(D38-D36)/(A38-A36)*Inputs!$C$11</x:f>
        <x:v>-901.7277618504522</x:v>
      </x:c>
      <x:c r="P37" s="48" t="n">
        <x:f>-2*O37/Inputs!$C$13</x:f>
        <x:v>360.6911047401809</x:v>
      </x:c>
      <x:c r="Q37" s="48" t="n">
        <x:f>-2*O37/Inputs!$C$14</x:f>
        <x:v>54.1578235345617</x:v>
      </x:c>
      <x:c r="R37" s="48" t="n">
        <x:f>F37-Inputs!$C$16/2</x:f>
        <x:v>2111.18370857261</x:v>
      </x:c>
      <x:c r="S37" s="48" t="n">
        <x:f>F37+Inputs!$C$16/2</x:f>
        <x:v>2141.18370857261</x:v>
      </x:c>
      <x:c r="T37" s="48" t="n">
        <x:f>F37-Inputs!$C$17/2</x:f>
        <x:v>1976.1837085726102</x:v>
      </x:c>
      <x:c r="U37" s="48" t="n">
        <x:f>F37+Inputs!$C$17/2</x:f>
        <x:v>2276.18370857261</x:v>
      </x:c>
      <x:c r="V37" s="48" t="n">
        <x:f>ABS(P37)</x:f>
        <x:v>360.6911047401809</x:v>
      </x:c>
      <x:c r="W37" s="48" t="n">
        <x:f>ABS(Q37)</x:f>
        <x:v>54.1578235345617</x:v>
      </x:c>
      <x:c r="X37" s="48" t="n">
        <x: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(0.45*SIN(2*PI()*(((A37)/Inputs!$C$49)+Inputs!$C$47*0.137))+0.35*COS(2*PI()*(((0)/Inputs!$C$50)+Inputs!$C$47*0.173))+0.20*SIN(2*PI()*(((A37)+(0))/(0.5*(Inputs!$C$49+Inputs!$C$50))+Inputs!$C$47*0.097)))+0.30*(2*((SIN(((A37)*12.9898+(0)*78.233+Inputs!$C$47*37.719))*43758.5453)-INT((SIN(((A37)*12.9898+(0)*78.233+Inputs!$C$47*37.719))*43758.5453)))-1)))</x:f>
        <x:v>9.477549494288523</x:v>
      </x:c>
      <x:c r="Y37" s="48" t="n">
        <x: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(0.45*SIN(2*PI()*(((A37)/Inputs!$C$49)+Inputs!$C$47*0.137))+0.35*COS(2*PI()*(((Inputs!$C$6)/Inputs!$C$50)+Inputs!$C$47*0.173))+0.20*SIN(2*PI()*(((A37)+(Inputs!$C$6))/(0.5*(Inputs!$C$49+Inputs!$C$50))+Inputs!$C$47*0.097)))+0.30*(2*((SIN(((A37)*12.9898+(Inputs!$C$6)*78.233+Inputs!$C$47*37.719))*43758.5453)-INT((SIN(((A37)*12.9898+(Inputs!$C$6)*78.233+Inputs!$C$47*37.719))*43758.5453)))-1)))</x:f>
        <x:v>181.7291755177202</x:v>
      </x:c>
      <x:c r="Z37" s="48" t="n">
        <x:f>B37-X37/1000</x:f>
        <x:v>401.99746689495015</x:v>
      </x:c>
      <x:c r="AA37" s="48" t="n">
        <x:f>SQRT((Inputs!$C$52+B37)^2+(Inputs!$C$52+Y37/1000)^2-2*(Inputs!$C$52+B37)*(Inputs!$C$52+Y37/1000)*COS(SQRT(A37^2+Inputs!$C$6^2)/Inputs!$C$52))</x:f>
        <x:v>405.611956713676</x:v>
      </x:c>
      <x:c r="AB37" s="48" t="n">
        <x:f>(AA37-Z37)*1000</x:f>
        <x:v>3614.489818725872</x:v>
      </x:c>
      <x:c r="AC37" s="48" t="n">
        <x:f>AB37/Inputs!$C$12</x:f>
        <x:v>2030.612257711164</x:v>
      </x:c>
      <x:c r="AD37" s="48" t="n">
        <x:f>2*AB37/Inputs!$C$21*1000000</x:f>
        <x:v>24.113280519724558</x:v>
      </x:c>
      <x:c r="AE37" s="48" t="n">
        <x:f>DEGREES(ATAN(H37/(B37-Y37/1000)))</x:f>
        <x:v>6.995754180229385</x:v>
      </x:c>
      <x:c r="AF37" s="48" t="n">
        <x:f>DEGREES((2*PI()/Inputs!$C$13)*Inputs!$C$15*SIN(RADIANS(AE37)))</x:f>
        <x:v>43.84648508136021</x:v>
      </x:c>
      <x:c r="AG37" s="48" t="n">
        <x:f>(Z37/AA37)^4</x:f>
        <x:v>0.9648288274025225</x:v>
      </x:c>
      <x:c r="AH37" s="48" t="n">
        <x:f>10*LOG10(AG37)</x:f>
        <x:v>-0.155497290484413</x:v>
      </x:c>
      <x:c r="AI37" s="48" t="n">
        <x:f>AC37-F37</x:f>
        <x:v>-95.57145086144624</x:v>
      </x:c>
      <x:c r="AJ37" s="48" t="n">
        <x:f>AD37-G37</x:f>
        <x:v>-1.134899681388081</x:v>
      </x:c>
      <x:c r="AK37" s="48" t="n">
        <x:f>Y37-X37</x:f>
        <x:v>172.25162602343167</x:v>
      </x:c>
      <x:c r="AL37" s="48" t="n">
        <x:f>1000*(AA38-AA36)/(A38-A36)*Inputs!$C$11</x:f>
        <x:v>-862.7560750053362</x:v>
      </x:c>
      <x:c r="AM37" s="48" t="n">
        <x:f>-2*AL37/Inputs!$C$13</x:f>
        <x:v>345.1024300021345</x:v>
      </x:c>
      <x:c r="AN37" s="48" t="n">
        <x:f>-2*AL37/Inputs!$C$14</x:f>
        <x:v>51.81718168200218</x:v>
      </x:c>
      <x:c r="AO37" s="48" t="n">
        <x:f>ABS(AM37)</x:f>
        <x:v>345.1024300021345</x:v>
      </x:c>
      <x:c r="AP37" s="48" t="n">
        <x:f>ABS(AN37)</x:f>
        <x:v>51.81718168200218</x:v>
      </x:c>
      <x:c r="AQ37" s="48" t="n">
        <x:f>IF(OR(Inputs!$C$27=TRUE,Inputs!$C$27="TRUE",Inputs!$C$27=1),Inputs!$C$46/Inputs!$C$12,0)</x:f>
        <x:v>42.13483146067416</x:v>
      </x:c>
      <x:c r="AR37" s="48" t="n">
        <x:f>AC37-AQ37</x:f>
        <x:v>1988.4774262504898</x:v>
      </x:c>
      <x:c r="AS37" s="48" t="n">
        <x:f>AC37+AQ37</x:f>
        <x:v>2072.747089171838</x:v>
      </x:c>
    </x:row>
    <x:row r="38">
      <x:c r="A38" s="48" t="n">
        <x:f>Inputs!$C$7+36*(Inputs!$C$8-Inputs!$C$7)/240</x:f>
        <x:v>-42</x:v>
      </x:c>
      <x:c r="B38" s="48" t="n">
        <x:f>Inputs!$C$5+Inputs!$C$9*(A38/Inputs!$C$10)^2</x:f>
        <x:v>401.96</x:v>
      </x:c>
      <x:c r="C38" s="48" t="n">
        <x:f>B38</x:f>
        <x:v>401.96</x:v>
      </x:c>
      <x:c r="D38" s="48" t="n">
        <x:f>SQRT((Inputs!$C$52+B38)^2+Inputs!$C$52^2-2*(Inputs!$C$52+B38)*Inputs!$C$52*COS(SQRT(A38^2+Inputs!$C$6^2)/Inputs!$C$52))</x:f>
        <x:v>405.67948709254136</x:v>
      </x:c>
      <x:c r="E38" s="48" t="n">
        <x:f>(D38-C38)*1000</x:f>
        <x:v>3719.487092541385</x:v>
      </x:c>
      <x:c r="F38" s="48" t="n">
        <x:f>E38/Inputs!$C$12</x:f>
        <x:v>2089.5994901917893</x:v>
      </x:c>
      <x:c r="G38" s="48" t="n">
        <x:f>2*E38/Inputs!$C$21*1000000</x:f>
        <x:v>24.813746932495448</x:v>
      </x:c>
      <x:c r="H38" s="48" t="n">
        <x:f>SQRT(A38^2+Inputs!$C$6^2)</x:f>
        <x:v>48.877397639399746</x:v>
      </x:c>
      <x:c r="I38" s="48" t="n">
        <x:f>DEGREES(ATAN(H38/B38))</x:f>
        <x:v>6.932996321916247</x:v>
      </x:c>
      <x:c r="J38" s="48" t="n">
        <x:f>DEGREES((2*PI()/Inputs!$C$13)*Inputs!$C$15*SIN(RADIANS(I38)))</x:f>
        <x:v>43.45507523985368</x:v>
      </x:c>
      <x:c r="K38" s="48" t="n">
        <x:f>(C38/D38)^4</x:f>
        <x:v>0.96382715141543</x:v>
      </x:c>
      <x:c r="L38" s="48" t="n">
        <x:f>10*LOG10(K38)</x:f>
        <x:v>-0.16000843604631</x:v>
      </x:c>
      <x:c r="M38" s="48" t="n">
        <x:f>2*(Inputs!$C$9/(Inputs!$C$10^2))*A38</x:f>
        <x:v>-0.09333333333333334</x:v>
      </x:c>
      <x:c r="N38" s="48" t="n">
        <x:f>M38*Inputs!$C$11</x:f>
        <x:v>-0.37333333333333335</x:v>
      </x:c>
      <x:c r="O38" s="48" t="n">
        <x:f>1000*(D39-D37)/(A39-A37)*Inputs!$C$11</x:f>
        <x:v>-891.298757131608</x:v>
      </x:c>
      <x:c r="P38" s="48" t="n">
        <x:f>-2*O38/Inputs!$C$13</x:f>
        <x:v>356.5195028526432</x:v>
      </x:c>
      <x:c r="Q38" s="48" t="n">
        <x:f>-2*O38/Inputs!$C$14</x:f>
        <x:v>53.531456884781264</x:v>
      </x:c>
      <x:c r="R38" s="48" t="n">
        <x:f>F38-Inputs!$C$16/2</x:f>
        <x:v>2074.5994901917893</x:v>
      </x:c>
      <x:c r="S38" s="48" t="n">
        <x:f>F38+Inputs!$C$16/2</x:f>
        <x:v>2104.5994901917893</x:v>
      </x:c>
      <x:c r="T38" s="48" t="n">
        <x:f>F38-Inputs!$C$17/2</x:f>
        <x:v>1939.5994901917893</x:v>
      </x:c>
      <x:c r="U38" s="48" t="n">
        <x:f>F38+Inputs!$C$17/2</x:f>
        <x:v>2239.5994901917893</x:v>
      </x:c>
      <x:c r="V38" s="48" t="n">
        <x:f>ABS(P38)</x:f>
        <x:v>356.5195028526432</x:v>
      </x:c>
      <x:c r="W38" s="48" t="n">
        <x:f>ABS(Q38)</x:f>
        <x:v>53.531456884781264</x:v>
      </x:c>
      <x:c r="X38" s="48" t="n">
        <x: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(0.45*SIN(2*PI()*(((A38)/Inputs!$C$49)+Inputs!$C$47*0.137))+0.35*COS(2*PI()*(((0)/Inputs!$C$50)+Inputs!$C$47*0.173))+0.20*SIN(2*PI()*(((A38)+(0))/(0.5*(Inputs!$C$49+Inputs!$C$50))+Inputs!$C$47*0.097)))+0.30*(2*((SIN(((A38)*12.9898+(0)*78.233+Inputs!$C$47*37.719))*43758.5453)-INT((SIN(((A38)*12.9898+(0)*78.233+Inputs!$C$47*37.719))*43758.5453)))-1)))</x:f>
        <x:v>-8.691303525994272</x:v>
      </x:c>
      <x:c r="Y38" s="48" t="n">
        <x: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(0.45*SIN(2*PI()*(((A38)/Inputs!$C$49)+Inputs!$C$47*0.137))+0.35*COS(2*PI()*(((Inputs!$C$6)/Inputs!$C$50)+Inputs!$C$47*0.173))+0.20*SIN(2*PI()*(((A38)+(Inputs!$C$6))/(0.5*(Inputs!$C$49+Inputs!$C$50))+Inputs!$C$47*0.097)))+0.30*(2*((SIN(((A38)*12.9898+(Inputs!$C$6)*78.233+Inputs!$C$47*37.719))*43758.5453)-INT((SIN(((A38)*12.9898+(Inputs!$C$6)*78.233+Inputs!$C$47*37.719))*43758.5453)))-1)))</x:f>
        <x:v>170.62817299697477</x:v>
      </x:c>
      <x:c r="Z38" s="48" t="n">
        <x:f>B38-X38/1000</x:f>
        <x:v>401.968691303526</x:v>
      </x:c>
      <x:c r="AA38" s="48" t="n">
        <x:f>SQRT((Inputs!$C$52+B38)^2+(Inputs!$C$52+Y38/1000)^2-2*(Inputs!$C$52+B38)*(Inputs!$C$52+Y38/1000)*COS(SQRT(A38^2+Inputs!$C$6^2)/Inputs!$C$52))</x:f>
        <x:v>405.5108289078271</x:v>
      </x:c>
      <x:c r="AB38" s="48" t="n">
        <x:f>(AA38-Z38)*1000</x:f>
        <x:v>3542.1376043011037</x:v>
      </x:c>
      <x:c r="AC38" s="48" t="n">
        <x:f>AB38/Inputs!$C$12</x:f>
        <x:v>1989.964946236575</x:v>
      </x:c>
      <x:c r="AD38" s="48" t="n">
        <x:f>2*AB38/Inputs!$C$21*1000000</x:f>
        <x:v>23.63059850092095</x:v>
      </x:c>
      <x:c r="AE38" s="48" t="n">
        <x:f>DEGREES(ATAN(H38/(B38-Y38/1000)))</x:f>
        <x:v>6.935911888838135</x:v>
      </x:c>
      <x:c r="AF38" s="48" t="n">
        <x:f>DEGREES((2*PI()/Inputs!$C$13)*Inputs!$C$15*SIN(RADIANS(AE38)))</x:f>
        <x:v>43.47326028179477</x:v>
      </x:c>
      <x:c r="AG38" s="48" t="n">
        <x:f>(Z38/AA38)^4</x:f>
        <x:v>0.9655151363054266</x:v>
      </x:c>
      <x:c r="AH38" s="48" t="n">
        <x:f>10*LOG10(AG38)</x:f>
        <x:v>-0.15240913430525502</x:v>
      </x:c>
      <x:c r="AI38" s="48" t="n">
        <x:f>AC38-F38</x:f>
        <x:v>-99.63454395521421</x:v>
      </x:c>
      <x:c r="AJ38" s="48" t="n">
        <x:f>AD38-G38</x:f>
        <x:v>-1.183148431574498</x:v>
      </x:c>
      <x:c r="AK38" s="48" t="n">
        <x:f>Y38-X38</x:f>
        <x:v>179.31947652296904</x:v>
      </x:c>
      <x:c r="AL38" s="48" t="n">
        <x:f>1000*(AA39-AA37)/(A39-A37)*Inputs!$C$11</x:f>
        <x:v>-850.6823653128777</x:v>
      </x:c>
      <x:c r="AM38" s="48" t="n">
        <x:f>-2*AL38/Inputs!$C$13</x:f>
        <x:v>340.27294612515107</x:v>
      </x:c>
      <x:c r="AN38" s="48" t="n">
        <x:f>-2*AL38/Inputs!$C$14</x:f>
        <x:v>51.09203395272539</x:v>
      </x:c>
      <x:c r="AO38" s="48" t="n">
        <x:f>ABS(AM38)</x:f>
        <x:v>340.27294612515107</x:v>
      </x:c>
      <x:c r="AP38" s="48" t="n">
        <x:f>ABS(AN38)</x:f>
        <x:v>51.09203395272539</x:v>
      </x:c>
      <x:c r="AQ38" s="48" t="n">
        <x:f>IF(OR(Inputs!$C$27=TRUE,Inputs!$C$27="TRUE",Inputs!$C$27=1),Inputs!$C$46/Inputs!$C$12,0)</x:f>
        <x:v>42.13483146067416</x:v>
      </x:c>
      <x:c r="AR38" s="48" t="n">
        <x:f>AC38-AQ38</x:f>
        <x:v>1947.830114775901</x:v>
      </x:c>
      <x:c r="AS38" s="48" t="n">
        <x:f>AC38+AQ38</x:f>
        <x:v>2032.0997776972492</x:v>
      </x:c>
    </x:row>
    <x:row r="39">
      <x:c r="A39" s="48" t="n">
        <x:f>Inputs!$C$7+37*(Inputs!$C$8-Inputs!$C$7)/240</x:f>
        <x:v>-41.5</x:v>
      </x:c>
      <x:c r="B39" s="48" t="n">
        <x:f>Inputs!$C$5+Inputs!$C$9*(A39/Inputs!$C$10)^2</x:f>
        <x:v>401.9136111111111</x:v>
      </x:c>
      <x:c r="C39" s="48" t="n">
        <x:f>B39</x:f>
        <x:v>401.9136111111111</x:v>
      </x:c>
      <x:c r="D39" s="48" t="n">
        <x:f>SQRT((Inputs!$C$52+B39)^2+Inputs!$C$52^2-2*(Inputs!$C$52+B39)*Inputs!$C$52*COS(SQRT(A39^2+Inputs!$C$6^2)/Inputs!$C$52))</x:f>
        <x:v>405.5687267564208</x:v>
      </x:c>
      <x:c r="E39" s="48" t="n">
        <x:f>(D39-C39)*1000</x:f>
        <x:v>3655.1156453097065</x:v>
      </x:c>
      <x:c r="F39" s="48" t="n">
        <x:f>E39/Inputs!$C$12</x:f>
        <x:v>2053.4357557919698</x:v>
      </x:c>
      <x:c r="G39" s="48" t="n">
        <x:f>2*E39/Inputs!$C$21*1000000</x:f>
        <x:v>24.384306861446838</x:v>
      </x:c>
      <x:c r="H39" s="48" t="n">
        <x:f>SQRT(A39^2+Inputs!$C$6^2)</x:f>
        <x:v>48.44842618702903</x:v>
      </x:c>
      <x:c r="I39" s="48" t="n">
        <x:f>DEGREES(ATAN(H39/B39))</x:f>
        <x:v>6.873519212930159</x:v>
      </x:c>
      <x:c r="J39" s="48" t="n">
        <x:f>DEGREES((2*PI()/Inputs!$C$13)*Inputs!$C$15*SIN(RADIANS(I39)))</x:f>
        <x:v>43.0840787351217</x:v>
      </x:c>
      <x:c r="K39" s="48" t="n">
        <x:f>(C39/D39)^4</x:f>
        <x:v>0.9644351252982665</x:v>
      </x:c>
      <x:c r="L39" s="48" t="n">
        <x:f>10*LOG10(K39)</x:f>
        <x:v>-0.15726980744380803</x:v>
      </x:c>
      <x:c r="M39" s="48" t="n">
        <x:f>2*(Inputs!$C$9/(Inputs!$C$10^2))*A39</x:f>
        <x:v>-0.09222222222222222</x:v>
      </x:c>
      <x:c r="N39" s="48" t="n">
        <x:f>M39*Inputs!$C$11</x:f>
        <x:v>-0.3688888888888889</x:v>
      </x:c>
      <x:c r="O39" s="48" t="n">
        <x:f>1000*(D40-D38)/(A40-A38)*Inputs!$C$11</x:f>
        <x:v>-880.8635219918415</x:v>
      </x:c>
      <x:c r="P39" s="48" t="n">
        <x:f>-2*O39/Inputs!$C$13</x:f>
        <x:v>352.3454087967366</x:v>
      </x:c>
      <x:c r="Q39" s="48" t="n">
        <x:f>-2*O39/Inputs!$C$14</x:f>
        <x:v>52.90471603554604</x:v>
      </x:c>
      <x:c r="R39" s="48" t="n">
        <x:f>F39-Inputs!$C$16/2</x:f>
        <x:v>2038.4357557919698</x:v>
      </x:c>
      <x:c r="S39" s="48" t="n">
        <x:f>F39+Inputs!$C$16/2</x:f>
        <x:v>2068.4357557919698</x:v>
      </x:c>
      <x:c r="T39" s="48" t="n">
        <x:f>F39-Inputs!$C$17/2</x:f>
        <x:v>1903.4357557919698</x:v>
      </x:c>
      <x:c r="U39" s="48" t="n">
        <x:f>F39+Inputs!$C$17/2</x:f>
        <x:v>2203.4357557919698</x:v>
      </x:c>
      <x:c r="V39" s="48" t="n">
        <x:f>ABS(P39)</x:f>
        <x:v>352.3454087967366</x:v>
      </x:c>
      <x:c r="W39" s="48" t="n">
        <x:f>ABS(Q39)</x:f>
        <x:v>52.90471603554604</x:v>
      </x:c>
      <x:c r="X39" s="48" t="n">
        <x: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(0.45*SIN(2*PI()*(((A39)/Inputs!$C$49)+Inputs!$C$47*0.137))+0.35*COS(2*PI()*(((0)/Inputs!$C$50)+Inputs!$C$47*0.173))+0.20*SIN(2*PI()*(((A39)+(0))/(0.5*(Inputs!$C$49+Inputs!$C$50))+Inputs!$C$47*0.097)))+0.30*(2*((SIN(((A39)*12.9898+(0)*78.233+Inputs!$C$47*37.719))*43758.5453)-INT((SIN(((A39)*12.9898+(0)*78.233+Inputs!$C$47*37.719))*43758.5453)))-1)))</x:f>
        <x:v>-15.792555414769886</x:v>
      </x:c>
      <x:c r="Y39" s="48" t="n">
        <x: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(0.45*SIN(2*PI()*(((A39)/Inputs!$C$49)+Inputs!$C$47*0.137))+0.35*COS(2*PI()*(((Inputs!$C$6)/Inputs!$C$50)+Inputs!$C$47*0.173))+0.20*SIN(2*PI()*(((A39)+(Inputs!$C$6))/(0.5*(Inputs!$C$49+Inputs!$C$50))+Inputs!$C$47*0.097)))+0.30*(2*((SIN(((A39)*12.9898+(Inputs!$C$6)*78.233+Inputs!$C$47*37.719))*43758.5453)-INT((SIN(((A39)*12.9898+(Inputs!$C$6)*78.233+Inputs!$C$47*37.719))*43758.5453)))-1)))</x:f>
        <x:v>171.38557913735212</x:v>
      </x:c>
      <x:c r="Z39" s="48" t="n">
        <x:f>B39-X39/1000</x:f>
        <x:v>401.92940366652584</x:v>
      </x:c>
      <x:c r="AA39" s="48" t="n">
        <x:f>SQRT((Inputs!$C$52+B39)^2+(Inputs!$C$52+Y39/1000)^2-2*(Inputs!$C$52+B39)*(Inputs!$C$52+Y39/1000)*COS(SQRT(A39^2+Inputs!$C$6^2)/Inputs!$C$52))</x:f>
        <x:v>405.3992861223478</x:v>
      </x:c>
      <x:c r="AB39" s="48" t="n">
        <x:f>(AA39-Z39)*1000</x:f>
        <x:v>3469.88245582196</x:v>
      </x:c>
      <x:c r="AC39" s="48" t="n">
        <x:f>AB39/Inputs!$C$12</x:f>
        <x:v>1949.3721661921122</x:v>
      </x:c>
      <x:c r="AD39" s="48" t="n">
        <x:f>2*AB39/Inputs!$C$21*1000000</x:f>
        <x:v>23.148564036403876</x:v>
      </x:c>
      <x:c r="AE39" s="48" t="n">
        <x:f>DEGREES(ATAN(H39/(B39-Y39/1000)))</x:f>
        <x:v>6.876423425723544</x:v>
      </x:c>
      <x:c r="AF39" s="48" t="n">
        <x:f>DEGREES((2*PI()/Inputs!$C$13)*Inputs!$C$15*SIN(RADIANS(AE39)))</x:f>
        <x:v>43.10219523627474</x:v>
      </x:c>
      <x:c r="AG39" s="48" t="n">
        <x:f>(Z39/AA39)^4</x:f>
        <x:v>0.9662003634777568</x:v>
      </x:c>
      <x:c r="AH39" s="48" t="n">
        <x:f>10*LOG10(AG39)</x:f>
        <x:v>-0.14932803470949702</x:v>
      </x:c>
      <x:c r="AI39" s="48" t="n">
        <x:f>AC39-F39</x:f>
        <x:v>-104.06358959985755</x:v>
      </x:c>
      <x:c r="AJ39" s="48" t="n">
        <x:f>AD39-G39</x:f>
        <x:v>-1.235742825042962</x:v>
      </x:c>
      <x:c r="AK39" s="48" t="n">
        <x:f>Y39-X39</x:f>
        <x:v>187.178134552122</x:v>
      </x:c>
      <x:c r="AL39" s="48" t="n">
        <x:f>1000*(AA40-AA38)/(A40-A38)*Inputs!$C$11</x:f>
        <x:v>-905.0139341186423</x:v>
      </x:c>
      <x:c r="AM39" s="48" t="n">
        <x:f>-2*AL39/Inputs!$C$13</x:f>
        <x:v>362.0055736474569</x:v>
      </x:c>
      <x:c r="AN39" s="48" t="n">
        <x:f>-2*AL39/Inputs!$C$14</x:f>
        <x:v>54.3551912383569</x:v>
      </x:c>
      <x:c r="AO39" s="48" t="n">
        <x:f>ABS(AM39)</x:f>
        <x:v>362.0055736474569</x:v>
      </x:c>
      <x:c r="AP39" s="48" t="n">
        <x:f>ABS(AN39)</x:f>
        <x:v>54.3551912383569</x:v>
      </x:c>
      <x:c r="AQ39" s="48" t="n">
        <x:f>IF(OR(Inputs!$C$27=TRUE,Inputs!$C$27="TRUE",Inputs!$C$27=1),Inputs!$C$46/Inputs!$C$12,0)</x:f>
        <x:v>42.13483146067416</x:v>
      </x:c>
      <x:c r="AR39" s="48" t="n">
        <x:f>AC39-AQ39</x:f>
        <x:v>1907.237334731438</x:v>
      </x:c>
      <x:c r="AS39" s="48" t="n">
        <x:f>AC39+AQ39</x:f>
        <x:v>1991.5069976527864</x:v>
      </x:c>
    </x:row>
    <x:row r="40">
      <x:c r="A40" s="48" t="n">
        <x:f>Inputs!$C$7+38*(Inputs!$C$8-Inputs!$C$7)/240</x:f>
        <x:v>-41</x:v>
      </x:c>
      <x:c r="B40" s="48" t="n">
        <x:f>Inputs!$C$5+Inputs!$C$9*(A40/Inputs!$C$10)^2</x:f>
        <x:v>401.8677777777778</x:v>
      </x:c>
      <x:c r="C40" s="48" t="n">
        <x:f>B40</x:f>
        <x:v>401.8677777777778</x:v>
      </x:c>
      <x:c r="D40" s="48" t="n">
        <x:f>SQRT((Inputs!$C$52+B40)^2+Inputs!$C$52^2-2*(Inputs!$C$52+B40)*Inputs!$C$52*COS(SQRT(A40^2+Inputs!$C$6^2)/Inputs!$C$52))</x:f>
        <x:v>405.4592712120434</x:v>
      </x:c>
      <x:c r="E40" s="48" t="n">
        <x:f>(D40-C40)*1000</x:f>
        <x:v>3591.493434265601</x:v>
      </x:c>
      <x:c r="F40" s="48" t="n">
        <x:f>E40/Inputs!$C$12</x:f>
        <x:v>2017.6929405986523</x:v>
      </x:c>
      <x:c r="G40" s="48" t="n">
        <x:f>2*E40/Inputs!$C$21*1000000</x:f>
        <x:v>23.95986515621818</x:v>
      </x:c>
      <x:c r="H40" s="48" t="n">
        <x:f>SQRT(A40^2+Inputs!$C$6^2)</x:f>
        <x:v>48.02082881417188</x:v>
      </x:c>
      <x:c r="I40" s="48" t="n">
        <x:f>DEGREES(ATAN(H40/B40))</x:f>
        <x:v>6.814197296997338</x:v>
      </x:c>
      <x:c r="J40" s="48" t="n">
        <x:f>DEGREES((2*PI()/Inputs!$C$13)*Inputs!$C$15*SIN(RADIANS(I40)))</x:f>
        <x:v>42.71400402217685</x:v>
      </x:c>
      <x:c r="K40" s="48" t="n">
        <x:f>(C40/D40)^4</x:f>
        <x:v>0.965036633340718</x:v>
      </x:c>
      <x:c r="L40" s="48" t="n">
        <x:f>10*LOG10(K40)</x:f>
        <x:v>-0.15456200277187898</x:v>
      </x:c>
      <x:c r="M40" s="48" t="n">
        <x:f>2*(Inputs!$C$9/(Inputs!$C$10^2))*A40</x:f>
        <x:v>-0.09111111111111111</x:v>
      </x:c>
      <x:c r="N40" s="48" t="n">
        <x:f>M40*Inputs!$C$11</x:f>
        <x:v>-0.36444444444444446</x:v>
      </x:c>
      <x:c r="O40" s="48" t="n">
        <x:f>1000*(D41-D39)/(A41-A39)*Inputs!$C$11</x:f>
        <x:v>-870.4221222078559</x:v>
      </x:c>
      <x:c r="P40" s="48" t="n">
        <x:f>-2*O40/Inputs!$C$13</x:f>
        <x:v>348.16884888314235</x:v>
      </x:c>
      <x:c r="Q40" s="48" t="n">
        <x:f>-2*O40/Inputs!$C$14</x:f>
        <x:v>52.27760493740877</x:v>
      </x:c>
      <x:c r="R40" s="48" t="n">
        <x:f>F40-Inputs!$C$16/2</x:f>
        <x:v>2002.6929405986523</x:v>
      </x:c>
      <x:c r="S40" s="48" t="n">
        <x:f>F40+Inputs!$C$16/2</x:f>
        <x:v>2032.6929405986523</x:v>
      </x:c>
      <x:c r="T40" s="48" t="n">
        <x:f>F40-Inputs!$C$17/2</x:f>
        <x:v>1867.6929405986523</x:v>
      </x:c>
      <x:c r="U40" s="48" t="n">
        <x:f>F40+Inputs!$C$17/2</x:f>
        <x:v>2167.692940598652</x:v>
      </x:c>
      <x:c r="V40" s="48" t="n">
        <x:f>ABS(P40)</x:f>
        <x:v>348.16884888314235</x:v>
      </x:c>
      <x:c r="W40" s="48" t="n">
        <x:f>ABS(Q40)</x:f>
        <x:v>52.27760493740877</x:v>
      </x:c>
      <x:c r="X40" s="48" t="n">
        <x: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(0.45*SIN(2*PI()*(((A40)/Inputs!$C$49)+Inputs!$C$47*0.137))+0.35*COS(2*PI()*(((0)/Inputs!$C$50)+Inputs!$C$47*0.173))+0.20*SIN(2*PI()*(((A40)+(0))/(0.5*(Inputs!$C$49+Inputs!$C$50))+Inputs!$C$47*0.097)))+0.30*(2*((SIN(((A40)*12.9898+(0)*78.233+Inputs!$C$47*37.719))*43758.5453)-INT((SIN(((A40)*12.9898+(0)*78.233+Inputs!$C$47*37.719))*43758.5453)))-1)))</x:f>
        <x:v>-17.886266996681616</x:v>
      </x:c>
      <x:c r="Y40" s="48" t="n">
        <x: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(0.45*SIN(2*PI()*(((A40)/Inputs!$C$49)+Inputs!$C$47*0.137))+0.35*COS(2*PI()*(((Inputs!$C$6)/Inputs!$C$50)+Inputs!$C$47*0.173))+0.20*SIN(2*PI()*(((A40)+(Inputs!$C$6))/(0.5*(Inputs!$C$49+Inputs!$C$50))+Inputs!$C$47*0.097)))+0.30*(2*((SIN(((A40)*12.9898+(Inputs!$C$6)*78.233+Inputs!$C$47*37.719))*43758.5453)-INT((SIN(((A40)*12.9898+(Inputs!$C$6)*78.233+Inputs!$C$47*37.719))*43758.5453)))-1)))</x:f>
        <x:v>176.66624192778235</x:v>
      </x:c>
      <x:c r="Z40" s="48" t="n">
        <x:f>B40-X40/1000</x:f>
        <x:v>401.8856640447745</x:v>
      </x:c>
      <x:c r="AA40" s="48" t="n">
        <x:f>SQRT((Inputs!$C$52+B40)^2+(Inputs!$C$52+Y40/1000)^2-2*(Inputs!$C$52+B40)*(Inputs!$C$52+Y40/1000)*COS(SQRT(A40^2+Inputs!$C$6^2)/Inputs!$C$52))</x:f>
        <x:v>405.28457542429743</x:v>
      </x:c>
      <x:c r="AB40" s="48" t="n">
        <x:f>(AA40-Z40)*1000</x:f>
        <x:v>3398.9113795229287</x:v>
      </x:c>
      <x:c r="AC40" s="48" t="n">
        <x:f>AB40/Inputs!$C$12</x:f>
        <x:v>1909.5007750128811</x:v>
      </x:c>
      <x:c r="AD40" s="48" t="n">
        <x:f>2*AB40/Inputs!$C$21*1000000</x:f>
        <x:v>22.67509597938537</x:v>
      </x:c>
      <x:c r="AE40" s="48" t="n">
        <x:f>DEGREES(ATAN(H40/(B40-Y40/1000)))</x:f>
        <x:v>6.817166024888464</x:v>
      </x:c>
      <x:c r="AF40" s="48" t="n">
        <x:f>DEGREES((2*PI()/Inputs!$C$13)*Inputs!$C$15*SIN(RADIANS(AE40)))</x:f>
        <x:v>42.732525269610115</x:v>
      </x:c>
      <x:c r="AG40" s="48" t="n">
        <x:f>(Z40/AA40)^4</x:f>
        <x:v>0.966873720054706</x:v>
      </x:c>
      <x:c r="AH40" s="48" t="n">
        <x:f>10*LOG10(AG40)</x:f>
        <x:v>-0.146302438742522</x:v>
      </x:c>
      <x:c r="AI40" s="48" t="n">
        <x:f>AC40-F40</x:f>
        <x:v>-108.19216558577114</x:v>
      </x:c>
      <x:c r="AJ40" s="48" t="n">
        <x:f>AD40-G40</x:f>
        <x:v>-1.284769176832807</x:v>
      </x:c>
      <x:c r="AK40" s="48" t="n">
        <x:f>Y40-X40</x:f>
        <x:v>194.55250892446398</x:v>
      </x:c>
      <x:c r="AL40" s="48" t="n">
        <x:f>1000*(AA41-AA39)/(A41-A39)*Inputs!$C$11</x:f>
        <x:v>-949.26050870572</x:v>
      </x:c>
      <x:c r="AM40" s="48" t="n">
        <x:f>-2*AL40/Inputs!$C$13</x:f>
        <x:v>379.704203482288</x:v>
      </x:c>
      <x:c r="AN40" s="48" t="n">
        <x:f>-2*AL40/Inputs!$C$14</x:f>
        <x:v>57.01264316550871</x:v>
      </x:c>
      <x:c r="AO40" s="48" t="n">
        <x:f>ABS(AM40)</x:f>
        <x:v>379.704203482288</x:v>
      </x:c>
      <x:c r="AP40" s="48" t="n">
        <x:f>ABS(AN40)</x:f>
        <x:v>57.01264316550871</x:v>
      </x:c>
      <x:c r="AQ40" s="48" t="n">
        <x:f>IF(OR(Inputs!$C$27=TRUE,Inputs!$C$27="TRUE",Inputs!$C$27=1),Inputs!$C$46/Inputs!$C$12,0)</x:f>
        <x:v>42.13483146067416</x:v>
      </x:c>
      <x:c r="AR40" s="48" t="n">
        <x:f>AC40-AQ40</x:f>
        <x:v>1867.365943552207</x:v>
      </x:c>
      <x:c r="AS40" s="48" t="n">
        <x:f>AC40+AQ40</x:f>
        <x:v>1951.6356064735553</x:v>
      </x:c>
    </x:row>
    <x:row r="41">
      <x:c r="A41" s="48" t="n">
        <x:f>Inputs!$C$7+39*(Inputs!$C$8-Inputs!$C$7)/240</x:f>
        <x:v>-40.5</x:v>
      </x:c>
      <x:c r="B41" s="48" t="n">
        <x:f>Inputs!$C$5+Inputs!$C$9*(A41/Inputs!$C$10)^2</x:f>
        <x:v>401.8225</x:v>
      </x:c>
      <x:c r="C41" s="48" t="n">
        <x:f>B41</x:f>
        <x:v>401.8225</x:v>
      </x:c>
      <x:c r="D41" s="48" t="n">
        <x:f>SQRT((Inputs!$C$52+B41)^2+Inputs!$C$52^2-2*(Inputs!$C$52+B41)*Inputs!$C$52*COS(SQRT(A41^2+Inputs!$C$6^2)/Inputs!$C$52))</x:f>
        <x:v>405.35112122586884</x:v>
      </x:c>
      <x:c r="E41" s="48" t="n">
        <x:f>(D41-C41)*1000</x:f>
        <x:v>3528.6212258688465</x:v>
      </x:c>
      <x:c r="F41" s="48" t="n">
        <x:f>E41/Inputs!$C$12</x:f>
        <x:v>1982.3714752072171</x:v>
      </x:c>
      <x:c r="G41" s="48" t="n">
        <x:f>2*E41/Inputs!$C$21*1000000</x:f>
        <x:v>23.540426930078716</x:v>
      </x:c>
      <x:c r="H41" s="48" t="n">
        <x:f>SQRT(A41^2+Inputs!$C$6^2)</x:f>
        <x:v>47.59464255564905</x:v>
      </x:c>
      <x:c r="I41" s="48" t="n">
        <x:f>DEGREES(ATAN(H41/B41))</x:f>
        <x:v>6.755036334683316</x:v>
      </x:c>
      <x:c r="J41" s="48" t="n">
        <x:f>DEGREES((2*PI()/Inputs!$C$13)*Inputs!$C$15*SIN(RADIANS(I41)))</x:f>
        <x:v>42.34488780209607</x:v>
      </x:c>
      <x:c r="K41" s="48" t="n">
        <x:f>(C41/D41)^4</x:f>
        <x:v>0.9656316475691362</x:v>
      </x:c>
      <x:c r="L41" s="48" t="n">
        <x:f>10*LOG10(K41)</x:f>
        <x:v>-0.151885091292134</x:v>
      </x:c>
      <x:c r="M41" s="48" t="n">
        <x:f>2*(Inputs!$C$9/(Inputs!$C$10^2))*A41</x:f>
        <x:v>-0.09</x:v>
      </x:c>
      <x:c r="N41" s="48" t="n">
        <x:f>M41*Inputs!$C$11</x:f>
        <x:v>-0.36</x:v>
      </x:c>
      <x:c r="O41" s="48" t="n">
        <x:f>1000*(D42-D40)/(A42-A40)*Inputs!$C$11</x:f>
        <x:v>-859.9746238114676</x:v>
      </x:c>
      <x:c r="P41" s="48" t="n">
        <x:f>-2*O41/Inputs!$C$13</x:f>
        <x:v>343.98984952458704</x:v>
      </x:c>
      <x:c r="Q41" s="48" t="n">
        <x:f>-2*O41/Inputs!$C$14</x:f>
        <x:v>51.65012755624431</x:v>
      </x:c>
      <x:c r="R41" s="48" t="n">
        <x:f>F41-Inputs!$C$16/2</x:f>
        <x:v>1967.3714752072171</x:v>
      </x:c>
      <x:c r="S41" s="48" t="n">
        <x:f>F41+Inputs!$C$16/2</x:f>
        <x:v>1997.3714752072171</x:v>
      </x:c>
      <x:c r="T41" s="48" t="n">
        <x:f>F41-Inputs!$C$17/2</x:f>
        <x:v>1832.3714752072171</x:v>
      </x:c>
      <x:c r="U41" s="48" t="n">
        <x:f>F41+Inputs!$C$17/2</x:f>
        <x:v>2132.3714752072174</x:v>
      </x:c>
      <x:c r="V41" s="48" t="n">
        <x:f>ABS(P41)</x:f>
        <x:v>343.98984952458704</x:v>
      </x:c>
      <x:c r="W41" s="48" t="n">
        <x:f>ABS(Q41)</x:f>
        <x:v>51.65012755624431</x:v>
      </x:c>
      <x:c r="X41" s="48" t="n">
        <x: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(0.45*SIN(2*PI()*(((A41)/Inputs!$C$49)+Inputs!$C$47*0.137))+0.35*COS(2*PI()*(((0)/Inputs!$C$50)+Inputs!$C$47*0.173))+0.20*SIN(2*PI()*(((A41)+(0))/(0.5*(Inputs!$C$49+Inputs!$C$50))+Inputs!$C$47*0.097)))+0.30*(2*((SIN(((A41)*12.9898+(0)*78.233+Inputs!$C$47*37.719))*43758.5453)-INT((SIN(((A41)*12.9898+(0)*78.233+Inputs!$C$47*37.719))*43758.5453)))-1)))</x:f>
        <x:v>-15.042977474303433</x:v>
      </x:c>
      <x:c r="Y41" s="48" t="n">
        <x: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(0.45*SIN(2*PI()*(((A41)/Inputs!$C$49)+Inputs!$C$47*0.137))+0.35*COS(2*PI()*(((Inputs!$C$6)/Inputs!$C$50)+Inputs!$C$47*0.173))+0.20*SIN(2*PI()*(((A41)+(Inputs!$C$6))/(0.5*(Inputs!$C$49+Inputs!$C$50))+Inputs!$C$47*0.097)))+0.30*(2*((SIN(((A41)*12.9898+(Inputs!$C$6)*78.233+Inputs!$C$47*37.719))*43758.5453)-INT((SIN(((A41)*12.9898+(Inputs!$C$6)*78.233+Inputs!$C$47*37.719))*43758.5453)))-1)))</x:f>
        <x:v>191.24651788731785</x:v>
      </x:c>
      <x:c r="Z41" s="48" t="n">
        <x:f>B41-X41/1000</x:f>
        <x:v>401.8375429774743</x:v>
      </x:c>
      <x:c r="AA41" s="48" t="n">
        <x:f>SQRT((Inputs!$C$52+B41)^2+(Inputs!$C$52+Y41/1000)^2-2*(Inputs!$C$52+B41)*(Inputs!$C$52+Y41/1000)*COS(SQRT(A41^2+Inputs!$C$6^2)/Inputs!$C$52))</x:f>
        <x:v>405.1619709951714</x:v>
      </x:c>
      <x:c r="AB41" s="48" t="n">
        <x:f>(AA41-Z41)*1000</x:f>
        <x:v>3324.4280176970733</x:v>
      </x:c>
      <x:c r="AC41" s="48" t="n">
        <x:f>AB41/Inputs!$C$12</x:f>
        <x:v>1867.656189717457</x:v>
      </x:c>
      <x:c r="AD41" s="48" t="n">
        <x:f>2*AB41/Inputs!$C$21*1000000</x:f>
        <x:v>22.178196475490207</x:v>
      </x:c>
      <x:c r="AE41" s="48" t="n">
        <x:f>DEGREES(ATAN(H41/(B41-Y41/1000)))</x:f>
        <x:v>6.758223165145757</x:v>
      </x:c>
      <x:c r="AF41" s="48" t="n">
        <x:f>DEGREES((2*PI()/Inputs!$C$13)*Inputs!$C$15*SIN(RADIANS(AE41)))</x:f>
        <x:v>42.36477218259207</x:v>
      </x:c>
      <x:c r="AG41" s="48" t="n">
        <x:f>(Z41/AA41)^4</x:f>
        <x:v>0.9675810139974674</x:v>
      </x:c>
      <x:c r="AH41" s="48" t="n">
        <x:f>10*LOG10(AG41)</x:f>
        <x:v>-0.143126620102717</x:v>
      </x:c>
      <x:c r="AI41" s="48" t="n">
        <x:f>AC41-F41</x:f>
        <x:v>-114.71528548976016</x:v>
      </x:c>
      <x:c r="AJ41" s="48" t="n">
        <x:f>AD41-G41</x:f>
        <x:v>-1.3622304545885093</x:v>
      </x:c>
      <x:c r="AK41" s="48" t="n">
        <x:f>Y41-X41</x:f>
        <x:v>206.28949536162128</x:v>
      </x:c>
      <x:c r="AL41" s="48" t="n">
        <x:f>1000*(AA42-AA40)/(A42-A40)*Inputs!$C$11</x:f>
        <x:v>-943.3376979748118</x:v>
      </x:c>
      <x:c r="AM41" s="48" t="n">
        <x:f>-2*AL41/Inputs!$C$13</x:f>
        <x:v>377.3350791899247</x:v>
      </x:c>
      <x:c r="AN41" s="48" t="n">
        <x:f>-2*AL41/Inputs!$C$14</x:f>
        <x:v>56.656918797286</x:v>
      </x:c>
      <x:c r="AO41" s="48" t="n">
        <x:f>ABS(AM41)</x:f>
        <x:v>377.3350791899247</x:v>
      </x:c>
      <x:c r="AP41" s="48" t="n">
        <x:f>ABS(AN41)</x:f>
        <x:v>56.656918797286</x:v>
      </x:c>
      <x:c r="AQ41" s="48" t="n">
        <x:f>IF(OR(Inputs!$C$27=TRUE,Inputs!$C$27="TRUE",Inputs!$C$27=1),Inputs!$C$46/Inputs!$C$12,0)</x:f>
        <x:v>42.13483146067416</x:v>
      </x:c>
      <x:c r="AR41" s="48" t="n">
        <x:f>AC41-AQ41</x:f>
        <x:v>1825.5213582567828</x:v>
      </x:c>
      <x:c r="AS41" s="48" t="n">
        <x:f>AC41+AQ41</x:f>
        <x:v>1909.7910211781311</x:v>
      </x:c>
    </x:row>
    <x:row r="42">
      <x:c r="A42" s="48" t="n">
        <x:f>Inputs!$C$7+40*(Inputs!$C$8-Inputs!$C$7)/240</x:f>
        <x:v>-40</x:v>
      </x:c>
      <x:c r="B42" s="48" t="n">
        <x:f>Inputs!$C$5+Inputs!$C$9*(A42/Inputs!$C$10)^2</x:f>
        <x:v>401.77777777777777</x:v>
      </x:c>
      <x:c r="C42" s="48" t="n">
        <x:f>B42</x:f>
        <x:v>401.77777777777777</x:v>
      </x:c>
      <x:c r="D42" s="48" t="n">
        <x:f>SQRT((Inputs!$C$52+B42)^2+Inputs!$C$52^2-2*(Inputs!$C$52+B42)*Inputs!$C$52*COS(SQRT(A42^2+Inputs!$C$6^2)/Inputs!$C$52))</x:f>
        <x:v>405.24427755609054</x:v>
      </x:c>
      <x:c r="E42" s="48" t="n">
        <x:f>(D42-C42)*1000</x:f>
        <x:v>3466.499778312766</x:v>
      </x:c>
      <x:c r="F42" s="48" t="n">
        <x:f>E42/Inputs!$C$12</x:f>
        <x:v>1947.4717855689696</x:v>
      </x:c>
      <x:c r="G42" s="48" t="n">
        <x:f>2*E42/Inputs!$C$21*1000000</x:f>
        <x:v>23.12599724114985</x:v>
      </x:c>
      <x:c r="H42" s="48" t="n">
        <x:f>SQRT(A42^2+Inputs!$C$6^2)</x:f>
        <x:v>47.16990566028302</x:v>
      </x:c>
      <x:c r="I42" s="48" t="n">
        <x:f>DEGREES(ATAN(H42/B42))</x:f>
        <x:v>6.696042261456512</x:v>
      </x:c>
      <x:c r="J42" s="48" t="n">
        <x:f>DEGREES((2*PI()/Inputs!$C$13)*Inputs!$C$15*SIN(RADIANS(I42)))</x:f>
        <x:v>41.976767877765525</x:v>
      </x:c>
      <x:c r="K42" s="48" t="n">
        <x:f>(C42/D42)^4</x:f>
        <x:v>0.9662201402617542</x:v>
      </x:c>
      <x:c r="L42" s="48" t="n">
        <x:f>10*LOG10(K42)</x:f>
        <x:v>-0.14923914155044</x:v>
      </x:c>
      <x:c r="M42" s="48" t="n">
        <x:f>2*(Inputs!$C$9/(Inputs!$C$10^2))*A42</x:f>
        <x:v>-0.08888888888888889</x:v>
      </x:c>
      <x:c r="N42" s="48" t="n">
        <x:f>M42*Inputs!$C$11</x:f>
        <x:v>-0.35555555555555557</x:v>
      </x:c>
      <x:c r="O42" s="48" t="n">
        <x:f>1000*(D43-D41)/(A43-A41)*Inputs!$C$11</x:f>
        <x:v>-849.5210931248494</x:v>
      </x:c>
      <x:c r="P42" s="48" t="n">
        <x:f>-2*O42/Inputs!$C$13</x:f>
        <x:v>339.80843724993974</x:v>
      </x:c>
      <x:c r="Q42" s="48" t="n">
        <x:f>-2*O42/Inputs!$C$14</x:f>
        <x:v>51.02228787536633</x:v>
      </x:c>
      <x:c r="R42" s="48" t="n">
        <x:f>F42-Inputs!$C$16/2</x:f>
        <x:v>1932.4717855689696</x:v>
      </x:c>
      <x:c r="S42" s="48" t="n">
        <x:f>F42+Inputs!$C$16/2</x:f>
        <x:v>1962.4717855689696</x:v>
      </x:c>
      <x:c r="T42" s="48" t="n">
        <x:f>F42-Inputs!$C$17/2</x:f>
        <x:v>1797.4717855689696</x:v>
      </x:c>
      <x:c r="U42" s="48" t="n">
        <x:f>F42+Inputs!$C$17/2</x:f>
        <x:v>2097.4717855689696</x:v>
      </x:c>
      <x:c r="V42" s="48" t="n">
        <x:f>ABS(P42)</x:f>
        <x:v>339.80843724993974</x:v>
      </x:c>
      <x:c r="W42" s="48" t="n">
        <x:f>ABS(Q42)</x:f>
        <x:v>51.02228787536633</x:v>
      </x:c>
      <x:c r="X42" s="48" t="n">
        <x: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(0.45*SIN(2*PI()*(((A42)/Inputs!$C$49)+Inputs!$C$47*0.137))+0.35*COS(2*PI()*(((0)/Inputs!$C$50)+Inputs!$C$47*0.173))+0.20*SIN(2*PI()*(((A42)+(0))/(0.5*(Inputs!$C$49+Inputs!$C$50))+Inputs!$C$47*0.097)))+0.30*(2*((SIN(((A42)*12.9898+(0)*78.233+Inputs!$C$47*37.719))*43758.5453)-INT((SIN(((A42)*12.9898+(0)*78.233+Inputs!$C$47*37.719))*43758.5453)))-1)))</x:f>
        <x:v>-31.231711064274894</x:v>
      </x:c>
      <x:c r="Y42" s="48" t="n">
        <x: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(0.45*SIN(2*PI()*(((A42)/Inputs!$C$49)+Inputs!$C$47*0.137))+0.35*COS(2*PI()*(((Inputs!$C$6)/Inputs!$C$50)+Inputs!$C$47*0.173))+0.20*SIN(2*PI()*(((A42)+(Inputs!$C$6))/(0.5*(Inputs!$C$49+Inputs!$C$50))+Inputs!$C$47*0.097)))+0.30*(2*((SIN(((A42)*12.9898+(Inputs!$C$6)*78.233+Inputs!$C$47*37.719))*43758.5453)-INT((SIN(((A42)*12.9898+(Inputs!$C$6)*78.233+Inputs!$C$47*37.719))*43758.5453)))-1)))</x:f>
        <x:v>197.66557297497732</x:v>
      </x:c>
      <x:c r="Z42" s="48" t="n">
        <x:f>B42-X42/1000</x:f>
        <x:v>401.80900948884204</x:v>
      </x:c>
      <x:c r="AA42" s="48" t="n">
        <x:f>SQRT((Inputs!$C$52+B42)^2+(Inputs!$C$52+Y42/1000)^2-2*(Inputs!$C$52+B42)*(Inputs!$C$52+Y42/1000)*COS(SQRT(A42^2+Inputs!$C$6^2)/Inputs!$C$52))</x:f>
        <x:v>405.0487409998037</x:v>
      </x:c>
      <x:c r="AB42" s="48" t="n">
        <x:f>(AA42-Z42)*1000</x:f>
        <x:v>3239.7315109616898</x:v>
      </x:c>
      <x:c r="AC42" s="48" t="n">
        <x:f>AB42/Inputs!$C$12</x:f>
        <x:v>1820.073882562747</x:v>
      </x:c>
      <x:c r="AD42" s="48" t="n">
        <x:f>2*AB42/Inputs!$C$21*1000000</x:f>
        <x:v>21.61316220277756</x:v>
      </x:c>
      <x:c r="AE42" s="48" t="n">
        <x:f>DEGREES(ATAN(H42/(B42-Y42/1000)))</x:f>
        <x:v>6.699308233472451</x:v>
      </x:c>
      <x:c r="AF42" s="48" t="n">
        <x:f>DEGREES((2*PI()/Inputs!$C$13)*Inputs!$C$15*SIN(RADIANS(AE42)))</x:f>
        <x:v>41.997148539170055</x:v>
      </x:c>
      <x:c r="AG42" s="48" t="n">
        <x:f>(Z42/AA42)^4</x:f>
        <x:v>0.9683883034080301</x:v>
      </x:c>
      <x:c r="AH42" s="48" t="n">
        <x:f>10*LOG10(AG42)</x:f>
        <x:v>-0.139504647858884</x:v>
      </x:c>
      <x:c r="AI42" s="48" t="n">
        <x:f>AC42-F42</x:f>
        <x:v>-127.39790300622258</x:v>
      </x:c>
      <x:c r="AJ42" s="48" t="n">
        <x:f>AD42-G42</x:f>
        <x:v>-1.512835038372291</x:v>
      </x:c>
      <x:c r="AK42" s="48" t="n">
        <x:f>Y42-X42</x:f>
        <x:v>228.8972840392522</x:v>
      </x:c>
      <x:c r="AL42" s="48" t="n">
        <x:f>1000*(AA43-AA41)/(A43-A41)*Inputs!$C$11</x:f>
        <x:v>-888.3397130359754</x:v>
      </x:c>
      <x:c r="AM42" s="48" t="n">
        <x:f>-2*AL42/Inputs!$C$13</x:f>
        <x:v>355.33588521439015</x:v>
      </x:c>
      <x:c r="AN42" s="48" t="n">
        <x:f>-2*AL42/Inputs!$C$14</x:f>
        <x:v>53.3537365186772</x:v>
      </x:c>
      <x:c r="AO42" s="48" t="n">
        <x:f>ABS(AM42)</x:f>
        <x:v>355.33588521439015</x:v>
      </x:c>
      <x:c r="AP42" s="48" t="n">
        <x:f>ABS(AN42)</x:f>
        <x:v>53.3537365186772</x:v>
      </x:c>
      <x:c r="AQ42" s="48" t="n">
        <x:f>IF(OR(Inputs!$C$27=TRUE,Inputs!$C$27="TRUE",Inputs!$C$27=1),Inputs!$C$46/Inputs!$C$12,0)</x:f>
        <x:v>42.13483146067416</x:v>
      </x:c>
      <x:c r="AR42" s="48" t="n">
        <x:f>AC42-AQ42</x:f>
        <x:v>1777.9390511020729</x:v>
      </x:c>
      <x:c r="AS42" s="48" t="n">
        <x:f>AC42+AQ42</x:f>
        <x:v>1862.2087140234212</x:v>
      </x:c>
    </x:row>
    <x:row r="43">
      <x:c r="A43" s="48" t="n">
        <x:f>Inputs!$C$7+41*(Inputs!$C$8-Inputs!$C$7)/240</x:f>
        <x:v>-39.5</x:v>
      </x:c>
      <x:c r="B43" s="48" t="n">
        <x:f>Inputs!$C$5+Inputs!$C$9*(A43/Inputs!$C$10)^2</x:f>
        <x:v>401.7336111111111</x:v>
      </x:c>
      <x:c r="C43" s="48" t="n">
        <x:f>B43</x:f>
        <x:v>401.7336111111111</x:v>
      </x:c>
      <x:c r="D43" s="48" t="n">
        <x:f>SQRT((Inputs!$C$52+B43)^2+Inputs!$C$52^2-2*(Inputs!$C$52+B43)*Inputs!$C$52*COS(SQRT(A43^2+Inputs!$C$6^2)/Inputs!$C$52))</x:f>
        <x:v>405.1387409525876</x:v>
      </x:c>
      <x:c r="E43" s="48" t="n">
        <x:f>(D43-C43)*1000</x:f>
        <x:v>3405.129841476537</x:v>
      </x:c>
      <x:c r="F43" s="48" t="n">
        <x:f>E43/Inputs!$C$12</x:f>
        <x:v>1912.9942929643466</x:v>
      </x:c>
      <x:c r="G43" s="48" t="n">
        <x:f>2*E43/Inputs!$C$21*1000000</x:f>
        <x:v>22.716581092086958</x:v>
      </x:c>
      <x:c r="H43" s="48" t="n">
        <x:f>SQRT(A43^2+Inputs!$C$6^2)</x:f>
        <x:v>46.74665763453041</x:v>
      </x:c>
      <x:c r="I43" s="48" t="n">
        <x:f>DEGREES(ATAN(H43/B43))</x:f>
        <x:v>6.637221193908625</x:v>
      </x:c>
      <x:c r="J43" s="48" t="n">
        <x:f>DEGREES((2*PI()/Inputs!$C$13)*Inputs!$C$15*SIN(RADIANS(I43)))</x:f>
        <x:v>41.609683192895545</x:v>
      </x:c>
      <x:c r="K43" s="48" t="n">
        <x:f>(C43/D43)^4</x:f>
        <x:v>0.9668020839517065</x:v>
      </x:c>
      <x:c r="L43" s="48" t="n">
        <x:f>10*LOG10(K43)</x:f>
        <x:v>-0.146624221372138</x:v>
      </x:c>
      <x:c r="M43" s="48" t="n">
        <x:f>2*(Inputs!$C$9/(Inputs!$C$10^2))*A43</x:f>
        <x:v>-0.08777777777777777</x:v>
      </x:c>
      <x:c r="N43" s="48" t="n">
        <x:f>M43*Inputs!$C$11</x:f>
        <x:v>-0.3511111111111111</x:v>
      </x:c>
      <x:c r="O43" s="48" t="n">
        <x:f>1000*(D44-D42)/(A44-A42)*Inputs!$C$11</x:f>
        <x:v>-839.0615967759913</x:v>
      </x:c>
      <x:c r="P43" s="48" t="n">
        <x:f>-2*O43/Inputs!$C$13</x:f>
        <x:v>335.62463871039654</x:v>
      </x:c>
      <x:c r="Q43" s="48" t="n">
        <x:f>-2*O43/Inputs!$C$14</x:f>
        <x:v>50.39408989645594</x:v>
      </x:c>
      <x:c r="R43" s="48" t="n">
        <x:f>F43-Inputs!$C$16/2</x:f>
        <x:v>1897.9942929643466</x:v>
      </x:c>
      <x:c r="S43" s="48" t="n">
        <x:f>F43+Inputs!$C$16/2</x:f>
        <x:v>1927.9942929643466</x:v>
      </x:c>
      <x:c r="T43" s="48" t="n">
        <x:f>F43-Inputs!$C$17/2</x:f>
        <x:v>1762.9942929643466</x:v>
      </x:c>
      <x:c r="U43" s="48" t="n">
        <x:f>F43+Inputs!$C$17/2</x:f>
        <x:v>2062.9942929643466</x:v>
      </x:c>
      <x:c r="V43" s="48" t="n">
        <x:f>ABS(P43)</x:f>
        <x:v>335.62463871039654</x:v>
      </x:c>
      <x:c r="W43" s="48" t="n">
        <x:f>ABS(Q43)</x:f>
        <x:v>50.39408989645594</x:v>
      </x:c>
      <x:c r="X43" s="48" t="n">
        <x: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(0.45*SIN(2*PI()*(((A43)/Inputs!$C$49)+Inputs!$C$47*0.137))+0.35*COS(2*PI()*(((0)/Inputs!$C$50)+Inputs!$C$47*0.173))+0.20*SIN(2*PI()*(((A43)+(0))/(0.5*(Inputs!$C$49+Inputs!$C$50))+Inputs!$C$47*0.097)))+0.30*(2*((SIN(((A43)*12.9898+(0)*78.233+Inputs!$C$47*37.719))*43758.5453)-INT((SIN(((A43)*12.9898+(0)*78.233+Inputs!$C$47*37.719))*43758.5453)))-1)))</x:f>
        <x:v>-33.241151326098546</x:v>
      </x:c>
      <x:c r="Y43" s="48" t="n">
        <x: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(0.45*SIN(2*PI()*(((A43)/Inputs!$C$49)+Inputs!$C$47*0.137))+0.35*COS(2*PI()*(((Inputs!$C$6)/Inputs!$C$50)+Inputs!$C$47*0.173))+0.20*SIN(2*PI()*(((A43)+(Inputs!$C$6))/(0.5*(Inputs!$C$49+Inputs!$C$50))+Inputs!$C$47*0.097)))+0.30*(2*((SIN(((A43)*12.9898+(Inputs!$C$6)*78.233+Inputs!$C$47*37.719))*43758.5453)-INT((SIN(((A43)*12.9898+(Inputs!$C$6)*78.233+Inputs!$C$47*37.719))*43758.5453)))-1)))</x:f>
        <x:v>200.98178735327417</x:v>
      </x:c>
      <x:c r="Z43" s="48" t="n">
        <x:f>B43-X43/1000</x:f>
        <x:v>401.76685226243717</x:v>
      </x:c>
      <x:c r="AA43" s="48" t="n">
        <x:f>SQRT((Inputs!$C$52+B43)^2+(Inputs!$C$52+Y43/1000)^2-2*(Inputs!$C$52+B43)*(Inputs!$C$52+Y43/1000)*COS(SQRT(A43^2+Inputs!$C$6^2)/Inputs!$C$52))</x:f>
        <x:v>404.9398860669124</x:v>
      </x:c>
      <x:c r="AB43" s="48" t="n">
        <x:f>(AA43-Z43)*1000</x:f>
        <x:v>3173.03380447521</x:v>
      </x:c>
      <x:c r="AC43" s="48" t="n">
        <x:f>AB43/Inputs!$C$12</x:f>
        <x:v>1782.6032609411293</x:v>
      </x:c>
      <x:c r="AD43" s="48" t="n">
        <x:f>2*AB43/Inputs!$C$21*1000000</x:f>
        <x:v>21.168203000458472</x:v>
      </x:c>
      <x:c r="AE43" s="48" t="n">
        <x:f>DEGREES(ATAN(H43/(B43-Y43/1000)))</x:f>
        <x:v>6.640513703208394</x:v>
      </x:c>
      <x:c r="AF43" s="48" t="n">
        <x:f>DEGREES((2*PI()/Inputs!$C$13)*Inputs!$C$15*SIN(RADIANS(AE43)))</x:f>
        <x:v>41.63023192067994</x:v>
      </x:c>
      <x:c r="AG43" s="48" t="n">
        <x:f>(Z43/AA43)^4</x:f>
        <x:v>0.9690232214821974</x:v>
      </x:c>
      <x:c r="AH43" s="48" t="n">
        <x:f>10*LOG10(AG43)</x:f>
        <x:v>-0.136658154768487</x:v>
      </x:c>
      <x:c r="AI43" s="48" t="n">
        <x:f>AC43-F43</x:f>
        <x:v>-130.39103202321735</x:v>
      </x:c>
      <x:c r="AJ43" s="48" t="n">
        <x:f>AD43-G43</x:f>
        <x:v>-1.5483780916284857</x:v>
      </x:c>
      <x:c r="AK43" s="48" t="n">
        <x:f>Y43-X43</x:f>
        <x:v>234.2229386793727</x:v>
      </x:c>
      <x:c r="AL43" s="48" t="n">
        <x:f>1000*(AA44-AA42)/(A44-A42)*Inputs!$C$11</x:f>
        <x:v>-787.4180961375714</x:v>
      </x:c>
      <x:c r="AM43" s="48" t="n">
        <x:f>-2*AL43/Inputs!$C$13</x:f>
        <x:v>314.96723845502856</x:v>
      </x:c>
      <x:c r="AN43" s="48" t="n">
        <x:f>-2*AL43/Inputs!$C$14</x:f>
        <x:v>47.29237814640069</x:v>
      </x:c>
      <x:c r="AO43" s="48" t="n">
        <x:f>ABS(AM43)</x:f>
        <x:v>314.96723845502856</x:v>
      </x:c>
      <x:c r="AP43" s="48" t="n">
        <x:f>ABS(AN43)</x:f>
        <x:v>47.29237814640069</x:v>
      </x:c>
      <x:c r="AQ43" s="48" t="n">
        <x:f>IF(OR(Inputs!$C$27=TRUE,Inputs!$C$27="TRUE",Inputs!$C$27=1),Inputs!$C$46/Inputs!$C$12,0)</x:f>
        <x:v>42.13483146067416</x:v>
      </x:c>
      <x:c r="AR43" s="48" t="n">
        <x:f>AC43-AQ43</x:f>
        <x:v>1740.4684294804551</x:v>
      </x:c>
      <x:c r="AS43" s="48" t="n">
        <x:f>AC43+AQ43</x:f>
        <x:v>1824.7380924018034</x:v>
      </x:c>
    </x:row>
    <x:row r="44">
      <x:c r="A44" s="48" t="n">
        <x:f>Inputs!$C$7+42*(Inputs!$C$8-Inputs!$C$7)/240</x:f>
        <x:v>-39</x:v>
      </x:c>
      <x:c r="B44" s="48" t="n">
        <x:f>Inputs!$C$5+Inputs!$C$9*(A44/Inputs!$C$10)^2</x:f>
        <x:v>401.69</x:v>
      </x:c>
      <x:c r="C44" s="48" t="n">
        <x:f>B44</x:f>
        <x:v>401.69</x:v>
      </x:c>
      <x:c r="D44" s="48" t="n">
        <x:f>SQRT((Inputs!$C$52+B44)^2+Inputs!$C$52^2-2*(Inputs!$C$52+B44)*Inputs!$C$52*COS(SQRT(A44^2+Inputs!$C$6^2)/Inputs!$C$52))</x:f>
        <x:v>405.03451215689654</x:v>
      </x:c>
      <x:c r="E44" s="48" t="n">
        <x:f>(D44-C44)*1000</x:f>
        <x:v>3344.512156896542</x:v>
      </x:c>
      <x:c r="F44" s="48" t="n">
        <x:f>E44/Inputs!$C$12</x:f>
        <x:v>1878.9394139868214</x:v>
      </x:c>
      <x:c r="G44" s="48" t="n">
        <x:f>2*E44/Inputs!$C$21*1000000</x:f>
        <x:v>22.3121834298883</x:v>
      </x:c>
      <x:c r="H44" s="48" t="n">
        <x:f>SQRT(A44^2+Inputs!$C$6^2)</x:f>
        <x:v>46.32493928760188</x:v>
      </x:c>
      <x:c r="I44" s="48" t="n">
        <x:f>DEGREES(ATAN(H44/B44))</x:f>
        <x:v>6.57857943618696</x:v>
      </x:c>
      <x:c r="J44" s="48" t="n">
        <x:f>DEGREES((2*PI()/Inputs!$C$13)*Inputs!$C$15*SIN(RADIANS(I44)))</x:f>
        <x:v>41.2436738723648</x:v>
      </x:c>
      <x:c r="K44" s="48" t="n">
        <x:f>(C44/D44)^4</x:f>
        <x:v>0.9673774514298505</x:v>
      </x:c>
      <x:c r="L44" s="48" t="n">
        <x:f>10*LOG10(K44)</x:f>
        <x:v>-0.144040397858093</x:v>
      </x:c>
      <x:c r="M44" s="48" t="n">
        <x:f>2*(Inputs!$C$9/(Inputs!$C$10^2))*A44</x:f>
        <x:v>-0.08666666666666667</x:v>
      </x:c>
      <x:c r="N44" s="48" t="n">
        <x:f>M44*Inputs!$C$11</x:f>
        <x:v>-0.3466666666666667</x:v>
      </x:c>
      <x:c r="O44" s="48" t="n">
        <x:f>1000*(D45-D43)/(A45-A43)*Inputs!$C$11</x:f>
        <x:v>-828.5962016493613</x:v>
      </x:c>
      <x:c r="P44" s="48" t="n">
        <x:f>-2*O44/Inputs!$C$13</x:f>
        <x:v>331.4384806597445</x:v>
      </x:c>
      <x:c r="Q44" s="48" t="n">
        <x:f>-2*O44/Inputs!$C$14</x:f>
        <x:v>49.76553763659828</x:v>
      </x:c>
      <x:c r="R44" s="48" t="n">
        <x:f>F44-Inputs!$C$16/2</x:f>
        <x:v>1863.9394139868214</x:v>
      </x:c>
      <x:c r="S44" s="48" t="n">
        <x:f>F44+Inputs!$C$16/2</x:f>
        <x:v>1893.9394139868214</x:v>
      </x:c>
      <x:c r="T44" s="48" t="n">
        <x:f>F44-Inputs!$C$17/2</x:f>
        <x:v>1728.9394139868214</x:v>
      </x:c>
      <x:c r="U44" s="48" t="n">
        <x:f>F44+Inputs!$C$17/2</x:f>
        <x:v>2028.9394139868214</x:v>
      </x:c>
      <x:c r="V44" s="48" t="n">
        <x:f>ABS(P44)</x:f>
        <x:v>331.4384806597445</x:v>
      </x:c>
      <x:c r="W44" s="48" t="n">
        <x:f>ABS(Q44)</x:f>
        <x:v>49.76553763659828</x:v>
      </x:c>
      <x:c r="X44" s="48" t="n">
        <x: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(0.45*SIN(2*PI()*(((A44)/Inputs!$C$49)+Inputs!$C$47*0.137))+0.35*COS(2*PI()*(((0)/Inputs!$C$50)+Inputs!$C$47*0.173))+0.20*SIN(2*PI()*(((A44)+(0))/(0.5*(Inputs!$C$49+Inputs!$C$50))+Inputs!$C$47*0.097)))+0.30*(2*((SIN(((A44)*12.9898+(0)*78.233+Inputs!$C$47*37.719))*43758.5453)-INT((SIN(((A44)*12.9898+(0)*78.233+Inputs!$C$47*37.719))*43758.5453)))-1)))</x:f>
        <x:v>-32.02020136507765</x:v>
      </x:c>
      <x:c r="Y44" s="48" t="n">
        <x: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(0.45*SIN(2*PI()*(((A44)/Inputs!$C$49)+Inputs!$C$47*0.137))+0.35*COS(2*PI()*(((Inputs!$C$6)/Inputs!$C$50)+Inputs!$C$47*0.173))+0.20*SIN(2*PI()*(((A44)+(Inputs!$C$6))/(0.5*(Inputs!$C$49+Inputs!$C$50))+Inputs!$C$47*0.097)))+0.30*(2*((SIN(((A44)*12.9898+(Inputs!$C$6)*78.233+Inputs!$C$47*37.719))*43758.5453)-INT((SIN(((A44)*12.9898+(Inputs!$C$6)*78.233+Inputs!$C$47*37.719))*43758.5453)))-1)))</x:f>
        <x:v>184.54420924136062</x:v>
      </x:c>
      <x:c r="Z44" s="48" t="n">
        <x:f>B44-X44/1000</x:f>
        <x:v>401.72202020136507</x:v>
      </x:c>
      <x:c r="AA44" s="48" t="n">
        <x:f>SQRT((Inputs!$C$52+B44)^2+(Inputs!$C$52+Y44/1000)^2-2*(Inputs!$C$52+B44)*(Inputs!$C$52+Y44/1000)*COS(SQRT(A44^2+Inputs!$C$6^2)/Inputs!$C$52))</x:f>
        <x:v>404.85188647576933</x:v>
      </x:c>
      <x:c r="AB44" s="48" t="n">
        <x:f>(AA44-Z44)*1000</x:f>
        <x:v>3129.8662744042645</x:v>
      </x:c>
      <x:c r="AC44" s="48" t="n">
        <x:f>AB44/Inputs!$C$12</x:f>
        <x:v>1758.3518395529575</x:v>
      </x:c>
      <x:c r="AD44" s="48" t="n">
        <x:f>2*AB44/Inputs!$C$21*1000000</x:f>
        <x:v>20.88022023825739</x:v>
      </x:c>
      <x:c r="AE44" s="48" t="n">
        <x:f>DEGREES(ATAN(H44/(B44-Y44/1000)))</x:f>
        <x:v>6.58157663002577</x:v>
      </x:c>
      <x:c r="AF44" s="48" t="n">
        <x:f>DEGREES((2*PI()/Inputs!$C$13)*Inputs!$C$15*SIN(RADIANS(AE44)))</x:f>
        <x:v>41.26238174454699</x:v>
      </x:c>
      <x:c r="AG44" s="48" t="n">
        <x:f>(Z44/AA44)^4</x:f>
        <x:v>0.9694331869010206</x:v>
      </x:c>
      <x:c r="AH44" s="48" t="n">
        <x:f>10*LOG10(AG44)</x:f>
        <x:v>-0.134821170237387</x:v>
      </x:c>
      <x:c r="AI44" s="48" t="n">
        <x:f>AC44-F44</x:f>
        <x:v>-120.58757443386389</x:v>
      </x:c>
      <x:c r="AJ44" s="48" t="n">
        <x:f>AD44-G44</x:f>
        <x:v>-1.43196319163091</x:v>
      </x:c>
      <x:c r="AK44" s="48" t="n">
        <x:f>Y44-X44</x:f>
        <x:v>216.56441060643826</x:v>
      </x:c>
      <x:c r="AL44" s="48" t="n">
        <x:f>1000*(AA45-AA43)/(A45-A43)*Inputs!$C$11</x:f>
        <x:v>-871.0683408874047</x:v>
      </x:c>
      <x:c r="AM44" s="48" t="n">
        <x:f>-2*AL44/Inputs!$C$13</x:f>
        <x:v>348.4273363549619</x:v>
      </x:c>
      <x:c r="AN44" s="48" t="n">
        <x:f>-2*AL44/Inputs!$C$14</x:f>
        <x:v>52.3164168701144</x:v>
      </x:c>
      <x:c r="AO44" s="48" t="n">
        <x:f>ABS(AM44)</x:f>
        <x:v>348.4273363549619</x:v>
      </x:c>
      <x:c r="AP44" s="48" t="n">
        <x:f>ABS(AN44)</x:f>
        <x:v>52.3164168701144</x:v>
      </x:c>
      <x:c r="AQ44" s="48" t="n">
        <x:f>IF(OR(Inputs!$C$27=TRUE,Inputs!$C$27="TRUE",Inputs!$C$27=1),Inputs!$C$46/Inputs!$C$12,0)</x:f>
        <x:v>42.13483146067416</x:v>
      </x:c>
      <x:c r="AR44" s="48" t="n">
        <x:f>AC44-AQ44</x:f>
        <x:v>1716.2170080922833</x:v>
      </x:c>
      <x:c r="AS44" s="48" t="n">
        <x:f>AC44+AQ44</x:f>
        <x:v>1800.4866710136316</x:v>
      </x:c>
    </x:row>
    <x:row r="45">
      <x:c r="A45" s="48" t="n">
        <x:f>Inputs!$C$7+43*(Inputs!$C$8-Inputs!$C$7)/240</x:f>
        <x:v>-38.5</x:v>
      </x:c>
      <x:c r="B45" s="48" t="n">
        <x:f>Inputs!$C$5+Inputs!$C$9*(A45/Inputs!$C$10)^2</x:f>
        <x:v>401.64694444444444</x:v>
      </x:c>
      <x:c r="C45" s="48" t="n">
        <x:f>B45</x:f>
        <x:v>401.64694444444444</x:v>
      </x:c>
      <x:c r="D45" s="48" t="n">
        <x:f>SQRT((Inputs!$C$52+B45)^2+Inputs!$C$52^2-2*(Inputs!$C$52+B45)*Inputs!$C$52*COS(SQRT(A45^2+Inputs!$C$6^2)/Inputs!$C$52))</x:f>
        <x:v>404.9315919021753</x:v>
      </x:c>
      <x:c r="E45" s="48" t="n">
        <x:f>(D45-C45)*1000</x:f>
        <x:v>3284.6474577308413</x:v>
      </x:c>
      <x:c r="F45" s="48" t="n">
        <x:f>E45/Inputs!$C$12</x:f>
        <x:v>1845.3075605229446</x:v>
      </x:c>
      <x:c r="G45" s="48" t="n">
        <x:f>2*E45/Inputs!$C$21*1000000</x:f>
        <x:v>21.91280914565797</x:v>
      </x:c>
      <x:c r="H45" s="48" t="n">
        <x:f>SQRT(A45^2+Inputs!$C$6^2)</x:f>
        <x:v>45.90479277809671</x:v>
      </x:c>
      <x:c r="I45" s="48" t="n">
        <x:f>DEGREES(ATAN(H45/B45))</x:f>
        <x:v>6.520123486642501</x:v>
      </x:c>
      <x:c r="J45" s="48" t="n">
        <x:f>DEGREES((2*PI()/Inputs!$C$13)*Inputs!$C$15*SIN(RADIANS(I45)))</x:f>
        <x:v>40.87878126391779</x:v>
      </x:c>
      <x:c r="K45" s="48" t="n">
        <x:f>(C45/D45)^4</x:f>
        <x:v>0.9679462157476372</x:v>
      </x:c>
      <x:c r="L45" s="48" t="n">
        <x:f>10*LOG10(K45)</x:f>
        <x:v>-0.141487737380481</x:v>
      </x:c>
      <x:c r="M45" s="48" t="n">
        <x:f>2*(Inputs!$C$9/(Inputs!$C$10^2))*A45</x:f>
        <x:v>-0.08555555555555555</x:v>
      </x:c>
      <x:c r="N45" s="48" t="n">
        <x:f>M45*Inputs!$C$11</x:f>
        <x:v>-0.3422222222222222</x:v>
      </x:c>
      <x:c r="O45" s="48" t="n">
        <x:f>1000*(D46-D44)/(A46-A44)*Inputs!$C$11</x:f>
        <x:v>-818.1249749061408</x:v>
      </x:c>
      <x:c r="P45" s="48" t="n">
        <x:f>-2*O45/Inputs!$C$13</x:f>
        <x:v>327.2499899624563</x:v>
      </x:c>
      <x:c r="Q45" s="48" t="n">
        <x:f>-2*O45/Inputs!$C$14</x:f>
        <x:v>49.13663512949795</x:v>
      </x:c>
      <x:c r="R45" s="48" t="n">
        <x:f>F45-Inputs!$C$16/2</x:f>
        <x:v>1830.3075605229446</x:v>
      </x:c>
      <x:c r="S45" s="48" t="n">
        <x:f>F45+Inputs!$C$16/2</x:f>
        <x:v>1860.3075605229446</x:v>
      </x:c>
      <x:c r="T45" s="48" t="n">
        <x:f>F45-Inputs!$C$17/2</x:f>
        <x:v>1695.3075605229446</x:v>
      </x:c>
      <x:c r="U45" s="48" t="n">
        <x:f>F45+Inputs!$C$17/2</x:f>
        <x:v>1995.3075605229446</x:v>
      </x:c>
      <x:c r="V45" s="48" t="n">
        <x:f>ABS(P45)</x:f>
        <x:v>327.2499899624563</x:v>
      </x:c>
      <x:c r="W45" s="48" t="n">
        <x:f>ABS(Q45)</x:f>
        <x:v>49.13663512949795</x:v>
      </x:c>
      <x:c r="X45" s="48" t="n">
        <x: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(0.45*SIN(2*PI()*(((A45)/Inputs!$C$49)+Inputs!$C$47*0.137))+0.35*COS(2*PI()*(((0)/Inputs!$C$50)+Inputs!$C$47*0.173))+0.20*SIN(2*PI()*(((A45)+(0))/(0.5*(Inputs!$C$49+Inputs!$C$50))+Inputs!$C$47*0.097)))+0.30*(2*((SIN(((A45)*12.9898+(0)*78.233+Inputs!$C$47*37.719))*43758.5453)-INT((SIN(((A45)*12.9898+(0)*78.233+Inputs!$C$47*37.719))*43758.5453)))-1)))</x:f>
        <x:v>-34.295384147954024</x:v>
      </x:c>
      <x:c r="Y45" s="48" t="n">
        <x: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(0.45*SIN(2*PI()*(((A45)/Inputs!$C$49)+Inputs!$C$47*0.137))+0.35*COS(2*PI()*(((Inputs!$C$6)/Inputs!$C$50)+Inputs!$C$47*0.173))+0.20*SIN(2*PI()*(((A45)+(Inputs!$C$6))/(0.5*(Inputs!$C$49+Inputs!$C$50))+Inputs!$C$47*0.097)))+0.30*(2*((SIN(((A45)*12.9898+(Inputs!$C$6)*78.233+Inputs!$C$47*37.719))*43758.5453)-INT((SIN(((A45)*12.9898+(Inputs!$C$6)*78.233+Inputs!$C$47*37.719))*43758.5453)))-1)))</x:f>
        <x:v>211.63430992610967</x:v>
      </x:c>
      <x:c r="Z45" s="48" t="n">
        <x:f>B45-X45/1000</x:f>
        <x:v>401.6812398285924</x:v>
      </x:c>
      <x:c r="AA45" s="48" t="n">
        <x:f>SQRT((Inputs!$C$52+B45)^2+(Inputs!$C$52+Y45/1000)^2-2*(Inputs!$C$52+B45)*(Inputs!$C$52+Y45/1000)*COS(SQRT(A45^2+Inputs!$C$6^2)/Inputs!$C$52))</x:f>
        <x:v>404.7221189816905</x:v>
      </x:c>
      <x:c r="AB45" s="48" t="n">
        <x:f>(AA45-Z45)*1000</x:f>
        <x:v>3040.8791530981034</x:v>
      </x:c>
      <x:c r="AC45" s="48" t="n">
        <x:f>AB45/Inputs!$C$12</x:f>
        <x:v>1708.3590747742153</x:v>
      </x:c>
      <x:c r="AD45" s="48" t="n">
        <x:f>2*AB45/Inputs!$C$21*1000000</x:f>
        <x:v>20.286562066201835</x:v>
      </x:c>
      <x:c r="AE45" s="48" t="n">
        <x:f>DEGREES(ATAN(H45/(B45-Y45/1000)))</x:f>
        <x:v>6.52353123486169</x:v>
      </x:c>
      <x:c r="AF45" s="48" t="n">
        <x:f>DEGREES((2*PI()/Inputs!$C$13)*Inputs!$C$15*SIN(RADIANS(AE45)))</x:f>
        <x:v>40.90005421622404</x:v>
      </x:c>
      <x:c r="AG45" s="48" t="n">
        <x:f>(Z45/AA45)^4</x:f>
        <x:v>0.970283027365408</x:v>
      </x:c>
      <x:c r="AH45" s="48" t="n">
        <x:f>10*LOG10(AG45)</x:f>
        <x:v>-0.131015654305906</x:v>
      </x:c>
      <x:c r="AI45" s="48" t="n">
        <x:f>AC45-F45</x:f>
        <x:v>-136.94848574872935</x:v>
      </x:c>
      <x:c r="AJ45" s="48" t="n">
        <x:f>AD45-G45</x:f>
        <x:v>-1.6262470794561352</x:v>
      </x:c>
      <x:c r="AK45" s="48" t="n">
        <x:f>Y45-X45</x:f>
        <x:v>245.9296940740637</x:v>
      </x:c>
      <x:c r="AL45" s="48" t="n">
        <x:f>1000*(AA46-AA44)/(A46-A44)*Inputs!$C$11</x:f>
        <x:v>-891.225948138981</x:v>
      </x:c>
      <x:c r="AM45" s="48" t="n">
        <x:f>-2*AL45/Inputs!$C$13</x:f>
        <x:v>356.4903792555924</x:v>
      </x:c>
      <x:c r="AN45" s="48" t="n">
        <x:f>-2*AL45/Inputs!$C$14</x:f>
        <x:v>53.527083972311175</x:v>
      </x:c>
      <x:c r="AO45" s="48" t="n">
        <x:f>ABS(AM45)</x:f>
        <x:v>356.4903792555924</x:v>
      </x:c>
      <x:c r="AP45" s="48" t="n">
        <x:f>ABS(AN45)</x:f>
        <x:v>53.527083972311175</x:v>
      </x:c>
      <x:c r="AQ45" s="48" t="n">
        <x:f>IF(OR(Inputs!$C$27=TRUE,Inputs!$C$27="TRUE",Inputs!$C$27=1),Inputs!$C$46/Inputs!$C$12,0)</x:f>
        <x:v>42.13483146067416</x:v>
      </x:c>
      <x:c r="AR45" s="48" t="n">
        <x:f>AC45-AQ45</x:f>
        <x:v>1666.2242433135411</x:v>
      </x:c>
      <x:c r="AS45" s="48" t="n">
        <x:f>AC45+AQ45</x:f>
        <x:v>1750.4939062348894</x:v>
      </x:c>
    </x:row>
    <x:row r="46">
      <x:c r="A46" s="48" t="n">
        <x:f>Inputs!$C$7+44*(Inputs!$C$8-Inputs!$C$7)/240</x:f>
        <x:v>-38</x:v>
      </x:c>
      <x:c r="B46" s="48" t="n">
        <x:f>Inputs!$C$5+Inputs!$C$9*(A46/Inputs!$C$10)^2</x:f>
        <x:v>401.6044444444444</x:v>
      </x:c>
      <x:c r="C46" s="48" t="n">
        <x:f>B46</x:f>
        <x:v>401.6044444444444</x:v>
      </x:c>
      <x:c r="D46" s="48" t="n">
        <x:f>SQRT((Inputs!$C$52+B46)^2+Inputs!$C$52^2-2*(Inputs!$C$52+B46)*Inputs!$C$52*COS(SQRT(A46^2+Inputs!$C$6^2)/Inputs!$C$52))</x:f>
        <x:v>404.82998091317</x:v>
      </x:c>
      <x:c r="E46" s="48" t="n">
        <x:f>(D46-C46)*1000</x:f>
        <x:v>3225.536468725579</x:v>
      </x:c>
      <x:c r="F46" s="48" t="n">
        <x:f>E46/Inputs!$C$12</x:f>
        <x:v>1812.0991397334715</x:v>
      </x:c>
      <x:c r="G46" s="48" t="n">
        <x:f>2*E46/Inputs!$C$21*1000000</x:f>
        <x:v>21.518463074381806</x:v>
      </x:c>
      <x:c r="H46" s="48" t="n">
        <x:f>SQRT(A46^2+Inputs!$C$6^2)</x:f>
        <x:v>45.48626166217664</x:v>
      </x:c>
      <x:c r="I46" s="48" t="n">
        <x:f>DEGREES(ATAN(H46/B46))</x:f>
        <x:v>6.4618600446971834</x:v>
      </x:c>
      <x:c r="J46" s="48" t="n">
        <x:f>DEGREES((2*PI()/Inputs!$C$13)*Inputs!$C$15*SIN(RADIANS(I46)))</x:f>
        <x:v>40.51504798123695</x:v>
      </x:c>
      <x:c r="K46" s="48" t="n">
        <x:f>(C46/D46)^4</x:f>
        <x:v>0.9685083502199494</x:v>
      </x:c>
      <x:c r="L46" s="48" t="n">
        <x:f>10*LOG10(K46)</x:f>
        <x:v>-0.138966305578663</x:v>
      </x:c>
      <x:c r="M46" s="48" t="n">
        <x:f>2*(Inputs!$C$9/(Inputs!$C$10^2))*A46</x:f>
        <x:v>-0.08444444444444445</x:v>
      </x:c>
      <x:c r="N46" s="48" t="n">
        <x:f>M46*Inputs!$C$11</x:f>
        <x:v>-0.3377777777777778</x:v>
      </x:c>
      <x:c r="O46" s="48" t="n">
        <x:f>1000*(D47-D45)/(A47-A45)*Inputs!$C$11</x:f>
        <x:v>-807.647983991501</x:v>
      </x:c>
      <x:c r="P46" s="48" t="n">
        <x:f>-2*O46/Inputs!$C$13</x:f>
        <x:v>323.0591935966004</x:v>
      </x:c>
      <x:c r="Q46" s="48" t="n">
        <x:f>-2*O46/Inputs!$C$14</x:f>
        <x:v>48.507386425915975</x:v>
      </x:c>
      <x:c r="R46" s="48" t="n">
        <x:f>F46-Inputs!$C$16/2</x:f>
        <x:v>1797.0991397334715</x:v>
      </x:c>
      <x:c r="S46" s="48" t="n">
        <x:f>F46+Inputs!$C$16/2</x:f>
        <x:v>1827.0991397334715</x:v>
      </x:c>
      <x:c r="T46" s="48" t="n">
        <x:f>F46-Inputs!$C$17/2</x:f>
        <x:v>1662.0991397334715</x:v>
      </x:c>
      <x:c r="U46" s="48" t="n">
        <x:f>F46+Inputs!$C$17/2</x:f>
        <x:v>1962.0991397334715</x:v>
      </x:c>
      <x:c r="V46" s="48" t="n">
        <x:f>ABS(P46)</x:f>
        <x:v>323.0591935966004</x:v>
      </x:c>
      <x:c r="W46" s="48" t="n">
        <x:f>ABS(Q46)</x:f>
        <x:v>48.507386425915975</x:v>
      </x:c>
      <x:c r="X46" s="48" t="n">
        <x: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(0.45*SIN(2*PI()*(((A46)/Inputs!$C$49)+Inputs!$C$47*0.137))+0.35*COS(2*PI()*(((0)/Inputs!$C$50)+Inputs!$C$47*0.173))+0.20*SIN(2*PI()*(((A46)+(0))/(0.5*(Inputs!$C$49+Inputs!$C$50))+Inputs!$C$47*0.097)))+0.30*(2*((SIN(((A46)*12.9898+(0)*78.233+Inputs!$C$47*37.719))*43758.5453)-INT((SIN(((A46)*12.9898+(0)*78.233+Inputs!$C$47*37.719))*43758.5453)))-1)))</x:f>
        <x:v>-21.15737906152213</x:v>
      </x:c>
      <x:c r="Y46" s="48" t="n">
        <x: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(0.45*SIN(2*PI()*(((A46)/Inputs!$C$49)+Inputs!$C$47*0.137))+0.35*COS(2*PI()*(((Inputs!$C$6)/Inputs!$C$50)+Inputs!$C$47*0.173))+0.20*SIN(2*PI()*(((A46)+(Inputs!$C$6))/(0.5*(Inputs!$C$49+Inputs!$C$50))+Inputs!$C$47*0.097)))+0.30*(2*((SIN(((A46)*12.9898+(Inputs!$C$6)*78.233+Inputs!$C$47*37.719))*43758.5453)-INT((SIN(((A46)*12.9898+(Inputs!$C$6)*78.233+Inputs!$C$47*37.719))*43758.5453)))-1)))</x:f>
        <x:v>202.93658014849487</x:v>
      </x:c>
      <x:c r="Z46" s="48" t="n">
        <x:f>B46-X46/1000</x:f>
        <x:v>401.625601823506</x:v>
      </x:c>
      <x:c r="AA46" s="48" t="n">
        <x:f>SQRT((Inputs!$C$52+B46)^2+(Inputs!$C$52+Y46/1000)^2-2*(Inputs!$C$52+B46)*(Inputs!$C$52+Y46/1000)*COS(SQRT(A46^2+Inputs!$C$6^2)/Inputs!$C$52))</x:f>
        <x:v>404.6290799887346</x:v>
      </x:c>
      <x:c r="AB46" s="48" t="n">
        <x:f>(AA46-Z46)*1000</x:f>
        <x:v>3003.478165228614</x:v>
      </x:c>
      <x:c r="AC46" s="48" t="n">
        <x:f>AB46/Inputs!$C$12</x:f>
        <x:v>1687.3472838363</x:v>
      </x:c>
      <x:c r="AD46" s="48" t="n">
        <x:f>2*AB46/Inputs!$C$21*1000000</x:f>
        <x:v>20.037049532637774</x:v>
      </x:c>
      <x:c r="AE46" s="48" t="n">
        <x:f>DEGREES(ATAN(H46/(B46-Y46/1000)))</x:f>
        <x:v>6.465099314836217</x:v>
      </x:c>
      <x:c r="AF46" s="48" t="n">
        <x:f>DEGREES((2*PI()/Inputs!$C$13)*Inputs!$C$15*SIN(RADIANS(AE46)))</x:f>
        <x:v>40.53527154864959</x:v>
      </x:c>
      <x:c r="AG46" s="48" t="n">
        <x:f>(Z46/AA46)^4</x:f>
        <x:v>0.9706377797119166</x:v>
      </x:c>
      <x:c r="AH46" s="48" t="n">
        <x:f>10*LOG10(AG46)</x:f>
        <x:v>-0.129428088366227</x:v>
      </x:c>
      <x:c r="AI46" s="48" t="n">
        <x:f>AC46-F46</x:f>
        <x:v>-124.75185589717148</x:v>
      </x:c>
      <x:c r="AJ46" s="48" t="n">
        <x:f>AD46-G46</x:f>
        <x:v>-1.4814135417440326</x:v>
      </x:c>
      <x:c r="AK46" s="48" t="n">
        <x:f>Y46-X46</x:f>
        <x:v>224.093959210017</x:v>
      </x:c>
      <x:c r="AL46" s="48" t="n">
        <x:f>1000*(AA47-AA45)/(A47-A45)*Inputs!$C$11</x:f>
        <x:v>-917.0785520777827</x:v>
      </x:c>
      <x:c r="AM46" s="48" t="n">
        <x:f>-2*AL46/Inputs!$C$13</x:f>
        <x:v>366.83142083111306</x:v>
      </x:c>
      <x:c r="AN46" s="48" t="n">
        <x:f>-2*AL46/Inputs!$C$14</x:f>
        <x:v>55.07979291758455</x:v>
      </x:c>
      <x:c r="AO46" s="48" t="n">
        <x:f>ABS(AM46)</x:f>
        <x:v>366.83142083111306</x:v>
      </x:c>
      <x:c r="AP46" s="48" t="n">
        <x:f>ABS(AN46)</x:f>
        <x:v>55.07979291758455</x:v>
      </x:c>
      <x:c r="AQ46" s="48" t="n">
        <x:f>IF(OR(Inputs!$C$27=TRUE,Inputs!$C$27="TRUE",Inputs!$C$27=1),Inputs!$C$46/Inputs!$C$12,0)</x:f>
        <x:v>42.13483146067416</x:v>
      </x:c>
      <x:c r="AR46" s="48" t="n">
        <x:f>AC46-AQ46</x:f>
        <x:v>1645.2124523756258</x:v>
      </x:c>
      <x:c r="AS46" s="48" t="n">
        <x:f>AC46+AQ46</x:f>
        <x:v>1729.4821152969741</x:v>
      </x:c>
    </x:row>
    <x:row r="47">
      <x:c r="A47" s="48" t="n">
        <x:f>Inputs!$C$7+45*(Inputs!$C$8-Inputs!$C$7)/240</x:f>
        <x:v>-37.5</x:v>
      </x:c>
      <x:c r="B47" s="48" t="n">
        <x:f>Inputs!$C$5+Inputs!$C$9*(A47/Inputs!$C$10)^2</x:f>
        <x:v>401.5625</x:v>
      </x:c>
      <x:c r="C47" s="48" t="n">
        <x:f>B47</x:f>
        <x:v>401.5625</x:v>
      </x:c>
      <x:c r="D47" s="48" t="n">
        <x:f>SQRT((Inputs!$C$52+B47)^2+Inputs!$C$52^2-2*(Inputs!$C$52+B47)*Inputs!$C$52*COS(SQRT(A47^2+Inputs!$C$6^2)/Inputs!$C$52))</x:f>
        <x:v>404.7296799061774</x:v>
      </x:c>
      <x:c r="E47" s="48" t="n">
        <x:f>(D47-C47)*1000</x:f>
        <x:v>3167.1799061774095</x:v>
      </x:c>
      <x:c r="F47" s="48" t="n">
        <x:f>E47/Inputs!$C$12</x:f>
        <x:v>1779.3145540322525</x:v>
      </x:c>
      <x:c r="G47" s="48" t="n">
        <x:f>2*E47/Inputs!$C$21*1000000</x:f>
        <x:v>21.129149994676713</x:v>
      </x:c>
      <x:c r="H47" s="48" t="n">
        <x:f>SQRT(A47^2+Inputs!$C$6^2)</x:f>
        <x:v>45.069390943299865</x:v>
      </x:c>
      <x:c r="I47" s="48" t="n">
        <x:f>DEGREES(ATAN(H47/B47))</x:f>
        <x:v>6.403796017933305</x:v>
      </x:c>
      <x:c r="J47" s="48" t="n">
        <x:f>DEGREES((2*PI()/Inputs!$C$13)*Inputs!$C$15*SIN(RADIANS(I47)))</x:f>
        <x:v>40.15251794840797</x:v>
      </x:c>
      <x:c r="K47" s="48" t="n">
        <x:f>(C47/D47)^4</x:f>
        <x:v>0.9690638284279562</x:v>
      </x:c>
      <x:c r="L47" s="48" t="n">
        <x:f>10*LOG10(K47)</x:f>
        <x:v>-0.136476167354935</x:v>
      </x:c>
      <x:c r="M47" s="48" t="n">
        <x:f>2*(Inputs!$C$9/(Inputs!$C$10^2))*A47</x:f>
        <x:v>-0.08333333333333333</x:v>
      </x:c>
      <x:c r="N47" s="48" t="n">
        <x:f>M47*Inputs!$C$11</x:f>
        <x:v>-0.3333333333333333</x:v>
      </x:c>
      <x:c r="O47" s="48" t="n">
        <x:f>1000*(D48-D46)/(A48-A46)*Inputs!$C$11</x:f>
        <x:v>-797.165296622552</x:v>
      </x:c>
      <x:c r="P47" s="48" t="n">
        <x:f>-2*O47/Inputs!$C$13</x:f>
        <x:v>318.8661186490208</x:v>
      </x:c>
      <x:c r="Q47" s="48" t="n">
        <x:f>-2*O47/Inputs!$C$14</x:f>
        <x:v>47.87779559294607</x:v>
      </x:c>
      <x:c r="R47" s="48" t="n">
        <x:f>F47-Inputs!$C$16/2</x:f>
        <x:v>1764.3145540322525</x:v>
      </x:c>
      <x:c r="S47" s="48" t="n">
        <x:f>F47+Inputs!$C$16/2</x:f>
        <x:v>1794.3145540322525</x:v>
      </x:c>
      <x:c r="T47" s="48" t="n">
        <x:f>F47-Inputs!$C$17/2</x:f>
        <x:v>1629.3145540322525</x:v>
      </x:c>
      <x:c r="U47" s="48" t="n">
        <x:f>F47+Inputs!$C$17/2</x:f>
        <x:v>1929.3145540322525</x:v>
      </x:c>
      <x:c r="V47" s="48" t="n">
        <x:f>ABS(P47)</x:f>
        <x:v>318.8661186490208</x:v>
      </x:c>
      <x:c r="W47" s="48" t="n">
        <x:f>ABS(Q47)</x:f>
        <x:v>47.87779559294607</x:v>
      </x:c>
      <x:c r="X47" s="48" t="n">
        <x: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(0.45*SIN(2*PI()*(((A47)/Inputs!$C$49)+Inputs!$C$47*0.137))+0.35*COS(2*PI()*(((0)/Inputs!$C$50)+Inputs!$C$47*0.173))+0.20*SIN(2*PI()*(((A47)+(0))/(0.5*(Inputs!$C$49+Inputs!$C$50))+Inputs!$C$47*0.097)))+0.30*(2*((SIN(((A47)*12.9898+(0)*78.233+Inputs!$C$47*37.719))*43758.5453)-INT((SIN(((A47)*12.9898+(0)*78.233+Inputs!$C$47*37.719))*43758.5453)))-1)))</x:f>
        <x:v>-18.69341167436205</x:v>
      </x:c>
      <x:c r="Y47" s="48" t="n">
        <x: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(0.45*SIN(2*PI()*(((A47)/Inputs!$C$49)+Inputs!$C$47*0.137))+0.35*COS(2*PI()*(((Inputs!$C$6)/Inputs!$C$50)+Inputs!$C$47*0.173))+0.20*SIN(2*PI()*(((A47)+(Inputs!$C$6))/(0.5*(Inputs!$C$49+Inputs!$C$50))+Inputs!$C$47*0.097)))+0.30*(2*((SIN(((A47)*12.9898+(Inputs!$C$6)*78.233+Inputs!$C$47*37.719))*43758.5453)-INT((SIN(((A47)*12.9898+(Inputs!$C$6)*78.233+Inputs!$C$47*37.719))*43758.5453)))-1)))</x:f>
        <x:v>239.1871485288169</x:v>
      </x:c>
      <x:c r="Z47" s="48" t="n">
        <x:f>B47-X47/1000</x:f>
        <x:v>401.58119341167435</x:v>
      </x:c>
      <x:c r="AA47" s="48" t="n">
        <x:f>SQRT((Inputs!$C$52+B47)^2+(Inputs!$C$52+Y47/1000)^2-2*(Inputs!$C$52+B47)*(Inputs!$C$52+Y47/1000)*COS(SQRT(A47^2+Inputs!$C$6^2)/Inputs!$C$52))</x:f>
        <x:v>404.4928493436711</x:v>
      </x:c>
      <x:c r="AB47" s="48" t="n">
        <x:f>(AA47-Z47)*1000</x:f>
        <x:v>2911.6559319967337</x:v>
      </x:c>
      <x:c r="AC47" s="48" t="n">
        <x:f>AB47/Inputs!$C$12</x:f>
        <x:v>1635.7617595487268</x:v>
      </x:c>
      <x:c r="AD47" s="48" t="n">
        <x:f>2*AB47/Inputs!$C$21*1000000</x:f>
        <x:v>19.424477529696453</x:v>
      </x:c>
      <x:c r="AE47" s="48" t="n">
        <x:f>DEGREES(ATAN(H47/(B47-Y47/1000)))</x:f>
        <x:v>6.4075809221470355</x:v>
      </x:c>
      <x:c r="AF47" s="48" t="n">
        <x:f>DEGREES((2*PI()/Inputs!$C$13)*Inputs!$C$15*SIN(RADIANS(AE47)))</x:f>
        <x:v>40.17615073294601</x:v>
      </x:c>
      <x:c r="AG47" s="48" t="n">
        <x:f>(Z47/AA47)^4</x:f>
        <x:v>0.971516251743991</x:v>
      </x:c>
      <x:c r="AH47" s="48" t="n">
        <x:f>10*LOG10(AG47)</x:f>
        <x:v>-0.125499300269346</x:v>
      </x:c>
      <x:c r="AI47" s="48" t="n">
        <x:f>AC47-F47</x:f>
        <x:v>-143.55279448352576</x:v>
      </x:c>
      <x:c r="AJ47" s="48" t="n">
        <x:f>AD47-G47</x:f>
        <x:v>-1.7046724649802592</x:v>
      </x:c>
      <x:c r="AK47" s="48" t="n">
        <x:f>Y47-X47</x:f>
        <x:v>257.88056020317896</x:v>
      </x:c>
      <x:c r="AL47" s="48" t="n">
        <x:f>1000*(AA48-AA46)/(A48-A46)*Inputs!$C$11</x:f>
        <x:v>-929.1757481644254</x:v>
      </x:c>
      <x:c r="AM47" s="48" t="n">
        <x:f>-2*AL47/Inputs!$C$13</x:f>
        <x:v>371.67029926577015</x:v>
      </x:c>
      <x:c r="AN47" s="48" t="n">
        <x:f>-2*AL47/Inputs!$C$14</x:f>
        <x:v>55.80635124110663</x:v>
      </x:c>
      <x:c r="AO47" s="48" t="n">
        <x:f>ABS(AM47)</x:f>
        <x:v>371.67029926577015</x:v>
      </x:c>
      <x:c r="AP47" s="48" t="n">
        <x:f>ABS(AN47)</x:f>
        <x:v>55.80635124110663</x:v>
      </x:c>
      <x:c r="AQ47" s="48" t="n">
        <x:f>IF(OR(Inputs!$C$27=TRUE,Inputs!$C$27="TRUE",Inputs!$C$27=1),Inputs!$C$46/Inputs!$C$12,0)</x:f>
        <x:v>42.13483146067416</x:v>
      </x:c>
      <x:c r="AR47" s="48" t="n">
        <x:f>AC47-AQ47</x:f>
        <x:v>1593.6269280880526</x:v>
      </x:c>
      <x:c r="AS47" s="48" t="n">
        <x:f>AC47+AQ47</x:f>
        <x:v>1677.896591009401</x:v>
      </x:c>
    </x:row>
    <x:row r="48">
      <x:c r="A48" s="48" t="n">
        <x:f>Inputs!$C$7+46*(Inputs!$C$8-Inputs!$C$7)/240</x:f>
        <x:v>-37</x:v>
      </x:c>
      <x:c r="B48" s="48" t="n">
        <x:f>Inputs!$C$5+Inputs!$C$9*(A48/Inputs!$C$10)^2</x:f>
        <x:v>401.5211111111111</x:v>
      </x:c>
      <x:c r="C48" s="48" t="n">
        <x:f>B48</x:f>
        <x:v>401.5211111111111</x:v>
      </x:c>
      <x:c r="D48" s="48" t="n">
        <x:f>SQRT((Inputs!$C$52+B48)^2+Inputs!$C$52^2-2*(Inputs!$C$52+B48)*Inputs!$C$52*COS(SQRT(A48^2+Inputs!$C$6^2)/Inputs!$C$52))</x:f>
        <x:v>404.63068958901437</x:v>
      </x:c>
      <x:c r="E48" s="48" t="n">
        <x:f>(D48-C48)*1000</x:f>
        <x:v>3109.5784779032556</x:v>
      </x:c>
      <x:c r="F48" s="48" t="n">
        <x:f>E48/Inputs!$C$12</x:f>
        <x:v>1746.9542010692446</x:v>
      </x:c>
      <x:c r="G48" s="48" t="n">
        <x:f>2*E48/Inputs!$C$21*1000000</x:f>
        <x:v>20.744874628588924</x:v>
      </x:c>
      <x:c r="H48" s="48" t="n">
        <x:f>SQRT(A48^2+Inputs!$C$6^2)</x:f>
        <x:v>44.654227123532216</x:v>
      </x:c>
      <x:c r="I48" s="48" t="n">
        <x:f>DEGREES(ATAN(H48/B48))</x:f>
        <x:v>6.345938529407371</x:v>
      </x:c>
      <x:c r="J48" s="48" t="n">
        <x:f>DEGREES((2*PI()/Inputs!$C$13)*Inputs!$C$15*SIN(RADIANS(I48)))</x:f>
        <x:v>39.791236445792514</x:v>
      </x:c>
      <x:c r="K48" s="48" t="n">
        <x:f>(C48/D48)^4</x:f>
        <x:v>0.9696126242218804</x:v>
      </x:c>
      <x:c r="L48" s="48" t="n">
        <x:f>10*LOG10(K48)</x:f>
        <x:v>-0.134017386870616</x:v>
      </x:c>
      <x:c r="M48" s="48" t="n">
        <x:f>2*(Inputs!$C$9/(Inputs!$C$10^2))*A48</x:f>
        <x:v>-0.08222222222222222</x:v>
      </x:c>
      <x:c r="N48" s="48" t="n">
        <x:f>M48*Inputs!$C$11</x:f>
        <x:v>-0.3288888888888889</x:v>
      </x:c>
      <x:c r="O48" s="48" t="n">
        <x:f>1000*(D49-D47)/(A49-A47)*Inputs!$C$11</x:f>
        <x:v>-786.6769807858418</x:v>
      </x:c>
      <x:c r="P48" s="48" t="n">
        <x:f>-2*O48/Inputs!$C$13</x:f>
        <x:v>314.6707923143367</x:v>
      </x:c>
      <x:c r="Q48" s="48" t="n">
        <x:f>-2*O48/Inputs!$C$14</x:f>
        <x:v>47.247866713864376</x:v>
      </x:c>
      <x:c r="R48" s="48" t="n">
        <x:f>F48-Inputs!$C$16/2</x:f>
        <x:v>1731.9542010692446</x:v>
      </x:c>
      <x:c r="S48" s="48" t="n">
        <x:f>F48+Inputs!$C$16/2</x:f>
        <x:v>1761.9542010692446</x:v>
      </x:c>
      <x:c r="T48" s="48" t="n">
        <x:f>F48-Inputs!$C$17/2</x:f>
        <x:v>1596.9542010692446</x:v>
      </x:c>
      <x:c r="U48" s="48" t="n">
        <x:f>F48+Inputs!$C$17/2</x:f>
        <x:v>1896.9542010692446</x:v>
      </x:c>
      <x:c r="V48" s="48" t="n">
        <x:f>ABS(P48)</x:f>
        <x:v>314.6707923143367</x:v>
      </x:c>
      <x:c r="W48" s="48" t="n">
        <x:f>ABS(Q48)</x:f>
        <x:v>47.247866713864376</x:v>
      </x:c>
      <x:c r="X48" s="48" t="n">
        <x: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(0.45*SIN(2*PI()*(((A48)/Inputs!$C$49)+Inputs!$C$47*0.137))+0.35*COS(2*PI()*(((0)/Inputs!$C$50)+Inputs!$C$47*0.173))+0.20*SIN(2*PI()*(((A48)+(0))/(0.5*(Inputs!$C$49+Inputs!$C$50))+Inputs!$C$47*0.097)))+0.30*(2*((SIN(((A48)*12.9898+(0)*78.233+Inputs!$C$47*37.719))*43758.5453)-INT((SIN(((A48)*12.9898+(0)*78.233+Inputs!$C$47*37.719))*43758.5453)))-1)))</x:f>
        <x:v>-25.83766278531854</x:v>
      </x:c>
      <x:c r="Y48" s="48" t="n">
        <x: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(0.45*SIN(2*PI()*(((A48)/Inputs!$C$49)+Inputs!$C$47*0.137))+0.35*COS(2*PI()*(((Inputs!$C$6)/Inputs!$C$50)+Inputs!$C$47*0.173))+0.20*SIN(2*PI()*(((A48)+(Inputs!$C$6))/(0.5*(Inputs!$C$49+Inputs!$C$50))+Inputs!$C$47*0.097)))+0.30*(2*((SIN(((A48)*12.9898+(Inputs!$C$6)*78.233+Inputs!$C$47*37.719))*43758.5453)-INT((SIN(((A48)*12.9898+(Inputs!$C$6)*78.233+Inputs!$C$47*37.719))*43758.5453)))-1)))</x:f>
        <x:v>236.18872035541293</x:v>
      </x:c>
      <x:c r="Z48" s="48" t="n">
        <x:f>B48-X48/1000</x:f>
        <x:v>401.5469487738964</x:v>
      </x:c>
      <x:c r="AA48" s="48" t="n">
        <x:f>SQRT((Inputs!$C$52+B48)^2+(Inputs!$C$52+Y48/1000)^2-2*(Inputs!$C$52+B48)*(Inputs!$C$52+Y48/1000)*COS(SQRT(A48^2+Inputs!$C$6^2)/Inputs!$C$52))</x:f>
        <x:v>404.3967860516935</x:v>
      </x:c>
      <x:c r="AB48" s="48" t="n">
        <x:f>(AA48-Z48)*1000</x:f>
        <x:v>2849.8372777970644</x:v>
      </x:c>
      <x:c r="AC48" s="48" t="n">
        <x:f>AB48/Inputs!$C$12</x:f>
        <x:v>1601.0321785376766</x:v>
      </x:c>
      <x:c r="AD48" s="48" t="n">
        <x:f>2*AB48/Inputs!$C$21*1000000</x:f>
        <x:v>19.01206786060685</x:v>
      </x:c>
      <x:c r="AE48" s="48" t="n">
        <x:f>DEGREES(ATAN(H48/(B48-Y48/1000)))</x:f>
        <x:v>6.349643130876043</x:v>
      </x:c>
      <x:c r="AF48" s="48" t="n">
        <x:f>DEGREES((2*PI()/Inputs!$C$13)*Inputs!$C$15*SIN(RADIANS(AE48)))</x:f>
        <x:v>39.81437043572354</x:v>
      </x:c>
      <x:c r="AG48" s="48" t="n">
        <x:f>(Z48/AA48)^4</x:f>
        <x:v>0.9721080494407672</x:v>
      </x:c>
      <x:c r="AH48" s="48" t="n">
        <x:f>10*LOG10(AG48)</x:f>
        <x:v>-0.12285460723995</x:v>
      </x:c>
      <x:c r="AI48" s="48" t="n">
        <x:f>AC48-F48</x:f>
        <x:v>-145.92202253156802</x:v>
      </x:c>
      <x:c r="AJ48" s="48" t="n">
        <x:f>AD48-G48</x:f>
        <x:v>-1.7328067679820727</x:v>
      </x:c>
      <x:c r="AK48" s="48" t="n">
        <x:f>Y48-X48</x:f>
        <x:v>262.02638314073147</x:v>
      </x:c>
      <x:c r="AL48" s="48" t="n">
        <x:f>1000*(AA49-AA47)/(A49-A47)*Inputs!$C$11</x:f>
        <x:v>-888.7034780136673</x:v>
      </x:c>
      <x:c r="AM48" s="48" t="n">
        <x:f>-2*AL48/Inputs!$C$13</x:f>
        <x:v>355.48139120546693</x:v>
      </x:c>
      <x:c r="AN48" s="48" t="n">
        <x:f>-2*AL48/Inputs!$C$14</x:f>
        <x:v>53.37558426508513</x:v>
      </x:c>
      <x:c r="AO48" s="48" t="n">
        <x:f>ABS(AM48)</x:f>
        <x:v>355.48139120546693</x:v>
      </x:c>
      <x:c r="AP48" s="48" t="n">
        <x:f>ABS(AN48)</x:f>
        <x:v>53.37558426508513</x:v>
      </x:c>
      <x:c r="AQ48" s="48" t="n">
        <x:f>IF(OR(Inputs!$C$27=TRUE,Inputs!$C$27="TRUE",Inputs!$C$27=1),Inputs!$C$46/Inputs!$C$12,0)</x:f>
        <x:v>42.13483146067416</x:v>
      </x:c>
      <x:c r="AR48" s="48" t="n">
        <x:f>AC48-AQ48</x:f>
        <x:v>1558.8973470770025</x:v>
      </x:c>
      <x:c r="AS48" s="48" t="n">
        <x:f>AC48+AQ48</x:f>
        <x:v>1643.1670099983507</x:v>
      </x:c>
    </x:row>
    <x:row r="49">
      <x:c r="A49" s="48" t="n">
        <x:f>Inputs!$C$7+47*(Inputs!$C$8-Inputs!$C$7)/240</x:f>
        <x:v>-36.5</x:v>
      </x:c>
      <x:c r="B49" s="48" t="n">
        <x:f>Inputs!$C$5+Inputs!$C$9*(A49/Inputs!$C$10)^2</x:f>
        <x:v>401.48027777777776</x:v>
      </x:c>
      <x:c r="C49" s="48" t="n">
        <x:f>B49</x:f>
        <x:v>401.48027777777776</x:v>
      </x:c>
      <x:c r="D49" s="48" t="n">
        <x:f>SQRT((Inputs!$C$52+B49)^2+Inputs!$C$52^2-2*(Inputs!$C$52+B49)*Inputs!$C$52*COS(SQRT(A49^2+Inputs!$C$6^2)/Inputs!$C$52))</x:f>
        <x:v>404.53301066098095</x:v>
      </x:c>
      <x:c r="E49" s="48" t="n">
        <x:f>(D49-C49)*1000</x:f>
        <x:v>3052.7328832031912</x:v>
      </x:c>
      <x:c r="F49" s="48" t="n">
        <x:f>E49/Inputs!$C$12</x:f>
        <x:v>1715.0184737096579</x:v>
      </x:c>
      <x:c r="G49" s="48" t="n">
        <x:f>2*E49/Inputs!$C$21*1000000</x:f>
        <x:v>20.36564164134637</x:v>
      </x:c>
      <x:c r="H49" s="48" t="n">
        <x:f>SQRT(A49^2+Inputs!$C$6^2)</x:f>
        <x:v>44.24081825644729</x:v>
      </x:c>
      <x:c r="I49" s="48" t="n">
        <x:f>DEGREES(ATAN(H49/B49))</x:f>
        <x:v>6.288294925190011</x:v>
      </x:c>
      <x:c r="J49" s="48" t="n">
        <x:f>DEGREES((2*PI()/Inputs!$C$13)*Inputs!$C$15*SIN(RADIANS(I49)))</x:f>
        <x:v>39.43125015731848</x:v>
      </x:c>
      <x:c r="K49" s="48" t="n">
        <x:f>(C49/D49)^4</x:f>
        <x:v>0.9701547117238182</x:v>
      </x:c>
      <x:c r="L49" s="48" t="n">
        <x:f>10*LOG10(K49)</x:f>
        <x:v>-0.131590027541831</x:v>
      </x:c>
      <x:c r="M49" s="48" t="n">
        <x:f>2*(Inputs!$C$9/(Inputs!$C$10^2))*A49</x:f>
        <x:v>-0.0811111111111111</x:v>
      </x:c>
      <x:c r="N49" s="48" t="n">
        <x:f>M49*Inputs!$C$11</x:f>
        <x:v>-0.3244444444444444</x:v>
      </x:c>
      <x:c r="O49" s="48" t="n">
        <x:f>1000*(D50-D48)/(A50-A48)*Inputs!$C$11</x:f>
        <x:v>-776.1831047143914</x:v>
      </x:c>
      <x:c r="P49" s="48" t="n">
        <x:f>-2*O49/Inputs!$C$13</x:f>
        <x:v>310.4732418857566</x:v>
      </x:c>
      <x:c r="Q49" s="48" t="n">
        <x:f>-2*O49/Inputs!$C$14</x:f>
        <x:v>46.61760388675024</x:v>
      </x:c>
      <x:c r="R49" s="48" t="n">
        <x:f>F49-Inputs!$C$16/2</x:f>
        <x:v>1700.0184737096579</x:v>
      </x:c>
      <x:c r="S49" s="48" t="n">
        <x:f>F49+Inputs!$C$16/2</x:f>
        <x:v>1730.0184737096579</x:v>
      </x:c>
      <x:c r="T49" s="48" t="n">
        <x:f>F49-Inputs!$C$17/2</x:f>
        <x:v>1565.0184737096579</x:v>
      </x:c>
      <x:c r="U49" s="48" t="n">
        <x:f>F49+Inputs!$C$17/2</x:f>
        <x:v>1865.0184737096579</x:v>
      </x:c>
      <x:c r="V49" s="48" t="n">
        <x:f>ABS(P49)</x:f>
        <x:v>310.4732418857566</x:v>
      </x:c>
      <x:c r="W49" s="48" t="n">
        <x:f>ABS(Q49)</x:f>
        <x:v>46.61760388675024</x:v>
      </x:c>
      <x:c r="X49" s="48" t="n">
        <x: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(0.45*SIN(2*PI()*(((A49)/Inputs!$C$49)+Inputs!$C$47*0.137))+0.35*COS(2*PI()*(((0)/Inputs!$C$50)+Inputs!$C$47*0.173))+0.20*SIN(2*PI()*(((A49)+(0))/(0.5*(Inputs!$C$49+Inputs!$C$50))+Inputs!$C$47*0.097)))+0.30*(2*((SIN(((A49)*12.9898+(0)*78.233+Inputs!$C$47*37.719))*43758.5453)-INT((SIN(((A49)*12.9898+(0)*78.233+Inputs!$C$47*37.719))*43758.5453)))-1)))</x:f>
        <x:v>-21.548035323184823</x:v>
      </x:c>
      <x:c r="Y49" s="48" t="n">
        <x: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(0.45*SIN(2*PI()*(((A49)/Inputs!$C$49)+Inputs!$C$47*0.137))+0.35*COS(2*PI()*(((Inputs!$C$6)/Inputs!$C$50)+Inputs!$C$47*0.173))+0.20*SIN(2*PI()*(((A49)+(Inputs!$C$6))/(0.5*(Inputs!$C$49+Inputs!$C$50))+Inputs!$C$47*0.097)))+0.30*(2*((SIN(((A49)*12.9898+(Inputs!$C$6)*78.233+Inputs!$C$47*37.719))*43758.5453)-INT((SIN(((A49)*12.9898+(Inputs!$C$6)*78.233+Inputs!$C$47*37.719))*43758.5453)))-1)))</x:f>
        <x:v>264.8535608975177</x:v>
      </x:c>
      <x:c r="Z49" s="48" t="n">
        <x:f>B49-X49/1000</x:f>
        <x:v>401.50182581310094</x:v>
      </x:c>
      <x:c r="AA49" s="48" t="n">
        <x:f>SQRT((Inputs!$C$52+B49)^2+(Inputs!$C$52+Y49/1000)^2-2*(Inputs!$C$52+B49)*(Inputs!$C$52+Y49/1000)*COS(SQRT(A49^2+Inputs!$C$6^2)/Inputs!$C$52))</x:f>
        <x:v>404.27067347416767</x:v>
      </x:c>
      <x:c r="AB49" s="48" t="n">
        <x:f>(AA49-Z49)*1000</x:f>
        <x:v>2768.8476610667294</x:v>
      </x:c>
      <x:c r="AC49" s="48" t="n">
        <x:f>AB49/Inputs!$C$12</x:f>
        <x:v>1555.532393857713</x:v>
      </x:c>
      <x:c r="AD49" s="48" t="n">
        <x:f>2*AB49/Inputs!$C$21*1000000</x:f>
        <x:v>18.471763296104864</x:v>
      </x:c>
      <x:c r="AE49" s="48" t="n">
        <x:f>DEGREES(ATAN(H49/(B49-Y49/1000)))</x:f>
        <x:v>6.292412718507503</x:v>
      </x:c>
      <x:c r="AF49" s="48" t="n">
        <x:f>DEGREES((2*PI()/Inputs!$C$13)*Inputs!$C$15*SIN(RADIANS(AE49)))</x:f>
        <x:v>39.4569672460649</x:v>
      </x:c>
      <x:c r="AG49" s="48" t="n">
        <x:f>(Z49/AA49)^4</x:f>
        <x:v>0.9728841910375656</x:v>
      </x:c>
      <x:c r="AH49" s="48" t="n">
        <x:f>10*LOG10(AG49)</x:f>
        <x:v>-0.119388536542682</x:v>
      </x:c>
      <x:c r="AI49" s="48" t="n">
        <x:f>AC49-F49</x:f>
        <x:v>-159.48607985194485</x:v>
      </x:c>
      <x:c r="AJ49" s="48" t="n">
        <x:f>AD49-G49</x:f>
        <x:v>-1.8938783452415073</x:v>
      </x:c>
      <x:c r="AK49" s="48" t="n">
        <x:f>Y49-X49</x:f>
        <x:v>286.4015962207025</x:v>
      </x:c>
      <x:c r="AL49" s="48" t="n">
        <x:f>1000*(AA50-AA48)/(A50-A48)*Inputs!$C$11</x:f>
        <x:v>-923.3574370564384</x:v>
      </x:c>
      <x:c r="AM49" s="48" t="n">
        <x:f>-2*AL49/Inputs!$C$13</x:f>
        <x:v>369.34297482257534</x:v>
      </x:c>
      <x:c r="AN49" s="48" t="n">
        <x:f>-2*AL49/Inputs!$C$14</x:f>
        <x:v>55.45690312651282</x:v>
      </x:c>
      <x:c r="AO49" s="48" t="n">
        <x:f>ABS(AM49)</x:f>
        <x:v>369.34297482257534</x:v>
      </x:c>
      <x:c r="AP49" s="48" t="n">
        <x:f>ABS(AN49)</x:f>
        <x:v>55.45690312651282</x:v>
      </x:c>
      <x:c r="AQ49" s="48" t="n">
        <x:f>IF(OR(Inputs!$C$27=TRUE,Inputs!$C$27="TRUE",Inputs!$C$27=1),Inputs!$C$46/Inputs!$C$12,0)</x:f>
        <x:v>42.13483146067416</x:v>
      </x:c>
      <x:c r="AR49" s="48" t="n">
        <x:f>AC49-AQ49</x:f>
        <x:v>1513.3975623970389</x:v>
      </x:c>
      <x:c r="AS49" s="48" t="n">
        <x:f>AC49+AQ49</x:f>
        <x:v>1597.6672253183872</x:v>
      </x:c>
    </x:row>
    <x:row r="50">
      <x:c r="A50" s="48" t="n">
        <x:f>Inputs!$C$7+48*(Inputs!$C$8-Inputs!$C$7)/240</x:f>
        <x:v>-36</x:v>
      </x:c>
      <x:c r="B50" s="48" t="n">
        <x:f>Inputs!$C$5+Inputs!$C$9*(A50/Inputs!$C$10)^2</x:f>
        <x:v>401.44</x:v>
      </x:c>
      <x:c r="C50" s="48" t="n">
        <x:f>B50</x:f>
        <x:v>401.44</x:v>
      </x:c>
      <x:c r="D50" s="48" t="n">
        <x:f>SQRT((Inputs!$C$52+B50)^2+Inputs!$C$52^2-2*(Inputs!$C$52+B50)*Inputs!$C$52*COS(SQRT(A50^2+Inputs!$C$6^2)/Inputs!$C$52))</x:f>
        <x:v>404.43664381283577</x:v>
      </x:c>
      <x:c r="E50" s="48" t="n">
        <x:f>(D50-C50)*1000</x:f>
        <x:v>2996.643812835771</x:v>
      </x:c>
      <x:c r="F50" s="48" t="n">
        <x:f>E50/Inputs!$C$12</x:f>
        <x:v>1683.507760020096</x:v>
      </x:c>
      <x:c r="G50" s="48" t="n">
        <x:f>2*E50/Inputs!$C$21*1000000</x:f>
        <x:v>19.99145564119409</x:v>
      </x:c>
      <x:c r="H50" s="48" t="n">
        <x:f>SQRT(A50^2+Inputs!$C$6^2)</x:f>
        <x:v>43.829214001622255</x:v>
      </x:c>
      <x:c r="I50" s="48" t="n">
        <x:f>DEGREES(ATAN(H50/B50))</x:f>
        <x:v>6.23087278213282</x:v>
      </x:c>
      <x:c r="J50" s="48" t="n">
        <x:f>DEGREES((2*PI()/Inputs!$C$13)*Inputs!$C$15*SIN(RADIANS(I50)))</x:f>
        <x:v>39.0726072191931</x:v>
      </x:c>
      <x:c r="K50" s="48" t="n">
        <x:f>(C50/D50)^4</x:f>
        <x:v>0.970690065330411</x:v>
      </x:c>
      <x:c r="L50" s="48" t="n">
        <x:f>10*LOG10(K50)</x:f>
        <x:v>-0.12919415203591</x:v>
      </x:c>
      <x:c r="M50" s="48" t="n">
        <x:f>2*(Inputs!$C$9/(Inputs!$C$10^2))*A50</x:f>
        <x:v>-0.08</x:v>
      </x:c>
      <x:c r="N50" s="48" t="n">
        <x:f>M50*Inputs!$C$11</x:f>
        <x:v>-0.32</x:v>
      </x:c>
      <x:c r="O50" s="48" t="n">
        <x:f>1000*(D51-D49)/(A51-A49)*Inputs!$C$11</x:f>
        <x:v>-765.6837369277127</x:v>
      </x:c>
      <x:c r="P50" s="48" t="n">
        <x:f>-2*O50/Inputs!$C$13</x:f>
        <x:v>306.2734947710851</x:v>
      </x:c>
      <x:c r="Q50" s="48" t="n">
        <x:f>-2*O50/Inputs!$C$14</x:f>
        <x:v>45.987011226889656</x:v>
      </x:c>
      <x:c r="R50" s="48" t="n">
        <x:f>F50-Inputs!$C$16/2</x:f>
        <x:v>1668.507760020096</x:v>
      </x:c>
      <x:c r="S50" s="48" t="n">
        <x:f>F50+Inputs!$C$16/2</x:f>
        <x:v>1698.507760020096</x:v>
      </x:c>
      <x:c r="T50" s="48" t="n">
        <x:f>F50-Inputs!$C$17/2</x:f>
        <x:v>1533.507760020096</x:v>
      </x:c>
      <x:c r="U50" s="48" t="n">
        <x:f>F50+Inputs!$C$17/2</x:f>
        <x:v>1833.507760020096</x:v>
      </x:c>
      <x:c r="V50" s="48" t="n">
        <x:f>ABS(P50)</x:f>
        <x:v>306.2734947710851</x:v>
      </x:c>
      <x:c r="W50" s="48" t="n">
        <x:f>ABS(Q50)</x:f>
        <x:v>45.987011226889656</x:v>
      </x:c>
      <x:c r="X50" s="48" t="n">
        <x: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(0.45*SIN(2*PI()*(((A50)/Inputs!$C$49)+Inputs!$C$47*0.137))+0.35*COS(2*PI()*(((0)/Inputs!$C$50)+Inputs!$C$47*0.173))+0.20*SIN(2*PI()*(((A50)+(0))/(0.5*(Inputs!$C$49+Inputs!$C$50))+Inputs!$C$47*0.097)))+0.30*(2*((SIN(((A50)*12.9898+(0)*78.233+Inputs!$C$47*37.719))*43758.5453)-INT((SIN(((A50)*12.9898+(0)*78.233+Inputs!$C$47*37.719))*43758.5453)))-1)))</x:f>
        <x:v>-2.286662206392558</x:v>
      </x:c>
      <x:c r="Y50" s="48" t="n">
        <x: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(0.45*SIN(2*PI()*(((A50)/Inputs!$C$49)+Inputs!$C$47*0.137))+0.35*COS(2*PI()*(((Inputs!$C$6)/Inputs!$C$50)+Inputs!$C$47*0.173))+0.20*SIN(2*PI()*(((A50)+(Inputs!$C$6))/(0.5*(Inputs!$C$49+Inputs!$C$50))+Inputs!$C$47*0.097)))+0.30*(2*((SIN(((A50)*12.9898+(Inputs!$C$6)*78.233+Inputs!$C$47*37.719))*43758.5453)-INT((SIN(((A50)*12.9898+(Inputs!$C$6)*78.233+Inputs!$C$47*37.719))*43758.5453)))-1)))</x:f>
        <x:v>273.24610443212225</x:v>
      </x:c>
      <x:c r="Z50" s="48" t="n">
        <x:f>B50-X50/1000</x:f>
        <x:v>401.4422866622064</x:v>
      </x:c>
      <x:c r="AA50" s="48" t="n">
        <x:f>SQRT((Inputs!$C$52+B50)^2+(Inputs!$C$52+Y50/1000)^2-2*(Inputs!$C$52+B50)*(Inputs!$C$52+Y50/1000)*COS(SQRT(A50^2+Inputs!$C$6^2)/Inputs!$C$52))</x:f>
        <x:v>404.1659466924294</x:v>
      </x:c>
      <x:c r="AB50" s="48" t="n">
        <x:f>(AA50-Z50)*1000</x:f>
        <x:v>2723.660030222959</x:v>
      </x:c>
      <x:c r="AC50" s="48" t="n">
        <x:f>AB50/Inputs!$C$12</x:f>
        <x:v>1530.1460843949208</x:v>
      </x:c>
      <x:c r="AD50" s="48" t="n">
        <x:f>2*AB50/Inputs!$C$21*1000000</x:f>
        <x:v>18.170303872173857</x:v>
      </x:c>
      <x:c r="AE50" s="48" t="n">
        <x:f>DEGREES(ATAN(H50/(B50-Y50/1000)))</x:f>
        <x:v>6.235083391332473</x:v>
      </x:c>
      <x:c r="AF50" s="48" t="n">
        <x:f>DEGREES((2*PI()/Inputs!$C$13)*Inputs!$C$15*SIN(RADIANS(AE50)))</x:f>
        <x:v>39.098906865813106</x:v>
      </x:c>
      <x:c r="AG50" s="48" t="n">
        <x:f>(Z50/AA50)^4</x:f>
        <x:v>0.9733154011394762</x:v>
      </x:c>
      <x:c r="AH50" s="48" t="n">
        <x:f>10*LOG10(AG50)</x:f>
        <x:v>-0.11746404563622</x:v>
      </x:c>
      <x:c r="AI50" s="48" t="n">
        <x:f>AC50-F50</x:f>
        <x:v>-153.36167562517517</x:v>
      </x:c>
      <x:c r="AJ50" s="48" t="n">
        <x:f>AD50-G50</x:f>
        <x:v>-1.8211517690202328</x:v>
      </x:c>
      <x:c r="AK50" s="48" t="n">
        <x:f>Y50-X50</x:f>
        <x:v>275.53276663851483</x:v>
      </x:c>
      <x:c r="AL50" s="48" t="n">
        <x:f>1000*(AA51-AA49)/(A51-A49)*Inputs!$C$11</x:f>
        <x:v>-845.7061886808788</x:v>
      </x:c>
      <x:c r="AM50" s="48" t="n">
        <x:f>-2*AL50/Inputs!$C$13</x:f>
        <x:v>338.2824754723515</x:v>
      </x:c>
      <x:c r="AN50" s="48" t="n">
        <x:f>-2*AL50/Inputs!$C$14</x:f>
        <x:v>50.79316448533807</x:v>
      </x:c>
      <x:c r="AO50" s="48" t="n">
        <x:f>ABS(AM50)</x:f>
        <x:v>338.2824754723515</x:v>
      </x:c>
      <x:c r="AP50" s="48" t="n">
        <x:f>ABS(AN50)</x:f>
        <x:v>50.79316448533807</x:v>
      </x:c>
      <x:c r="AQ50" s="48" t="n">
        <x:f>IF(OR(Inputs!$C$27=TRUE,Inputs!$C$27="TRUE",Inputs!$C$27=1),Inputs!$C$46/Inputs!$C$12,0)</x:f>
        <x:v>42.13483146067416</x:v>
      </x:c>
      <x:c r="AR50" s="48" t="n">
        <x:f>AC50-AQ50</x:f>
        <x:v>1488.0112529342466</x:v>
      </x:c>
      <x:c r="AS50" s="48" t="n">
        <x:f>AC50+AQ50</x:f>
        <x:v>1572.280915855595</x:v>
      </x:c>
    </x:row>
    <x:row r="51">
      <x:c r="A51" s="48" t="n">
        <x:f>Inputs!$C$7+49*(Inputs!$C$8-Inputs!$C$7)/240</x:f>
        <x:v>-35.5</x:v>
      </x:c>
      <x:c r="B51" s="48" t="n">
        <x:f>Inputs!$C$5+Inputs!$C$9*(A51/Inputs!$C$10)^2</x:f>
        <x:v>401.4002777777778</x:v>
      </x:c>
      <x:c r="C51" s="48" t="n">
        <x:f>B51</x:f>
        <x:v>401.4002777777778</x:v>
      </x:c>
      <x:c r="D51" s="48" t="n">
        <x:f>SQRT((Inputs!$C$52+B51)^2+Inputs!$C$52^2-2*(Inputs!$C$52+B51)*Inputs!$C$52*COS(SQRT(A51^2+Inputs!$C$6^2)/Inputs!$C$52))</x:f>
        <x:v>404.341589726749</x:v>
      </x:c>
      <x:c r="E51" s="48" t="n">
        <x:f>(D51-C51)*1000</x:f>
        <x:v>2941.311948971247</x:v>
      </x:c>
      <x:c r="F51" s="48" t="n">
        <x:f>E51/Inputs!$C$12</x:f>
        <x:v>1652.4224432422736</x:v>
      </x:c>
      <x:c r="G51" s="48" t="n">
        <x:f>2*E51/Inputs!$C$21*1000000</x:f>
        <x:v>19.622321179082146</x:v>
      </x:c>
      <x:c r="H51" s="48" t="n">
        <x:f>SQRT(A51^2+Inputs!$C$6^2)</x:f>
        <x:v>43.41946568072896</x:v>
      </x:c>
      <x:c r="I51" s="48" t="n">
        <x:f>DEGREES(ATAN(H51/B51))</x:f>
        <x:v>6.173679915861962</x:v>
      </x:c>
      <x:c r="J51" s="48" t="n">
        <x:f>DEGREES((2*PI()/Inputs!$C$13)*Inputs!$C$15*SIN(RADIANS(I51)))</x:f>
        <x:v>38.71535727003771</x:v>
      </x:c>
      <x:c r="K51" s="48" t="n">
        <x:f>(C51/D51)^4</x:f>
        <x:v>0.9712186597157199</x:v>
      </x:c>
      <x:c r="L51" s="48" t="n">
        <x:f>10*LOG10(K51)</x:f>
        <x:v>-0.126829822266816</x:v>
      </x:c>
      <x:c r="M51" s="48" t="n">
        <x:f>2*(Inputs!$C$9/(Inputs!$C$10^2))*A51</x:f>
        <x:v>-0.07888888888888888</x:v>
      </x:c>
      <x:c r="N51" s="48" t="n">
        <x:f>M51*Inputs!$C$11</x:f>
        <x:v>-0.31555555555555553</x:v>
      </x:c>
      <x:c r="O51" s="48" t="n">
        <x:f>1000*(D52-D50)/(A52-A50)*Inputs!$C$11</x:f>
        <x:v>-755.1789462022498</x:v>
      </x:c>
      <x:c r="P51" s="48" t="n">
        <x:f>-2*O51/Inputs!$C$13</x:f>
        <x:v>302.0715784808999</x:v>
      </x:c>
      <x:c r="Q51" s="48" t="n">
        <x:f>-2*O51/Inputs!$C$14</x:f>
        <x:v>45.356092864999994</x:v>
      </x:c>
      <x:c r="R51" s="48" t="n">
        <x:f>F51-Inputs!$C$16/2</x:f>
        <x:v>1637.4224432422736</x:v>
      </x:c>
      <x:c r="S51" s="48" t="n">
        <x:f>F51+Inputs!$C$16/2</x:f>
        <x:v>1667.4224432422736</x:v>
      </x:c>
      <x:c r="T51" s="48" t="n">
        <x:f>F51-Inputs!$C$17/2</x:f>
        <x:v>1502.4224432422736</x:v>
      </x:c>
      <x:c r="U51" s="48" t="n">
        <x:f>F51+Inputs!$C$17/2</x:f>
        <x:v>1802.4224432422736</x:v>
      </x:c>
      <x:c r="V51" s="48" t="n">
        <x:f>ABS(P51)</x:f>
        <x:v>302.0715784808999</x:v>
      </x:c>
      <x:c r="W51" s="48" t="n">
        <x:f>ABS(Q51)</x:f>
        <x:v>45.356092864999994</x:v>
      </x:c>
      <x:c r="X51" s="48" t="n">
        <x: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(0.45*SIN(2*PI()*(((A51)/Inputs!$C$49)+Inputs!$C$47*0.137))+0.35*COS(2*PI()*(((0)/Inputs!$C$50)+Inputs!$C$47*0.173))+0.20*SIN(2*PI()*(((A51)+(0))/(0.5*(Inputs!$C$49+Inputs!$C$50))+Inputs!$C$47*0.097)))+0.30*(2*((SIN(((A51)*12.9898+(0)*78.233+Inputs!$C$47*37.719))*43758.5453)-INT((SIN(((A51)*12.9898+(0)*78.233+Inputs!$C$47*37.719))*43758.5453)))-1)))</x:f>
        <x:v>-0.6339718611461809</x:v>
      </x:c>
      <x:c r="Y51" s="48" t="n">
        <x: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(0.45*SIN(2*PI()*(((A51)/Inputs!$C$49)+Inputs!$C$47*0.137))+0.35*COS(2*PI()*(((Inputs!$C$6)/Inputs!$C$50)+Inputs!$C$47*0.173))+0.20*SIN(2*PI()*(((A51)+(Inputs!$C$6))/(0.5*(Inputs!$C$49+Inputs!$C$50))+Inputs!$C$47*0.097)))+0.30*(2*((SIN(((A51)*12.9898+(Inputs!$C$6)*78.233+Inputs!$C$47*37.719))*43758.5453)-INT((SIN(((A51)*12.9898+(Inputs!$C$6)*78.233+Inputs!$C$47*37.719))*43758.5453)))-1)))</x:f>
        <x:v>284.9525044867838</x:v>
      </x:c>
      <x:c r="Z51" s="48" t="n">
        <x:f>B51-X51/1000</x:f>
        <x:v>401.4009117496389</x:v>
      </x:c>
      <x:c r="AA51" s="48" t="n">
        <x:f>SQRT((Inputs!$C$52+B51)^2+(Inputs!$C$52+Y51/1000)^2-2*(Inputs!$C$52+B51)*(Inputs!$C$52+Y51/1000)*COS(SQRT(A51^2+Inputs!$C$6^2)/Inputs!$C$52))</x:f>
        <x:v>404.05924692699745</x:v>
      </x:c>
      <x:c r="AB51" s="48" t="n">
        <x:f>(AA51-Z51)*1000</x:f>
        <x:v>2658.3351773585377</x:v>
      </x:c>
      <x:c r="AC51" s="48" t="n">
        <x:f>AB51/Inputs!$C$12</x:f>
        <x:v>1493.4467288531112</x:v>
      </x:c>
      <x:c r="AD51" s="48" t="n">
        <x:f>2*AB51/Inputs!$C$21*1000000</x:f>
        <x:v>17.734503363380394</x:v>
      </x:c>
      <x:c r="AE51" s="48" t="n">
        <x:f>DEGREES(ATAN(H51/(B51-Y51/1000)))</x:f>
        <x:v>6.178031796965923</x:v>
      </x:c>
      <x:c r="AF51" s="48" t="n">
        <x:f>DEGREES((2*PI()/Inputs!$C$13)*Inputs!$C$15*SIN(RADIANS(AE51)))</x:f>
        <x:v>38.74254225330668</x:v>
      </x:c>
      <x:c r="AG51" s="48" t="n">
        <x:f>(Z51/AA51)^4</x:f>
        <x:v>0.9739422770172814</x:v>
      </x:c>
      <x:c r="AH51" s="48" t="n">
        <x:f>10*LOG10(AG51)</x:f>
        <x:v>-0.11466781843909</x:v>
      </x:c>
      <x:c r="AI51" s="48" t="n">
        <x:f>AC51-F51</x:f>
        <x:v>-158.97571438916248</x:v>
      </x:c>
      <x:c r="AJ51" s="48" t="n">
        <x:f>AD51-G51</x:f>
        <x:v>-1.8878178157017516</x:v>
      </x:c>
      <x:c r="AK51" s="48" t="n">
        <x:f>Y51-X51</x:f>
        <x:v>285.58647634793</x:v>
      </x:c>
      <x:c r="AL51" s="48" t="n">
        <x:f>1000*(AA52-AA50)/(A52-A50)*Inputs!$C$11</x:f>
        <x:v>-785.1496058283374</x:v>
      </x:c>
      <x:c r="AM51" s="48" t="n">
        <x:f>-2*AL51/Inputs!$C$13</x:f>
        <x:v>314.05984233133495</x:v>
      </x:c>
      <x:c r="AN51" s="48" t="n">
        <x:f>-2*AL51/Inputs!$C$14</x:f>
        <x:v>47.15613248218243</x:v>
      </x:c>
      <x:c r="AO51" s="48" t="n">
        <x:f>ABS(AM51)</x:f>
        <x:v>314.05984233133495</x:v>
      </x:c>
      <x:c r="AP51" s="48" t="n">
        <x:f>ABS(AN51)</x:f>
        <x:v>47.15613248218243</x:v>
      </x:c>
      <x:c r="AQ51" s="48" t="n">
        <x:f>IF(OR(Inputs!$C$27=TRUE,Inputs!$C$27="TRUE",Inputs!$C$27=1),Inputs!$C$46/Inputs!$C$12,0)</x:f>
        <x:v>42.13483146067416</x:v>
      </x:c>
      <x:c r="AR51" s="48" t="n">
        <x:f>AC51-AQ51</x:f>
        <x:v>1451.311897392437</x:v>
      </x:c>
      <x:c r="AS51" s="48" t="n">
        <x:f>AC51+AQ51</x:f>
        <x:v>1535.5815603137853</x:v>
      </x:c>
    </x:row>
    <x:row r="52">
      <x:c r="A52" s="48" t="n">
        <x:f>Inputs!$C$7+50*(Inputs!$C$8-Inputs!$C$7)/240</x:f>
        <x:v>-35</x:v>
      </x:c>
      <x:c r="B52" s="48" t="n">
        <x:f>Inputs!$C$5+Inputs!$C$9*(A52/Inputs!$C$10)^2</x:f>
        <x:v>401.3611111111111</x:v>
      </x:c>
      <x:c r="C52" s="48" t="n">
        <x:f>B52</x:f>
        <x:v>401.3611111111111</x:v>
      </x:c>
      <x:c r="D52" s="48" t="n">
        <x:f>SQRT((Inputs!$C$52+B52)^2+Inputs!$C$52^2-2*(Inputs!$C$52+B52)*Inputs!$C$52*COS(SQRT(A52^2+Inputs!$C$6^2)/Inputs!$C$52))</x:f>
        <x:v>404.2478490762852</x:v>
      </x:c>
      <x:c r="E52" s="48" t="n">
        <x:f>(D52-C52)*1000</x:f>
        <x:v>2886.7379651741203</x:v>
      </x:c>
      <x:c r="F52" s="48" t="n">
        <x:f>E52/Inputs!$C$12</x:f>
        <x:v>1621.7629017832137</x:v>
      </x:c>
      <x:c r="G52" s="48" t="n">
        <x:f>2*E52/Inputs!$C$21*1000000</x:f>
        <x:v>19.258242748549197</x:v>
      </x:c>
      <x:c r="H52" s="48" t="n">
        <x:f>SQRT(A52^2+Inputs!$C$6^2)</x:f>
        <x:v>43.01162633521314</x:v>
      </x:c>
      <x:c r="I52" s="48" t="n">
        <x:f>DEGREES(ATAN(H52/B52))</x:f>
        <x:v>6.116724388997361</x:v>
      </x:c>
      <x:c r="J52" s="48" t="n">
        <x:f>DEGREES((2*PI()/Inputs!$C$13)*Inputs!$C$15*SIN(RADIANS(I52)))</x:f>
        <x:v>38.35955150243656</x:v>
      </x:c>
      <x:c r="K52" s="48" t="n">
        <x:f>(C52/D52)^4</x:f>
        <x:v>0.971740469833793</x:v>
      </x:c>
      <x:c r="L52" s="48" t="n">
        <x:f>10*LOG10(K52)</x:f>
        <x:v>-0.124497099391873</x:v>
      </x:c>
      <x:c r="M52" s="48" t="n">
        <x:f>2*(Inputs!$C$9/(Inputs!$C$10^2))*A52</x:f>
        <x:v>-0.07777777777777778</x:v>
      </x:c>
      <x:c r="N52" s="48" t="n">
        <x:f>M52*Inputs!$C$11</x:f>
        <x:v>-0.3111111111111111</x:v>
      </x:c>
      <x:c r="O52" s="48" t="n">
        <x:f>1000*(D53-D51)/(A53-A51)*Inputs!$C$11</x:f>
        <x:v>-744.6688015527343</x:v>
      </x:c>
      <x:c r="P52" s="48" t="n">
        <x:f>-2*O52/Inputs!$C$13</x:f>
        <x:v>297.8675206210937</x:v>
      </x:c>
      <x:c r="Q52" s="48" t="n">
        <x:f>-2*O52/Inputs!$C$14</x:f>
        <x:v>44.72485294611017</x:v>
      </x:c>
      <x:c r="R52" s="48" t="n">
        <x:f>F52-Inputs!$C$16/2</x:f>
        <x:v>1606.7629017832137</x:v>
      </x:c>
      <x:c r="S52" s="48" t="n">
        <x:f>F52+Inputs!$C$16/2</x:f>
        <x:v>1636.7629017832137</x:v>
      </x:c>
      <x:c r="T52" s="48" t="n">
        <x:f>F52-Inputs!$C$17/2</x:f>
        <x:v>1471.7629017832137</x:v>
      </x:c>
      <x:c r="U52" s="48" t="n">
        <x:f>F52+Inputs!$C$17/2</x:f>
        <x:v>1771.7629017832137</x:v>
      </x:c>
      <x:c r="V52" s="48" t="n">
        <x:f>ABS(P52)</x:f>
        <x:v>297.8675206210937</x:v>
      </x:c>
      <x:c r="W52" s="48" t="n">
        <x:f>ABS(Q52)</x:f>
        <x:v>44.72485294611017</x:v>
      </x:c>
      <x:c r="X52" s="48" t="n">
        <x: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(0.45*SIN(2*PI()*(((A52)/Inputs!$C$49)+Inputs!$C$47*0.137))+0.35*COS(2*PI()*(((0)/Inputs!$C$50)+Inputs!$C$47*0.173))+0.20*SIN(2*PI()*(((A52)+(0))/(0.5*(Inputs!$C$49+Inputs!$C$50))+Inputs!$C$47*0.097)))+0.30*(2*((SIN(((A52)*12.9898+(0)*78.233+Inputs!$C$47*37.719))*43758.5453)-INT((SIN(((A52)*12.9898+(0)*78.233+Inputs!$C$47*37.719))*43758.5453)))-1)))</x:f>
        <x:v>-9.708529731781153</x:v>
      </x:c>
      <x:c r="Y52" s="48" t="n">
        <x: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(0.45*SIN(2*PI()*(((A52)/Inputs!$C$49)+Inputs!$C$47*0.137))+0.35*COS(2*PI()*(((Inputs!$C$6)/Inputs!$C$50)+Inputs!$C$47*0.173))+0.20*SIN(2*PI()*(((A52)+(Inputs!$C$6))/(0.5*(Inputs!$C$49+Inputs!$C$50))+Inputs!$C$47*0.097)))+0.30*(2*((SIN(((A52)*12.9898+(Inputs!$C$6)*78.233+Inputs!$C$47*37.719))*43758.5453)-INT((SIN(((A52)*12.9898+(Inputs!$C$6)*78.233+Inputs!$C$47*37.719))*43758.5453)))-1)))</x:f>
        <x:v>280.71344003946786</x:v>
      </x:c>
      <x:c r="Z52" s="48" t="n">
        <x:f>B52-X52/1000</x:f>
        <x:v>401.37081964084285</x:v>
      </x:c>
      <x:c r="AA52" s="48" t="n">
        <x:f>SQRT((Inputs!$C$52+B52)^2+(Inputs!$C$52+Y52/1000)^2-2*(Inputs!$C$52+B52)*(Inputs!$C$52+Y52/1000)*COS(SQRT(A52^2+Inputs!$C$6^2)/Inputs!$C$52))</x:f>
        <x:v>403.9696592909723</x:v>
      </x:c>
      <x:c r="AB52" s="48" t="n">
        <x:f>(AA52-Z52)*1000</x:f>
        <x:v>2598.8396501294346</x:v>
      </x:c>
      <x:c r="AC52" s="48" t="n">
        <x:f>AB52/Inputs!$C$12</x:f>
        <x:v>1460.022275353615</x:v>
      </x:c>
      <x:c r="AD52" s="48" t="n">
        <x:f>2*AB52/Inputs!$C$21*1000000</x:f>
        <x:v>17.337591929210138</x:v>
      </x:c>
      <x:c r="AE52" s="48" t="n">
        <x:f>DEGREES(ATAN(H52/(B52-Y52/1000)))</x:f>
        <x:v>6.120972955455935</x:v>
      </x:c>
      <x:c r="AF52" s="48" t="n">
        <x:f>DEGREES((2*PI()/Inputs!$C$13)*Inputs!$C$15*SIN(RADIANS(AE52)))</x:f>
        <x:v>38.38609395223803</x:v>
      </x:c>
      <x:c r="AG52" s="48" t="n">
        <x:f>(Z52/AA52)^4</x:f>
        <x:v>0.9745142390772156</x:v>
      </x:c>
      <x:c r="AH52" s="48" t="n">
        <x:f>10*LOG10(AG52)</x:f>
        <x:v>-0.112118108229287</x:v>
      </x:c>
      <x:c r="AI52" s="48" t="n">
        <x:f>AC52-F52</x:f>
        <x:v>-161.7406264295987</x:v>
      </x:c>
      <x:c r="AJ52" s="48" t="n">
        <x:f>AD52-G52</x:f>
        <x:v>-1.920650819339059</x:v>
      </x:c>
      <x:c r="AK52" s="48" t="n">
        <x:f>Y52-X52</x:f>
        <x:v>290.421969771249</x:v>
      </x:c>
      <x:c r="AL52" s="48" t="n">
        <x:f>1000*(AA53-AA51)/(A53-A51)*Inputs!$C$11</x:f>
        <x:v>-869.3911384636976</x:v>
      </x:c>
      <x:c r="AM52" s="48" t="n">
        <x:f>-2*AL52/Inputs!$C$13</x:f>
        <x:v>347.75645538547906</x:v>
      </x:c>
      <x:c r="AN52" s="48" t="n">
        <x:f>-2*AL52/Inputs!$C$14</x:f>
        <x:v>52.21568399181368</x:v>
      </x:c>
      <x:c r="AO52" s="48" t="n">
        <x:f>ABS(AM52)</x:f>
        <x:v>347.75645538547906</x:v>
      </x:c>
      <x:c r="AP52" s="48" t="n">
        <x:f>ABS(AN52)</x:f>
        <x:v>52.21568399181368</x:v>
      </x:c>
      <x:c r="AQ52" s="48" t="n">
        <x:f>IF(OR(Inputs!$C$27=TRUE,Inputs!$C$27="TRUE",Inputs!$C$27=1),Inputs!$C$46/Inputs!$C$12,0)</x:f>
        <x:v>42.13483146067416</x:v>
      </x:c>
      <x:c r="AR52" s="48" t="n">
        <x:f>AC52-AQ52</x:f>
        <x:v>1417.8874438929408</x:v>
      </x:c>
      <x:c r="AS52" s="48" t="n">
        <x:f>AC52+AQ52</x:f>
        <x:v>1502.1571068142891</x:v>
      </x:c>
    </x:row>
    <x:row r="53">
      <x:c r="A53" s="48" t="n">
        <x:f>Inputs!$C$7+51*(Inputs!$C$8-Inputs!$C$7)/240</x:f>
        <x:v>-34.5</x:v>
      </x:c>
      <x:c r="B53" s="48" t="n">
        <x:f>Inputs!$C$5+Inputs!$C$9*(A53/Inputs!$C$10)^2</x:f>
        <x:v>401.3225</x:v>
      </x:c>
      <x:c r="C53" s="48" t="n">
        <x:f>B53</x:f>
        <x:v>401.3225</x:v>
      </x:c>
      <x:c r="D53" s="48" t="n">
        <x:f>SQRT((Inputs!$C$52+B53)^2+Inputs!$C$52^2-2*(Inputs!$C$52+B53)*Inputs!$C$52*COS(SQRT(A53^2+Inputs!$C$6^2)/Inputs!$C$52))</x:f>
        <x:v>404.15542252636084</x:v>
      </x:c>
      <x:c r="E53" s="48" t="n">
        <x:f>(D53-C53)*1000</x:f>
        <x:v>2832.9225263608464</x:v>
      </x:c>
      <x:c r="F53" s="48" t="n">
        <x:f>E53/Inputs!$C$12</x:f>
        <x:v>1591.5295091914868</x:v>
      </x:c>
      <x:c r="G53" s="48" t="n">
        <x:f>2*E53/Inputs!$C$21*1000000</x:f>
        <x:v>18.899224785440378</x:v>
      </x:c>
      <x:c r="H53" s="48" t="n">
        <x:f>SQRT(A53^2+Inputs!$C$6^2)</x:f>
        <x:v>42.60575078554537</x:v>
      </x:c>
      <x:c r="I53" s="48" t="n">
        <x:f>DEGREES(ATAN(H53/B53))</x:f>
        <x:v>6.060014519595078</x:v>
      </x:c>
      <x:c r="J53" s="48" t="n">
        <x:f>DEGREES((2*PI()/Inputs!$C$13)*Inputs!$C$15*SIN(RADIANS(I53)))</x:f>
        <x:v>38.005242715884584</x:v>
      </x:c>
      <x:c r="K53" s="48" t="n">
        <x:f>(C53/D53)^4</x:f>
        <x:v>0.972255470921452</x:v>
      </x:c>
      <x:c r="L53" s="48" t="n">
        <x:f>10*LOG10(K53)</x:f>
        <x:v>-0.12219604380746801</x:v>
      </x:c>
      <x:c r="M53" s="48" t="n">
        <x:f>2*(Inputs!$C$9/(Inputs!$C$10^2))*A53</x:f>
        <x:v>-0.07666666666666666</x:v>
      </x:c>
      <x:c r="N53" s="48" t="n">
        <x:f>M53*Inputs!$C$11</x:f>
        <x:v>-0.30666666666666664</x:v>
      </x:c>
      <x:c r="O53" s="48" t="n">
        <x:f>1000*(D54-D52)/(A54-A52)*Inputs!$C$11</x:f>
        <x:v>-734.1533722806162</x:v>
      </x:c>
      <x:c r="P53" s="48" t="n">
        <x:f>-2*O53/Inputs!$C$13</x:f>
        <x:v>293.66134891224647</x:v>
      </x:c>
      <x:c r="Q53" s="48" t="n">
        <x:f>-2*O53/Inputs!$C$14</x:f>
        <x:v>44.09329563246944</x:v>
      </x:c>
      <x:c r="R53" s="48" t="n">
        <x:f>F53-Inputs!$C$16/2</x:f>
        <x:v>1576.5295091914868</x:v>
      </x:c>
      <x:c r="S53" s="48" t="n">
        <x:f>F53+Inputs!$C$16/2</x:f>
        <x:v>1606.5295091914868</x:v>
      </x:c>
      <x:c r="T53" s="48" t="n">
        <x:f>F53-Inputs!$C$17/2</x:f>
        <x:v>1441.5295091914868</x:v>
      </x:c>
      <x:c r="U53" s="48" t="n">
        <x:f>F53+Inputs!$C$17/2</x:f>
        <x:v>1741.5295091914868</x:v>
      </x:c>
      <x:c r="V53" s="48" t="n">
        <x:f>ABS(P53)</x:f>
        <x:v>293.66134891224647</x:v>
      </x:c>
      <x:c r="W53" s="48" t="n">
        <x:f>ABS(Q53)</x:f>
        <x:v>44.09329563246944</x:v>
      </x:c>
      <x:c r="X53" s="48" t="n">
        <x: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(0.45*SIN(2*PI()*(((A53)/Inputs!$C$49)+Inputs!$C$47*0.137))+0.35*COS(2*PI()*(((0)/Inputs!$C$50)+Inputs!$C$47*0.173))+0.20*SIN(2*PI()*(((A53)+(0))/(0.5*(Inputs!$C$49+Inputs!$C$50))+Inputs!$C$47*0.097)))+0.30*(2*((SIN(((A53)*12.9898+(0)*78.233+Inputs!$C$47*37.719))*43758.5453)-INT((SIN(((A53)*12.9898+(0)*78.233+Inputs!$C$47*37.719))*43758.5453)))-1)))</x:f>
        <x:v>-9.85965082687293</x:v>
      </x:c>
      <x:c r="Y53" s="48" t="n">
        <x: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(0.45*SIN(2*PI()*(((A53)/Inputs!$C$49)+Inputs!$C$47*0.137))+0.35*COS(2*PI()*(((Inputs!$C$6)/Inputs!$C$50)+Inputs!$C$47*0.173))+0.20*SIN(2*PI()*(((A53)+(Inputs!$C$6))/(0.5*(Inputs!$C$49+Inputs!$C$50))+Inputs!$C$47*0.097)))+0.30*(2*((SIN(((A53)*12.9898+(Inputs!$C$6)*78.233+Inputs!$C$47*37.719))*43758.5453)-INT((SIN(((A53)*12.9898+(Inputs!$C$6)*78.233+Inputs!$C$47*37.719))*43758.5453)))-1)))</x:f>
        <x:v>316.314878049505</x:v>
      </x:c>
      <x:c r="Z53" s="48" t="n">
        <x:f>B53-X53/1000</x:f>
        <x:v>401.33235965082685</x:v>
      </x:c>
      <x:c r="AA53" s="48" t="n">
        <x:f>SQRT((Inputs!$C$52+B53)^2+(Inputs!$C$52+Y53/1000)^2-2*(Inputs!$C$52+B53)*(Inputs!$C$52+Y53/1000)*COS(SQRT(A53^2+Inputs!$C$6^2)/Inputs!$C$52))</x:f>
        <x:v>403.8418991423815</x:v>
      </x:c>
      <x:c r="AB53" s="48" t="n">
        <x:f>(AA53-Z53)*1000</x:f>
        <x:v>2509.5394915546763</x:v>
      </x:c>
      <x:c r="AC53" s="48" t="n">
        <x:f>AB53/Inputs!$C$12</x:f>
        <x:v>1409.8536469408293</x:v>
      </x:c>
      <x:c r="AD53" s="48" t="n">
        <x:f>2*AB53/Inputs!$C$21*1000000</x:f>
        <x:v>16.74184539728932</x:v>
      </x:c>
      <x:c r="AE53" s="48" t="n">
        <x:f>DEGREES(ATAN(H53/(B53-Y53/1000)))</x:f>
        <x:v>6.064759065659421</x:v>
      </x:c>
      <x:c r="AF53" s="48" t="n">
        <x:f>DEGREES((2*PI()/Inputs!$C$13)*Inputs!$C$15*SIN(RADIANS(AE53)))</x:f>
        <x:v>38.03488686043747</x:v>
      </x:c>
      <x:c r="AG53" s="48" t="n">
        <x:f>(Z53/AA53)^4</x:f>
        <x:v>0.9753740835503314</x:v>
      </x:c>
      <x:c r="AH53" s="48" t="n">
        <x:f>10*LOG10(AG53)</x:f>
        <x:v>-0.108287881340488</x:v>
      </x:c>
      <x:c r="AI53" s="48" t="n">
        <x:f>AC53-F53</x:f>
        <x:v>-181.67586225065747</x:v>
      </x:c>
      <x:c r="AJ53" s="48" t="n">
        <x:f>AD53-G53</x:f>
        <x:v>-2.157379388151057</x:v>
      </x:c>
      <x:c r="AK53" s="48" t="n">
        <x:f>Y53-X53</x:f>
        <x:v>326.17452887637796</x:v>
      </x:c>
      <x:c r="AL53" s="48" t="n">
        <x:f>1000*(AA54-AA52)/(A54-A52)*Inputs!$C$11</x:f>
        <x:v>-887.9887835328191</x:v>
      </x:c>
      <x:c r="AM53" s="48" t="n">
        <x:f>-2*AL53/Inputs!$C$13</x:f>
        <x:v>355.1955134131276</x:v>
      </x:c>
      <x:c r="AN53" s="48" t="n">
        <x:f>-2*AL53/Inputs!$C$14</x:f>
        <x:v>53.33265967164079</x:v>
      </x:c>
      <x:c r="AO53" s="48" t="n">
        <x:f>ABS(AM53)</x:f>
        <x:v>355.1955134131276</x:v>
      </x:c>
      <x:c r="AP53" s="48" t="n">
        <x:f>ABS(AN53)</x:f>
        <x:v>53.33265967164079</x:v>
      </x:c>
      <x:c r="AQ53" s="48" t="n">
        <x:f>IF(OR(Inputs!$C$27=TRUE,Inputs!$C$27="TRUE",Inputs!$C$27=1),Inputs!$C$46/Inputs!$C$12,0)</x:f>
        <x:v>42.13483146067416</x:v>
      </x:c>
      <x:c r="AR53" s="48" t="n">
        <x:f>AC53-AQ53</x:f>
        <x:v>1367.7188154801552</x:v>
      </x:c>
      <x:c r="AS53" s="48" t="n">
        <x:f>AC53+AQ53</x:f>
        <x:v>1451.9884784015035</x:v>
      </x:c>
    </x:row>
    <x:row r="54">
      <x:c r="A54" s="48" t="n">
        <x:f>Inputs!$C$7+52*(Inputs!$C$8-Inputs!$C$7)/240</x:f>
        <x:v>-34</x:v>
      </x:c>
      <x:c r="B54" s="48" t="n">
        <x:f>Inputs!$C$5+Inputs!$C$9*(A54/Inputs!$C$10)^2</x:f>
        <x:v>401.28444444444443</x:v>
      </x:c>
      <x:c r="C54" s="48" t="n">
        <x:f>B54</x:f>
        <x:v>401.28444444444443</x:v>
      </x:c>
      <x:c r="D54" s="48" t="n">
        <x:f>SQRT((Inputs!$C$52+B54)^2+Inputs!$C$52^2-2*(Inputs!$C$52+B54)*Inputs!$C$52*COS(SQRT(A54^2+Inputs!$C$6^2)/Inputs!$C$52))</x:f>
        <x:v>404.06431073321505</x:v>
      </x:c>
      <x:c r="E54" s="48" t="n">
        <x:f>(D54-C54)*1000</x:f>
        <x:v>2779.86628877062</x:v>
      </x:c>
      <x:c r="F54" s="48" t="n">
        <x:f>E54/Inputs!$C$12</x:f>
        <x:v>1561.7226341407977</x:v>
      </x:c>
      <x:c r="G54" s="48" t="n">
        <x:f>2*E54/Inputs!$C$21*1000000</x:f>
        <x:v>18.545271667712335</x:v>
      </x:c>
      <x:c r="H54" s="48" t="n">
        <x:f>SQRT(A54^2+Inputs!$C$6^2)</x:f>
        <x:v>42.20189569201838</x:v>
      </x:c>
      <x:c r="I54" s="48" t="n">
        <x:f>DEGREES(ATAN(H54/B54))</x:f>
        <x:v>6.003558889809033</x:v>
      </x:c>
      <x:c r="J54" s="48" t="n">
        <x:f>DEGREES((2*PI()/Inputs!$C$13)*Inputs!$C$15*SIN(RADIANS(I54)))</x:f>
        <x:v>37.65248537110963</x:v>
      </x:c>
      <x:c r="K54" s="48" t="n">
        <x:f>(C54/D54)^4</x:f>
        <x:v>0.9727636385009326</x:v>
      </x:c>
      <x:c r="L54" s="48" t="n">
        <x:f>10*LOG10(K54)</x:f>
        <x:v>-0.11992671514531801</x:v>
      </x:c>
      <x:c r="M54" s="48" t="n">
        <x:f>2*(Inputs!$C$9/(Inputs!$C$10^2))*A54</x:f>
        <x:v>-0.07555555555555556</x:v>
      </x:c>
      <x:c r="N54" s="48" t="n">
        <x:f>M54*Inputs!$C$11</x:f>
        <x:v>-0.3022222222222222</x:v>
      </x:c>
      <x:c r="O54" s="48" t="n">
        <x:f>1000*(D55-D53)/(A55-A53)*Inputs!$C$11</x:f>
        <x:v>-723.632727916538</x:v>
      </x:c>
      <x:c r="P54" s="48" t="n">
        <x:f>-2*O54/Inputs!$C$13</x:f>
        <x:v>289.4530911666152</x:v>
      </x:c>
      <x:c r="Q54" s="48" t="n">
        <x:f>-2*O54/Inputs!$C$14</x:f>
        <x:v>43.46142510009238</x:v>
      </x:c>
      <x:c r="R54" s="48" t="n">
        <x:f>F54-Inputs!$C$16/2</x:f>
        <x:v>1546.7226341407977</x:v>
      </x:c>
      <x:c r="S54" s="48" t="n">
        <x:f>F54+Inputs!$C$16/2</x:f>
        <x:v>1576.7226341407977</x:v>
      </x:c>
      <x:c r="T54" s="48" t="n">
        <x:f>F54-Inputs!$C$17/2</x:f>
        <x:v>1411.7226341407977</x:v>
      </x:c>
      <x:c r="U54" s="48" t="n">
        <x:f>F54+Inputs!$C$17/2</x:f>
        <x:v>1711.7226341407977</x:v>
      </x:c>
      <x:c r="V54" s="48" t="n">
        <x:f>ABS(P54)</x:f>
        <x:v>289.4530911666152</x:v>
      </x:c>
      <x:c r="W54" s="48" t="n">
        <x:f>ABS(Q54)</x:f>
        <x:v>43.46142510009238</x:v>
      </x:c>
      <x:c r="X54" s="48" t="n">
        <x: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(0.45*SIN(2*PI()*(((A54)/Inputs!$C$49)+Inputs!$C$47*0.137))+0.35*COS(2*PI()*(((0)/Inputs!$C$50)+Inputs!$C$47*0.173))+0.20*SIN(2*PI()*(((A54)+(0))/(0.5*(Inputs!$C$49+Inputs!$C$50))+Inputs!$C$47*0.097)))+0.30*(2*((SIN(((A54)*12.9898+(0)*78.233+Inputs!$C$47*37.719))*43758.5453)-INT((SIN(((A54)*12.9898+(0)*78.233+Inputs!$C$47*37.719))*43758.5453)))-1)))</x:f>
        <x:v>0.233219012771956</x:v>
      </x:c>
      <x:c r="Y54" s="48" t="n">
        <x: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(0.45*SIN(2*PI()*(((A54)/Inputs!$C$49)+Inputs!$C$47*0.137))+0.35*COS(2*PI()*(((Inputs!$C$6)/Inputs!$C$50)+Inputs!$C$47*0.173))+0.20*SIN(2*PI()*(((A54)+(Inputs!$C$6))/(0.5*(Inputs!$C$49+Inputs!$C$50))+Inputs!$C$47*0.097)))+0.30*(2*((SIN(((A54)*12.9898+(Inputs!$C$6)*78.233+Inputs!$C$47*37.719))*43758.5453)-INT((SIN(((A54)*12.9898+(Inputs!$C$6)*78.233+Inputs!$C$47*37.719))*43758.5453)))-1)))</x:f>
        <x:v>319.4152549266823</x:v>
      </x:c>
      <x:c r="Z54" s="48" t="n">
        <x:f>B54-X54/1000</x:f>
        <x:v>401.28421122543165</x:v>
      </x:c>
      <x:c r="AA54" s="48" t="n">
        <x:f>SQRT((Inputs!$C$52+B54)^2+(Inputs!$C$52+Y54/1000)^2-2*(Inputs!$C$52+B54)*(Inputs!$C$52+Y54/1000)*COS(SQRT(A54^2+Inputs!$C$6^2)/Inputs!$C$52))</x:f>
        <x:v>403.7476620950891</x:v>
      </x:c>
      <x:c r="AB54" s="48" t="n">
        <x:f>(AA54-Z54)*1000</x:f>
        <x:v>2463.4508696574358</x:v>
      </x:c>
      <x:c r="AC54" s="48" t="n">
        <x:f>AB54/Inputs!$C$12</x:f>
        <x:v>1383.9611627288964</x:v>
      </x:c>
      <x:c r="AD54" s="48" t="n">
        <x:f>2*AB54/Inputs!$C$21*1000000</x:f>
        <x:v>16.43437520804767</x:v>
      </x:c>
      <x:c r="AE54" s="48" t="n">
        <x:f>DEGREES(ATAN(H54/(B54-Y54/1000)))</x:f>
        <x:v>6.008306452022451</x:v>
      </x:c>
      <x:c r="AF54" s="48" t="n">
        <x:f>DEGREES((2*PI()/Inputs!$C$13)*Inputs!$C$15*SIN(RADIANS(AE54)))</x:f>
        <x:v>37.682151450389966</x:v>
      </x:c>
      <x:c r="AG54" s="48" t="n">
        <x:f>(Z54/AA54)^4</x:f>
        <x:v>0.9758166132817447</x:v>
      </x:c>
      <x:c r="AH54" s="48" t="n">
        <x:f>10*LOG10(AG54)</x:f>
        <x:v>-0.10631792295519801</x:v>
      </x:c>
      <x:c r="AI54" s="48" t="n">
        <x:f>AC54-F54</x:f>
        <x:v>-177.7614714119013</x:v>
      </x:c>
      <x:c r="AJ54" s="48" t="n">
        <x:f>AD54-G54</x:f>
        <x:v>-2.1108964596646658</x:v>
      </x:c>
      <x:c r="AK54" s="48" t="n">
        <x:f>Y54-X54</x:f>
        <x:v>319.18203591391034</x:v>
      </x:c>
      <x:c r="AL54" s="48" t="n">
        <x:f>1000*(AA55-AA53)/(A55-A53)*Inputs!$C$11</x:f>
        <x:v>-772.1508123777312</x:v>
      </x:c>
      <x:c r="AM54" s="48" t="n">
        <x:f>-2*AL54/Inputs!$C$13</x:f>
        <x:v>308.8603249510925</x:v>
      </x:c>
      <x:c r="AN54" s="48" t="n">
        <x:f>-2*AL54/Inputs!$C$14</x:f>
        <x:v>46.375424166830705</x:v>
      </x:c>
      <x:c r="AO54" s="48" t="n">
        <x:f>ABS(AM54)</x:f>
        <x:v>308.8603249510925</x:v>
      </x:c>
      <x:c r="AP54" s="48" t="n">
        <x:f>ABS(AN54)</x:f>
        <x:v>46.375424166830705</x:v>
      </x:c>
      <x:c r="AQ54" s="48" t="n">
        <x:f>IF(OR(Inputs!$C$27=TRUE,Inputs!$C$27="TRUE",Inputs!$C$27=1),Inputs!$C$46/Inputs!$C$12,0)</x:f>
        <x:v>42.13483146067416</x:v>
      </x:c>
      <x:c r="AR54" s="48" t="n">
        <x:f>AC54-AQ54</x:f>
        <x:v>1341.8263312682222</x:v>
      </x:c>
      <x:c r="AS54" s="48" t="n">
        <x:f>AC54+AQ54</x:f>
        <x:v>1426.0959941895705</x:v>
      </x:c>
    </x:row>
    <x:row r="55">
      <x:c r="A55" s="48" t="n">
        <x:f>Inputs!$C$7+53*(Inputs!$C$8-Inputs!$C$7)/240</x:f>
        <x:v>-33.5</x:v>
      </x:c>
      <x:c r="B55" s="48" t="n">
        <x:f>Inputs!$C$5+Inputs!$C$9*(A55/Inputs!$C$10)^2</x:f>
        <x:v>401.24694444444447</x:v>
      </x:c>
      <x:c r="C55" s="48" t="n">
        <x:f>B55</x:f>
        <x:v>401.24694444444447</x:v>
      </x:c>
      <x:c r="D55" s="48" t="n">
        <x:f>SQRT((Inputs!$C$52+B55)^2+Inputs!$C$52^2-2*(Inputs!$C$52+B55)*Inputs!$C$52*COS(SQRT(A55^2+Inputs!$C$6^2)/Inputs!$C$52))</x:f>
        <x:v>403.9745143443817</x:v>
      </x:c>
      <x:c r="E55" s="48" t="n">
        <x:f>(D55-C55)*1000</x:f>
        <x:v>2727.5698999372366</x:v>
      </x:c>
      <x:c r="F55" s="48" t="n">
        <x:f>E55/Inputs!$C$12</x:f>
        <x:v>1532.3426404141778</x:v>
      </x:c>
      <x:c r="G55" s="48" t="n">
        <x:f>2*E55/Inputs!$C$21*1000000</x:f>
        <x:v>18.19638771524557</x:v>
      </x:c>
      <x:c r="H55" s="48" t="n">
        <x:f>SQRT(A55^2+Inputs!$C$6^2)</x:f>
        <x:v>41.80011961705373</x:v>
      </x:c>
      <x:c r="I55" s="48" t="n">
        <x:f>DEGREES(ATAN(H55/B55))</x:f>
        <x:v>5.947366354766674</x:v>
      </x:c>
      <x:c r="J55" s="48" t="n">
        <x:f>DEGREES((2*PI()/Inputs!$C$13)*Inputs!$C$15*SIN(RADIANS(I55)))</x:f>
        <x:v>37.30133564573529</x:v>
      </x:c>
      <x:c r="K55" s="48" t="n">
        <x:f>(C55/D55)^4</x:f>
        <x:v>0.9732649483824933</x:v>
      </x:c>
      <x:c r="L55" s="48" t="n">
        <x:f>10*LOG10(K55)</x:f>
        <x:v>-0.117689172268828</x:v>
      </x:c>
      <x:c r="M55" s="48" t="n">
        <x:f>2*(Inputs!$C$9/(Inputs!$C$10^2))*A55</x:f>
        <x:v>-0.07444444444444444</x:v>
      </x:c>
      <x:c r="N55" s="48" t="n">
        <x:f>M55*Inputs!$C$11</x:f>
        <x:v>-0.29777777777777775</x:v>
      </x:c>
      <x:c r="O55" s="48" t="n">
        <x:f>1000*(D56-D54)/(A56-A54)*Inputs!$C$11</x:f>
        <x:v>-713.1069382348869</x:v>
      </x:c>
      <x:c r="P55" s="48" t="n">
        <x:f>-2*O55/Inputs!$C$13</x:f>
        <x:v>285.24277529395476</x:v>
      </x:c>
      <x:c r="Q55" s="48" t="n">
        <x:f>-2*O55/Inputs!$C$14</x:f>
        <x:v>42.82924553963285</x:v>
      </x:c>
      <x:c r="R55" s="48" t="n">
        <x:f>F55-Inputs!$C$16/2</x:f>
        <x:v>1517.3426404141778</x:v>
      </x:c>
      <x:c r="S55" s="48" t="n">
        <x:f>F55+Inputs!$C$16/2</x:f>
        <x:v>1547.3426404141778</x:v>
      </x:c>
      <x:c r="T55" s="48" t="n">
        <x:f>F55-Inputs!$C$17/2</x:f>
        <x:v>1382.3426404141778</x:v>
      </x:c>
      <x:c r="U55" s="48" t="n">
        <x:f>F55+Inputs!$C$17/2</x:f>
        <x:v>1682.3426404141778</x:v>
      </x:c>
      <x:c r="V55" s="48" t="n">
        <x:f>ABS(P55)</x:f>
        <x:v>285.24277529395476</x:v>
      </x:c>
      <x:c r="W55" s="48" t="n">
        <x:f>ABS(Q55)</x:f>
        <x:v>42.82924553963285</x:v>
      </x:c>
      <x:c r="X55" s="48" t="n">
        <x: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(0.45*SIN(2*PI()*(((A55)/Inputs!$C$49)+Inputs!$C$47*0.137))+0.35*COS(2*PI()*(((0)/Inputs!$C$50)+Inputs!$C$47*0.173))+0.20*SIN(2*PI()*(((A55)+(0))/(0.5*(Inputs!$C$49+Inputs!$C$50))+Inputs!$C$47*0.097)))+0.30*(2*((SIN(((A55)*12.9898+(0)*78.233+Inputs!$C$47*37.719))*43758.5453)-INT((SIN(((A55)*12.9898+(0)*78.233+Inputs!$C$47*37.719))*43758.5453)))-1)))</x:f>
        <x:v>8.500195567439437</x:v>
      </x:c>
      <x:c r="Y55" s="48" t="n">
        <x: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(0.45*SIN(2*PI()*(((A55)/Inputs!$C$49)+Inputs!$C$47*0.137))+0.35*COS(2*PI()*(((Inputs!$C$6)/Inputs!$C$50)+Inputs!$C$47*0.173))+0.20*SIN(2*PI()*(((A55)+(Inputs!$C$6))/(0.5*(Inputs!$C$49+Inputs!$C$50))+Inputs!$C$47*0.097)))+0.30*(2*((SIN(((A55)*12.9898+(Inputs!$C$6)*78.233+Inputs!$C$47*37.719))*43758.5453)-INT((SIN(((A55)*12.9898+(Inputs!$C$6)*78.233+Inputs!$C$47*37.719))*43758.5453)))-1)))</x:f>
        <x:v>328.4448057508986</x:v>
      </x:c>
      <x:c r="Z55" s="48" t="n">
        <x:f>B55-X55/1000</x:f>
        <x:v>401.23844424887704</x:v>
      </x:c>
      <x:c r="AA55" s="48" t="n">
        <x:f>SQRT((Inputs!$C$52+B55)^2+(Inputs!$C$52+Y55/1000)^2-2*(Inputs!$C$52+B55)*(Inputs!$C$52+Y55/1000)*COS(SQRT(A55^2+Inputs!$C$6^2)/Inputs!$C$52))</x:f>
        <x:v>403.6488614392871</x:v>
      </x:c>
      <x:c r="AB55" s="48" t="n">
        <x:f>(AA55-Z55)*1000</x:f>
        <x:v>2410.417190410044</x:v>
      </x:c>
      <x:c r="AC55" s="48" t="n">
        <x:f>AB55/Inputs!$C$12</x:f>
        <x:v>1354.166960904519</x:v>
      </x:c>
      <x:c r="AD55" s="48" t="n">
        <x:f>2*AB55/Inputs!$C$21*1000000</x:f>
        <x:v>16.08057258338396</x:v>
      </x:c>
      <x:c r="AE55" s="48" t="n">
        <x:f>DEGREES(ATAN(H55/(B55-Y55/1000)))</x:f>
        <x:v>5.952203655531789</x:v>
      </x:c>
      <x:c r="AF55" s="48" t="n">
        <x:f>DEGREES((2*PI()/Inputs!$C$13)*Inputs!$C$15*SIN(RADIANS(AE55)))</x:f>
        <x:v>37.33156557595596</x:v>
      </x:c>
      <x:c r="AG55" s="48" t="n">
        <x:f>(Z55/AA55)^4</x:f>
        <x:v>0.9763268297314662</x:v>
      </x:c>
      <x:c r="AH55" s="48" t="n">
        <x:f>10*LOG10(AG55)</x:f>
        <x:v>-0.10404775992461901</x:v>
      </x:c>
      <x:c r="AI55" s="48" t="n">
        <x:f>AC55-F55</x:f>
        <x:v>-178.17567950965872</x:v>
      </x:c>
      <x:c r="AJ55" s="48" t="n">
        <x:f>AD55-G55</x:f>
        <x:v>-2.115815131861609</x:v>
      </x:c>
      <x:c r="AK55" s="48" t="n">
        <x:f>Y55-X55</x:f>
        <x:v>319.94461018345913</x:v>
      </x:c>
      <x:c r="AL55" s="48" t="n">
        <x:f>1000*(AA56-AA54)/(A56-A54)*Inputs!$C$11</x:f>
        <x:v>-803.3276557075624</x:v>
      </x:c>
      <x:c r="AM55" s="48" t="n">
        <x:f>-2*AL55/Inputs!$C$13</x:f>
        <x:v>321.33106228302495</x:v>
      </x:c>
      <x:c r="AN55" s="48" t="n">
        <x:f>-2*AL55/Inputs!$C$14</x:f>
        <x:v>48.24790724970345</x:v>
      </x:c>
      <x:c r="AO55" s="48" t="n">
        <x:f>ABS(AM55)</x:f>
        <x:v>321.33106228302495</x:v>
      </x:c>
      <x:c r="AP55" s="48" t="n">
        <x:f>ABS(AN55)</x:f>
        <x:v>48.24790724970345</x:v>
      </x:c>
      <x:c r="AQ55" s="48" t="n">
        <x:f>IF(OR(Inputs!$C$27=TRUE,Inputs!$C$27="TRUE",Inputs!$C$27=1),Inputs!$C$46/Inputs!$C$12,0)</x:f>
        <x:v>42.13483146067416</x:v>
      </x:c>
      <x:c r="AR55" s="48" t="n">
        <x:f>AC55-AQ55</x:f>
        <x:v>1312.032129443845</x:v>
      </x:c>
      <x:c r="AS55" s="48" t="n">
        <x:f>AC55+AQ55</x:f>
        <x:v>1396.3017923651933</x:v>
      </x:c>
    </x:row>
    <x:row r="56">
      <x:c r="A56" s="48" t="n">
        <x:f>Inputs!$C$7+54*(Inputs!$C$8-Inputs!$C$7)/240</x:f>
        <x:v>-33</x:v>
      </x:c>
      <x:c r="B56" s="48" t="n">
        <x:f>Inputs!$C$5+Inputs!$C$9*(A56/Inputs!$C$10)^2</x:f>
        <x:v>401.21</x:v>
      </x:c>
      <x:c r="C56" s="48" t="n">
        <x:f>B56</x:f>
        <x:v>401.21</x:v>
      </x:c>
      <x:c r="D56" s="48" t="n">
        <x:f>SQRT((Inputs!$C$52+B56)^2+Inputs!$C$52^2-2*(Inputs!$C$52+B56)*Inputs!$C$52*COS(SQRT(A56^2+Inputs!$C$6^2)/Inputs!$C$52))</x:f>
        <x:v>403.88603399865633</x:v>
      </x:c>
      <x:c r="E56" s="48" t="n">
        <x:f>(D56-C56)*1000</x:f>
        <x:v>2676.033998656351</x:v>
      </x:c>
      <x:c r="F56" s="48" t="n">
        <x:f>E56/Inputs!$C$12</x:f>
        <x:v>1503.3898868855904</x:v>
      </x:c>
      <x:c r="G56" s="48" t="n">
        <x:f>2*E56/Inputs!$C$21*1000000</x:f>
        <x:v>17.852577189625972</x:v>
      </x:c>
      <x:c r="H56" s="48" t="n">
        <x:f>SQRT(A56^2+Inputs!$C$6^2)</x:f>
        <x:v>41.400483088968905</x:v>
      </x:c>
      <x:c r="I56" s="48" t="n">
        <x:f>DEGREES(ATAN(H56/B56))</x:f>
        <x:v>5.891446051651431</x:v>
      </x:c>
      <x:c r="J56" s="48" t="n">
        <x:f>DEGREES((2*PI()/Inputs!$C$13)*Inputs!$C$15*SIN(RADIANS(I56)))</x:f>
        <x:v>36.95185149123889</x:v>
      </x:c>
      <x:c r="K56" s="48" t="n">
        <x:f>(C56/D56)^4</x:f>
        <x:v>0.9737593766670476</x:v>
      </x:c>
      <x:c r="L56" s="48" t="n">
        <x:f>10*LOG10(K56)</x:f>
        <x:v>-0.115483473269264</x:v>
      </x:c>
      <x:c r="M56" s="48" t="n">
        <x:f>2*(Inputs!$C$9/(Inputs!$C$10^2))*A56</x:f>
        <x:v>-0.07333333333333333</x:v>
      </x:c>
      <x:c r="N56" s="48" t="n">
        <x:f>M56*Inputs!$C$11</x:f>
        <x:v>-0.29333333333333333</x:v>
      </x:c>
      <x:c r="O56" s="48" t="n">
        <x:f>1000*(D57-D55)/(A57-A55)*Inputs!$C$11</x:f>
        <x:v>-702.5760732608433</x:v>
      </x:c>
      <x:c r="P56" s="48" t="n">
        <x:f>-2*O56/Inputs!$C$13</x:f>
        <x:v>281.0304293043373</x:v>
      </x:c>
      <x:c r="Q56" s="48" t="n">
        <x:f>-2*O56/Inputs!$C$14</x:f>
        <x:v>42.196761156807405</x:v>
      </x:c>
      <x:c r="R56" s="48" t="n">
        <x:f>F56-Inputs!$C$16/2</x:f>
        <x:v>1488.3898868855904</x:v>
      </x:c>
      <x:c r="S56" s="48" t="n">
        <x:f>F56+Inputs!$C$16/2</x:f>
        <x:v>1518.3898868855904</x:v>
      </x:c>
      <x:c r="T56" s="48" t="n">
        <x:f>F56-Inputs!$C$17/2</x:f>
        <x:v>1353.3898868855904</x:v>
      </x:c>
      <x:c r="U56" s="48" t="n">
        <x:f>F56+Inputs!$C$17/2</x:f>
        <x:v>1653.3898868855904</x:v>
      </x:c>
      <x:c r="V56" s="48" t="n">
        <x:f>ABS(P56)</x:f>
        <x:v>281.0304293043373</x:v>
      </x:c>
      <x:c r="W56" s="48" t="n">
        <x:f>ABS(Q56)</x:f>
        <x:v>42.196761156807405</x:v>
      </x:c>
      <x:c r="X56" s="48" t="n">
        <x: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(0.45*SIN(2*PI()*(((A56)/Inputs!$C$49)+Inputs!$C$47*0.137))+0.35*COS(2*PI()*(((0)/Inputs!$C$50)+Inputs!$C$47*0.173))+0.20*SIN(2*PI()*(((A56)+(0))/(0.5*(Inputs!$C$49+Inputs!$C$50))+Inputs!$C$47*0.097)))+0.30*(2*((SIN(((A56)*12.9898+(0)*78.233+Inputs!$C$47*37.719))*43758.5453)-INT((SIN(((A56)*12.9898+(0)*78.233+Inputs!$C$47*37.719))*43758.5453)))-1)))</x:f>
        <x:v>12.884972617306985</x:v>
      </x:c>
      <x:c r="Y56" s="48" t="n">
        <x: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(0.45*SIN(2*PI()*(((A56)/Inputs!$C$49)+Inputs!$C$47*0.137))+0.35*COS(2*PI()*(((Inputs!$C$6)/Inputs!$C$50)+Inputs!$C$47*0.173))+0.20*SIN(2*PI()*(((A56)+(Inputs!$C$6))/(0.5*(Inputs!$C$49+Inputs!$C$50))+Inputs!$C$47*0.097)))+0.30*(2*((SIN(((A56)*12.9898+(Inputs!$C$6)*78.233+Inputs!$C$47*37.719))*43758.5453)-INT((SIN(((A56)*12.9898+(Inputs!$C$6)*78.233+Inputs!$C$47*37.719))*43758.5453)))-1)))</x:f>
        <x:v>342.0571204684842</x:v>
      </x:c>
      <x:c r="Z56" s="48" t="n">
        <x:f>B56-X56/1000</x:f>
        <x:v>401.19711502738267</x:v>
      </x:c>
      <x:c r="AA56" s="48" t="n">
        <x:f>SQRT((Inputs!$C$52+B56)^2+(Inputs!$C$52+Y56/1000)^2-2*(Inputs!$C$52+B56)*(Inputs!$C$52+Y56/1000)*COS(SQRT(A56^2+Inputs!$C$6^2)/Inputs!$C$52))</x:f>
        <x:v>403.5468301811622</x:v>
      </x:c>
      <x:c r="AB56" s="48" t="n">
        <x:f>(AA56-Z56)*1000</x:f>
        <x:v>2349.7151537795276</x:v>
      </x:c>
      <x:c r="AC56" s="48" t="n">
        <x:f>AB56/Inputs!$C$12</x:f>
        <x:v>1320.064693134566</x:v>
      </x:c>
      <x:c r="AD56" s="48" t="n">
        <x:f>2*AB56/Inputs!$C$21*1000000</x:f>
        <x:v>15.675612184877096</x:v>
      </x:c>
      <x:c r="AE56" s="48" t="n">
        <x:f>DEGREES(ATAN(H56/(B56-Y56/1000)))</x:f>
        <x:v>5.896437766649704</x:v>
      </x:c>
      <x:c r="AF56" s="48" t="n">
        <x:f>DEGREES((2*PI()/Inputs!$C$13)*Inputs!$C$15*SIN(RADIANS(AE56)))</x:f>
        <x:v>36.983049562114594</x:v>
      </x:c>
      <x:c r="AG56" s="48" t="n">
        <x:f>(Z56/AA56)^4</x:f>
        <x:v>0.97691199984309</x:v>
      </x:c>
      <x:c r="AH56" s="48" t="n">
        <x:f>10*LOG10(AG56)</x:f>
        <x:v>-0.10144555732442301</x:v>
      </x:c>
      <x:c r="AI56" s="48" t="n">
        <x:f>AC56-F56</x:f>
        <x:v>-183.32519375102447</x:v>
      </x:c>
      <x:c r="AJ56" s="48" t="n">
        <x:f>AD56-G56</x:f>
        <x:v>-2.176965004748876</x:v>
      </x:c>
      <x:c r="AK56" s="48" t="n">
        <x:f>Y56-X56</x:f>
        <x:v>329.1721478511772</x:v>
      </x:c>
      <x:c r="AL56" s="48" t="n">
        <x:f>1000*(AA57-AA55)/(A57-A55)*Inputs!$C$11</x:f>
        <x:v>-792.148729776045</x:v>
      </x:c>
      <x:c r="AM56" s="48" t="n">
        <x:f>-2*AL56/Inputs!$C$13</x:f>
        <x:v>316.859491910418</x:v>
      </x:c>
      <x:c r="AN56" s="48" t="n">
        <x:f>-2*AL56/Inputs!$C$14</x:f>
        <x:v>47.57650028684955</x:v>
      </x:c>
      <x:c r="AO56" s="48" t="n">
        <x:f>ABS(AM56)</x:f>
        <x:v>316.859491910418</x:v>
      </x:c>
      <x:c r="AP56" s="48" t="n">
        <x:f>ABS(AN56)</x:f>
        <x:v>47.57650028684955</x:v>
      </x:c>
      <x:c r="AQ56" s="48" t="n">
        <x:f>IF(OR(Inputs!$C$27=TRUE,Inputs!$C$27="TRUE",Inputs!$C$27=1),Inputs!$C$46/Inputs!$C$12,0)</x:f>
        <x:v>42.13483146067416</x:v>
      </x:c>
      <x:c r="AR56" s="48" t="n">
        <x:f>AC56-AQ56</x:f>
        <x:v>1277.9298616738918</x:v>
      </x:c>
      <x:c r="AS56" s="48" t="n">
        <x:f>AC56+AQ56</x:f>
        <x:v>1362.19952459524</x:v>
      </x:c>
    </x:row>
    <x:row r="57">
      <x:c r="A57" s="48" t="n">
        <x:f>Inputs!$C$7+55*(Inputs!$C$8-Inputs!$C$7)/240</x:f>
        <x:v>-32.5</x:v>
      </x:c>
      <x:c r="B57" s="48" t="n">
        <x:f>Inputs!$C$5+Inputs!$C$9*(A57/Inputs!$C$10)^2</x:f>
        <x:v>401.1736111111111</x:v>
      </x:c>
      <x:c r="C57" s="48" t="n">
        <x:f>B57</x:f>
        <x:v>401.1736111111111</x:v>
      </x:c>
      <x:c r="D57" s="48" t="n">
        <x:f>SQRT((Inputs!$C$52+B57)^2+Inputs!$C$52^2-2*(Inputs!$C$52+B57)*Inputs!$C$52*COS(SQRT(A57^2+Inputs!$C$6^2)/Inputs!$C$52))</x:f>
        <x:v>403.7988703260665</x:v>
      </x:c>
      <x:c r="E57" s="48" t="n">
        <x:f>(D57-C57)*1000</x:f>
        <x:v>2625.259214955406</x:v>
      </x:c>
      <x:c r="F57" s="48" t="n">
        <x:f>E57/Inputs!$C$12</x:f>
        <x:v>1474.864727503037</x:v>
      </x:c>
      <x:c r="G57" s="48" t="n">
        <x:f>2*E57/Inputs!$C$21*1000000</x:f>
        <x:v>17.51384429394422</x:v>
      </x:c>
      <x:c r="H57" s="48" t="n">
        <x:f>SQRT(A57^2+Inputs!$C$6^2)</x:f>
        <x:v>41.00304866714181</x:v>
      </x:c>
      <x:c r="I57" s="48" t="n">
        <x:f>DEGREES(ATAN(H57/B57))</x:f>
        <x:v>5.835807408982732</x:v>
      </x:c>
      <x:c r="J57" s="48" t="n">
        <x:f>DEGREES((2*PI()/Inputs!$C$13)*Inputs!$C$15*SIN(RADIANS(I57)))</x:f>
        <x:v>36.60409269114675</x:v>
      </x:c>
      <x:c r="K57" s="48" t="n">
        <x:f>(C57/D57)^4</x:f>
        <x:v>0.9742468997487461</x:v>
      </x:c>
      <x:c r="L57" s="48" t="n">
        <x:f>10*LOG10(K57)</x:f>
        <x:v>-0.11330967546208</x:v>
      </x:c>
      <x:c r="M57" s="48" t="n">
        <x:f>2*(Inputs!$C$9/(Inputs!$C$10^2))*A57</x:f>
        <x:v>-0.07222222222222222</x:v>
      </x:c>
      <x:c r="N57" s="48" t="n">
        <x:f>M57*Inputs!$C$11</x:f>
        <x:v>-0.28888888888888886</x:v>
      </x:c>
      <x:c r="O57" s="48" t="n">
        <x:f>1000*(D58-D56)/(A58-A56)*Inputs!$C$11</x:f>
        <x:v>-692.0402032801576</x:v>
      </x:c>
      <x:c r="P57" s="48" t="n">
        <x:f>-2*O57/Inputs!$C$13</x:f>
        <x:v>276.81608131206303</x:v>
      </x:c>
      <x:c r="Q57" s="48" t="n">
        <x:f>-2*O57/Inputs!$C$14</x:f>
        <x:v>41.56397617298244</x:v>
      </x:c>
      <x:c r="R57" s="48" t="n">
        <x:f>F57-Inputs!$C$16/2</x:f>
        <x:v>1459.864727503037</x:v>
      </x:c>
      <x:c r="S57" s="48" t="n">
        <x:f>F57+Inputs!$C$16/2</x:f>
        <x:v>1489.864727503037</x:v>
      </x:c>
      <x:c r="T57" s="48" t="n">
        <x:f>F57-Inputs!$C$17/2</x:f>
        <x:v>1324.864727503037</x:v>
      </x:c>
      <x:c r="U57" s="48" t="n">
        <x:f>F57+Inputs!$C$17/2</x:f>
        <x:v>1624.864727503037</x:v>
      </x:c>
      <x:c r="V57" s="48" t="n">
        <x:f>ABS(P57)</x:f>
        <x:v>276.81608131206303</x:v>
      </x:c>
      <x:c r="W57" s="48" t="n">
        <x:f>ABS(Q57)</x:f>
        <x:v>41.56397617298244</x:v>
      </x:c>
      <x:c r="X57" s="48" t="n">
        <x: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(0.45*SIN(2*PI()*(((A57)/Inputs!$C$49)+Inputs!$C$47*0.137))+0.35*COS(2*PI()*(((0)/Inputs!$C$50)+Inputs!$C$47*0.173))+0.20*SIN(2*PI()*(((A57)+(0))/(0.5*(Inputs!$C$49+Inputs!$C$50))+Inputs!$C$47*0.097)))+0.30*(2*((SIN(((A57)*12.9898+(0)*78.233+Inputs!$C$47*37.719))*43758.5453)-INT((SIN(((A57)*12.9898+(0)*78.233+Inputs!$C$47*37.719))*43758.5453)))-1)))</x:f>
        <x:v>14.196906765365963</x:v>
      </x:c>
      <x:c r="Y57" s="48" t="n">
        <x: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(0.45*SIN(2*PI()*(((A57)/Inputs!$C$49)+Inputs!$C$47*0.137))+0.35*COS(2*PI()*(((Inputs!$C$6)/Inputs!$C$50)+Inputs!$C$47*0.173))+0.20*SIN(2*PI()*(((A57)+(Inputs!$C$6))/(0.5*(Inputs!$C$49+Inputs!$C$50))+Inputs!$C$47*0.097)))+0.30*(2*((SIN(((A57)*12.9898+(Inputs!$C$6)*78.233+Inputs!$C$47*37.719))*43758.5453)-INT((SIN(((A57)*12.9898+(Inputs!$C$6)*78.233+Inputs!$C$47*37.719))*43758.5453)))-1)))</x:f>
        <x:v>350.9183412247295</x:v>
      </x:c>
      <x:c r="Z57" s="48" t="n">
        <x:f>B57-X57/1000</x:f>
        <x:v>401.1594142043457</x:v>
      </x:c>
      <x:c r="AA57" s="48" t="n">
        <x:f>SQRT((Inputs!$C$52+B57)^2+(Inputs!$C$52+Y57/1000)^2-2*(Inputs!$C$52+B57)*(Inputs!$C$52+Y57/1000)*COS(SQRT(A57^2+Inputs!$C$6^2)/Inputs!$C$52))</x:f>
        <x:v>403.4508242568431</x:v>
      </x:c>
      <x:c r="AB57" s="48" t="n">
        <x:f>(AA57-Z57)*1000</x:f>
        <x:v>2291.4100524973833</x:v>
      </x:c>
      <x:c r="AC57" s="48" t="n">
        <x:f>AB57/Inputs!$C$12</x:f>
        <x:v>1287.309018256957</x:v>
      </x:c>
      <x:c r="AD57" s="48" t="n">
        <x:f>2*AB57/Inputs!$C$21*1000000</x:f>
        <x:v>15.286642417784794</x:v>
      </x:c>
      <x:c r="AE57" s="48" t="n">
        <x:f>DEGREES(ATAN(H57/(B57-Y57/1000)))</x:f>
        <x:v>5.8408813214092925</x:v>
      </x:c>
      <x:c r="AF57" s="48" t="n">
        <x:f>DEGREES((2*PI()/Inputs!$C$13)*Inputs!$C$15*SIN(RADIANS(AE57)))</x:f>
        <x:v>36.635807655258844</x:v>
      </x:c>
      <x:c r="AG57" s="48" t="n">
        <x:f>(Z57/AA57)^4</x:f>
        <x:v>0.977474700405423</x:v>
      </x:c>
      <x:c r="AH57" s="48" t="n">
        <x:f>10*LOG10(AG57)</x:f>
        <x:v>-0.0989447446049479</x:v>
      </x:c>
      <x:c r="AI57" s="48" t="n">
        <x:f>AC57-F57</x:f>
        <x:v>-187.55570924608014</x:v>
      </x:c>
      <x:c r="AJ57" s="48" t="n">
        <x:f>AD57-G57</x:f>
        <x:v>-2.2272018761594268</x:v>
      </x:c>
      <x:c r="AK57" s="48" t="n">
        <x:f>Y57-X57</x:f>
        <x:v>336.72143445936354</x:v>
      </x:c>
      <x:c r="AL57" s="48" t="n">
        <x:f>1000*(AA58-AA56)/(A58-A56)*Inputs!$C$11</x:f>
        <x:v>-687.9414680875016</x:v>
      </x:c>
      <x:c r="AM57" s="48" t="n">
        <x:f>-2*AL57/Inputs!$C$13</x:f>
        <x:v>275.1765872350006</x:v>
      </x:c>
      <x:c r="AN57" s="48" t="n">
        <x:f>-2*AL57/Inputs!$C$14</x:f>
        <x:v>41.31780589114124</x:v>
      </x:c>
      <x:c r="AO57" s="48" t="n">
        <x:f>ABS(AM57)</x:f>
        <x:v>275.1765872350006</x:v>
      </x:c>
      <x:c r="AP57" s="48" t="n">
        <x:f>ABS(AN57)</x:f>
        <x:v>41.31780589114124</x:v>
      </x:c>
      <x:c r="AQ57" s="48" t="n">
        <x:f>IF(OR(Inputs!$C$27=TRUE,Inputs!$C$27="TRUE",Inputs!$C$27=1),Inputs!$C$46/Inputs!$C$12,0)</x:f>
        <x:v>42.13483146067416</x:v>
      </x:c>
      <x:c r="AR57" s="48" t="n">
        <x:f>AC57-AQ57</x:f>
        <x:v>1245.1741867962828</x:v>
      </x:c>
      <x:c r="AS57" s="48" t="n">
        <x:f>AC57+AQ57</x:f>
        <x:v>1329.443849717631</x:v>
      </x:c>
    </x:row>
    <x:row r="58">
      <x:c r="A58" s="48" t="n">
        <x:f>Inputs!$C$7+56*(Inputs!$C$8-Inputs!$C$7)/240</x:f>
        <x:v>-32</x:v>
      </x:c>
      <x:c r="B58" s="48" t="n">
        <x:f>Inputs!$C$5+Inputs!$C$9*(A58/Inputs!$C$10)^2</x:f>
        <x:v>401.1377777777778</x:v>
      </x:c>
      <x:c r="C58" s="48" t="n">
        <x:f>B58</x:f>
        <x:v>401.1377777777778</x:v>
      </x:c>
      <x:c r="D58" s="48" t="n">
        <x:f>SQRT((Inputs!$C$52+B58)^2+Inputs!$C$52^2-2*(Inputs!$C$52+B58)*Inputs!$C$52*COS(SQRT(A58^2+Inputs!$C$6^2)/Inputs!$C$52))</x:f>
        <x:v>403.7130239478363</x:v>
      </x:c>
      <x:c r="E58" s="48" t="n">
        <x:f>(D58-C58)*1000</x:f>
        <x:v>2575.246170058506</x:v>
      </x:c>
      <x:c r="F58" s="48" t="n">
        <x:f>E58/Inputs!$C$12</x:f>
        <x:v>1446.7675112688235</x:v>
      </x:c>
      <x:c r="G58" s="48" t="n">
        <x:f>2*E58/Inputs!$C$21*1000000</x:f>
        <x:v>17.180193172561438</x:v>
      </x:c>
      <x:c r="H58" s="48" t="n">
        <x:f>SQRT(A58^2+Inputs!$C$6^2)</x:f>
        <x:v>40.607881008493905</x:v>
      </x:c>
      <x:c r="I58" s="48" t="n">
        <x:f>DEGREES(ATAN(H58/B58))</x:f>
        <x:v>5.780460156082169</x:v>
      </x:c>
      <x:c r="J58" s="48" t="n">
        <x:f>DEGREES((2*PI()/Inputs!$C$13)*Inputs!$C$15*SIN(RADIANS(I58)))</x:f>
        <x:v>36.25812092039455</x:v>
      </x:c>
      <x:c r="K58" s="48" t="n">
        <x:f>(C58/D58)^4</x:f>
        <x:v>0.974727494317586</x:v>
      </x:c>
      <x:c r="L58" s="48" t="n">
        <x:f>10*LOG10(K58)</x:f>
        <x:v>-0.11116783538305501</x:v>
      </x:c>
      <x:c r="M58" s="48" t="n">
        <x:f>2*(Inputs!$C$9/(Inputs!$C$10^2))*A58</x:f>
        <x:v>-0.07111111111111111</x:v>
      </x:c>
      <x:c r="N58" s="48" t="n">
        <x:f>M58*Inputs!$C$11</x:f>
        <x:v>-0.28444444444444444</x:v>
      </x:c>
      <x:c r="O58" s="48" t="n">
        <x:f>1000*(D59-D57)/(A59-A57)*Inputs!$C$11</x:f>
        <x:v>-681.499398799815</x:v>
      </x:c>
      <x:c r="P58" s="48" t="n">
        <x:f>-2*O58/Inputs!$C$13</x:f>
        <x:v>272.599759519926</x:v>
      </x:c>
      <x:c r="Q58" s="48" t="n">
        <x:f>-2*O58/Inputs!$C$14</x:f>
        <x:v>40.930894822811716</x:v>
      </x:c>
      <x:c r="R58" s="48" t="n">
        <x:f>F58-Inputs!$C$16/2</x:f>
        <x:v>1431.7675112688235</x:v>
      </x:c>
      <x:c r="S58" s="48" t="n">
        <x:f>F58+Inputs!$C$16/2</x:f>
        <x:v>1461.7675112688235</x:v>
      </x:c>
      <x:c r="T58" s="48" t="n">
        <x:f>F58-Inputs!$C$17/2</x:f>
        <x:v>1296.7675112688235</x:v>
      </x:c>
      <x:c r="U58" s="48" t="n">
        <x:f>F58+Inputs!$C$17/2</x:f>
        <x:v>1596.7675112688235</x:v>
      </x:c>
      <x:c r="V58" s="48" t="n">
        <x:f>ABS(P58)</x:f>
        <x:v>272.599759519926</x:v>
      </x:c>
      <x:c r="W58" s="48" t="n">
        <x:f>ABS(Q58)</x:f>
        <x:v>40.930894822811716</x:v>
      </x:c>
      <x:c r="X58" s="48" t="n">
        <x: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(0.45*SIN(2*PI()*(((A58)/Inputs!$C$49)+Inputs!$C$47*0.137))+0.35*COS(2*PI()*(((0)/Inputs!$C$50)+Inputs!$C$47*0.173))+0.20*SIN(2*PI()*(((A58)+(0))/(0.5*(Inputs!$C$49+Inputs!$C$50))+Inputs!$C$47*0.097)))+0.30*(2*((SIN(((A58)*12.9898+(0)*78.233+Inputs!$C$47*37.719))*43758.5453)-INT((SIN(((A58)*12.9898+(0)*78.233+Inputs!$C$47*37.719))*43758.5453)))-1)))</x:f>
        <x:v>5.730826646134426</x:v>
      </x:c>
      <x:c r="Y58" s="48" t="n">
        <x: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(0.45*SIN(2*PI()*(((A58)/Inputs!$C$49)+Inputs!$C$47*0.137))+0.35*COS(2*PI()*(((Inputs!$C$6)/Inputs!$C$50)+Inputs!$C$47*0.173))+0.20*SIN(2*PI()*(((A58)+(Inputs!$C$6))/(0.5*(Inputs!$C$49+Inputs!$C$50))+Inputs!$C$47*0.097)))+0.30*(2*((SIN(((A58)*12.9898+(Inputs!$C$6)*78.233+Inputs!$C$47*37.719))*43758.5453)-INT((SIN(((A58)*12.9898+(Inputs!$C$6)*78.233+Inputs!$C$47*37.719))*43758.5453)))-1)))</x:f>
        <x:v>340.91681406553505</x:v>
      </x:c>
      <x:c r="Z58" s="48" t="n">
        <x:f>B58-X58/1000</x:f>
        <x:v>401.13204695113166</x:v>
      </x:c>
      <x:c r="AA58" s="48" t="n">
        <x:f>SQRT((Inputs!$C$52+B58)^2+(Inputs!$C$52+Y58/1000)^2-2*(Inputs!$C$52+B58)*(Inputs!$C$52+Y58/1000)*COS(SQRT(A58^2+Inputs!$C$6^2)/Inputs!$C$52))</x:f>
        <x:v>403.3748448141403</x:v>
      </x:c>
      <x:c r="AB58" s="48" t="n">
        <x:f>(AA58-Z58)*1000</x:f>
        <x:v>2242.7978630086614</x:v>
      </x:c>
      <x:c r="AC58" s="48" t="n">
        <x:f>AB58/Inputs!$C$12</x:f>
        <x:v>1259.9987994430683</x:v>
      </x:c>
      <x:c r="AD58" s="48" t="n">
        <x:f>2*AB58/Inputs!$C$21*1000000</x:f>
        <x:v>14.962336797736663</x:v>
      </x:c>
      <x:c r="AE58" s="48" t="n">
        <x:f>DEGREES(ATAN(H58/(B58-Y58/1000)))</x:f>
        <x:v>5.7853436630843715</x:v>
      </x:c>
      <x:c r="AF58" s="48" t="n">
        <x:f>DEGREES((2*PI()/Inputs!$C$13)*Inputs!$C$15*SIN(RADIANS(AE58)))</x:f>
        <x:v>36.28864874358197</x:v>
      </x:c>
      <x:c r="AG58" s="48" t="n">
        <x:f>(Z58/AA58)^4</x:f>
        <x:v>0.9779444661479344</x:v>
      </x:c>
      <x:c r="AH58" s="48" t="n">
        <x:f>10*LOG10(AG58)</x:f>
        <x:v>-0.09685806490808879</x:v>
      </x:c>
      <x:c r="AI58" s="48" t="n">
        <x:f>AC58-F58</x:f>
        <x:v>-186.7687118257552</x:v>
      </x:c>
      <x:c r="AJ58" s="48" t="n">
        <x:f>AD58-G58</x:f>
        <x:v>-2.217856374824775</x:v>
      </x:c>
      <x:c r="AK58" s="48" t="n">
        <x:f>Y58-X58</x:f>
        <x:v>335.18598741940065</x:v>
      </x:c>
      <x:c r="AL58" s="48" t="n">
        <x:f>1000*(AA59-AA57)/(A59-A57)*Inputs!$C$11</x:f>
        <x:v>-698.7317151763364</x:v>
      </x:c>
      <x:c r="AM58" s="48" t="n">
        <x:f>-2*AL58/Inputs!$C$13</x:f>
        <x:v>279.49268607053455</x:v>
      </x:c>
      <x:c r="AN58" s="48" t="n">
        <x:f>-2*AL58/Inputs!$C$14</x:f>
        <x:v>41.965868779359546</x:v>
      </x:c>
      <x:c r="AO58" s="48" t="n">
        <x:f>ABS(AM58)</x:f>
        <x:v>279.49268607053455</x:v>
      </x:c>
      <x:c r="AP58" s="48" t="n">
        <x:f>ABS(AN58)</x:f>
        <x:v>41.965868779359546</x:v>
      </x:c>
      <x:c r="AQ58" s="48" t="n">
        <x:f>IF(OR(Inputs!$C$27=TRUE,Inputs!$C$27="TRUE",Inputs!$C$27=1),Inputs!$C$46/Inputs!$C$12,0)</x:f>
        <x:v>42.13483146067416</x:v>
      </x:c>
      <x:c r="AR58" s="48" t="n">
        <x:f>AC58-AQ58</x:f>
        <x:v>1217.8639679823941</x:v>
      </x:c>
      <x:c r="AS58" s="48" t="n">
        <x:f>AC58+AQ58</x:f>
        <x:v>1302.1336309037424</x:v>
      </x:c>
    </x:row>
    <x:row r="59">
      <x:c r="A59" s="48" t="n">
        <x:f>Inputs!$C$7+57*(Inputs!$C$8-Inputs!$C$7)/240</x:f>
        <x:v>-31.5</x:v>
      </x:c>
      <x:c r="B59" s="48" t="n">
        <x:f>Inputs!$C$5+Inputs!$C$9*(A59/Inputs!$C$10)^2</x:f>
        <x:v>401.1025</x:v>
      </x:c>
      <x:c r="C59" s="48" t="n">
        <x:f>B59</x:f>
        <x:v>401.1025</x:v>
      </x:c>
      <x:c r="D59" s="48" t="n">
        <x:f>SQRT((Inputs!$C$52+B59)^2+Inputs!$C$52^2-2*(Inputs!$C$52+B59)*Inputs!$C$52*COS(SQRT(A59^2+Inputs!$C$6^2)/Inputs!$C$52))</x:f>
        <x:v>403.62849547636654</x:v>
      </x:c>
      <x:c r="E59" s="48" t="n">
        <x:f>(D59-C59)*1000</x:f>
        <x:v>2525.995476366518</x:v>
      </x:c>
      <x:c r="F59" s="48" t="n">
        <x:f>E59/Inputs!$C$12</x:f>
        <x:v>1419.0985822283808</x:v>
      </x:c>
      <x:c r="G59" s="48" t="n">
        <x:f>2*E59/Inputs!$C$21*1000000</x:f>
        <x:v>16.85162791097645</x:v>
      </x:c>
      <x:c r="H59" s="48" t="n">
        <x:f>SQRT(A59^2+Inputs!$C$6^2)</x:f>
        <x:v>40.21504693519579</x:v>
      </x:c>
      <x:c r="I59" s="48" t="n">
        <x:f>DEGREES(ATAN(H59/B59))</x:f>
        <x:v>5.725414332711808</x:v>
      </x:c>
      <x:c r="J59" s="48" t="n">
        <x:f>DEGREES((2*PI()/Inputs!$C$13)*Inputs!$C$15*SIN(RADIANS(I59)))</x:f>
        <x:v>35.91399980576492</x:v>
      </x:c>
      <x:c r="K59" s="48" t="n">
        <x:f>(C59/D59)^4</x:f>
        <x:v>0.9752011373618527</x:v>
      </x:c>
      <x:c r="L59" s="48" t="n">
        <x:f>10*LOG10(K59)</x:f>
        <x:v>-0.109058008785091</x:v>
      </x:c>
      <x:c r="M59" s="48" t="n">
        <x:f>2*(Inputs!$C$9/(Inputs!$C$10^2))*A59</x:f>
        <x:v>-0.07</x:v>
      </x:c>
      <x:c r="N59" s="48" t="n">
        <x:f>M59*Inputs!$C$11</x:f>
        <x:v>-0.28</x:v>
      </x:c>
      <x:c r="O59" s="48" t="n">
        <x:f>1000*(D60-D58)/(A60-A58)*Inputs!$C$11</x:f>
        <x:v>-670.9537305550839</x:v>
      </x:c>
      <x:c r="P59" s="48" t="n">
        <x:f>-2*O59/Inputs!$C$13</x:f>
        <x:v>268.38149222203356</x:v>
      </x:c>
      <x:c r="Q59" s="48" t="n">
        <x:f>-2*O59/Inputs!$C$14</x:f>
        <x:v>40.29752135465969</x:v>
      </x:c>
      <x:c r="R59" s="48" t="n">
        <x:f>F59-Inputs!$C$16/2</x:f>
        <x:v>1404.0985822283808</x:v>
      </x:c>
      <x:c r="S59" s="48" t="n">
        <x:f>F59+Inputs!$C$16/2</x:f>
        <x:v>1434.0985822283808</x:v>
      </x:c>
      <x:c r="T59" s="48" t="n">
        <x:f>F59-Inputs!$C$17/2</x:f>
        <x:v>1269.0985822283808</x:v>
      </x:c>
      <x:c r="U59" s="48" t="n">
        <x:f>F59+Inputs!$C$17/2</x:f>
        <x:v>1569.0985822283808</x:v>
      </x:c>
      <x:c r="V59" s="48" t="n">
        <x:f>ABS(P59)</x:f>
        <x:v>268.38149222203356</x:v>
      </x:c>
      <x:c r="W59" s="48" t="n">
        <x:f>ABS(Q59)</x:f>
        <x:v>40.29752135465969</x:v>
      </x:c>
      <x:c r="X59" s="48" t="n">
        <x: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(0.45*SIN(2*PI()*(((A59)/Inputs!$C$49)+Inputs!$C$47*0.137))+0.35*COS(2*PI()*(((0)/Inputs!$C$50)+Inputs!$C$47*0.173))+0.20*SIN(2*PI()*(((A59)+(0))/(0.5*(Inputs!$C$49+Inputs!$C$50))+Inputs!$C$47*0.097)))+0.30*(2*((SIN(((A59)*12.9898+(0)*78.233+Inputs!$C$47*37.719))*43758.5453)-INT((SIN(((A59)*12.9898+(0)*78.233+Inputs!$C$47*37.719))*43758.5453)))-1)))</x:f>
        <x:v>9.295817115602365</x:v>
      </x:c>
      <x:c r="Y59" s="48" t="n">
        <x: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(0.45*SIN(2*PI()*(((A59)/Inputs!$C$49)+Inputs!$C$47*0.137))+0.35*COS(2*PI()*(((Inputs!$C$6)/Inputs!$C$50)+Inputs!$C$47*0.173))+0.20*SIN(2*PI()*(((A59)+(Inputs!$C$6))/(0.5*(Inputs!$C$49+Inputs!$C$50))+Inputs!$C$47*0.097)))+0.30*(2*((SIN(((A59)*12.9898+(Inputs!$C$6)*78.233+Inputs!$C$47*37.719))*43758.5453)-INT((SIN(((A59)*12.9898+(Inputs!$C$6)*78.233+Inputs!$C$47*37.719))*43758.5453)))-1)))</x:f>
        <x:v>355.15219987006986</x:v>
      </x:c>
      <x:c r="Z59" s="48" t="n">
        <x:f>B59-X59/1000</x:f>
        <x:v>401.0932041828844</x:v>
      </x:c>
      <x:c r="AA59" s="48" t="n">
        <x:f>SQRT((Inputs!$C$52+B59)^2+(Inputs!$C$52+Y59/1000)^2-2*(Inputs!$C$52+B59)*(Inputs!$C$52+Y59/1000)*COS(SQRT(A59^2+Inputs!$C$6^2)/Inputs!$C$52))</x:f>
        <x:v>403.276141328049</x:v>
      </x:c>
      <x:c r="AB59" s="48" t="n">
        <x:f>(AA59-Z59)*1000</x:f>
        <x:v>2182.937145164601</x:v>
      </x:c>
      <x:c r="AC59" s="48" t="n">
        <x:f>AB59/Inputs!$C$12</x:f>
        <x:v>1226.3691826767422</x:v>
      </x:c>
      <x:c r="AD59" s="48" t="n">
        <x:f>2*AB59/Inputs!$C$21*1000000</x:f>
        <x:v>14.562989074025346</x:v>
      </x:c>
      <x:c r="AE59" s="48" t="n">
        <x:f>DEGREES(ATAN(H59/(B59-Y59/1000)))</x:f>
        <x:v>5.73045458171606</x:v>
      </x:c>
      <x:c r="AF59" s="48" t="n">
        <x:f>DEGREES((2*PI()/Inputs!$C$13)*Inputs!$C$15*SIN(RADIANS(AE59)))</x:f>
        <x:v>35.94551050273555</x:v>
      </x:c>
      <x:c r="AG59" s="48" t="n">
        <x:f>(Z59/AA59)^4</x:f>
        <x:v>0.9785231367540428</x:v>
      </x:c>
      <x:c r="AH59" s="48" t="n">
        <x:f>10*LOG10(AG59)</x:f>
        <x:v>-0.0942890118041359</x:v>
      </x:c>
      <x:c r="AI59" s="48" t="n">
        <x:f>AC59-F59</x:f>
        <x:v>-192.7293995516386</x:v>
      </x:c>
      <x:c r="AJ59" s="48" t="n">
        <x:f>AD59-G59</x:f>
        <x:v>-2.2886388369511046</x:v>
      </x:c>
      <x:c r="AK59" s="48" t="n">
        <x:f>Y59-X59</x:f>
        <x:v>345.8563827544675</x:v>
      </x:c>
      <x:c r="AL59" s="48" t="n">
        <x:f>1000*(AA60-AA58)/(A60-A58)*Inputs!$C$11</x:f>
        <x:v>-720.3604463707052</x:v>
      </x:c>
      <x:c r="AM59" s="48" t="n">
        <x:f>-2*AL59/Inputs!$C$13</x:f>
        <x:v>288.14417854828207</x:v>
      </x:c>
      <x:c r="AN59" s="48" t="n">
        <x:f>-2*AL59/Inputs!$C$14</x:f>
        <x:v>43.26489167391623</x:v>
      </x:c>
      <x:c r="AO59" s="48" t="n">
        <x:f>ABS(AM59)</x:f>
        <x:v>288.14417854828207</x:v>
      </x:c>
      <x:c r="AP59" s="48" t="n">
        <x:f>ABS(AN59)</x:f>
        <x:v>43.26489167391623</x:v>
      </x:c>
      <x:c r="AQ59" s="48" t="n">
        <x:f>IF(OR(Inputs!$C$27=TRUE,Inputs!$C$27="TRUE",Inputs!$C$27=1),Inputs!$C$46/Inputs!$C$12,0)</x:f>
        <x:v>42.13483146067416</x:v>
      </x:c>
      <x:c r="AR59" s="48" t="n">
        <x:f>AC59-AQ59</x:f>
        <x:v>1184.234351216068</x:v>
      </x:c>
      <x:c r="AS59" s="48" t="n">
        <x:f>AC59+AQ59</x:f>
        <x:v>1268.5040141374163</x:v>
      </x:c>
    </x:row>
    <x:row r="60">
      <x:c r="A60" s="48" t="n">
        <x:f>Inputs!$C$7+58*(Inputs!$C$8-Inputs!$C$7)/240</x:f>
        <x:v>-31</x:v>
      </x:c>
      <x:c r="B60" s="48" t="n">
        <x:f>Inputs!$C$5+Inputs!$C$9*(A60/Inputs!$C$10)^2</x:f>
        <x:v>401.0677777777778</x:v>
      </x:c>
      <x:c r="C60" s="48" t="n">
        <x:f>B60</x:f>
        <x:v>401.0677777777778</x:v>
      </x:c>
      <x:c r="D60" s="48" t="n">
        <x:f>SQRT((Inputs!$C$52+B60)^2+Inputs!$C$52^2-2*(Inputs!$C$52+B60)*Inputs!$C$52*COS(SQRT(A60^2+Inputs!$C$6^2)/Inputs!$C$52))</x:f>
        <x:v>403.5452855151975</x:v>
      </x:c>
      <x:c r="E60" s="48" t="n">
        <x:f>(D60-C60)*1000</x:f>
        <x:v>2477.507737419728</x:v>
      </x:c>
      <x:c r="F60" s="48" t="n">
        <x:f>E60/Inputs!$C$12</x:f>
        <x:v>1391.8582794492854</x:v>
      </x:c>
      <x:c r="G60" s="48" t="n">
        <x:f>2*E60/Inputs!$C$21*1000000</x:f>
        <x:v>16.52815253557665</x:v>
      </x:c>
      <x:c r="H60" s="48" t="n">
        <x:f>SQRT(A60^2+Inputs!$C$6^2)</x:f>
        <x:v>39.824615503479755</x:v>
      </x:c>
      <x:c r="I60" s="48" t="n">
        <x:f>DEGREES(ATAN(H60/B60))</x:f>
        <x:v>5.670680298867937</x:v>
      </x:c>
      <x:c r="J60" s="48" t="n">
        <x:f>DEGREES((2*PI()/Inputs!$C$13)*Inputs!$C$15*SIN(RADIANS(I60)))</x:f>
        <x:v>35.57179498729654</x:v>
      </x:c>
      <x:c r="K60" s="48" t="n">
        <x:f>(C60/D60)^4</x:f>
        <x:v>0.9756678061706995</x:v>
      </x:c>
      <x:c r="L60" s="48" t="n">
        <x:f>10*LOG10(K60)</x:f>
        <x:v>-0.106980250634333</x:v>
      </x:c>
      <x:c r="M60" s="48" t="n">
        <x:f>2*(Inputs!$C$9/(Inputs!$C$10^2))*A60</x:f>
        <x:v>-0.06888888888888889</x:v>
      </x:c>
      <x:c r="N60" s="48" t="n">
        <x:f>M60*Inputs!$C$11</x:f>
        <x:v>-0.27555555555555555</x:v>
      </x:c>
      <x:c r="O60" s="48" t="n">
        <x:f>1000*(D61-D59)/(A61-A59)*Inputs!$C$11</x:f>
        <x:v>-660.4032695415754</x:v>
      </x:c>
      <x:c r="P60" s="48" t="n">
        <x:f>-2*O60/Inputs!$C$13</x:f>
        <x:v>264.16130781663014</x:v>
      </x:c>
      <x:c r="Q60" s="48" t="n">
        <x:f>-2*O60/Inputs!$C$14</x:f>
        <x:v>39.663860032527054</x:v>
      </x:c>
      <x:c r="R60" s="48" t="n">
        <x:f>F60-Inputs!$C$16/2</x:f>
        <x:v>1376.8582794492854</x:v>
      </x:c>
      <x:c r="S60" s="48" t="n">
        <x:f>F60+Inputs!$C$16/2</x:f>
        <x:v>1406.8582794492854</x:v>
      </x:c>
      <x:c r="T60" s="48" t="n">
        <x:f>F60-Inputs!$C$17/2</x:f>
        <x:v>1241.8582794492854</x:v>
      </x:c>
      <x:c r="U60" s="48" t="n">
        <x:f>F60+Inputs!$C$17/2</x:f>
        <x:v>1541.8582794492854</x:v>
      </x:c>
      <x:c r="V60" s="48" t="n">
        <x:f>ABS(P60)</x:f>
        <x:v>264.16130781663014</x:v>
      </x:c>
      <x:c r="W60" s="48" t="n">
        <x:f>ABS(Q60)</x:f>
        <x:v>39.663860032527054</x:v>
      </x:c>
      <x:c r="X60" s="48" t="n">
        <x: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(0.45*SIN(2*PI()*(((A60)/Inputs!$C$49)+Inputs!$C$47*0.137))+0.35*COS(2*PI()*(((0)/Inputs!$C$50)+Inputs!$C$47*0.173))+0.20*SIN(2*PI()*(((A60)+(0))/(0.5*(Inputs!$C$49+Inputs!$C$50))+Inputs!$C$47*0.097)))+0.30*(2*((SIN(((A60)*12.9898+(0)*78.233+Inputs!$C$47*37.719))*43758.5453)-INT((SIN(((A60)*12.9898+(0)*78.233+Inputs!$C$47*37.719))*43758.5453)))-1)))</x:f>
        <x:v>-13.189582675327635</x:v>
      </x:c>
      <x:c r="Y60" s="48" t="n">
        <x: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(0.45*SIN(2*PI()*(((A60)/Inputs!$C$49)+Inputs!$C$47*0.137))+0.35*COS(2*PI()*(((Inputs!$C$6)/Inputs!$C$50)+Inputs!$C$47*0.173))+0.20*SIN(2*PI()*(((A60)+(Inputs!$C$6))/(0.5*(Inputs!$C$49+Inputs!$C$50))+Inputs!$C$47*0.097)))+0.30*(2*((SIN(((A60)*12.9898+(Inputs!$C$6)*78.233+Inputs!$C$47*37.719))*43758.5453)-INT((SIN(((A60)*12.9898+(Inputs!$C$6)*78.233+Inputs!$C$47*37.719))*43758.5453)))-1)))</x:f>
        <x:v>353.2610093246909</x:v>
      </x:c>
      <x:c r="Z60" s="48" t="n">
        <x:f>B60-X60/1000</x:f>
        <x:v>401.08096736045314</x:v>
      </x:c>
      <x:c r="AA60" s="48" t="n">
        <x:f>SQRT((Inputs!$C$52+B60)^2+(Inputs!$C$52+Y60/1000)^2-2*(Inputs!$C$52+B60)*(Inputs!$C$52+Y60/1000)*COS(SQRT(A60^2+Inputs!$C$6^2)/Inputs!$C$52))</x:f>
        <x:v>403.19475470254764</x:v>
      </x:c>
      <x:c r="AB60" s="48" t="n">
        <x:f>(AA60-Z60)*1000</x:f>
        <x:v>2113.787342094497</x:v>
      </x:c>
      <x:c r="AC60" s="48" t="n">
        <x:f>AB60/Inputs!$C$12</x:f>
        <x:v>1187.5209787047736</x:v>
      </x:c>
      <x:c r="AD60" s="48" t="n">
        <x:f>2*AB60/Inputs!$C$21*1000000</x:f>
        <x:v>14.101671244141151</x:v>
      </x:c>
      <x:c r="AE60" s="48" t="n">
        <x:f>DEGREES(ATAN(H60/(B60-Y60/1000)))</x:f>
        <x:v>5.675646819713908</x:v>
      </x:c>
      <x:c r="AF60" s="48" t="n">
        <x:f>DEGREES((2*PI()/Inputs!$C$13)*Inputs!$C$15*SIN(RADIANS(AE60)))</x:f>
        <x:v>35.60284771260334</x:v>
      </x:c>
      <x:c r="AG60" s="48" t="n">
        <x:f>(Z60/AA60)^4</x:f>
        <x:v>0.9791939479579376</x:v>
      </x:c>
      <x:c r="AH60" s="48" t="n">
        <x:f>10*LOG10(AG60)</x:f>
        <x:v>-0.0913127940663743</x:v>
      </x:c>
      <x:c r="AI60" s="48" t="n">
        <x:f>AC60-F60</x:f>
        <x:v>-204.33730074451182</x:v>
      </x:c>
      <x:c r="AJ60" s="48" t="n">
        <x:f>AD60-G60</x:f>
        <x:v>-2.426481291435497</x:v>
      </x:c>
      <x:c r="AK60" s="48" t="n">
        <x:f>Y60-X60</x:f>
        <x:v>366.45059200001856</x:v>
      </x:c>
      <x:c r="AL60" s="48" t="n">
        <x:f>1000*(AA61-AA59)/(A61-A59)*Inputs!$C$11</x:f>
        <x:v>-595.3462319293976</x:v>
      </x:c>
      <x:c r="AM60" s="48" t="n">
        <x:f>-2*AL60/Inputs!$C$13</x:f>
        <x:v>238.13849277175905</x:v>
      </x:c>
      <x:c r="AN60" s="48" t="n">
        <x:f>-2*AL60/Inputs!$C$14</x:f>
        <x:v>35.75653044621007</x:v>
      </x:c>
      <x:c r="AO60" s="48" t="n">
        <x:f>ABS(AM60)</x:f>
        <x:v>238.13849277175905</x:v>
      </x:c>
      <x:c r="AP60" s="48" t="n">
        <x:f>ABS(AN60)</x:f>
        <x:v>35.75653044621007</x:v>
      </x:c>
      <x:c r="AQ60" s="48" t="n">
        <x:f>IF(OR(Inputs!$C$27=TRUE,Inputs!$C$27="TRUE",Inputs!$C$27=1),Inputs!$C$46/Inputs!$C$12,0)</x:f>
        <x:v>42.13483146067416</x:v>
      </x:c>
      <x:c r="AR60" s="48" t="n">
        <x:f>AC60-AQ60</x:f>
        <x:v>1145.3861472440994</x:v>
      </x:c>
      <x:c r="AS60" s="48" t="n">
        <x:f>AC60+AQ60</x:f>
        <x:v>1229.6558101654477</x:v>
      </x:c>
    </x:row>
    <x:row r="61">
      <x:c r="A61" s="48" t="n">
        <x:f>Inputs!$C$7+59*(Inputs!$C$8-Inputs!$C$7)/240</x:f>
        <x:v>-30.5</x:v>
      </x:c>
      <x:c r="B61" s="48" t="n">
        <x:f>Inputs!$C$5+Inputs!$C$9*(A61/Inputs!$C$10)^2</x:f>
        <x:v>401.0336111111111</x:v>
      </x:c>
      <x:c r="C61" s="48" t="n">
        <x:f>B61</x:f>
        <x:v>401.0336111111111</x:v>
      </x:c>
      <x:c r="D61" s="48" t="n">
        <x:f>SQRT((Inputs!$C$52+B61)^2+Inputs!$C$52^2-2*(Inputs!$C$52+B61)*Inputs!$C$52*COS(SQRT(A61^2+Inputs!$C$6^2)/Inputs!$C$52))</x:f>
        <x:v>403.46339465898114</x:v>
      </x:c>
      <x:c r="E61" s="48" t="n">
        <x:f>(D61-C61)*1000</x:f>
        <x:v>2429.783547870045</x:v>
      </x:c>
      <x:c r="F61" s="48" t="n">
        <x:f>E61/Inputs!$C$12</x:f>
        <x:v>1365.0469370056433</x:v>
      </x:c>
      <x:c r="G61" s="48" t="n">
        <x:f>2*E61/Inputs!$C$21*1000000</x:f>
        <x:v>16.209771013452546</x:v>
      </x:c>
      <x:c r="H61" s="48" t="n">
        <x:f>SQRT(A61^2+Inputs!$C$6^2)</x:f>
        <x:v>39.436658073421995</x:v>
      </x:c>
      <x:c r="I61" s="48" t="n">
        <x:f>DEGREES(ATAN(H61/B61))</x:f>
        <x:v>5.616268744710343</x:v>
      </x:c>
      <x:c r="J61" s="48" t="n">
        <x:f>DEGREES((2*PI()/Inputs!$C$13)*Inputs!$C$15*SIN(RADIANS(I61)))</x:f>
        <x:v>35.23157418054016</x:v>
      </x:c>
      <x:c r="K61" s="48" t="n">
        <x:f>(C61/D61)^4</x:f>
        <x:v>0.9761274783366204</x:v>
      </x:c>
      <x:c r="L61" s="48" t="n">
        <x:f>10*LOG10(K61)</x:f>
        <x:v>-0.104934615106677</x:v>
      </x:c>
      <x:c r="M61" s="48" t="n">
        <x:f>2*(Inputs!$C$9/(Inputs!$C$10^2))*A61</x:f>
        <x:v>-0.06777777777777778</x:v>
      </x:c>
      <x:c r="N61" s="48" t="n">
        <x:f>M61*Inputs!$C$11</x:f>
        <x:v>-0.27111111111111114</x:v>
      </x:c>
      <x:c r="O61" s="48" t="n">
        <x:f>1000*(D62-D60)/(A62-A60)*Inputs!$C$11</x:f>
        <x:v>-649.8480869720424</x:v>
      </x:c>
      <x:c r="P61" s="48" t="n">
        <x:f>-2*O61/Inputs!$C$13</x:f>
        <x:v>259.939234788817</x:v>
      </x:c>
      <x:c r="Q61" s="48" t="n">
        <x:f>-2*O61/Inputs!$C$14</x:f>
        <x:v>39.02991513345601</x:v>
      </x:c>
      <x:c r="R61" s="48" t="n">
        <x:f>F61-Inputs!$C$16/2</x:f>
        <x:v>1350.0469370056433</x:v>
      </x:c>
      <x:c r="S61" s="48" t="n">
        <x:f>F61+Inputs!$C$16/2</x:f>
        <x:v>1380.0469370056433</x:v>
      </x:c>
      <x:c r="T61" s="48" t="n">
        <x:f>F61-Inputs!$C$17/2</x:f>
        <x:v>1215.0469370056433</x:v>
      </x:c>
      <x:c r="U61" s="48" t="n">
        <x:f>F61+Inputs!$C$17/2</x:f>
        <x:v>1515.0469370056433</x:v>
      </x:c>
      <x:c r="V61" s="48" t="n">
        <x:f>ABS(P61)</x:f>
        <x:v>259.939234788817</x:v>
      </x:c>
      <x:c r="W61" s="48" t="n">
        <x:f>ABS(Q61)</x:f>
        <x:v>39.02991513345601</x:v>
      </x:c>
      <x:c r="X61" s="48" t="n">
        <x: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(0.45*SIN(2*PI()*(((A61)/Inputs!$C$49)+Inputs!$C$47*0.137))+0.35*COS(2*PI()*(((0)/Inputs!$C$50)+Inputs!$C$47*0.173))+0.20*SIN(2*PI()*(((A61)+(0))/(0.5*(Inputs!$C$49+Inputs!$C$50))+Inputs!$C$47*0.097)))+0.30*(2*((SIN(((A61)*12.9898+(0)*78.233+Inputs!$C$47*37.719))*43758.5453)-INT((SIN(((A61)*12.9898+(0)*78.233+Inputs!$C$47*37.719))*43758.5453)))-1)))</x:f>
        <x:v>-7.467318037700602</x:v>
      </x:c>
      <x:c r="Y61" s="48" t="n">
        <x: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(0.45*SIN(2*PI()*(((A61)/Inputs!$C$49)+Inputs!$C$47*0.137))+0.35*COS(2*PI()*(((Inputs!$C$6)/Inputs!$C$50)+Inputs!$C$47*0.173))+0.20*SIN(2*PI()*(((A61)+(Inputs!$C$6))/(0.5*(Inputs!$C$49+Inputs!$C$50))+Inputs!$C$47*0.097)))+0.30*(2*((SIN(((A61)*12.9898+(Inputs!$C$6)*78.233+Inputs!$C$47*37.719))*43758.5453)-INT((SIN(((A61)*12.9898+(Inputs!$C$6)*78.233+Inputs!$C$47*37.719))*43758.5453)))-1)))</x:f>
        <x:v>338.6571544092517</x:v>
      </x:c>
      <x:c r="Z61" s="48" t="n">
        <x:f>B61-X61/1000</x:f>
        <x:v>401.0410784291488</x:v>
      </x:c>
      <x:c r="AA61" s="48" t="n">
        <x:f>SQRT((Inputs!$C$52+B61)^2+(Inputs!$C$52+Y61/1000)^2-2*(Inputs!$C$52+B61)*(Inputs!$C$52+Y61/1000)*COS(SQRT(A61^2+Inputs!$C$6^2)/Inputs!$C$52))</x:f>
        <x:v>403.12730477006664</x:v>
      </x:c>
      <x:c r="AB61" s="48" t="n">
        <x:f>(AA61-Z61)*1000</x:f>
        <x:v>2086.2263409178468</x:v>
      </x:c>
      <x:c r="AC61" s="48" t="n">
        <x:f>AB61/Inputs!$C$12</x:f>
        <x:v>1172.0372701785657</x:v>
      </x:c>
      <x:c r="AD61" s="48" t="n">
        <x:f>2*AB61/Inputs!$C$21*1000000</x:f>
        <x:v>13.91780403573626</x:v>
      </x:c>
      <x:c r="AE61" s="48" t="n">
        <x:f>DEGREES(ATAN(H61/(B61-Y61/1000)))</x:f>
        <x:v>5.6209850863903705</x:v>
      </x:c>
      <x:c r="AF61" s="48" t="n">
        <x:f>DEGREES((2*PI()/Inputs!$C$13)*Inputs!$C$15*SIN(RADIANS(AE61)))</x:f>
        <x:v>35.26106545806163</x:v>
      </x:c>
      <x:c r="AG61" s="48" t="n">
        <x:f>(Z61/AA61)^4</x:f>
        <x:v>0.9794597145400455</x:v>
      </x:c>
      <x:c r="AH61" s="48" t="n">
        <x:f>10*LOG10(AG61)</x:f>
        <x:v>-0.09013421958940501</x:v>
      </x:c>
      <x:c r="AI61" s="48" t="n">
        <x:f>AC61-F61</x:f>
        <x:v>-193.00966682707758</x:v>
      </x:c>
      <x:c r="AJ61" s="48" t="n">
        <x:f>AD61-G61</x:f>
        <x:v>-2.291966977716285</x:v>
      </x:c>
      <x:c r="AK61" s="48" t="n">
        <x:f>Y61-X61</x:f>
        <x:v>346.12447244695227</x:v>
      </x:c>
      <x:c r="AL61" s="48" t="n">
        <x:f>1000*(AA62-AA60)/(A62-A60)*Inputs!$C$11</x:f>
        <x:v>-585.6083447201854</x:v>
      </x:c>
      <x:c r="AM61" s="48" t="n">
        <x:f>-2*AL61/Inputs!$C$13</x:f>
        <x:v>234.24333788807417</x:v>
      </x:c>
      <x:c r="AN61" s="48" t="n">
        <x:f>-2*AL61/Inputs!$C$14</x:f>
        <x:v>35.17167235556669</x:v>
      </x:c>
      <x:c r="AO61" s="48" t="n">
        <x:f>ABS(AM61)</x:f>
        <x:v>234.24333788807417</x:v>
      </x:c>
      <x:c r="AP61" s="48" t="n">
        <x:f>ABS(AN61)</x:f>
        <x:v>35.17167235556669</x:v>
      </x:c>
      <x:c r="AQ61" s="48" t="n">
        <x:f>IF(OR(Inputs!$C$27=TRUE,Inputs!$C$27="TRUE",Inputs!$C$27=1),Inputs!$C$46/Inputs!$C$12,0)</x:f>
        <x:v>42.13483146067416</x:v>
      </x:c>
      <x:c r="AR61" s="48" t="n">
        <x:f>AC61-AQ61</x:f>
        <x:v>1129.9024387178915</x:v>
      </x:c>
      <x:c r="AS61" s="48" t="n">
        <x:f>AC61+AQ61</x:f>
        <x:v>1214.1721016392398</x:v>
      </x:c>
    </x:row>
    <x:row r="62">
      <x:c r="A62" s="48" t="n">
        <x:f>Inputs!$C$7+60*(Inputs!$C$8-Inputs!$C$7)/240</x:f>
        <x:v>-30</x:v>
      </x:c>
      <x:c r="B62" s="48" t="n">
        <x:f>Inputs!$C$5+Inputs!$C$9*(A62/Inputs!$C$10)^2</x:f>
        <x:v>401</x:v>
      </x:c>
      <x:c r="C62" s="48" t="n">
        <x:f>B62</x:f>
        <x:v>401</x:v>
      </x:c>
      <x:c r="D62" s="48" t="n">
        <x:f>SQRT((Inputs!$C$52+B62)^2+Inputs!$C$52^2-2*(Inputs!$C$52+B62)*Inputs!$C$52*COS(SQRT(A62^2+Inputs!$C$6^2)/Inputs!$C$52))</x:f>
        <x:v>403.3828234934545</x:v>
      </x:c>
      <x:c r="E62" s="48" t="n">
        <x:f>(D62-C62)*1000</x:f>
        <x:v>2382.8234934545094</x:v>
      </x:c>
      <x:c r="F62" s="48" t="n">
        <x:f>E62/Inputs!$C$12</x:f>
        <x:v>1338.6648839632076</x:v>
      </x:c>
      <x:c r="G62" s="48" t="n">
        <x:f>2*E62/Inputs!$C$21*1000000</x:f>
        <x:v>15.896487252221066</x:v>
      </x:c>
      <x:c r="H62" s="48" t="n">
        <x:f>SQRT(A62^2+Inputs!$C$6^2)</x:f>
        <x:v>39.05124837953327</x:v>
      </x:c>
      <x:c r="I62" s="48" t="n">
        <x:f>DEGREES(ATAN(H62/B62))</x:f>
        <x:v>5.562190700603825</x:v>
      </x:c>
      <x:c r="J62" s="48" t="n">
        <x:f>DEGREES((2*PI()/Inputs!$C$13)*Inputs!$C$15*SIN(RADIANS(I62)))</x:f>
        <x:v>34.893407239514076</x:v>
      </x:c>
      <x:c r="K62" s="48" t="n">
        <x:f>(C62/D62)^4</x:f>
        <x:v>0.9765801317578781</x:v>
      </x:c>
      <x:c r="L62" s="48" t="n">
        <x:f>10*LOG10(K62)</x:f>
        <x:v>-0.10292115558440401</x:v>
      </x:c>
      <x:c r="M62" s="48" t="n">
        <x:f>2*(Inputs!$C$9/(Inputs!$C$10^2))*A62</x:f>
        <x:v>-0.06666666666666667</x:v>
      </x:c>
      <x:c r="N62" s="48" t="n">
        <x:f>M62*Inputs!$C$11</x:f>
        <x:v>-0.26666666666666666</x:v>
      </x:c>
      <x:c r="O62" s="48" t="n">
        <x:f>1000*(D63-D61)/(A63-A61)*Inputs!$C$11</x:f>
        <x:v>-639.2882542627376</x:v>
      </x:c>
      <x:c r="P62" s="48" t="n">
        <x:f>-2*O62/Inputs!$C$13</x:f>
        <x:v>255.71530170509504</x:v>
      </x:c>
      <x:c r="Q62" s="48" t="n">
        <x:f>-2*O62/Inputs!$C$14</x:f>
        <x:v>38.39569094671097</x:v>
      </x:c>
      <x:c r="R62" s="48" t="n">
        <x:f>F62-Inputs!$C$16/2</x:f>
        <x:v>1323.6648839632076</x:v>
      </x:c>
      <x:c r="S62" s="48" t="n">
        <x:f>F62+Inputs!$C$16/2</x:f>
        <x:v>1353.6648839632076</x:v>
      </x:c>
      <x:c r="T62" s="48" t="n">
        <x:f>F62-Inputs!$C$17/2</x:f>
        <x:v>1188.6648839632076</x:v>
      </x:c>
      <x:c r="U62" s="48" t="n">
        <x:f>F62+Inputs!$C$17/2</x:f>
        <x:v>1488.6648839632076</x:v>
      </x:c>
      <x:c r="V62" s="48" t="n">
        <x:f>ABS(P62)</x:f>
        <x:v>255.71530170509504</x:v>
      </x:c>
      <x:c r="W62" s="48" t="n">
        <x:f>ABS(Q62)</x:f>
        <x:v>38.39569094671097</x:v>
      </x:c>
      <x:c r="X62" s="48" t="n">
        <x: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(0.45*SIN(2*PI()*(((A62)/Inputs!$C$49)+Inputs!$C$47*0.137))+0.35*COS(2*PI()*(((0)/Inputs!$C$50)+Inputs!$C$47*0.173))+0.20*SIN(2*PI()*(((A62)+(0))/(0.5*(Inputs!$C$49+Inputs!$C$50))+Inputs!$C$47*0.097)))+0.30*(2*((SIN(((A62)*12.9898+(0)*78.233+Inputs!$C$47*37.719))*43758.5453)-INT((SIN(((A62)*12.9898+(0)*78.233+Inputs!$C$47*37.719))*43758.5453)))-1)))</x:f>
        <x:v>-17.51801383367469</x:v>
      </x:c>
      <x:c r="Y62" s="48" t="n">
        <x: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(0.45*SIN(2*PI()*(((A62)/Inputs!$C$49)+Inputs!$C$47*0.137))+0.35*COS(2*PI()*(((Inputs!$C$6)/Inputs!$C$50)+Inputs!$C$47*0.173))+0.20*SIN(2*PI()*(((A62)+(Inputs!$C$6))/(0.5*(Inputs!$C$49+Inputs!$C$50))+Inputs!$C$47*0.097)))+0.30*(2*((SIN(((A62)*12.9898+(Inputs!$C$6)*78.233+Inputs!$C$47*37.719))*43758.5453)-INT((SIN(((A62)*12.9898+(Inputs!$C$6)*78.233+Inputs!$C$47*37.719))*43758.5453)))-1)))</x:f>
        <x:v>336.97644838088075</x:v>
      </x:c>
      <x:c r="Z62" s="48" t="n">
        <x:f>B62-X62/1000</x:f>
        <x:v>401.0175180138337</x:v>
      </x:c>
      <x:c r="AA62" s="48" t="n">
        <x:f>SQRT((Inputs!$C$52+B62)^2+(Inputs!$C$52+Y62/1000)^2-2*(Inputs!$C$52+B62)*(Inputs!$C$52+Y62/1000)*COS(SQRT(A62^2+Inputs!$C$6^2)/Inputs!$C$52))</x:f>
        <x:v>403.0483526163676</x:v>
      </x:c>
      <x:c r="AB62" s="48" t="n">
        <x:f>(AA62-Z62)*1000</x:f>
        <x:v>2030.8346025339006</x:v>
      </x:c>
      <x:c r="AC62" s="48" t="n">
        <x:f>AB62/Inputs!$C$12</x:f>
        <x:v>1140.9183160302812</x:v>
      </x:c>
      <x:c r="AD62" s="48" t="n">
        <x:f>2*AB62/Inputs!$C$21*1000000</x:f>
        <x:v>13.548270133826387</x:v>
      </x:c>
      <x:c r="AE62" s="48" t="n">
        <x:f>DEGREES(ATAN(H62/(B62-Y62/1000)))</x:f>
        <x:v>5.5668393917384416</x:v>
      </x:c>
      <x:c r="AF62" s="48" t="n">
        <x:f>DEGREES((2*PI()/Inputs!$C$13)*Inputs!$C$15*SIN(RADIANS(AE62)))</x:f>
        <x:v>34.92247818610745</x:v>
      </x:c>
      <x:c r="AG62" s="48" t="n">
        <x:f>(Z62/AA62)^4</x:f>
        <x:v>0.9799970700944477</x:v>
      </x:c>
      <x:c r="AH62" s="48" t="n">
        <x:f>10*LOG10(AG62)</x:f>
        <x:v>-0.0877522271946022</x:v>
      </x:c>
      <x:c r="AI62" s="48" t="n">
        <x:f>AC62-F62</x:f>
        <x:v>-197.74656793292638</x:v>
      </x:c>
      <x:c r="AJ62" s="48" t="n">
        <x:f>AD62-G62</x:f>
        <x:v>-2.348217118394679</x:v>
      </x:c>
      <x:c r="AK62" s="48" t="n">
        <x:f>Y62-X62</x:f>
        <x:v>354.4944622145554</x:v>
      </x:c>
      <x:c r="AL62" s="48" t="n">
        <x:f>1000*(AA63-AA61)/(A63-A61)*Inputs!$C$11</x:f>
        <x:v>-590.4015835149039</x:v>
      </x:c>
      <x:c r="AM62" s="48" t="n">
        <x:f>-2*AL62/Inputs!$C$13</x:f>
        <x:v>236.16063340596156</x:v>
      </x:c>
      <x:c r="AN62" s="48" t="n">
        <x:f>-2*AL62/Inputs!$C$14</x:f>
        <x:v>35.4595545654597</x:v>
      </x:c>
      <x:c r="AO62" s="48" t="n">
        <x:f>ABS(AM62)</x:f>
        <x:v>236.16063340596156</x:v>
      </x:c>
      <x:c r="AP62" s="48" t="n">
        <x:f>ABS(AN62)</x:f>
        <x:v>35.4595545654597</x:v>
      </x:c>
      <x:c r="AQ62" s="48" t="n">
        <x:f>IF(OR(Inputs!$C$27=TRUE,Inputs!$C$27="TRUE",Inputs!$C$27=1),Inputs!$C$46/Inputs!$C$12,0)</x:f>
        <x:v>42.13483146067416</x:v>
      </x:c>
      <x:c r="AR62" s="48" t="n">
        <x:f>AC62-AQ62</x:f>
        <x:v>1098.783484569607</x:v>
      </x:c>
      <x:c r="AS62" s="48" t="n">
        <x:f>AC62+AQ62</x:f>
        <x:v>1183.0531474909553</x:v>
      </x:c>
    </x:row>
    <x:row r="63">
      <x:c r="A63" s="48" t="n">
        <x:f>Inputs!$C$7+61*(Inputs!$C$8-Inputs!$C$7)/240</x:f>
        <x:v>-29.5</x:v>
      </x:c>
      <x:c r="B63" s="48" t="n">
        <x:f>Inputs!$C$5+Inputs!$C$9*(A63/Inputs!$C$10)^2</x:f>
        <x:v>400.96694444444444</x:v>
      </x:c>
      <x:c r="C63" s="48" t="n">
        <x:f>B63</x:f>
        <x:v>400.96694444444444</x:v>
      </x:c>
      <x:c r="D63" s="48" t="n">
        <x:f>SQRT((Inputs!$C$52+B63)^2+Inputs!$C$52^2-2*(Inputs!$C$52+B63)*Inputs!$C$52*COS(SQRT(A63^2+Inputs!$C$6^2)/Inputs!$C$52))</x:f>
        <x:v>403.30357259541546</x:v>
      </x:c>
      <x:c r="E63" s="48" t="n">
        <x:f>(D63-C63)*1000</x:f>
        <x:v>2336.6281509710234</x:v>
      </x:c>
      <x:c r="F63" s="48" t="n">
        <x:f>E63/Inputs!$C$12</x:f>
        <x:v>1312.7124443657435</x:v>
      </x:c>
      <x:c r="G63" s="48" t="n">
        <x:f>2*E63/Inputs!$C$21*1000000</x:f>
        <x:v>15.58830509986361</x:v>
      </x:c>
      <x:c r="H63" s="48" t="n">
        <x:f>SQRT(A63^2+Inputs!$C$6^2)</x:f>
        <x:v>38.66846260197062</x:v>
      </x:c>
      <x:c r="I63" s="48" t="n">
        <x:f>DEGREES(ATAN(H63/B63))</x:f>
        <x:v>5.508457547244826</x:v>
      </x:c>
      <x:c r="J63" s="48" t="n">
        <x:f>DEGREES((2*PI()/Inputs!$C$13)*Inputs!$C$15*SIN(RADIANS(I63)))</x:f>
        <x:v>34.55736622018927</x:v>
      </x:c>
      <x:c r="K63" s="48" t="n">
        <x:f>(C63/D63)^4</x:f>
        <x:v>0.9770257446408893</x:v>
      </x:c>
      <x:c r="L63" s="48" t="n">
        <x:f>10*LOG10(K63)</x:f>
        <x:v>-0.100939924652914</x:v>
      </x:c>
      <x:c r="M63" s="48" t="n">
        <x:f>2*(Inputs!$C$9/(Inputs!$C$10^2))*A63</x:f>
        <x:v>-0.06555555555555556</x:v>
      </x:c>
      <x:c r="N63" s="48" t="n">
        <x:f>M63*Inputs!$C$11</x:f>
        <x:v>-0.26222222222222225</x:v>
      </x:c>
      <x:c r="O63" s="48" t="n">
        <x:f>1000*(D64-D62)/(A64-A62)*Inputs!$C$11</x:f>
        <x:v>-628.7238430963953</x:v>
      </x:c>
      <x:c r="P63" s="48" t="n">
        <x:f>-2*O63/Inputs!$C$13</x:f>
        <x:v>251.4895372385581</x:v>
      </x:c>
      <x:c r="Q63" s="48" t="n">
        <x:f>-2*O63/Inputs!$C$14</x:f>
        <x:v>37.76119177756128</x:v>
      </x:c>
      <x:c r="R63" s="48" t="n">
        <x:f>F63-Inputs!$C$16/2</x:f>
        <x:v>1297.7124443657435</x:v>
      </x:c>
      <x:c r="S63" s="48" t="n">
        <x:f>F63+Inputs!$C$16/2</x:f>
        <x:v>1327.7124443657435</x:v>
      </x:c>
      <x:c r="T63" s="48" t="n">
        <x:f>F63-Inputs!$C$17/2</x:f>
        <x:v>1162.7124443657435</x:v>
      </x:c>
      <x:c r="U63" s="48" t="n">
        <x:f>F63+Inputs!$C$17/2</x:f>
        <x:v>1462.7124443657435</x:v>
      </x:c>
      <x:c r="V63" s="48" t="n">
        <x:f>ABS(P63)</x:f>
        <x:v>251.4895372385581</x:v>
      </x:c>
      <x:c r="W63" s="48" t="n">
        <x:f>ABS(Q63)</x:f>
        <x:v>37.76119177756128</x:v>
      </x:c>
      <x:c r="X63" s="48" t="n">
        <x: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(0.45*SIN(2*PI()*(((A63)/Inputs!$C$49)+Inputs!$C$47*0.137))+0.35*COS(2*PI()*(((0)/Inputs!$C$50)+Inputs!$C$47*0.173))+0.20*SIN(2*PI()*(((A63)+(0))/(0.5*(Inputs!$C$49+Inputs!$C$50))+Inputs!$C$47*0.097)))+0.30*(2*((SIN(((A63)*12.9898+(0)*78.233+Inputs!$C$47*37.719))*43758.5453)-INT((SIN(((A63)*12.9898+(0)*78.233+Inputs!$C$47*37.719))*43758.5453)))-1)))</x:f>
        <x:v>-36.167878297776255</x:v>
      </x:c>
      <x:c r="Y63" s="48" t="n">
        <x: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(0.45*SIN(2*PI()*(((A63)/Inputs!$C$49)+Inputs!$C$47*0.137))+0.35*COS(2*PI()*(((Inputs!$C$6)/Inputs!$C$50)+Inputs!$C$47*0.173))+0.20*SIN(2*PI()*(((A63)+(Inputs!$C$6))/(0.5*(Inputs!$C$49+Inputs!$C$50))+Inputs!$C$47*0.097)))+0.30*(2*((SIN(((A63)*12.9898+(Inputs!$C$6)*78.233+Inputs!$C$47*37.719))*43758.5453)-INT((SIN(((A63)*12.9898+(Inputs!$C$6)*78.233+Inputs!$C$47*37.719))*43758.5453)))-1)))</x:f>
        <x:v>326.24732503276135</x:v>
      </x:c>
      <x:c r="Z63" s="48" t="n">
        <x:f>B63-X63/1000</x:f>
        <x:v>401.0031123227422</x:v>
      </x:c>
      <x:c r="AA63" s="48" t="n">
        <x:f>SQRT((Inputs!$C$52+B63)^2+(Inputs!$C$52+Y63/1000)^2-2*(Inputs!$C$52+B63)*(Inputs!$C$52+Y63/1000)*COS(SQRT(A63^2+Inputs!$C$6^2)/Inputs!$C$52))</x:f>
        <x:v>402.9797043741879</x:v>
      </x:c>
      <x:c r="AB63" s="48" t="n">
        <x:f>(AA63-Z63)*1000</x:f>
        <x:v>1976.5920514457207</x:v>
      </x:c>
      <x:c r="AC63" s="48" t="n">
        <x:f>AB63/Inputs!$C$12</x:f>
        <x:v>1110.444972722315</x:v>
      </x:c>
      <x:c r="AD63" s="48" t="n">
        <x:f>2*AB63/Inputs!$C$21*1000000</x:f>
        <x:v>13.18640278432702</x:v>
      </x:c>
      <x:c r="AE63" s="48" t="n">
        <x:f>DEGREES(ATAN(H63/(B63-Y63/1000)))</x:f>
        <x:v>5.512915538417944</x:v>
      </x:c>
      <x:c r="AF63" s="48" t="n">
        <x:f>DEGREES((2*PI()/Inputs!$C$13)*Inputs!$C$15*SIN(RADIANS(AE63)))</x:f>
        <x:v>34.58524714934782</x:v>
      </x:c>
      <x:c r="AG63" s="48" t="n">
        <x:f>(Z63/AA63)^4</x:f>
        <x:v>0.9805241115448593</x:v>
      </x:c>
      <x:c r="AH63" s="48" t="n">
        <x:f>10*LOG10(AG63)</x:f>
        <x:v>-0.0854172236118253</x:v>
      </x:c>
      <x:c r="AI63" s="48" t="n">
        <x:f>AC63-F63</x:f>
        <x:v>-202.2674716434285</x:v>
      </x:c>
      <x:c r="AJ63" s="48" t="n">
        <x:f>AD63-G63</x:f>
        <x:v>-2.4019023155365904</x:v>
      </x:c>
      <x:c r="AK63" s="48" t="n">
        <x:f>Y63-X63</x:f>
        <x:v>362.4152033305376</x:v>
      </x:c>
      <x:c r="AL63" s="48" t="n">
        <x:f>1000*(AA64-AA62)/(A64-A62)*Inputs!$C$11</x:f>
        <x:v>-608.8556505005727</x:v>
      </x:c>
      <x:c r="AM63" s="48" t="n">
        <x:f>-2*AL63/Inputs!$C$13</x:f>
        <x:v>243.54226020022907</x:v>
      </x:c>
      <x:c r="AN63" s="48" t="n">
        <x:f>-2*AL63/Inputs!$C$14</x:f>
        <x:v>36.56790693697133</x:v>
      </x:c>
      <x:c r="AO63" s="48" t="n">
        <x:f>ABS(AM63)</x:f>
        <x:v>243.54226020022907</x:v>
      </x:c>
      <x:c r="AP63" s="48" t="n">
        <x:f>ABS(AN63)</x:f>
        <x:v>36.56790693697133</x:v>
      </x:c>
      <x:c r="AQ63" s="48" t="n">
        <x:f>IF(OR(Inputs!$C$27=TRUE,Inputs!$C$27="TRUE",Inputs!$C$27=1),Inputs!$C$46/Inputs!$C$12,0)</x:f>
        <x:v>42.13483146067416</x:v>
      </x:c>
      <x:c r="AR63" s="48" t="n">
        <x:f>AC63-AQ63</x:f>
        <x:v>1068.3101412616409</x:v>
      </x:c>
      <x:c r="AS63" s="48" t="n">
        <x:f>AC63+AQ63</x:f>
        <x:v>1152.5798041829892</x:v>
      </x:c>
    </x:row>
    <x:row r="64">
      <x:c r="A64" s="48" t="n">
        <x:f>Inputs!$C$7+62*(Inputs!$C$8-Inputs!$C$7)/240</x:f>
        <x:v>-29</x:v>
      </x:c>
      <x:c r="B64" s="48" t="n">
        <x:f>Inputs!$C$5+Inputs!$C$9*(A64/Inputs!$C$10)^2</x:f>
        <x:v>400.93444444444447</x:v>
      </x:c>
      <x:c r="C64" s="48" t="n">
        <x:f>B64</x:f>
        <x:v>400.93444444444447</x:v>
      </x:c>
      <x:c r="D64" s="48" t="n">
        <x:f>SQRT((Inputs!$C$52+B64)^2+Inputs!$C$52^2-2*(Inputs!$C$52+B64)*Inputs!$C$52*COS(SQRT(A64^2+Inputs!$C$6^2)/Inputs!$C$52))</x:f>
        <x:v>403.2256425326804</x:v>
      </x:c>
      <x:c r="E64" s="48" t="n">
        <x:f>(D64-C64)*1000</x:f>
        <x:v>2291.1980882359444</x:v>
      </x:c>
      <x:c r="F64" s="48" t="n">
        <x:f>E64/Inputs!$C$12</x:f>
        <x:v>1287.1899372112048</x:v>
      </x:c>
      <x:c r="G64" s="48" t="n">
        <x:f>2*E64/Inputs!$C$21*1000000</x:f>
        <x:v>15.285228344443171</x:v>
      </x:c>
      <x:c r="H64" s="48" t="n">
        <x:f>SQRT(A64^2+Inputs!$C$6^2)</x:f>
        <x:v>38.28837943815329</x:v>
      </x:c>
      <x:c r="I64" s="48" t="n">
        <x:f>DEGREES(ATAN(H64/B64))</x:f>
        <x:v>5.455081025841907</x:v>
      </x:c>
      <x:c r="J64" s="48" t="n">
        <x:f>DEGREES((2*PI()/Inputs!$C$13)*Inputs!$C$15*SIN(RADIANS(I64)))</x:f>
        <x:v>34.2235254443067</x:v>
      </x:c>
      <x:c r="K64" s="48" t="n">
        <x:f>(C64/D64)^4</x:f>
        <x:v>0.9774642955027582</x:v>
      </x:c>
      <x:c r="L64" s="48" t="n">
        <x:f>10*LOG10(K64)</x:f>
        <x:v>-0.098990974096728</x:v>
      </x:c>
      <x:c r="M64" s="48" t="n">
        <x:f>2*(Inputs!$C$9/(Inputs!$C$10^2))*A64</x:f>
        <x:v>-0.06444444444444444</x:v>
      </x:c>
      <x:c r="N64" s="48" t="n">
        <x:f>M64*Inputs!$C$11</x:f>
        <x:v>-0.2577777777777778</x:v>
      </x:c>
      <x:c r="O64" s="48" t="n">
        <x:f>1000*(D65-D63)/(A65-A63)*Inputs!$C$11</x:f>
        <x:v>-618.1549253624326</x:v>
      </x:c>
      <x:c r="P64" s="48" t="n">
        <x:f>-2*O64/Inputs!$C$13</x:f>
        <x:v>247.26197014497302</x:v>
      </x:c>
      <x:c r="Q64" s="48" t="n">
        <x:f>-2*O64/Inputs!$C$14</x:f>
        <x:v>37.12642194368964</x:v>
      </x:c>
      <x:c r="R64" s="48" t="n">
        <x:f>F64-Inputs!$C$16/2</x:f>
        <x:v>1272.1899372112048</x:v>
      </x:c>
      <x:c r="S64" s="48" t="n">
        <x:f>F64+Inputs!$C$16/2</x:f>
        <x:v>1302.1899372112048</x:v>
      </x:c>
      <x:c r="T64" s="48" t="n">
        <x:f>F64-Inputs!$C$17/2</x:f>
        <x:v>1137.1899372112048</x:v>
      </x:c>
      <x:c r="U64" s="48" t="n">
        <x:f>F64+Inputs!$C$17/2</x:f>
        <x:v>1437.1899372112048</x:v>
      </x:c>
      <x:c r="V64" s="48" t="n">
        <x:f>ABS(P64)</x:f>
        <x:v>247.26197014497302</x:v>
      </x:c>
      <x:c r="W64" s="48" t="n">
        <x:f>ABS(Q64)</x:f>
        <x:v>37.12642194368964</x:v>
      </x:c>
      <x:c r="X64" s="48" t="n">
        <x: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(0.45*SIN(2*PI()*(((A64)/Inputs!$C$49)+Inputs!$C$47*0.137))+0.35*COS(2*PI()*(((0)/Inputs!$C$50)+Inputs!$C$47*0.173))+0.20*SIN(2*PI()*(((A64)+(0))/(0.5*(Inputs!$C$49+Inputs!$C$50))+Inputs!$C$47*0.097)))+0.30*(2*((SIN(((A64)*12.9898+(0)*78.233+Inputs!$C$47*37.719))*43758.5453)-INT((SIN(((A64)*12.9898+(0)*78.233+Inputs!$C$47*37.719))*43758.5453)))-1)))</x:f>
        <x:v>-22.86382175599607</x:v>
      </x:c>
      <x:c r="Y64" s="48" t="n">
        <x: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(0.45*SIN(2*PI()*(((A64)/Inputs!$C$49)+Inputs!$C$47*0.137))+0.35*COS(2*PI()*(((Inputs!$C$6)/Inputs!$C$50)+Inputs!$C$47*0.173))+0.20*SIN(2*PI()*(((A64)+(Inputs!$C$6))/(0.5*(Inputs!$C$49+Inputs!$C$50))+Inputs!$C$47*0.097)))+0.30*(2*((SIN(((A64)*12.9898+(Inputs!$C$6)*78.233+Inputs!$C$47*37.719))*43758.5453)-INT((SIN(((A64)*12.9898+(Inputs!$C$6)*78.233+Inputs!$C$47*37.719))*43758.5453)))-1)))</x:f>
        <x:v>331.8773601232655</x:v>
      </x:c>
      <x:c r="Z64" s="48" t="n">
        <x:f>B64-X64/1000</x:f>
        <x:v>400.95730826620047</x:v>
      </x:c>
      <x:c r="AA64" s="48" t="n">
        <x:f>SQRT((Inputs!$C$52+B64)^2+(Inputs!$C$52+Y64/1000)^2-2*(Inputs!$C$52+B64)*(Inputs!$C$52+Y64/1000)*COS(SQRT(A64^2+Inputs!$C$6^2)/Inputs!$C$52))</x:f>
        <x:v>402.89613870374245</x:v>
      </x:c>
      <x:c r="AB64" s="48" t="n">
        <x:f>(AA64-Z64)*1000</x:f>
        <x:v>1938.8304375419807</x:v>
      </x:c>
      <x:c r="AC64" s="48" t="n">
        <x:f>AB64/Inputs!$C$12</x:f>
        <x:v>1089.2305828887531</x:v>
      </x:c>
      <x:c r="AD64" s="48" t="n">
        <x:f>2*AB64/Inputs!$C$21*1000000</x:f>
        <x:v>12.934484412826562</x:v>
      </x:c>
      <x:c r="AE64" s="48" t="n">
        <x:f>DEGREES(ATAN(H64/(B64-Y64/1000)))</x:f>
        <x:v>5.459572967954155</x:v>
      </x:c>
      <x:c r="AF64" s="48" t="n">
        <x:f>DEGREES((2*PI()/Inputs!$C$13)*Inputs!$C$15*SIN(RADIANS(AE64)))</x:f>
        <x:v>34.25162121958299</x:v>
      </x:c>
      <x:c r="AG64" s="48" t="n">
        <x:f>(Z64/AA64)^4</x:f>
        <x:v>0.9808895649367982</x:v>
      </x:c>
      <x:c r="AH64" s="48" t="n">
        <x:f>10*LOG10(AG64)</x:f>
        <x:v>-0.0837988562551417</x:v>
      </x:c>
      <x:c r="AI64" s="48" t="n">
        <x:f>AC64-F64</x:f>
        <x:v>-197.95935432245165</x:v>
      </x:c>
      <x:c r="AJ64" s="48" t="n">
        <x:f>AD64-G64</x:f>
        <x:v>-2.350743931616609</x:v>
      </x:c>
      <x:c r="AK64" s="48" t="n">
        <x:f>Y64-X64</x:f>
        <x:v>354.74118187926155</x:v>
      </x:c>
      <x:c r="AL64" s="48" t="n">
        <x:f>1000*(AA65-AA63)/(A65-A63)*Inputs!$C$11</x:f>
        <x:v>-554.948785306351</x:v>
      </x:c>
      <x:c r="AM64" s="48" t="n">
        <x:f>-2*AL64/Inputs!$C$13</x:f>
        <x:v>221.97951412254042</x:v>
      </x:c>
      <x:c r="AN64" s="48" t="n">
        <x:f>-2*AL64/Inputs!$C$14</x:f>
        <x:v>33.33025737575682</x:v>
      </x:c>
      <x:c r="AO64" s="48" t="n">
        <x:f>ABS(AM64)</x:f>
        <x:v>221.97951412254042</x:v>
      </x:c>
      <x:c r="AP64" s="48" t="n">
        <x:f>ABS(AN64)</x:f>
        <x:v>33.33025737575682</x:v>
      </x:c>
      <x:c r="AQ64" s="48" t="n">
        <x:f>IF(OR(Inputs!$C$27=TRUE,Inputs!$C$27="TRUE",Inputs!$C$27=1),Inputs!$C$46/Inputs!$C$12,0)</x:f>
        <x:v>42.13483146067416</x:v>
      </x:c>
      <x:c r="AR64" s="48" t="n">
        <x:f>AC64-AQ64</x:f>
        <x:v>1047.095751428079</x:v>
      </x:c>
      <x:c r="AS64" s="48" t="n">
        <x:f>AC64+AQ64</x:f>
        <x:v>1131.3654143494273</x:v>
      </x:c>
    </x:row>
    <x:row r="65">
      <x:c r="A65" s="48" t="n">
        <x:f>Inputs!$C$7+63*(Inputs!$C$8-Inputs!$C$7)/240</x:f>
        <x:v>-28.5</x:v>
      </x:c>
      <x:c r="B65" s="48" t="n">
        <x:f>Inputs!$C$5+Inputs!$C$9*(A65/Inputs!$C$10)^2</x:f>
        <x:v>400.9025</x:v>
      </x:c>
      <x:c r="C65" s="48" t="n">
        <x:f>B65</x:f>
        <x:v>400.9025</x:v>
      </x:c>
      <x:c r="D65" s="48" t="n">
        <x:f>SQRT((Inputs!$C$52+B65)^2+Inputs!$C$52^2-2*(Inputs!$C$52+B65)*Inputs!$C$52*COS(SQRT(A65^2+Inputs!$C$6^2)/Inputs!$C$52))</x:f>
        <x:v>403.14903386407485</x:v>
      </x:c>
      <x:c r="E65" s="48" t="n">
        <x:f>(D65-C65)*1000</x:f>
        <x:v>2246.533864074877</x:v>
      </x:c>
      <x:c r="F65" s="48" t="n">
        <x:f>E65/Inputs!$C$12</x:f>
        <x:v>1262.09767644656</x:v>
      </x:c>
      <x:c r="G65" s="48" t="n">
        <x:f>2*E65/Inputs!$C$21*1000000</x:f>
        <x:v>14.987260714042893</x:v>
      </x:c>
      <x:c r="H65" s="48" t="n">
        <x:f>SQRT(A65^2+Inputs!$C$6^2)</x:f>
        <x:v>37.911080174534725</x:v>
      </x:c>
      <x:c r="I65" s="48" t="n">
        <x:f>DEGREES(ATAN(H65/B65))</x:f>
        <x:v>5.402073248314196</x:v>
      </x:c>
      <x:c r="J65" s="48" t="n">
        <x:f>DEGREES((2*PI()/Inputs!$C$13)*Inputs!$C$15*SIN(RADIANS(I65)))</x:f>
        <x:v>33.891961563301656</x:v>
      </x:c>
      <x:c r="K65" s="48" t="n">
        <x:f>(C65/D65)^4</x:f>
        <x:v>0.9778957631734654</x:v>
      </x:c>
      <x:c r="L65" s="48" t="n">
        <x:f>10*LOG10(K65)</x:f>
        <x:v>-0.0970743548969278</x:v>
      </x:c>
      <x:c r="M65" s="48" t="n">
        <x:f>2*(Inputs!$C$9/(Inputs!$C$10^2))*A65</x:f>
        <x:v>-0.06333333333333334</x:v>
      </x:c>
      <x:c r="N65" s="48" t="n">
        <x:f>M65*Inputs!$C$11</x:f>
        <x:v>-0.25333333333333335</x:v>
      </x:c>
      <x:c r="O65" s="48" t="n">
        <x:f>1000*(D66-D64)/(A66-A64)*Inputs!$C$11</x:f>
        <x:v>-607.581573135576</x:v>
      </x:c>
      <x:c r="P65" s="48" t="n">
        <x:f>-2*O65/Inputs!$C$13</x:f>
        <x:v>243.03262925423041</x:v>
      </x:c>
      <x:c r="Q65" s="48" t="n">
        <x:f>-2*O65/Inputs!$C$14</x:f>
        <x:v>36.491385773908476</x:v>
      </x:c>
      <x:c r="R65" s="48" t="n">
        <x:f>F65-Inputs!$C$16/2</x:f>
        <x:v>1247.09767644656</x:v>
      </x:c>
      <x:c r="S65" s="48" t="n">
        <x:f>F65+Inputs!$C$16/2</x:f>
        <x:v>1277.09767644656</x:v>
      </x:c>
      <x:c r="T65" s="48" t="n">
        <x:f>F65-Inputs!$C$17/2</x:f>
        <x:v>1112.09767644656</x:v>
      </x:c>
      <x:c r="U65" s="48" t="n">
        <x:f>F65+Inputs!$C$17/2</x:f>
        <x:v>1412.09767644656</x:v>
      </x:c>
      <x:c r="V65" s="48" t="n">
        <x:f>ABS(P65)</x:f>
        <x:v>243.03262925423041</x:v>
      </x:c>
      <x:c r="W65" s="48" t="n">
        <x:f>ABS(Q65)</x:f>
        <x:v>36.491385773908476</x:v>
      </x:c>
      <x:c r="X65" s="48" t="n">
        <x: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(0.45*SIN(2*PI()*(((A65)/Inputs!$C$49)+Inputs!$C$47*0.137))+0.35*COS(2*PI()*(((0)/Inputs!$C$50)+Inputs!$C$47*0.173))+0.20*SIN(2*PI()*(((A65)+(0))/(0.5*(Inputs!$C$49+Inputs!$C$50))+Inputs!$C$47*0.097)))+0.30*(2*((SIN(((A65)*12.9898+(0)*78.233+Inputs!$C$47*37.719))*43758.5453)-INT((SIN(((A65)*12.9898+(0)*78.233+Inputs!$C$47*37.719))*43758.5453)))-1)))</x:f>
        <x:v>-29.731374520275047</x:v>
      </x:c>
      <x:c r="Y65" s="48" t="n">
        <x: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(0.45*SIN(2*PI()*(((A65)/Inputs!$C$49)+Inputs!$C$47*0.137))+0.35*COS(2*PI()*(((Inputs!$C$6)/Inputs!$C$50)+Inputs!$C$47*0.173))+0.20*SIN(2*PI()*(((A65)+(Inputs!$C$6))/(0.5*(Inputs!$C$49+Inputs!$C$50))+Inputs!$C$47*0.097)))+0.30*(2*((SIN(((A65)*12.9898+(Inputs!$C$6)*78.233+Inputs!$C$47*37.719))*43758.5453)-INT((SIN(((A65)*12.9898+(Inputs!$C$6)*78.233+Inputs!$C$47*37.719))*43758.5453)))-1)))</x:f>
        <x:v>310.24247262167495</x:v>
      </x:c>
      <x:c r="Z65" s="48" t="n">
        <x:f>B65-X65/1000</x:f>
        <x:v>400.93223137452026</x:v>
      </x:c>
      <x:c r="AA65" s="48" t="n">
        <x:f>SQRT((Inputs!$C$52+B65)^2+(Inputs!$C$52+Y65/1000)^2-2*(Inputs!$C$52+B65)*(Inputs!$C$52+Y65/1000)*COS(SQRT(A65^2+Inputs!$C$6^2)/Inputs!$C$52))</x:f>
        <x:v>402.84096717786133</x:v>
      </x:c>
      <x:c r="AB65" s="48" t="n">
        <x:f>(AA65-Z65)*1000</x:f>
        <x:v>1908.7358033410737</x:v>
      </x:c>
      <x:c r="AC65" s="48" t="n">
        <x:f>AB65/Inputs!$C$12</x:f>
        <x:v>1072.3234850230751</x:v>
      </x:c>
      <x:c r="AD65" s="48" t="n">
        <x:f>2*AB65/Inputs!$C$21*1000000</x:f>
        <x:v>12.733714624275663</x:v>
      </x:c>
      <x:c r="AE65" s="48" t="n">
        <x:f>DEGREES(ATAN(H65/(B65-Y65/1000)))</x:f>
        <x:v>5.406232156829509</x:v>
      </x:c>
      <x:c r="AF65" s="48" t="n">
        <x:f>DEGREES((2*PI()/Inputs!$C$13)*Inputs!$C$15*SIN(RADIANS(AE65)))</x:f>
        <x:v>33.91797660670998</x:v>
      </x:c>
      <x:c r="AG65" s="48" t="n">
        <x:f>(Z65/AA65)^4</x:f>
        <x:v>0.981181529800894</x:v>
      </x:c>
      <x:c r="AH65" s="48" t="n">
        <x:f>10*LOG10(AG65)</x:f>
        <x:v>-0.08250635741896399</x:v>
      </x:c>
      <x:c r="AI65" s="48" t="n">
        <x:f>AC65-F65</x:f>
        <x:v>-189.7741914234848</x:v>
      </x:c>
      <x:c r="AJ65" s="48" t="n">
        <x:f>AD65-G65</x:f>
        <x:v>-2.25354608976723</x:v>
      </x:c>
      <x:c r="AK65" s="48" t="n">
        <x:f>Y65-X65</x:f>
        <x:v>339.97384714195</x:v>
      </x:c>
      <x:c r="AL65" s="48" t="n">
        <x:f>1000*(AA66-AA64)/(A66-A64)*Inputs!$C$11</x:f>
        <x:v>-534.080812045886</x:v>
      </x:c>
      <x:c r="AM65" s="48" t="n">
        <x:f>-2*AL65/Inputs!$C$13</x:f>
        <x:v>213.6323248183544</x:v>
      </x:c>
      <x:c r="AN65" s="48" t="n">
        <x:f>-2*AL65/Inputs!$C$14</x:f>
        <x:v>32.07692564840156</x:v>
      </x:c>
      <x:c r="AO65" s="48" t="n">
        <x:f>ABS(AM65)</x:f>
        <x:v>213.6323248183544</x:v>
      </x:c>
      <x:c r="AP65" s="48" t="n">
        <x:f>ABS(AN65)</x:f>
        <x:v>32.07692564840156</x:v>
      </x:c>
      <x:c r="AQ65" s="48" t="n">
        <x:f>IF(OR(Inputs!$C$27=TRUE,Inputs!$C$27="TRUE",Inputs!$C$27=1),Inputs!$C$46/Inputs!$C$12,0)</x:f>
        <x:v>42.13483146067416</x:v>
      </x:c>
      <x:c r="AR65" s="48" t="n">
        <x:f>AC65-AQ65</x:f>
        <x:v>1030.188653562401</x:v>
      </x:c>
      <x:c r="AS65" s="48" t="n">
        <x:f>AC65+AQ65</x:f>
        <x:v>1114.4583164837493</x:v>
      </x:c>
    </x:row>
    <x:row r="66">
      <x:c r="A66" s="48" t="n">
        <x:f>Inputs!$C$7+64*(Inputs!$C$8-Inputs!$C$7)/240</x:f>
        <x:v>-28</x:v>
      </x:c>
      <x:c r="B66" s="48" t="n">
        <x:f>Inputs!$C$5+Inputs!$C$9*(A66/Inputs!$C$10)^2</x:f>
        <x:v>400.87111111111113</x:v>
      </x:c>
      <x:c r="C66" s="48" t="n">
        <x:f>B66</x:f>
        <x:v>400.87111111111113</x:v>
      </x:c>
      <x:c r="D66" s="48" t="n">
        <x:f>SQRT((Inputs!$C$52+B66)^2+Inputs!$C$52^2-2*(Inputs!$C$52+B66)*Inputs!$C$52*COS(SQRT(A66^2+Inputs!$C$6^2)/Inputs!$C$52))</x:f>
        <x:v>403.0737471393965</x:v>
      </x:c>
      <x:c r="E66" s="48" t="n">
        <x:f>(D66-C66)*1000</x:f>
        <x:v>2202.636028285383</x:v>
      </x:c>
      <x:c r="F66" s="48" t="n">
        <x:f>E66/Inputs!$C$12</x:f>
        <x:v>1237.4359709468442</x:v>
      </x:c>
      <x:c r="G66" s="48" t="n">
        <x:f>2*E66/Inputs!$C$21*1000000</x:f>
        <x:v>14.6944058765173</x:v>
      </x:c>
      <x:c r="H66" s="48" t="n">
        <x:f>SQRT(A66^2+Inputs!$C$6^2)</x:f>
        <x:v>37.53664875824692</x:v>
      </x:c>
      <x:c r="I66" s="48" t="n">
        <x:f>DEGREES(ATAN(H66/B66))</x:f>
        <x:v>5.349446707466922</x:v>
      </x:c>
      <x:c r="J66" s="48" t="n">
        <x:f>DEGREES((2*PI()/Inputs!$C$13)*Inputs!$C$15*SIN(RADIANS(I66)))</x:f>
        <x:v>33.56275362207757</x:v>
      </x:c>
      <x:c r="K66" s="48" t="n">
        <x:f>(C66/D66)^4</x:f>
        <x:v>0.9783201267983007</x:v>
      </x:c>
      <x:c r="L66" s="48" t="n">
        <x:f>10*LOG10(K66)</x:f>
        <x:v>-0.0951901172274334</x:v>
      </x:c>
      <x:c r="M66" s="48" t="n">
        <x:f>2*(Inputs!$C$9/(Inputs!$C$10^2))*A66</x:f>
        <x:v>-0.06222222222222222</x:v>
      </x:c>
      <x:c r="N66" s="48" t="n">
        <x:f>M66*Inputs!$C$11</x:f>
        <x:v>-0.24888888888888888</x:v>
      </x:c>
      <x:c r="O66" s="48" t="n">
        <x:f>1000*(D67-D65)/(A67-A65)*Inputs!$C$11</x:f>
        <x:v>-597.00385875135</x:v>
      </x:c>
      <x:c r="P66" s="48" t="n">
        <x:f>-2*O66/Inputs!$C$13</x:f>
        <x:v>238.80154350054</x:v>
      </x:c>
      <x:c r="Q66" s="48" t="n">
        <x:f>-2*O66/Inputs!$C$14</x:f>
        <x:v>35.8560876126937</x:v>
      </x:c>
      <x:c r="R66" s="48" t="n">
        <x:f>F66-Inputs!$C$16/2</x:f>
        <x:v>1222.4359709468442</x:v>
      </x:c>
      <x:c r="S66" s="48" t="n">
        <x:f>F66+Inputs!$C$16/2</x:f>
        <x:v>1252.4359709468442</x:v>
      </x:c>
      <x:c r="T66" s="48" t="n">
        <x:f>F66-Inputs!$C$17/2</x:f>
        <x:v>1087.4359709468442</x:v>
      </x:c>
      <x:c r="U66" s="48" t="n">
        <x:f>F66+Inputs!$C$17/2</x:f>
        <x:v>1387.4359709468442</x:v>
      </x:c>
      <x:c r="V66" s="48" t="n">
        <x:f>ABS(P66)</x:f>
        <x:v>238.80154350054</x:v>
      </x:c>
      <x:c r="W66" s="48" t="n">
        <x:f>ABS(Q66)</x:f>
        <x:v>35.8560876126937</x:v>
      </x:c>
      <x:c r="X66" s="48" t="n">
        <x: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(0.45*SIN(2*PI()*(((A66)/Inputs!$C$49)+Inputs!$C$47*0.137))+0.35*COS(2*PI()*(((0)/Inputs!$C$50)+Inputs!$C$47*0.173))+0.20*SIN(2*PI()*(((A66)+(0))/(0.5*(Inputs!$C$49+Inputs!$C$50))+Inputs!$C$47*0.097)))+0.30*(2*((SIN(((A66)*12.9898+(0)*78.233+Inputs!$C$47*37.719))*43758.5453)-INT((SIN(((A66)*12.9898+(0)*78.233+Inputs!$C$47*37.719))*43758.5453)))-1)))</x:f>
        <x:v>-53.01751827704016</x:v>
      </x:c>
      <x:c r="Y66" s="48" t="n">
        <x: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(0.45*SIN(2*PI()*(((A66)/Inputs!$C$49)+Inputs!$C$47*0.137))+0.35*COS(2*PI()*(((Inputs!$C$6)/Inputs!$C$50)+Inputs!$C$47*0.173))+0.20*SIN(2*PI()*(((A66)+(Inputs!$C$6))/(0.5*(Inputs!$C$49+Inputs!$C$50))+Inputs!$C$47*0.097)))+0.30*(2*((SIN(((A66)*12.9898+(Inputs!$C$6)*78.233+Inputs!$C$47*37.719))*43758.5453)-INT((SIN(((A66)*12.9898+(Inputs!$C$6)*78.233+Inputs!$C$47*37.719))*43758.5453)))-1)))</x:f>
        <x:v>313.2831784265769</x:v>
      </x:c>
      <x:c r="Z66" s="48" t="n">
        <x:f>B66-X66/1000</x:f>
        <x:v>400.9241286293882</x:v>
      </x:c>
      <x:c r="AA66" s="48" t="n">
        <x:f>SQRT((Inputs!$C$52+B66)^2+(Inputs!$C$52+Y66/1000)^2-2*(Inputs!$C$52+B66)*(Inputs!$C$52+Y66/1000)*COS(SQRT(A66^2+Inputs!$C$6^2)/Inputs!$C$52))</x:f>
        <x:v>402.762618500731</x:v>
      </x:c>
      <x:c r="AB66" s="48" t="n">
        <x:f>(AA66-Z66)*1000</x:f>
        <x:v>1838.4898713428015</x:v>
      </x:c>
      <x:c r="AC66" s="48" t="n">
        <x:f>AB66/Inputs!$C$12</x:f>
        <x:v>1032.8594782824728</x:v>
      </x:c>
      <x:c r="AD66" s="48" t="n">
        <x:f>2*AB66/Inputs!$C$21*1000000</x:f>
        <x:v>12.265084209308572</x:v>
      </x:c>
      <x:c r="AE66" s="48" t="n">
        <x:f>DEGREES(ATAN(H66/(B66-Y66/1000)))</x:f>
        <x:v>5.353606301664317</x:v>
      </x:c>
      <x:c r="AF66" s="48" t="n">
        <x:f>DEGREES((2*PI()/Inputs!$C$13)*Inputs!$C$15*SIN(RADIANS(AE66)))</x:f>
        <x:v>33.588775204474345</x:v>
      </x:c>
      <x:c r="AG66" s="48" t="n">
        <x:f>(Z66/AA66)^4</x:f>
        <x:v>0.9818658453014801</x:v>
      </x:c>
      <x:c r="AH66" s="48" t="n">
        <x:f>10*LOG10(AG66)</x:f>
        <x:v>-0.07947846862123831</x:v>
      </x:c>
      <x:c r="AI66" s="48" t="n">
        <x:f>AC66-F66</x:f>
        <x:v>-204.57649266437147</x:v>
      </x:c>
      <x:c r="AJ66" s="48" t="n">
        <x:f>AD66-G66</x:f>
        <x:v>-2.429321667208727</x:v>
      </x:c>
      <x:c r="AK66" s="48" t="n">
        <x:f>Y66-X66</x:f>
        <x:v>366.30069670361706</x:v>
      </x:c>
      <x:c r="AL66" s="48" t="n">
        <x:f>1000*(AA67-AA65)/(A67-A65)*Inputs!$C$11</x:f>
        <x:v>-544.105204167181</x:v>
      </x:c>
      <x:c r="AM66" s="48" t="n">
        <x:f>-2*AL66/Inputs!$C$13</x:f>
        <x:v>217.6420816668724</x:v>
      </x:c>
      <x:c r="AN66" s="48" t="n">
        <x:f>-2*AL66/Inputs!$C$14</x:f>
        <x:v>32.678991241272136</x:v>
      </x:c>
      <x:c r="AO66" s="48" t="n">
        <x:f>ABS(AM66)</x:f>
        <x:v>217.6420816668724</x:v>
      </x:c>
      <x:c r="AP66" s="48" t="n">
        <x:f>ABS(AN66)</x:f>
        <x:v>32.678991241272136</x:v>
      </x:c>
      <x:c r="AQ66" s="48" t="n">
        <x:f>IF(OR(Inputs!$C$27=TRUE,Inputs!$C$27="TRUE",Inputs!$C$27=1),Inputs!$C$46/Inputs!$C$12,0)</x:f>
        <x:v>42.13483146067416</x:v>
      </x:c>
      <x:c r="AR66" s="48" t="n">
        <x:f>AC66-AQ66</x:f>
        <x:v>990.7246468217986</x:v>
      </x:c>
      <x:c r="AS66" s="48" t="n">
        <x:f>AC66+AQ66</x:f>
        <x:v>1074.994309743147</x:v>
      </x:c>
    </x:row>
    <x:row r="67">
      <x:c r="A67" s="48" t="n">
        <x:f>Inputs!$C$7+65*(Inputs!$C$8-Inputs!$C$7)/240</x:f>
        <x:v>-27.5</x:v>
      </x:c>
      <x:c r="B67" s="48" t="n">
        <x:f>Inputs!$C$5+Inputs!$C$9*(A67/Inputs!$C$10)^2</x:f>
        <x:v>400.84027777777777</x:v>
      </x:c>
      <x:c r="C67" s="48" t="n">
        <x:f>B67</x:f>
        <x:v>400.84027777777777</x:v>
      </x:c>
      <x:c r="D67" s="48" t="n">
        <x:f>SQRT((Inputs!$C$52+B67)^2+Inputs!$C$52^2-2*(Inputs!$C$52+B67)*Inputs!$C$52*COS(SQRT(A67^2+Inputs!$C$6^2)/Inputs!$C$52))</x:f>
        <x:v>402.999782899387</x:v>
      </x:c>
      <x:c r="E67" s="48" t="n">
        <x:f>(D67-C67)*1000</x:f>
        <x:v>2159.505121609243</x:v>
      </x:c>
      <x:c r="F67" s="48" t="n">
        <x:f>E67/Inputs!$C$12</x:f>
        <x:v>1213.2051244995746</x:v>
      </x:c>
      <x:c r="G67" s="48" t="n">
        <x:f>2*E67/Inputs!$C$21*1000000</x:f>
        <x:v>14.406667439307249</x:v>
      </x:c>
      <x:c r="H67" s="48" t="n">
        <x:f>SQRT(A67^2+Inputs!$C$6^2)</x:f>
        <x:v>37.16517186829626</x:v>
      </x:c>
      <x:c r="I67" s="48" t="n">
        <x:f>DEGREES(ATAN(H67/B67))</x:f>
        <x:v>5.297214287097746</x:v>
      </x:c>
      <x:c r="J67" s="48" t="n">
        <x:f>DEGREES((2*PI()/Inputs!$C$13)*Inputs!$C$15*SIN(RADIANS(I67)))</x:f>
        <x:v>33.23598312233844</x:v>
      </x:c>
      <x:c r="K67" s="48" t="n">
        <x:f>(C67/D67)^4</x:f>
        <x:v>0.9787373658401771</x:v>
      </x:c>
      <x:c r="L67" s="48" t="n">
        <x:f>10*LOG10(K67)</x:f>
        <x:v>-0.09333831045171459</x:v>
      </x:c>
      <x:c r="M67" s="48" t="n">
        <x:f>2*(Inputs!$C$9/(Inputs!$C$10^2))*A67</x:f>
        <x:v>-0.06111111111111111</x:v>
      </x:c>
      <x:c r="N67" s="48" t="n">
        <x:f>M67*Inputs!$C$11</x:f>
        <x:v>-0.24444444444444444</x:v>
      </x:c>
      <x:c r="O67" s="48" t="n">
        <x:f>1000*(D68-D66)/(A68-A66)*Inputs!$C$11</x:f>
        <x:v>-586.4218547242217</x:v>
      </x:c>
      <x:c r="P67" s="48" t="n">
        <x:f>-2*O67/Inputs!$C$13</x:f>
        <x:v>234.56874188968868</x:v>
      </x:c>
      <x:c r="Q67" s="48" t="n">
        <x:f>-2*O67/Inputs!$C$14</x:f>
        <x:v>35.22053181526857</x:v>
      </x:c>
      <x:c r="R67" s="48" t="n">
        <x:f>F67-Inputs!$C$16/2</x:f>
        <x:v>1198.2051244995746</x:v>
      </x:c>
      <x:c r="S67" s="48" t="n">
        <x:f>F67+Inputs!$C$16/2</x:f>
        <x:v>1228.2051244995746</x:v>
      </x:c>
      <x:c r="T67" s="48" t="n">
        <x:f>F67-Inputs!$C$17/2</x:f>
        <x:v>1063.2051244995746</x:v>
      </x:c>
      <x:c r="U67" s="48" t="n">
        <x:f>F67+Inputs!$C$17/2</x:f>
        <x:v>1363.2051244995746</x:v>
      </x:c>
      <x:c r="V67" s="48" t="n">
        <x:f>ABS(P67)</x:f>
        <x:v>234.56874188968868</x:v>
      </x:c>
      <x:c r="W67" s="48" t="n">
        <x:f>ABS(Q67)</x:f>
        <x:v>35.22053181526857</x:v>
      </x:c>
      <x:c r="X67" s="48" t="n">
        <x: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(0.45*SIN(2*PI()*(((A67)/Inputs!$C$49)+Inputs!$C$47*0.137))+0.35*COS(2*PI()*(((0)/Inputs!$C$50)+Inputs!$C$47*0.173))+0.20*SIN(2*PI()*(((A67)+(0))/(0.5*(Inputs!$C$49+Inputs!$C$50))+Inputs!$C$47*0.097)))+0.30*(2*((SIN(((A67)*12.9898+(0)*78.233+Inputs!$C$47*37.719))*43758.5453)-INT((SIN(((A67)*12.9898+(0)*78.233+Inputs!$C$47*37.719))*43758.5453)))-1)))</x:f>
        <x:v>-63.02108594889231</x:v>
      </x:c>
      <x:c r="Y67" s="48" t="n">
        <x: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(0.45*SIN(2*PI()*(((A67)/Inputs!$C$49)+Inputs!$C$47*0.137))+0.35*COS(2*PI()*(((Inputs!$C$6)/Inputs!$C$50)+Inputs!$C$47*0.173))+0.20*SIN(2*PI()*(((A67)+(Inputs!$C$6))/(0.5*(Inputs!$C$49+Inputs!$C$50))+Inputs!$C$47*0.097)))+0.30*(2*((SIN(((A67)*12.9898+(Inputs!$C$6)*78.233+Inputs!$C$47*37.719))*43758.5453)-INT((SIN(((A67)*12.9898+(Inputs!$C$6)*78.233+Inputs!$C$47*37.719))*43758.5453)))-1)))</x:f>
        <x:v>296.8437612590685</x:v>
      </x:c>
      <x:c r="Z67" s="48" t="n">
        <x:f>B67-X67/1000</x:f>
        <x:v>400.90329886372666</x:v>
      </x:c>
      <x:c r="AA67" s="48" t="n">
        <x:f>SQRT((Inputs!$C$52+B67)^2+(Inputs!$C$52+Y67/1000)^2-2*(Inputs!$C$52+B67)*(Inputs!$C$52+Y67/1000)*COS(SQRT(A67^2+Inputs!$C$6^2)/Inputs!$C$52))</x:f>
        <x:v>402.70494087681953</x:v>
      </x:c>
      <x:c r="AB67" s="48" t="n">
        <x:f>(AA67-Z67)*1000</x:f>
        <x:v>1801.6420130928736</x:v>
      </x:c>
      <x:c r="AC67" s="48" t="n">
        <x:f>AB67/Inputs!$C$12</x:f>
        <x:v>1012.1584343218391</x:v>
      </x:c>
      <x:c r="AD67" s="48" t="n">
        <x:f>2*AB67/Inputs!$C$21*1000000</x:f>
        <x:v>12.019261759366032</x:v>
      </x:c>
      <x:c r="AE67" s="48" t="n">
        <x:f>DEGREES(ATAN(H67/(B67-Y67/1000)))</x:f>
        <x:v>5.301117708727071</x:v>
      </x:c>
      <x:c r="AF67" s="48" t="n">
        <x:f>DEGREES((2*PI()/Inputs!$C$13)*Inputs!$C$15*SIN(RADIANS(AE67)))</x:f>
        <x:v>33.260404221020245</x:v>
      </x:c>
      <x:c r="AG67" s="48" t="n">
        <x:f>(Z67/AA67)^4</x:f>
        <x:v>0.9822243291902453</x:v>
      </x:c>
      <x:c r="AH67" s="48" t="n">
        <x:f>10*LOG10(AG67)</x:f>
        <x:v>-0.0778931282077206</x:v>
      </x:c>
      <x:c r="AI67" s="48" t="n">
        <x:f>AC67-F67</x:f>
        <x:v>-201.0466901777355</x:v>
      </x:c>
      <x:c r="AJ67" s="48" t="n">
        <x:f>AD67-G67</x:f>
        <x:v>-2.3874056799412173</x:v>
      </x:c>
      <x:c r="AK67" s="48" t="n">
        <x:f>Y67-X67</x:f>
        <x:v>359.86484720796085</x:v>
      </x:c>
      <x:c r="AL67" s="48" t="n">
        <x:f>1000*(AA68-AA66)/(A68-A66)*Inputs!$C$11</x:f>
        <x:v>-491.6238285468353</x:v>
      </x:c>
      <x:c r="AM67" s="48" t="n">
        <x:f>-2*AL67/Inputs!$C$13</x:f>
        <x:v>196.6495314187341</x:v>
      </x:c>
      <x:c r="AN67" s="48" t="n">
        <x:f>-2*AL67/Inputs!$C$14</x:f>
        <x:v>29.5269566694796</x:v>
      </x:c>
      <x:c r="AO67" s="48" t="n">
        <x:f>ABS(AM67)</x:f>
        <x:v>196.6495314187341</x:v>
      </x:c>
      <x:c r="AP67" s="48" t="n">
        <x:f>ABS(AN67)</x:f>
        <x:v>29.5269566694796</x:v>
      </x:c>
      <x:c r="AQ67" s="48" t="n">
        <x:f>IF(OR(Inputs!$C$27=TRUE,Inputs!$C$27="TRUE",Inputs!$C$27=1),Inputs!$C$46/Inputs!$C$12,0)</x:f>
        <x:v>42.13483146067416</x:v>
      </x:c>
      <x:c r="AR67" s="48" t="n">
        <x:f>AC67-AQ67</x:f>
        <x:v>970.0236028611649</x:v>
      </x:c>
      <x:c r="AS67" s="48" t="n">
        <x:f>AC67+AQ67</x:f>
        <x:v>1054.2932657825133</x:v>
      </x:c>
    </x:row>
    <x:row r="68">
      <x:c r="A68" s="48" t="n">
        <x:f>Inputs!$C$7+66*(Inputs!$C$8-Inputs!$C$7)/240</x:f>
        <x:v>-27</x:v>
      </x:c>
      <x:c r="B68" s="48" t="n">
        <x:f>Inputs!$C$5+Inputs!$C$9*(A68/Inputs!$C$10)^2</x:f>
        <x:v>400.81</x:v>
      </x:c>
      <x:c r="C68" s="48" t="n">
        <x:f>B68</x:f>
        <x:v>400.81</x:v>
      </x:c>
      <x:c r="D68" s="48" t="n">
        <x:f>SQRT((Inputs!$C$52+B68)^2+Inputs!$C$52^2-2*(Inputs!$C$52+B68)*Inputs!$C$52*COS(SQRT(A68^2+Inputs!$C$6^2)/Inputs!$C$52))</x:f>
        <x:v>402.92714167571546</x:v>
      </x:c>
      <x:c r="E68" s="48" t="n">
        <x:f>(D68-C68)*1000</x:f>
        <x:v>2117.141675715459</x:v>
      </x:c>
      <x:c r="F68" s="48" t="n">
        <x:f>E68/Inputs!$C$12</x:f>
        <x:v>1189.4054357952016</x:v>
      </x:c>
      <x:c r="G68" s="48" t="n">
        <x:f>2*E68/Inputs!$C$21*1000000</x:f>
        <x:v>14.12404894932653</x:v>
      </x:c>
      <x:c r="H68" s="48" t="n">
        <x:f>SQRT(A68^2+Inputs!$C$6^2)</x:f>
        <x:v>36.796738985948195</x:v>
      </x:c>
      <x:c r="I68" s="48" t="n">
        <x:f>DEGREES(ATAN(H68/B68))</x:f>
        <x:v>5.2453892719816</x:v>
      </x:c>
      <x:c r="J68" s="48" t="n">
        <x:f>DEGREES((2*PI()/Inputs!$C$13)*Inputs!$C$15*SIN(RADIANS(I68)))</x:f>
        <x:v>32.911734085150734</x:v>
      </x:c>
      <x:c r="K68" s="48" t="n">
        <x:f>(C68/D68)^4</x:f>
        <x:v>0.9791474600818122</x:v>
      </x:c>
      <x:c r="L68" s="48" t="n">
        <x:f>10*LOG10(K68)</x:f>
        <x:v>-0.0915189831200047</x:v>
      </x:c>
      <x:c r="M68" s="48" t="n">
        <x:f>2*(Inputs!$C$9/(Inputs!$C$10^2))*A68</x:f>
        <x:v>-0.06</x:v>
      </x:c>
      <x:c r="N68" s="48" t="n">
        <x:f>M68*Inputs!$C$11</x:f>
        <x:v>-0.24</x:v>
      </x:c>
      <x:c r="O68" s="48" t="n">
        <x:f>1000*(D69-D67)/(A69-A67)*Inputs!$C$11</x:f>
        <x:v>-575.8356337860278</x:v>
      </x:c>
      <x:c r="P68" s="48" t="n">
        <x:f>-2*O68/Inputs!$C$13</x:f>
        <x:v>230.3342535144111</x:v>
      </x:c>
      <x:c r="Q68" s="48" t="n">
        <x:f>-2*O68/Inputs!$C$14</x:f>
        <x:v>34.58472274991158</x:v>
      </x:c>
      <x:c r="R68" s="48" t="n">
        <x:f>F68-Inputs!$C$16/2</x:f>
        <x:v>1174.4054357952016</x:v>
      </x:c>
      <x:c r="S68" s="48" t="n">
        <x:f>F68+Inputs!$C$16/2</x:f>
        <x:v>1204.4054357952016</x:v>
      </x:c>
      <x:c r="T68" s="48" t="n">
        <x:f>F68-Inputs!$C$17/2</x:f>
        <x:v>1039.4054357952016</x:v>
      </x:c>
      <x:c r="U68" s="48" t="n">
        <x:f>F68+Inputs!$C$17/2</x:f>
        <x:v>1339.4054357952016</x:v>
      </x:c>
      <x:c r="V68" s="48" t="n">
        <x:f>ABS(P68)</x:f>
        <x:v>230.3342535144111</x:v>
      </x:c>
      <x:c r="W68" s="48" t="n">
        <x:f>ABS(Q68)</x:f>
        <x:v>34.58472274991158</x:v>
      </x:c>
      <x:c r="X68" s="48" t="n">
        <x: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(0.45*SIN(2*PI()*(((A68)/Inputs!$C$49)+Inputs!$C$47*0.137))+0.35*COS(2*PI()*(((0)/Inputs!$C$50)+Inputs!$C$47*0.173))+0.20*SIN(2*PI()*(((A68)+(0))/(0.5*(Inputs!$C$49+Inputs!$C$50))+Inputs!$C$47*0.097)))+0.30*(2*((SIN(((A68)*12.9898+(0)*78.233+Inputs!$C$47*37.719))*43758.5453)-INT((SIN(((A68)*12.9898+(0)*78.233+Inputs!$C$47*37.719))*43758.5453)))-1)))</x:f>
        <x:v>-69.67153928411518</x:v>
      </x:c>
      <x:c r="Y68" s="48" t="n">
        <x: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(0.45*SIN(2*PI()*(((A68)/Inputs!$C$49)+Inputs!$C$47*0.137))+0.35*COS(2*PI()*(((Inputs!$C$6)/Inputs!$C$50)+Inputs!$C$47*0.173))+0.20*SIN(2*PI()*(((A68)+(Inputs!$C$6))/(0.5*(Inputs!$C$49+Inputs!$C$50))+Inputs!$C$47*0.097)))+0.30*(2*((SIN(((A68)*12.9898+(Inputs!$C$6)*78.233+Inputs!$C$47*37.719))*43758.5453)-INT((SIN(((A68)*12.9898+(Inputs!$C$6)*78.233+Inputs!$C$47*37.719))*43758.5453)))-1)))</x:f>
        <x:v>289.34226854097847</x:v>
      </x:c>
      <x:c r="Z68" s="48" t="n">
        <x:f>B68-X68/1000</x:f>
        <x:v>400.8796715392841</x:v>
      </x:c>
      <x:c r="AA68" s="48" t="n">
        <x:f>SQRT((Inputs!$C$52+B68)^2+(Inputs!$C$52+Y68/1000)^2-2*(Inputs!$C$52+B68)*(Inputs!$C$52+Y68/1000)*COS(SQRT(A68^2+Inputs!$C$6^2)/Inputs!$C$52))</x:f>
        <x:v>402.63971254359427</x:v>
      </x:c>
      <x:c r="AB68" s="48" t="n">
        <x:f>(AA68-Z68)*1000</x:f>
        <x:v>1760.0410043101533</x:v>
      </x:c>
      <x:c r="AC68" s="48" t="n">
        <x:f>AB68/Inputs!$C$12</x:f>
        <x:v>988.7870810731198</x:v>
      </x:c>
      <x:c r="AD68" s="48" t="n">
        <x:f>2*AB68/Inputs!$C$21*1000000</x:f>
        <x:v>11.741729702287262</x:v>
      </x:c>
      <x:c r="AE68" s="48" t="n">
        <x:f>DEGREES(ATAN(H68/(B68-Y68/1000)))</x:f>
        <x:v>5.2491574613212375</x:v>
      </x:c>
      <x:c r="AF68" s="48" t="n">
        <x:f>DEGREES((2*PI()/Inputs!$C$13)*Inputs!$C$15*SIN(RADIANS(AE68)))</x:f>
        <x:v>32.93531109660259</x:v>
      </x:c>
      <x:c r="AG68" s="48" t="n">
        <x:f>(Z68/AA68)^4</x:f>
        <x:v>0.9826292920375455</x:v>
      </x:c>
      <x:c r="AH68" s="48" t="n">
        <x:f>10*LOG10(AG68)</x:f>
        <x:v>-0.0761029375233003</x:v>
      </x:c>
      <x:c r="AI68" s="48" t="n">
        <x:f>AC68-F68</x:f>
        <x:v>-200.6183547220818</x:v>
      </x:c>
      <x:c r="AJ68" s="48" t="n">
        <x:f>AD68-G68</x:f>
        <x:v>-2.382319247039268</x:v>
      </x:c>
      <x:c r="AK68" s="48" t="n">
        <x:f>Y68-X68</x:f>
        <x:v>359.01380782509364</x:v>
      </x:c>
      <x:c r="AL68" s="48" t="n">
        <x:f>1000*(AA69-AA67)/(A69-A67)*Inputs!$C$11</x:f>
        <x:v>-551.1717293163656</x:v>
      </x:c>
      <x:c r="AM68" s="48" t="n">
        <x:f>-2*AL68/Inputs!$C$13</x:f>
        <x:v>220.46869172654624</x:v>
      </x:c>
      <x:c r="AN68" s="48" t="n">
        <x:f>-2*AL68/Inputs!$C$14</x:f>
        <x:v>33.10340716614809</x:v>
      </x:c>
      <x:c r="AO68" s="48" t="n">
        <x:f>ABS(AM68)</x:f>
        <x:v>220.46869172654624</x:v>
      </x:c>
      <x:c r="AP68" s="48" t="n">
        <x:f>ABS(AN68)</x:f>
        <x:v>33.10340716614809</x:v>
      </x:c>
      <x:c r="AQ68" s="48" t="n">
        <x:f>IF(OR(Inputs!$C$27=TRUE,Inputs!$C$27="TRUE",Inputs!$C$27=1),Inputs!$C$46/Inputs!$C$12,0)</x:f>
        <x:v>42.13483146067416</x:v>
      </x:c>
      <x:c r="AR68" s="48" t="n">
        <x:f>AC68-AQ68</x:f>
        <x:v>946.6522496124456</x:v>
      </x:c>
      <x:c r="AS68" s="48" t="n">
        <x:f>AC68+AQ68</x:f>
        <x:v>1030.921912533794</x:v>
      </x:c>
    </x:row>
    <x:row r="69">
      <x:c r="A69" s="48" t="n">
        <x:f>Inputs!$C$7+67*(Inputs!$C$8-Inputs!$C$7)/240</x:f>
        <x:v>-26.5</x:v>
      </x:c>
      <x:c r="B69" s="48" t="n">
        <x:f>Inputs!$C$5+Inputs!$C$9*(A69/Inputs!$C$10)^2</x:f>
        <x:v>400.78027777777777</x:v>
      </x:c>
      <x:c r="C69" s="48" t="n">
        <x:f>B69</x:f>
        <x:v>400.78027777777777</x:v>
      </x:c>
      <x:c r="D69" s="48" t="n">
        <x:f>SQRT((Inputs!$C$52+B69)^2+Inputs!$C$52^2-2*(Inputs!$C$52+B69)*Inputs!$C$52*COS(SQRT(A69^2+Inputs!$C$6^2)/Inputs!$C$52))</x:f>
        <x:v>402.8558239909405</x:v>
      </x:c>
      <x:c r="E69" s="48" t="n">
        <x:f>(D69-C69)*1000</x:f>
        <x:v>2075.5462131627382</x:v>
      </x:c>
      <x:c r="F69" s="48" t="n">
        <x:f>E69/Inputs!$C$12</x:f>
        <x:v>1166.0371984060328</x:v>
      </x:c>
      <x:c r="G69" s="48" t="n">
        <x:f>2*E69/Inputs!$C$21*1000000</x:f>
        <x:v>13.846553892711592</x:v>
      </x:c>
      <x:c r="H69" s="48" t="n">
        <x:f>SQRT(A69^2+Inputs!$C$6^2)</x:f>
        <x:v>36.43144246389374</x:v>
      </x:c>
      <x:c r="I69" s="48" t="n">
        <x:f>DEGREES(ATAN(H69/B69))</x:f>
        <x:v>5.1939853576754125</x:v>
      </x:c>
      <x:c r="J69" s="48" t="n">
        <x:f>DEGREES((2*PI()/Inputs!$C$13)*Inputs!$C$15*SIN(RADIANS(I69)))</x:f>
        <x:v>32.59009311236641</x:v>
      </x:c>
      <x:c r="K69" s="48" t="n">
        <x:f>(C69/D69)^4</x:f>
        <x:v>0.9795503896280839</x:v>
      </x:c>
      <x:c r="L69" s="48" t="n">
        <x:f>10*LOG10(K69)</x:f>
        <x:v>-0.0897321829656479</x:v>
      </x:c>
      <x:c r="M69" s="48" t="n">
        <x:f>2*(Inputs!$C$9/(Inputs!$C$10^2))*A69</x:f>
        <x:v>-0.058888888888888886</x:v>
      </x:c>
      <x:c r="N69" s="48" t="n">
        <x:f>M69*Inputs!$C$11</x:f>
        <x:v>-0.23555555555555555</x:v>
      </x:c>
      <x:c r="O69" s="48" t="n">
        <x:f>1000*(D70-D68)/(A70-A68)*Inputs!$C$11</x:f>
        <x:v>-565.2452688962057</x:v>
      </x:c>
      <x:c r="P69" s="48" t="n">
        <x:f>-2*O69/Inputs!$C$13</x:f>
        <x:v>226.0981075584823</x:v>
      </x:c>
      <x:c r="Q69" s="48" t="n">
        <x:f>-2*O69/Inputs!$C$14</x:f>
        <x:v>33.94866479857092</x:v>
      </x:c>
      <x:c r="R69" s="48" t="n">
        <x:f>F69-Inputs!$C$16/2</x:f>
        <x:v>1151.0371984060328</x:v>
      </x:c>
      <x:c r="S69" s="48" t="n">
        <x:f>F69+Inputs!$C$16/2</x:f>
        <x:v>1181.0371984060328</x:v>
      </x:c>
      <x:c r="T69" s="48" t="n">
        <x:f>F69-Inputs!$C$17/2</x:f>
        <x:v>1016.0371984060328</x:v>
      </x:c>
      <x:c r="U69" s="48" t="n">
        <x:f>F69+Inputs!$C$17/2</x:f>
        <x:v>1316.0371984060328</x:v>
      </x:c>
      <x:c r="V69" s="48" t="n">
        <x:f>ABS(P69)</x:f>
        <x:v>226.0981075584823</x:v>
      </x:c>
      <x:c r="W69" s="48" t="n">
        <x:f>ABS(Q69)</x:f>
        <x:v>33.94866479857092</x:v>
      </x:c>
      <x:c r="X69" s="48" t="n">
        <x: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(0.45*SIN(2*PI()*(((A69)/Inputs!$C$49)+Inputs!$C$47*0.137))+0.35*COS(2*PI()*(((0)/Inputs!$C$50)+Inputs!$C$47*0.173))+0.20*SIN(2*PI()*(((A69)+(0))/(0.5*(Inputs!$C$49+Inputs!$C$50))+Inputs!$C$47*0.097)))+0.30*(2*((SIN(((A69)*12.9898+(0)*78.233+Inputs!$C$47*37.719))*43758.5453)-INT((SIN(((A69)*12.9898+(0)*78.233+Inputs!$C$47*37.719))*43758.5453)))-1)))</x:f>
        <x:v>-78.11942002863731</x:v>
      </x:c>
      <x:c r="Y69" s="48" t="n">
        <x: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(0.45*SIN(2*PI()*(((A69)/Inputs!$C$49)+Inputs!$C$47*0.137))+0.35*COS(2*PI()*(((Inputs!$C$6)/Inputs!$C$50)+Inputs!$C$47*0.173))+0.20*SIN(2*PI()*(((A69)+(Inputs!$C$6))/(0.5*(Inputs!$C$49+Inputs!$C$50))+Inputs!$C$47*0.097)))+0.30*(2*((SIN(((A69)*12.9898+(Inputs!$C$6)*78.233+Inputs!$C$47*37.719))*43758.5453)-INT((SIN(((A69)*12.9898+(Inputs!$C$6)*78.233+Inputs!$C$47*37.719))*43758.5453)))-1)))</x:f>
        <x:v>290.55977847508683</x:v>
      </x:c>
      <x:c r="Z69" s="48" t="n">
        <x:f>B69-X69/1000</x:f>
        <x:v>400.8583971978064</x:v>
      </x:c>
      <x:c r="AA69" s="48" t="n">
        <x:f>SQRT((Inputs!$C$52+B69)^2+(Inputs!$C$52+Y69/1000)^2-2*(Inputs!$C$52+B69)*(Inputs!$C$52+Y69/1000)*COS(SQRT(A69^2+Inputs!$C$6^2)/Inputs!$C$52))</x:f>
        <x:v>402.56714794449044</x:v>
      </x:c>
      <x:c r="AB69" s="48" t="n">
        <x:f>(AA69-Z69)*1000</x:f>
        <x:v>1708.750746684018</x:v>
      </x:c>
      <x:c r="AC69" s="48" t="n">
        <x:f>AB69/Inputs!$C$12</x:f>
        <x:v>959.9723295977628</x:v>
      </x:c>
      <x:c r="AD69" s="48" t="n">
        <x:f>2*AB69/Inputs!$C$21*1000000</x:f>
        <x:v>11.399557934736423</x:v>
      </x:c>
      <x:c r="AE69" s="48" t="n">
        <x:f>DEGREES(ATAN(H69/(B69-Y69/1000)))</x:f>
        <x:v>5.197733019118267</x:v>
      </x:c>
      <x:c r="AF69" s="48" t="n">
        <x:f>DEGREES((2*PI()/Inputs!$C$13)*Inputs!$C$15*SIN(RADIANS(AE69)))</x:f>
        <x:v>32.613543606751506</x:v>
      </x:c>
      <x:c r="AG69" s="48" t="n">
        <x:f>(Z69/AA69)^4</x:f>
        <x:v>0.983129254601212</x:v>
      </x:c>
      <x:c r="AH69" s="48" t="n">
        <x:f>10*LOG10(AG69)</x:f>
        <x:v>-0.07389380570890029</x:v>
      </x:c>
      <x:c r="AI69" s="48" t="n">
        <x:f>AC69-F69</x:f>
        <x:v>-206.06486880826992</x:v>
      </x:c>
      <x:c r="AJ69" s="48" t="n">
        <x:f>AD69-G69</x:f>
        <x:v>-2.446995957975169</x:v>
      </x:c>
      <x:c r="AK69" s="48" t="n">
        <x:f>Y69-X69</x:f>
        <x:v>368.67919850372414</x:v>
      </x:c>
      <x:c r="AL69" s="48" t="n">
        <x:f>1000*(AA70-AA68)/(A70-A68)*Inputs!$C$11</x:f>
        <x:v>-495.59379531910963</x:v>
      </x:c>
      <x:c r="AM69" s="48" t="n">
        <x:f>-2*AL69/Inputs!$C$13</x:f>
        <x:v>198.23751812764385</x:v>
      </x:c>
      <x:c r="AN69" s="48" t="n">
        <x:f>-2*AL69/Inputs!$C$14</x:f>
        <x:v>29.765393112258838</x:v>
      </x:c>
      <x:c r="AO69" s="48" t="n">
        <x:f>ABS(AM69)</x:f>
        <x:v>198.23751812764385</x:v>
      </x:c>
      <x:c r="AP69" s="48" t="n">
        <x:f>ABS(AN69)</x:f>
        <x:v>29.765393112258838</x:v>
      </x:c>
      <x:c r="AQ69" s="48" t="n">
        <x:f>IF(OR(Inputs!$C$27=TRUE,Inputs!$C$27="TRUE",Inputs!$C$27=1),Inputs!$C$46/Inputs!$C$12,0)</x:f>
        <x:v>42.13483146067416</x:v>
      </x:c>
      <x:c r="AR69" s="48" t="n">
        <x:f>AC69-AQ69</x:f>
        <x:v>917.8374981370887</x:v>
      </x:c>
      <x:c r="AS69" s="48" t="n">
        <x:f>AC69+AQ69</x:f>
        <x:v>1002.107161058437</x:v>
      </x:c>
    </x:row>
    <x:row r="70">
      <x:c r="A70" s="48" t="n">
        <x:f>Inputs!$C$7+68*(Inputs!$C$8-Inputs!$C$7)/240</x:f>
        <x:v>-26</x:v>
      </x:c>
      <x:c r="B70" s="48" t="n">
        <x:f>Inputs!$C$5+Inputs!$C$9*(A70/Inputs!$C$10)^2</x:f>
        <x:v>400.75111111111113</x:v>
      </x:c>
      <x:c r="C70" s="48" t="n">
        <x:f>B70</x:f>
        <x:v>400.75111111111113</x:v>
      </x:c>
      <x:c r="D70" s="48" t="n">
        <x:f>SQRT((Inputs!$C$52+B70)^2+Inputs!$C$52^2-2*(Inputs!$C$52+B70)*Inputs!$C$52*COS(SQRT(A70^2+Inputs!$C$6^2)/Inputs!$C$52))</x:f>
        <x:v>402.7858303584914</x:v>
      </x:c>
      <x:c r="E70" s="48" t="n">
        <x:f>(D70-C70)*1000</x:f>
        <x:v>2034.7192473802806</x:v>
      </x:c>
      <x:c r="F70" s="48" t="n">
        <x:f>E70/Inputs!$C$12</x:f>
        <x:v>1143.1007007754386</x:v>
      </x:c>
      <x:c r="G70" s="48" t="n">
        <x:f>2*E70/Inputs!$C$21*1000000</x:f>
        <x:v>13.574185694693364</x:v>
      </x:c>
      <x:c r="H70" s="48" t="n">
        <x:f>SQRT(A70^2+Inputs!$C$6^2)</x:f>
        <x:v>36.069377593742864</x:v>
      </x:c>
      <x:c r="I70" s="48" t="n">
        <x:f>DEGREES(ATAN(H70/B70))</x:f>
        <x:v>5.143016660077165</x:v>
      </x:c>
      <x:c r="J70" s="48" t="n">
        <x:f>DEGREES((2*PI()/Inputs!$C$13)*Inputs!$C$15*SIN(RADIANS(I70)))</x:f>
        <x:v>32.27114944649454</x:v>
      </x:c>
      <x:c r="K70" s="48" t="n">
        <x:f>(C70/D70)^4</x:f>
        <x:v>0.9799461349081803</x:v>
      </x:c>
      <x:c r="L70" s="48" t="n">
        <x:f>10*LOG10(K70)</x:f>
        <x:v>-0.087977956902271</x:v>
      </x:c>
      <x:c r="M70" s="48" t="n">
        <x:f>2*(Inputs!$C$9/(Inputs!$C$10^2))*A70</x:f>
        <x:v>-0.057777777777777775</x:v>
      </x:c>
      <x:c r="N70" s="48" t="n">
        <x:f>M70*Inputs!$C$11</x:f>
        <x:v>-0.2311111111111111</x:v>
      </x:c>
      <x:c r="O70" s="48" t="n">
        <x:f>1000*(D71-D69)/(A71-A69)*Inputs!$C$11</x:f>
        <x:v>-554.6508331692621</x:v>
      </x:c>
      <x:c r="P70" s="48" t="n">
        <x:f>-2*O70/Inputs!$C$13</x:f>
        <x:v>221.86033326770485</x:v>
      </x:c>
      <x:c r="Q70" s="48" t="n">
        <x:f>-2*O70/Inputs!$C$14</x:f>
        <x:v>33.31236235250824</x:v>
      </x:c>
      <x:c r="R70" s="48" t="n">
        <x:f>F70-Inputs!$C$16/2</x:f>
        <x:v>1128.1007007754386</x:v>
      </x:c>
      <x:c r="S70" s="48" t="n">
        <x:f>F70+Inputs!$C$16/2</x:f>
        <x:v>1158.1007007754386</x:v>
      </x:c>
      <x:c r="T70" s="48" t="n">
        <x:f>F70-Inputs!$C$17/2</x:f>
        <x:v>993.1007007754386</x:v>
      </x:c>
      <x:c r="U70" s="48" t="n">
        <x:f>F70+Inputs!$C$17/2</x:f>
        <x:v>1293.1007007754386</x:v>
      </x:c>
      <x:c r="V70" s="48" t="n">
        <x:f>ABS(P70)</x:f>
        <x:v>221.86033326770485</x:v>
      </x:c>
      <x:c r="W70" s="48" t="n">
        <x:f>ABS(Q70)</x:f>
        <x:v>33.31236235250824</x:v>
      </x:c>
      <x:c r="X70" s="48" t="n">
        <x: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(0.45*SIN(2*PI()*(((A70)/Inputs!$C$49)+Inputs!$C$47*0.137))+0.35*COS(2*PI()*(((0)/Inputs!$C$50)+Inputs!$C$47*0.173))+0.20*SIN(2*PI()*(((A70)+(0))/(0.5*(Inputs!$C$49+Inputs!$C$50))+Inputs!$C$47*0.097)))+0.30*(2*((SIN(((A70)*12.9898+(0)*78.233+Inputs!$C$47*37.719))*43758.5453)-INT((SIN(((A70)*12.9898+(0)*78.233+Inputs!$C$47*37.719))*43758.5453)))-1)))</x:f>
        <x:v>-82.17349441978894</x:v>
      </x:c>
      <x:c r="Y70" s="48" t="n">
        <x: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(0.45*SIN(2*PI()*(((A70)/Inputs!$C$49)+Inputs!$C$47*0.137))+0.35*COS(2*PI()*(((Inputs!$C$6)/Inputs!$C$50)+Inputs!$C$47*0.173))+0.20*SIN(2*PI()*(((A70)+(Inputs!$C$6))/(0.5*(Inputs!$C$49+Inputs!$C$50))+Inputs!$C$47*0.097)))+0.30*(2*((SIN(((A70)*12.9898+(Inputs!$C$6)*78.233+Inputs!$C$47*37.719))*43758.5453)-INT((SIN(((A70)*12.9898+(Inputs!$C$6)*78.233+Inputs!$C$47*37.719))*43758.5453)))-1)))</x:f>
        <x:v>271.74352983421755</x:v>
      </x:c>
      <x:c r="Z70" s="48" t="n">
        <x:f>B70-X70/1000</x:f>
        <x:v>400.83328460553093</x:v>
      </x:c>
      <x:c r="AA70" s="48" t="n">
        <x:f>SQRT((Inputs!$C$52+B70)^2+(Inputs!$C$52+Y70/1000)^2-2*(Inputs!$C$52+B70)*(Inputs!$C$52+Y70/1000)*COS(SQRT(A70^2+Inputs!$C$6^2)/Inputs!$C$52))</x:f>
        <x:v>402.5158140947645</x:v>
      </x:c>
      <x:c r="AB70" s="48" t="n">
        <x:f>(AA70-Z70)*1000</x:f>
        <x:v>1682.5294892335592</x:v>
      </x:c>
      <x:c r="AC70" s="48" t="n">
        <x:f>AB70/Inputs!$C$12</x:f>
        <x:v>945.2412860862692</x:v>
      </x:c>
      <x:c r="AD70" s="48" t="n">
        <x:f>2*AB70/Inputs!$C$21*1000000</x:f>
        <x:v>11.224628534408023</x:v>
      </x:c>
      <x:c r="AE70" s="48" t="n">
        <x:f>DEGREES(ATAN(H70/(B70-Y70/1000)))</x:f>
        <x:v>5.146487697405828</x:v>
      </x:c>
      <x:c r="AF70" s="48" t="n">
        <x:f>DEGREES((2*PI()/Inputs!$C$13)*Inputs!$C$15*SIN(RADIANS(AE70)))</x:f>
        <x:v>32.29287075525432</x:v>
      </x:c>
      <x:c r="AG70" s="48" t="n">
        <x:f>(Z70/AA70)^4</x:f>
        <x:v>0.983384411201453</x:v>
      </x:c>
      <x:c r="AH70" s="48" t="n">
        <x:f>10*LOG10(AG70)</x:f>
        <x:v>-0.072766805108246</x:v>
      </x:c>
      <x:c r="AI70" s="48" t="n">
        <x:f>AC70-F70</x:f>
        <x:v>-197.8594146891694</x:v>
      </x:c>
      <x:c r="AJ70" s="48" t="n">
        <x:f>AD70-G70</x:f>
        <x:v>-2.3495571602853413</x:v>
      </x:c>
      <x:c r="AK70" s="48" t="n">
        <x:f>Y70-X70</x:f>
        <x:v>353.9170242540065</x:v>
      </x:c>
      <x:c r="AL70" s="48" t="n">
        <x:f>1000*(AA71-AA69)/(A71-A69)*Inputs!$C$11</x:f>
        <x:v>-480.0642163863813</x:v>
      </x:c>
      <x:c r="AM70" s="48" t="n">
        <x:f>-2*AL70/Inputs!$C$13</x:f>
        <x:v>192.02568655455252</x:v>
      </x:c>
      <x:c r="AN70" s="48" t="n">
        <x:f>-2*AL70/Inputs!$C$14</x:f>
        <x:v>28.83268566885173</x:v>
      </x:c>
      <x:c r="AO70" s="48" t="n">
        <x:f>ABS(AM70)</x:f>
        <x:v>192.02568655455252</x:v>
      </x:c>
      <x:c r="AP70" s="48" t="n">
        <x:f>ABS(AN70)</x:f>
        <x:v>28.83268566885173</x:v>
      </x:c>
      <x:c r="AQ70" s="48" t="n">
        <x:f>IF(OR(Inputs!$C$27=TRUE,Inputs!$C$27="TRUE",Inputs!$C$27=1),Inputs!$C$46/Inputs!$C$12,0)</x:f>
        <x:v>42.13483146067416</x:v>
      </x:c>
      <x:c r="AR70" s="48" t="n">
        <x:f>AC70-AQ70</x:f>
        <x:v>903.106454625595</x:v>
      </x:c>
      <x:c r="AS70" s="48" t="n">
        <x:f>AC70+AQ70</x:f>
        <x:v>987.3761175469433</x:v>
      </x:c>
    </x:row>
    <x:row r="71">
      <x:c r="A71" s="48" t="n">
        <x:f>Inputs!$C$7+69*(Inputs!$C$8-Inputs!$C$7)/240</x:f>
        <x:v>-25.5</x:v>
      </x:c>
      <x:c r="B71" s="48" t="n">
        <x:f>Inputs!$C$5+Inputs!$C$9*(A71/Inputs!$C$10)^2</x:f>
        <x:v>400.7225</x:v>
      </x:c>
      <x:c r="C71" s="48" t="n">
        <x:f>B71</x:f>
        <x:v>400.7225</x:v>
      </x:c>
      <x:c r="D71" s="48" t="n">
        <x:f>SQRT((Inputs!$C$52+B71)^2+Inputs!$C$52^2-2*(Inputs!$C$52+B71)*Inputs!$C$52*COS(SQRT(A71^2+Inputs!$C$6^2)/Inputs!$C$52))</x:f>
        <x:v>402.7171612826482</x:v>
      </x:c>
      <x:c r="E71" s="48" t="n">
        <x:f>(D71-C71)*1000</x:f>
        <x:v>1994.661282648167</x:v>
      </x:c>
      <x:c r="F71" s="48" t="n">
        <x:f>E71/Inputs!$C$12</x:f>
        <x:v>1120.5962262068354</x:v>
      </x:c>
      <x:c r="G71" s="48" t="n">
        <x:f>2*E71/Inputs!$C$21*1000000</x:f>
        <x:v>13.306947719466423</x:v>
      </x:c>
      <x:c r="H71" s="48" t="n">
        <x:f>SQRT(A71^2+Inputs!$C$6^2)</x:f>
        <x:v>35.71064267133819</x:v>
      </x:c>
      <x:c r="I71" s="48" t="n">
        <x:f>DEGREES(ATAN(H71/B71))</x:f>
        <x:v>5.092497724666333</x:v>
      </x:c>
      <x:c r="J71" s="48" t="n">
        <x:f>DEGREES((2*PI()/Inputs!$C$13)*Inputs!$C$15*SIN(RADIANS(I71)))</x:f>
        <x:v>31.95499502856307</x:v>
      </x:c>
      <x:c r="K71" s="48" t="n">
        <x:f>(C71/D71)^4</x:f>
        <x:v>0.9803346766777206</x:v>
      </x:c>
      <x:c r="L71" s="48" t="n">
        <x:f>10*LOG10(K71)</x:f>
        <x:v>-0.08625635102098408</x:v>
      </x:c>
      <x:c r="M71" s="48" t="n">
        <x:f>2*(Inputs!$C$9/(Inputs!$C$10^2))*A71</x:f>
        <x:v>-0.056666666666666664</x:v>
      </x:c>
      <x:c r="N71" s="48" t="n">
        <x:f>M71*Inputs!$C$11</x:f>
        <x:v>-0.22666666666666666</x:v>
      </x:c>
      <x:c r="O71" s="48" t="n">
        <x:f>1000*(D72-D70)/(A72-A70)*Inputs!$C$11</x:f>
        <x:v>-544.0523999498055</x:v>
      </x:c>
      <x:c r="P71" s="48" t="n">
        <x:f>-2*O71/Inputs!$C$13</x:f>
        <x:v>217.6209599799222</x:v>
      </x:c>
      <x:c r="Q71" s="48" t="n">
        <x:f>-2*O71/Inputs!$C$14</x:f>
        <x:v>32.67581981680514</x:v>
      </x:c>
      <x:c r="R71" s="48" t="n">
        <x:f>F71-Inputs!$C$16/2</x:f>
        <x:v>1105.5962262068354</x:v>
      </x:c>
      <x:c r="S71" s="48" t="n">
        <x:f>F71+Inputs!$C$16/2</x:f>
        <x:v>1135.5962262068354</x:v>
      </x:c>
      <x:c r="T71" s="48" t="n">
        <x:f>F71-Inputs!$C$17/2</x:f>
        <x:v>970.5962262068354</x:v>
      </x:c>
      <x:c r="U71" s="48" t="n">
        <x:f>F71+Inputs!$C$17/2</x:f>
        <x:v>1270.5962262068354</x:v>
      </x:c>
      <x:c r="V71" s="48" t="n">
        <x:f>ABS(P71)</x:f>
        <x:v>217.6209599799222</x:v>
      </x:c>
      <x:c r="W71" s="48" t="n">
        <x:f>ABS(Q71)</x:f>
        <x:v>32.67581981680514</x:v>
      </x:c>
      <x:c r="X71" s="48" t="n">
        <x: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(0.45*SIN(2*PI()*(((A71)/Inputs!$C$49)+Inputs!$C$47*0.137))+0.35*COS(2*PI()*(((0)/Inputs!$C$50)+Inputs!$C$47*0.173))+0.20*SIN(2*PI()*(((A71)+(0))/(0.5*(Inputs!$C$49+Inputs!$C$50))+Inputs!$C$47*0.097)))+0.30*(2*((SIN(((A71)*12.9898+(0)*78.233+Inputs!$C$47*37.719))*43758.5453)-INT((SIN(((A71)*12.9898+(0)*78.233+Inputs!$C$47*37.719))*43758.5453)))-1)))</x:f>
        <x:v>-104.31813701930129</x:v>
      </x:c>
      <x:c r="Y71" s="48" t="n">
        <x: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(0.45*SIN(2*PI()*(((A71)/Inputs!$C$49)+Inputs!$C$47*0.137))+0.35*COS(2*PI()*(((Inputs!$C$6)/Inputs!$C$50)+Inputs!$C$47*0.173))+0.20*SIN(2*PI()*(((A71)+(Inputs!$C$6))/(0.5*(Inputs!$C$49+Inputs!$C$50))+Inputs!$C$47*0.097)))+0.30*(2*((SIN(((A71)*12.9898+(Inputs!$C$6)*78.233+Inputs!$C$47*37.719))*43758.5453)-INT((SIN(((A71)*12.9898+(Inputs!$C$6)*78.233+Inputs!$C$47*37.719))*43758.5453)))-1)))</x:f>
        <x:v>271.72277085410076</x:v>
      </x:c>
      <x:c r="Z71" s="48" t="n">
        <x:f>B71-X71/1000</x:f>
        <x:v>400.8268181370193</x:v>
      </x:c>
      <x:c r="AA71" s="48" t="n">
        <x:f>SQRT((Inputs!$C$52+B71)^2+(Inputs!$C$52+Y71/1000)^2-2*(Inputs!$C$52+B71)*(Inputs!$C$52+Y71/1000)*COS(SQRT(A71^2+Inputs!$C$6^2)/Inputs!$C$52))</x:f>
        <x:v>402.44713189039385</x:v>
      </x:c>
      <x:c r="AB71" s="48" t="n">
        <x:f>(AA71-Z71)*1000</x:f>
        <x:v>1620.3137533745462</x:v>
      </x:c>
      <x:c r="AC71" s="48" t="n">
        <x:f>AB71/Inputs!$C$12</x:f>
        <x:v>910.288625491318</x:v>
      </x:c>
      <x:c r="AD71" s="48" t="n">
        <x:f>2*AB71/Inputs!$C$21*1000000</x:f>
        <x:v>10.809569821630044</x:v>
      </x:c>
      <x:c r="AE71" s="48" t="n">
        <x:f>DEGREES(ATAN(H71/(B71-Y71/1000)))</x:f>
        <x:v>5.095935011486882</x:v>
      </x:c>
      <x:c r="AF71" s="48" t="n">
        <x:f>DEGREES((2*PI()/Inputs!$C$13)*Inputs!$C$15*SIN(RADIANS(AE71)))</x:f>
        <x:v>31.97650683074892</x:v>
      </x:c>
      <x:c r="AG71" s="48" t="n">
        <x:f>(Z71/AA71)^4</x:f>
        <x:v>0.9839923864013173</x:v>
      </x:c>
      <x:c r="AH71" s="48" t="n">
        <x:f>10*LOG10(AG71)</x:f>
        <x:v>-0.070082618904953</x:v>
      </x:c>
      <x:c r="AI71" s="48" t="n">
        <x:f>AC71-F71</x:f>
        <x:v>-210.3076007155173</x:v>
      </x:c>
      <x:c r="AJ71" s="48" t="n">
        <x:f>AD71-G71</x:f>
        <x:v>-2.4973778978363796</x:v>
      </x:c>
      <x:c r="AK71" s="48" t="n">
        <x:f>Y71-X71</x:f>
        <x:v>376.04090787340203</x:v>
      </x:c>
      <x:c r="AL71" s="48" t="n">
        <x:f>1000*(AA72-AA70)/(A72-A70)*Inputs!$C$11</x:f>
        <x:v>-498.7118920478224</x:v>
      </x:c>
      <x:c r="AM71" s="48" t="n">
        <x:f>-2*AL71/Inputs!$C$13</x:f>
        <x:v>199.48475681912896</x:v>
      </x:c>
      <x:c r="AN71" s="48" t="n">
        <x:f>-2*AL71/Inputs!$C$14</x:f>
        <x:v>29.952666189058405</x:v>
      </x:c>
      <x:c r="AO71" s="48" t="n">
        <x:f>ABS(AM71)</x:f>
        <x:v>199.48475681912896</x:v>
      </x:c>
      <x:c r="AP71" s="48" t="n">
        <x:f>ABS(AN71)</x:f>
        <x:v>29.952666189058405</x:v>
      </x:c>
      <x:c r="AQ71" s="48" t="n">
        <x:f>IF(OR(Inputs!$C$27=TRUE,Inputs!$C$27="TRUE",Inputs!$C$27=1),Inputs!$C$46/Inputs!$C$12,0)</x:f>
        <x:v>42.13483146067416</x:v>
      </x:c>
      <x:c r="AR71" s="48" t="n">
        <x:f>AC71-AQ71</x:f>
        <x:v>868.1537940306439</x:v>
      </x:c>
      <x:c r="AS71" s="48" t="n">
        <x:f>AC71+AQ71</x:f>
        <x:v>952.4234569519922</x:v>
      </x:c>
    </x:row>
    <x:row r="72">
      <x:c r="A72" s="48" t="n">
        <x:f>Inputs!$C$7+70*(Inputs!$C$8-Inputs!$C$7)/240</x:f>
        <x:v>-25</x:v>
      </x:c>
      <x:c r="B72" s="48" t="n">
        <x:f>Inputs!$C$5+Inputs!$C$9*(A72/Inputs!$C$10)^2</x:f>
        <x:v>400.69444444444446</x:v>
      </x:c>
      <x:c r="C72" s="48" t="n">
        <x:f>B72</x:f>
        <x:v>400.69444444444446</x:v>
      </x:c>
      <x:c r="D72" s="48" t="n">
        <x:f>SQRT((Inputs!$C$52+B72)^2+Inputs!$C$52^2-2*(Inputs!$C$52+B72)*Inputs!$C$52*COS(SQRT(A72^2+Inputs!$C$6^2)/Inputs!$C$52))</x:f>
        <x:v>402.64981725850396</x:v>
      </x:c>
      <x:c r="E72" s="48" t="n">
        <x:f>(D72-C72)*1000</x:f>
        <x:v>1955.3728140595013</x:v>
      </x:c>
      <x:c r="F72" s="48" t="n">
        <x:f>E72/Inputs!$C$12</x:f>
        <x:v>1098.5240528424165</x:v>
      </x:c>
      <x:c r="G72" s="48" t="n">
        <x:f>2*E72/Inputs!$C$21*1000000</x:f>
        <x:v>13.04484326993644</x:v>
      </x:c>
      <x:c r="H72" s="48" t="n">
        <x:f>SQRT(A72^2+Inputs!$C$6^2)</x:f>
        <x:v>35.35533905932738</x:v>
      </x:c>
      <x:c r="I72" s="48" t="n">
        <x:f>DEGREES(ATAN(H72/B72))</x:f>
        <x:v>5.042443535344872</x:v>
      </x:c>
      <x:c r="J72" s="48" t="n">
        <x:f>DEGREES((2*PI()/Inputs!$C$13)*Inputs!$C$15*SIN(RADIANS(I72)))</x:f>
        <x:v>31.64172455346228</x:v>
      </x:c>
      <x:c r="K72" s="48" t="n">
        <x:f>(C72/D72)^4</x:f>
        <x:v>0.9807159960210317</x:v>
      </x:c>
      <x:c r="L72" s="48" t="n">
        <x:f>10*LOG10(K72)</x:f>
        <x:v>-0.08456741058680131</x:v>
      </x:c>
      <x:c r="M72" s="48" t="n">
        <x:f>2*(Inputs!$C$9/(Inputs!$C$10^2))*A72</x:f>
        <x:v>-0.05555555555555555</x:v>
      </x:c>
      <x:c r="N72" s="48" t="n">
        <x:f>M72*Inputs!$C$11</x:f>
        <x:v>-0.2222222222222222</x:v>
      </x:c>
      <x:c r="O72" s="48" t="n">
        <x:f>1000*(D73-D71)/(A73-A71)*Inputs!$C$11</x:f>
        <x:v>-533.4500427779858</x:v>
      </x:c>
      <x:c r="P72" s="48" t="n">
        <x:f>-2*O72/Inputs!$C$13</x:f>
        <x:v>213.38001711119432</x:v>
      </x:c>
      <x:c r="Q72" s="48" t="n">
        <x:f>-2*O72/Inputs!$C$14</x:f>
        <x:v>32.03904160828744</x:v>
      </x:c>
      <x:c r="R72" s="48" t="n">
        <x:f>F72-Inputs!$C$16/2</x:f>
        <x:v>1083.5240528424165</x:v>
      </x:c>
      <x:c r="S72" s="48" t="n">
        <x:f>F72+Inputs!$C$16/2</x:f>
        <x:v>1113.5240528424165</x:v>
      </x:c>
      <x:c r="T72" s="48" t="n">
        <x:f>F72-Inputs!$C$17/2</x:f>
        <x:v>948.5240528424165</x:v>
      </x:c>
      <x:c r="U72" s="48" t="n">
        <x:f>F72+Inputs!$C$17/2</x:f>
        <x:v>1248.5240528424165</x:v>
      </x:c>
      <x:c r="V72" s="48" t="n">
        <x:f>ABS(P72)</x:f>
        <x:v>213.38001711119432</x:v>
      </x:c>
      <x:c r="W72" s="48" t="n">
        <x:f>ABS(Q72)</x:f>
        <x:v>32.03904160828744</x:v>
      </x:c>
      <x:c r="X72" s="48" t="n">
        <x: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(0.45*SIN(2*PI()*(((A72)/Inputs!$C$49)+Inputs!$C$47*0.137))+0.35*COS(2*PI()*(((0)/Inputs!$C$50)+Inputs!$C$47*0.173))+0.20*SIN(2*PI()*(((A72)+(0))/(0.5*(Inputs!$C$49+Inputs!$C$50))+Inputs!$C$47*0.097)))+0.30*(2*((SIN(((A72)*12.9898+(0)*78.233+Inputs!$C$47*37.719))*43758.5453)-INT((SIN(((A72)*12.9898+(0)*78.233+Inputs!$C$47*37.719))*43758.5453)))-1)))</x:f>
        <x:v>-97.55297588358108</x:v>
      </x:c>
      <x:c r="Y72" s="48" t="n">
        <x: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(0.45*SIN(2*PI()*(((A72)/Inputs!$C$49)+Inputs!$C$47*0.137))+0.35*COS(2*PI()*(((Inputs!$C$6)/Inputs!$C$50)+Inputs!$C$47*0.173))+0.20*SIN(2*PI()*(((A72)+(Inputs!$C$6))/(0.5*(Inputs!$C$49+Inputs!$C$50))+Inputs!$C$47*0.097)))+0.30*(2*((SIN(((A72)*12.9898+(Inputs!$C$6)*78.233+Inputs!$C$47*37.719))*43758.5453)-INT((SIN(((A72)*12.9898+(Inputs!$C$6)*78.233+Inputs!$C$47*37.719))*43758.5453)))-1)))</x:f>
        <x:v>260.2713841318971</x:v>
      </x:c>
      <x:c r="Z72" s="48" t="n">
        <x:f>B72-X72/1000</x:f>
        <x:v>400.791997420328</x:v>
      </x:c>
      <x:c r="AA72" s="48" t="n">
        <x:f>SQRT((Inputs!$C$52+B72)^2+(Inputs!$C$52+Y72/1000)^2-2*(Inputs!$C$52+B72)*(Inputs!$C$52+Y72/1000)*COS(SQRT(A72^2+Inputs!$C$6^2)/Inputs!$C$52))</x:f>
        <x:v>402.39113612175254</x:v>
      </x:c>
      <x:c r="AB72" s="48" t="n">
        <x:f>(AA72-Z72)*1000</x:f>
        <x:v>1599.138701424522</x:v>
      </x:c>
      <x:c r="AC72" s="48" t="n">
        <x:f>AB72/Inputs!$C$12</x:f>
        <x:v>898.3925288901809</x:v>
      </x:c>
      <x:c r="AD72" s="48" t="n">
        <x:f>2*AB72/Inputs!$C$21*1000000</x:f>
        <x:v>10.66830508074037</x:v>
      </x:c>
      <x:c r="AE72" s="48" t="n">
        <x:f>DEGREES(ATAN(H72/(B72-Y72/1000)))</x:f>
        <x:v>5.045704073930583</x:v>
      </x:c>
      <x:c r="AF72" s="48" t="n">
        <x:f>DEGREES((2*PI()/Inputs!$C$13)*Inputs!$C$15*SIN(RADIANS(AE72)))</x:f>
        <x:v>31.662131784497483</x:v>
      </x:c>
      <x:c r="AG72" s="48" t="n">
        <x:f>(Z72/AA72)^4</x:f>
        <x:v>0.9841981484469691</x:v>
      </x:c>
      <x:c r="AH72" s="48" t="n">
        <x:f>10*LOG10(AG72)</x:f>
        <x:v>-0.0691745633101815</x:v>
      </x:c>
      <x:c r="AI72" s="48" t="n">
        <x:f>AC72-F72</x:f>
        <x:v>-200.13152395223563</x:v>
      </x:c>
      <x:c r="AJ72" s="48" t="n">
        <x:f>AD72-G72</x:f>
        <x:v>-2.3765381891960704</x:v>
      </x:c>
      <x:c r="AK72" s="48" t="n">
        <x:f>Y72-X72</x:f>
        <x:v>357.8243600154782</x:v>
      </x:c>
      <x:c r="AL72" s="48" t="n">
        <x:f>1000*(AA73-AA71)/(A73-A71)*Inputs!$C$11</x:f>
        <x:v>-552.6814743020623</x:v>
      </x:c>
      <x:c r="AM72" s="48" t="n">
        <x:f>-2*AL72/Inputs!$C$13</x:f>
        <x:v>221.0725897208249</x:v>
      </x:c>
      <x:c r="AN72" s="48" t="n">
        <x:f>-2*AL72/Inputs!$C$14</x:f>
        <x:v>33.194082540664404</x:v>
      </x:c>
      <x:c r="AO72" s="48" t="n">
        <x:f>ABS(AM72)</x:f>
        <x:v>221.0725897208249</x:v>
      </x:c>
      <x:c r="AP72" s="48" t="n">
        <x:f>ABS(AN72)</x:f>
        <x:v>33.194082540664404</x:v>
      </x:c>
      <x:c r="AQ72" s="48" t="n">
        <x:f>IF(OR(Inputs!$C$27=TRUE,Inputs!$C$27="TRUE",Inputs!$C$27=1),Inputs!$C$46/Inputs!$C$12,0)</x:f>
        <x:v>42.13483146067416</x:v>
      </x:c>
      <x:c r="AR72" s="48" t="n">
        <x:f>AC72-AQ72</x:f>
        <x:v>856.2576974295067</x:v>
      </x:c>
      <x:c r="AS72" s="48" t="n">
        <x:f>AC72+AQ72</x:f>
        <x:v>940.527360350855</x:v>
      </x:c>
    </x:row>
    <x:row r="73">
      <x:c r="A73" s="48" t="n">
        <x:f>Inputs!$C$7+71*(Inputs!$C$8-Inputs!$C$7)/240</x:f>
        <x:v>-24.5</x:v>
      </x:c>
      <x:c r="B73" s="48" t="n">
        <x:f>Inputs!$C$5+Inputs!$C$9*(A73/Inputs!$C$10)^2</x:f>
        <x:v>400.6669444444444</x:v>
      </x:c>
      <x:c r="C73" s="48" t="n">
        <x:f>B73</x:f>
        <x:v>400.6669444444444</x:v>
      </x:c>
      <x:c r="D73" s="48" t="n">
        <x:f>SQRT((Inputs!$C$52+B73)^2+Inputs!$C$52^2-2*(Inputs!$C$52+B73)*Inputs!$C$52*COS(SQRT(A73^2+Inputs!$C$6^2)/Inputs!$C$52))</x:f>
        <x:v>402.5837987719537</x:v>
      </x:c>
      <x:c r="E73" s="48" t="n">
        <x:f>(D73-C73)*1000</x:f>
        <x:v>1916.8543275092702</x:v>
      </x:c>
      <x:c r="F73" s="48" t="n">
        <x:f>E73/Inputs!$C$12</x:f>
        <x:v>1076.8844536568934</x:v>
      </x:c>
      <x:c r="G73" s="48" t="n">
        <x:f>2*E73/Inputs!$C$21*1000000</x:f>
        <x:v>12.78787558764584</x:v>
      </x:c>
      <x:c r="H73" s="48" t="n">
        <x:f>SQRT(A73^2+Inputs!$C$6^2)</x:f>
        <x:v>35.00357124637428</x:v>
      </x:c>
      <x:c r="I73" s="48" t="n">
        <x:f>DEGREES(ATAN(H73/B73))</x:f>
        <x:v>4.99286952278949</x:v>
      </x:c>
      <x:c r="J73" s="48" t="n">
        <x:f>DEGREES((2*PI()/Inputs!$C$13)*Inputs!$C$15*SIN(RADIANS(I73)))</x:f>
        <x:v>31.331435522208846</x:v>
      </x:c>
      <x:c r="K73" s="48" t="n">
        <x:f>(C73/D73)^4</x:f>
        <x:v>0.981090074353131</x:v>
      </x:c>
      <x:c r="L73" s="48" t="n">
        <x:f>10*LOG10(K73)</x:f>
        <x:v>-0.08291118003626269</x:v>
      </x:c>
      <x:c r="M73" s="48" t="n">
        <x:f>2*(Inputs!$C$9/(Inputs!$C$10^2))*A73</x:f>
        <x:v>-0.05444444444444444</x:v>
      </x:c>
      <x:c r="N73" s="48" t="n">
        <x:f>M73*Inputs!$C$11</x:f>
        <x:v>-0.21777777777777776</x:v>
      </x:c>
      <x:c r="O73" s="48" t="n">
        <x:f>1000*(D74-D72)/(A74-A72)*Inputs!$C$11</x:f>
        <x:v>-522.8438353706224</x:v>
      </x:c>
      <x:c r="P73" s="48" t="n">
        <x:f>-2*O73/Inputs!$C$13</x:f>
        <x:v>209.13753414824896</x:v>
      </x:c>
      <x:c r="Q73" s="48" t="n">
        <x:f>-2*O73/Inputs!$C$14</x:f>
        <x:v>31.402032154391737</x:v>
      </x:c>
      <x:c r="R73" s="48" t="n">
        <x:f>F73-Inputs!$C$16/2</x:f>
        <x:v>1061.8844536568934</x:v>
      </x:c>
      <x:c r="S73" s="48" t="n">
        <x:f>F73+Inputs!$C$16/2</x:f>
        <x:v>1091.8844536568934</x:v>
      </x:c>
      <x:c r="T73" s="48" t="n">
        <x:f>F73-Inputs!$C$17/2</x:f>
        <x:v>926.8844536568934</x:v>
      </x:c>
      <x:c r="U73" s="48" t="n">
        <x:f>F73+Inputs!$C$17/2</x:f>
        <x:v>1226.8844536568934</x:v>
      </x:c>
      <x:c r="V73" s="48" t="n">
        <x:f>ABS(P73)</x:f>
        <x:v>209.13753414824896</x:v>
      </x:c>
      <x:c r="W73" s="48" t="n">
        <x:f>ABS(Q73)</x:f>
        <x:v>31.402032154391737</x:v>
      </x:c>
      <x:c r="X73" s="48" t="n">
        <x: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(0.45*SIN(2*PI()*(((A73)/Inputs!$C$49)+Inputs!$C$47*0.137))+0.35*COS(2*PI()*(((0)/Inputs!$C$50)+Inputs!$C$47*0.173))+0.20*SIN(2*PI()*(((A73)+(0))/(0.5*(Inputs!$C$49+Inputs!$C$50))+Inputs!$C$47*0.097)))+0.30*(2*((SIN(((A73)*12.9898+(0)*78.233+Inputs!$C$47*37.719))*43758.5453)-INT((SIN(((A73)*12.9898+(0)*78.233+Inputs!$C$47*37.719))*43758.5453)))-1)))</x:f>
        <x:v>-113.61582851930044</x:v>
      </x:c>
      <x:c r="Y73" s="48" t="n">
        <x: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(0.45*SIN(2*PI()*(((A73)/Inputs!$C$49)+Inputs!$C$47*0.137))+0.35*COS(2*PI()*(((Inputs!$C$6)/Inputs!$C$50)+Inputs!$C$47*0.173))+0.20*SIN(2*PI()*(((A73)+(Inputs!$C$6))/(0.5*(Inputs!$C$49+Inputs!$C$50))+Inputs!$C$47*0.097)))+0.30*(2*((SIN(((A73)*12.9898+(Inputs!$C$6)*78.233+Inputs!$C$47*37.719))*43758.5453)-INT((SIN(((A73)*12.9898+(Inputs!$C$6)*78.233+Inputs!$C$47*37.719))*43758.5453)))-1)))</x:f>
        <x:v>276.49363528949897</x:v>
      </x:c>
      <x:c r="Z73" s="48" t="n">
        <x:f>B73-X73/1000</x:f>
        <x:v>400.7805602729637</x:v>
      </x:c>
      <x:c r="AA73" s="48" t="n">
        <x:f>SQRT((Inputs!$C$52+B73)^2+(Inputs!$C$52+Y73/1000)^2-2*(Inputs!$C$52+B73)*(Inputs!$C$52+Y73/1000)*COS(SQRT(A73^2+Inputs!$C$6^2)/Inputs!$C$52))</x:f>
        <x:v>402.30896152181833</x:v>
      </x:c>
      <x:c r="AB73" s="48" t="n">
        <x:f>(AA73-Z73)*1000</x:f>
        <x:v>1528.4012488546068</x:v>
      </x:c>
      <x:c r="AC73" s="48" t="n">
        <x:f>AB73/Inputs!$C$12</x:f>
        <x:v>858.6523869969701</x:v>
      </x:c>
      <x:c r="AD73" s="48" t="n">
        <x:f>2*AB73/Inputs!$C$21*1000000</x:f>
        <x:v>10.196395593478252</x:v>
      </x:c>
      <x:c r="AE73" s="48" t="n">
        <x:f>DEGREES(ATAN(H73/(B73-Y73/1000)))</x:f>
        <x:v>4.996299952552246</x:v>
      </x:c>
      <x:c r="AF73" s="48" t="n">
        <x:f>DEGREES((2*PI()/Inputs!$C$13)*Inputs!$C$15*SIN(RADIANS(AE73)))</x:f>
        <x:v>31.35290770596682</x:v>
      </x:c>
      <x:c r="AG73" s="48" t="n">
        <x:f>(Z73/AA73)^4</x:f>
        <x:v>0.9848900852831368</x:v>
      </x:c>
      <x:c r="AH73" s="48" t="n">
        <x:f>10*LOG10(AG73)</x:f>
        <x:v>-0.0661223449586156</x:v>
      </x:c>
      <x:c r="AI73" s="48" t="n">
        <x:f>AC73-F73</x:f>
        <x:v>-218.23206665992325</x:v>
      </x:c>
      <x:c r="AJ73" s="48" t="n">
        <x:f>AD73-G73</x:f>
        <x:v>-2.591479994167587</x:v>
      </x:c>
      <x:c r="AK73" s="48" t="n">
        <x:f>Y73-X73</x:f>
        <x:v>390.10946380879943</x:v>
      </x:c>
      <x:c r="AL73" s="48" t="n">
        <x:f>1000*(AA74-AA72)/(A74-A72)*Inputs!$C$11</x:f>
        <x:v>-556.1260998363196</x:v>
      </x:c>
      <x:c r="AM73" s="48" t="n">
        <x:f>-2*AL73/Inputs!$C$13</x:f>
        <x:v>222.45043993452782</x:v>
      </x:c>
      <x:c r="AN73" s="48" t="n">
        <x:f>-2*AL73/Inputs!$C$14</x:f>
        <x:v>33.40096695713631</x:v>
      </x:c>
      <x:c r="AO73" s="48" t="n">
        <x:f>ABS(AM73)</x:f>
        <x:v>222.45043993452782</x:v>
      </x:c>
      <x:c r="AP73" s="48" t="n">
        <x:f>ABS(AN73)</x:f>
        <x:v>33.40096695713631</x:v>
      </x:c>
      <x:c r="AQ73" s="48" t="n">
        <x:f>IF(OR(Inputs!$C$27=TRUE,Inputs!$C$27="TRUE",Inputs!$C$27=1),Inputs!$C$46/Inputs!$C$12,0)</x:f>
        <x:v>42.13483146067416</x:v>
      </x:c>
      <x:c r="AR73" s="48" t="n">
        <x:f>AC73-AQ73</x:f>
        <x:v>816.517555536296</x:v>
      </x:c>
      <x:c r="AS73" s="48" t="n">
        <x:f>AC73+AQ73</x:f>
        <x:v>900.7872184576443</x:v>
      </x:c>
    </x:row>
    <x:row r="74">
      <x:c r="A74" s="48" t="n">
        <x:f>Inputs!$C$7+72*(Inputs!$C$8-Inputs!$C$7)/240</x:f>
        <x:v>-24</x:v>
      </x:c>
      <x:c r="B74" s="48" t="n">
        <x:f>Inputs!$C$5+Inputs!$C$9*(A74/Inputs!$C$10)^2</x:f>
        <x:v>400.64</x:v>
      </x:c>
      <x:c r="C74" s="48" t="n">
        <x:f>B74</x:f>
        <x:v>400.64</x:v>
      </x:c>
      <x:c r="D74" s="48" t="n">
        <x:f>SQRT((Inputs!$C$52+B74)^2+Inputs!$C$52^2-2*(Inputs!$C$52+B74)*Inputs!$C$52*COS(SQRT(A74^2+Inputs!$C$6^2)/Inputs!$C$52))</x:f>
        <x:v>402.5191062996613</x:v>
      </x:c>
      <x:c r="E74" s="48" t="n">
        <x:f>(D74-C74)*1000</x:f>
        <x:v>1879.1062996613164</x:v>
      </x:c>
      <x:c r="F74" s="48" t="n">
        <x:f>E74/Inputs!$C$12</x:f>
        <x:v>1055.6776964389417</x:v>
      </x:c>
      <x:c r="G74" s="48" t="n">
        <x:f>2*E74/Inputs!$C$21*1000000</x:f>
        <x:v>12.53604785255349</x:v>
      </x:c>
      <x:c r="H74" s="48" t="n">
        <x:f>SQRT(A74^2+Inputs!$C$6^2)</x:f>
        <x:v>34.655446902326915</x:v>
      </x:c>
      <x:c r="I74" s="48" t="n">
        <x:f>DEGREES(ATAN(H74/B74))</x:f>
        <x:v>4.943791572217107</x:v>
      </x:c>
      <x:c r="J74" s="48" t="n">
        <x:f>DEGREES((2*PI()/Inputs!$C$13)*Inputs!$C$15*SIN(RADIANS(I74)))</x:f>
        <x:v>31.024228290513804</x:v>
      </x:c>
      <x:c r="K74" s="48" t="n">
        <x:f>(C74/D74)^4</x:f>
        <x:v>0.9814568934218927</x:v>
      </x:c>
      <x:c r="L74" s="48" t="n">
        <x:f>10*LOG10(K74)</x:f>
        <x:v>-0.08128770297414839</x:v>
      </x:c>
      <x:c r="M74" s="48" t="n">
        <x:f>2*(Inputs!$C$9/(Inputs!$C$10^2))*A74</x:f>
        <x:v>-0.05333333333333333</x:v>
      </x:c>
      <x:c r="N74" s="48" t="n">
        <x:f>M74*Inputs!$C$11</x:f>
        <x:v>-0.21333333333333332</x:v>
      </x:c>
      <x:c r="O74" s="48" t="n">
        <x:f>1000*(D75-D73)/(A75-A73)*Inputs!$C$11</x:f>
        <x:v>-512.2338516328</x:v>
      </x:c>
      <x:c r="P74" s="48" t="n">
        <x:f>-2*O74/Inputs!$C$13</x:f>
        <x:v>204.89354065312</x:v>
      </x:c>
      <x:c r="Q74" s="48" t="n">
        <x:f>-2*O74/Inputs!$C$14</x:f>
        <x:v>30.764795893861866</x:v>
      </x:c>
      <x:c r="R74" s="48" t="n">
        <x:f>F74-Inputs!$C$16/2</x:f>
        <x:v>1040.6776964389417</x:v>
      </x:c>
      <x:c r="S74" s="48" t="n">
        <x:f>F74+Inputs!$C$16/2</x:f>
        <x:v>1070.6776964389417</x:v>
      </x:c>
      <x:c r="T74" s="48" t="n">
        <x:f>F74-Inputs!$C$17/2</x:f>
        <x:v>905.6776964389417</x:v>
      </x:c>
      <x:c r="U74" s="48" t="n">
        <x:f>F74+Inputs!$C$17/2</x:f>
        <x:v>1205.6776964389417</x:v>
      </x:c>
      <x:c r="V74" s="48" t="n">
        <x:f>ABS(P74)</x:f>
        <x:v>204.89354065312</x:v>
      </x:c>
      <x:c r="W74" s="48" t="n">
        <x:f>ABS(Q74)</x:f>
        <x:v>30.764795893861866</x:v>
      </x:c>
      <x:c r="X74" s="48" t="n">
        <x: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(0.45*SIN(2*PI()*(((A74)/Inputs!$C$49)+Inputs!$C$47*0.137))+0.35*COS(2*PI()*(((0)/Inputs!$C$50)+Inputs!$C$47*0.173))+0.20*SIN(2*PI()*(((A74)+(0))/(0.5*(Inputs!$C$49+Inputs!$C$50))+Inputs!$C$47*0.097)))+0.30*(2*((SIN(((A74)*12.9898+(0)*78.233+Inputs!$C$47*37.719))*43758.5453)-INT((SIN(((A74)*12.9898+(0)*78.233+Inputs!$C$47*37.719))*43758.5453)))-1)))</x:f>
        <x:v>-111.48853690711687</x:v>
      </x:c>
      <x:c r="Y74" s="48" t="n">
        <x: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(0.45*SIN(2*PI()*(((A74)/Inputs!$C$49)+Inputs!$C$47*0.137))+0.35*COS(2*PI()*(((Inputs!$C$6)/Inputs!$C$50)+Inputs!$C$47*0.173))+0.20*SIN(2*PI()*(((A74)+(Inputs!$C$6))/(0.5*(Inputs!$C$49+Inputs!$C$50))+Inputs!$C$47*0.097)))+0.30*(2*((SIN(((A74)*12.9898+(Inputs!$C$6)*78.233+Inputs!$C$47*37.719))*43758.5453)-INT((SIN(((A74)*12.9898+(Inputs!$C$6)*78.233+Inputs!$C$47*37.719))*43758.5453)))-1)))</x:f>
        <x:v>268.5791759815676</x:v>
      </x:c>
      <x:c r="Z74" s="48" t="n">
        <x:f>B74-X74/1000</x:f>
        <x:v>400.7514885369071</x:v>
      </x:c>
      <x:c r="AA74" s="48" t="n">
        <x:f>SQRT((Inputs!$C$52+B74)^2+(Inputs!$C$52+Y74/1000)^2-2*(Inputs!$C$52+B74)*(Inputs!$C$52+Y74/1000)*COS(SQRT(A74^2+Inputs!$C$6^2)/Inputs!$C$52))</x:f>
        <x:v>402.25210459679346</x:v>
      </x:c>
      <x:c r="AB74" s="48" t="n">
        <x:f>(AA74-Z74)*1000</x:f>
        <x:v>1500.6160598863403</x:v>
      </x:c>
      <x:c r="AC74" s="48" t="n">
        <x:f>AB74/Inputs!$C$12</x:f>
        <x:v>843.0427302732248</x:v>
      </x:c>
      <x:c r="AD74" s="48" t="n">
        <x:f>2*AB74/Inputs!$C$21*1000000</x:f>
        <x:v>10.011032765116061</x:v>
      </x:c>
      <x:c r="AE74" s="48" t="n">
        <x:f>DEGREES(ATAN(H74/(B74-Y74/1000)))</x:f>
        <x:v>4.94709153857943</x:v>
      </x:c>
      <x:c r="AF74" s="48" t="n">
        <x:f>DEGREES((2*PI()/Inputs!$C$13)*Inputs!$C$15*SIN(RADIANS(AE74)))</x:f>
        <x:v>31.04488540181378</x:v>
      </x:c>
      <x:c r="AG74" s="48" t="n">
        <x:f>(Z74/AA74)^4</x:f>
        <x:v>0.9851611489077949</x:v>
      </x:c>
      <x:c r="AH74" s="48" t="n">
        <x:f>10*LOG10(AG74)</x:f>
        <x:v>-0.0649272345459167</x:v>
      </x:c>
      <x:c r="AI74" s="48" t="n">
        <x:f>AC74-F74</x:f>
        <x:v>-212.63496616571683</x:v>
      </x:c>
      <x:c r="AJ74" s="48" t="n">
        <x:f>AD74-G74</x:f>
        <x:v>-2.5250150874374295</x:v>
      </x:c>
      <x:c r="AK74" s="48" t="n">
        <x:f>Y74-X74</x:f>
        <x:v>380.06771288868447</x:v>
      </x:c>
      <x:c r="AL74" s="48" t="n">
        <x:f>1000*(AA75-AA73)/(A75-A73)*Inputs!$C$11</x:f>
        <x:v>-502.31324419269185</x:v>
      </x:c>
      <x:c r="AM74" s="48" t="n">
        <x:f>-2*AL74/Inputs!$C$13</x:f>
        <x:v>200.92529767707674</x:v>
      </x:c>
      <x:c r="AN74" s="48" t="n">
        <x:f>-2*AL74/Inputs!$C$14</x:f>
        <x:v>30.16896361517669</x:v>
      </x:c>
      <x:c r="AO74" s="48" t="n">
        <x:f>ABS(AM74)</x:f>
        <x:v>200.92529767707674</x:v>
      </x:c>
      <x:c r="AP74" s="48" t="n">
        <x:f>ABS(AN74)</x:f>
        <x:v>30.16896361517669</x:v>
      </x:c>
      <x:c r="AQ74" s="48" t="n">
        <x:f>IF(OR(Inputs!$C$27=TRUE,Inputs!$C$27="TRUE",Inputs!$C$27=1),Inputs!$C$46/Inputs!$C$12,0)</x:f>
        <x:v>42.13483146067416</x:v>
      </x:c>
      <x:c r="AR74" s="48" t="n">
        <x:f>AC74-AQ74</x:f>
        <x:v>800.9078988125507</x:v>
      </x:c>
      <x:c r="AS74" s="48" t="n">
        <x:f>AC74+AQ74</x:f>
        <x:v>885.177561733899</x:v>
      </x:c>
    </x:row>
    <x:row r="75">
      <x:c r="A75" s="48" t="n">
        <x:f>Inputs!$C$7+73*(Inputs!$C$8-Inputs!$C$7)/240</x:f>
        <x:v>-23.5</x:v>
      </x:c>
      <x:c r="B75" s="48" t="n">
        <x:f>Inputs!$C$5+Inputs!$C$9*(A75/Inputs!$C$10)^2</x:f>
        <x:v>400.6136111111111</x:v>
      </x:c>
      <x:c r="C75" s="48" t="n">
        <x:f>B75</x:f>
        <x:v>400.6136111111111</x:v>
      </x:c>
      <x:c r="D75" s="48" t="n">
        <x:f>SQRT((Inputs!$C$52+B75)^2+Inputs!$C$52^2-2*(Inputs!$C$52+B75)*Inputs!$C$52*COS(SQRT(A75^2+Inputs!$C$6^2)/Inputs!$C$52))</x:f>
        <x:v>402.4557403090455</x:v>
      </x:c>
      <x:c r="E75" s="48" t="n">
        <x:f>(D75-C75)*1000</x:f>
        <x:v>1842.1291979344119</x:v>
      </x:c>
      <x:c r="F75" s="48" t="n">
        <x:f>E75/Inputs!$C$12</x:f>
        <x:v>1034.9040437833773</x:v>
      </x:c>
      <x:c r="G75" s="48" t="n">
        <x:f>2*E75/Inputs!$C$21*1000000</x:f>
        <x:v>12.289363182941793</x:v>
      </x:c>
      <x:c r="H75" s="48" t="n">
        <x:f>SQRT(A75^2+Inputs!$C$6^2)</x:f>
        <x:v>34.311076928595526</x:v>
      </x:c>
      <x:c r="I75" s="48" t="n">
        <x:f>DEGREES(ATAN(H75/B75))</x:f>
        <x:v>4.8952260304560395</x:v>
      </x:c>
      <x:c r="J75" s="48" t="n">
        <x:f>DEGREES((2*PI()/Inputs!$C$13)*Inputs!$C$15*SIN(RADIANS(I75)))</x:f>
        <x:v>30.72020611297858</x:v>
      </x:c>
      <x:c r="K75" s="48" t="n">
        <x:f>(C75/D75)^4</x:f>
        <x:v>0.9818164353100021</x:v>
      </x:c>
      <x:c r="L75" s="48" t="n">
        <x:f>10*LOG10(K75)</x:f>
        <x:v>-0.079697022171028</x:v>
      </x:c>
      <x:c r="M75" s="48" t="n">
        <x:f>2*(Inputs!$C$9/(Inputs!$C$10^2))*A75</x:f>
        <x:v>-0.052222222222222225</x:v>
      </x:c>
      <x:c r="N75" s="48" t="n">
        <x:f>M75*Inputs!$C$11</x:f>
        <x:v>-0.2088888888888889</x:v>
      </x:c>
      <x:c r="O75" s="48" t="n">
        <x:f>1000*(D76-D74)/(A76-A74)*Inputs!$C$11</x:f>
        <x:v>-501.6201656674184</x:v>
      </x:c>
      <x:c r="P75" s="48" t="n">
        <x:f>-2*O75/Inputs!$C$13</x:f>
        <x:v>200.64806626696736</x:v>
      </x:c>
      <x:c r="Q75" s="48" t="n">
        <x:f>-2*O75/Inputs!$C$14</x:f>
        <x:v>30.12733727732243</x:v>
      </x:c>
      <x:c r="R75" s="48" t="n">
        <x:f>F75-Inputs!$C$16/2</x:f>
        <x:v>1019.9040437833773</x:v>
      </x:c>
      <x:c r="S75" s="48" t="n">
        <x:f>F75+Inputs!$C$16/2</x:f>
        <x:v>1049.9040437833773</x:v>
      </x:c>
      <x:c r="T75" s="48" t="n">
        <x:f>F75-Inputs!$C$17/2</x:f>
        <x:v>884.9040437833773</x:v>
      </x:c>
      <x:c r="U75" s="48" t="n">
        <x:f>F75+Inputs!$C$17/2</x:f>
        <x:v>1184.9040437833773</x:v>
      </x:c>
      <x:c r="V75" s="48" t="n">
        <x:f>ABS(P75)</x:f>
        <x:v>200.64806626696736</x:v>
      </x:c>
      <x:c r="W75" s="48" t="n">
        <x:f>ABS(Q75)</x:f>
        <x:v>30.12733727732243</x:v>
      </x:c>
      <x:c r="X75" s="48" t="n">
        <x: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(0.45*SIN(2*PI()*(((A75)/Inputs!$C$49)+Inputs!$C$47*0.137))+0.35*COS(2*PI()*(((0)/Inputs!$C$50)+Inputs!$C$47*0.173))+0.20*SIN(2*PI()*(((A75)+(0))/(0.5*(Inputs!$C$49+Inputs!$C$50))+Inputs!$C$47*0.097)))+0.30*(2*((SIN(((A75)*12.9898+(0)*78.233+Inputs!$C$47*37.719))*43758.5453)-INT((SIN(((A75)*12.9898+(0)*78.233+Inputs!$C$47*37.719))*43758.5453)))-1)))</x:f>
        <x:v>-125.65162794647964</x:v>
      </x:c>
      <x:c r="Y75" s="48" t="n">
        <x: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(0.45*SIN(2*PI()*(((A75)/Inputs!$C$49)+Inputs!$C$47*0.137))+0.35*COS(2*PI()*(((Inputs!$C$6)/Inputs!$C$50)+Inputs!$C$47*0.173))+0.20*SIN(2*PI()*(((A75)+(Inputs!$C$6))/(0.5*(Inputs!$C$49+Inputs!$C$50))+Inputs!$C$47*0.097)))+0.30*(2*((SIN(((A75)*12.9898+(Inputs!$C$6)*78.233+Inputs!$C$47*37.719))*43758.5453)-INT((SIN(((A75)*12.9898+(Inputs!$C$6)*78.233+Inputs!$C$47*37.719))*43758.5453)))-1)))</x:f>
        <x:v>273.93459884711217</x:v>
      </x:c>
      <x:c r="Z75" s="48" t="n">
        <x:f>B75-X75/1000</x:f>
        <x:v>400.73926273905755</x:v>
      </x:c>
      <x:c r="AA75" s="48" t="n">
        <x:f>SQRT((Inputs!$C$52+B75)^2+(Inputs!$C$52+Y75/1000)^2-2*(Inputs!$C$52+B75)*(Inputs!$C$52+Y75/1000)*COS(SQRT(A75^2+Inputs!$C$6^2)/Inputs!$C$52))</x:f>
        <x:v>402.18338321077016</x:v>
      </x:c>
      <x:c r="AB75" s="48" t="n">
        <x:f>(AA75-Z75)*1000</x:f>
        <x:v>1444.1204717126084</x:v>
      </x:c>
      <x:c r="AC75" s="48" t="n">
        <x:f>AB75/Inputs!$C$12</x:f>
        <x:v>811.3036357936002</x:v>
      </x:c>
      <x:c r="AD75" s="48" t="n">
        <x:f>2*AB75/Inputs!$C$21*1000000</x:f>
        <x:v>9.634134770078896</x:v>
      </x:c>
      <x:c r="AE75" s="48" t="n">
        <x:f>DEGREES(ATAN(H75/(B75-Y75/1000)))</x:f>
        <x:v>4.898559322168956</x:v>
      </x:c>
      <x:c r="AF75" s="48" t="n">
        <x:f>DEGREES((2*PI()/Inputs!$C$13)*Inputs!$C$15*SIN(RADIANS(AE75)))</x:f>
        <x:v>30.741073356498177</x:v>
      </x:c>
      <x:c r="AG75" s="48" t="n">
        <x:f>(Z75/AA75)^4</x:f>
        <x:v>0.9857143678638391</x:v>
      </x:c>
      <x:c r="AH75" s="48" t="n">
        <x:f>10*LOG10(AG75)</x:f>
        <x:v>-0.0624891308284589</x:v>
      </x:c>
      <x:c r="AI75" s="48" t="n">
        <x:f>AC75-F75</x:f>
        <x:v>-223.60040798977718</x:v>
      </x:c>
      <x:c r="AJ75" s="48" t="n">
        <x:f>AD75-G75</x:f>
        <x:v>-2.655228412862897</x:v>
      </x:c>
      <x:c r="AK75" s="48" t="n">
        <x:f>Y75-X75</x:f>
        <x:v>399.5862267935918</x:v>
      </x:c>
      <x:c r="AL75" s="48" t="n">
        <x:f>1000*(AA76-AA74)/(A76-A74)*Inputs!$C$11</x:f>
        <x:v>-545.5230634195232</x:v>
      </x:c>
      <x:c r="AM75" s="48" t="n">
        <x:f>-2*AL75/Inputs!$C$13</x:f>
        <x:v>218.20922536780927</x:v>
      </x:c>
      <x:c r="AN75" s="48" t="n">
        <x:f>-2*AL75/Inputs!$C$14</x:f>
        <x:v>32.764147953124514</x:v>
      </x:c>
      <x:c r="AO75" s="48" t="n">
        <x:f>ABS(AM75)</x:f>
        <x:v>218.20922536780927</x:v>
      </x:c>
      <x:c r="AP75" s="48" t="n">
        <x:f>ABS(AN75)</x:f>
        <x:v>32.764147953124514</x:v>
      </x:c>
      <x:c r="AQ75" s="48" t="n">
        <x:f>IF(OR(Inputs!$C$27=TRUE,Inputs!$C$27="TRUE",Inputs!$C$27=1),Inputs!$C$46/Inputs!$C$12,0)</x:f>
        <x:v>42.13483146067416</x:v>
      </x:c>
      <x:c r="AR75" s="48" t="n">
        <x:f>AC75-AQ75</x:f>
        <x:v>769.168804332926</x:v>
      </x:c>
      <x:c r="AS75" s="48" t="n">
        <x:f>AC75+AQ75</x:f>
        <x:v>853.4384672542743</x:v>
      </x:c>
    </x:row>
    <x:row r="76">
      <x:c r="A76" s="48" t="n">
        <x:f>Inputs!$C$7+74*(Inputs!$C$8-Inputs!$C$7)/240</x:f>
        <x:v>-23</x:v>
      </x:c>
      <x:c r="B76" s="48" t="n">
        <x:f>Inputs!$C$5+Inputs!$C$9*(A76/Inputs!$C$10)^2</x:f>
        <x:v>400.5877777777778</x:v>
      </x:c>
      <x:c r="C76" s="48" t="n">
        <x:f>B76</x:f>
        <x:v>400.5877777777778</x:v>
      </x:c>
      <x:c r="D76" s="48" t="n">
        <x:f>SQRT((Inputs!$C$52+B76)^2+Inputs!$C$52^2-2*(Inputs!$C$52+B76)*Inputs!$C$52*COS(SQRT(A76^2+Inputs!$C$6^2)/Inputs!$C$52))</x:f>
        <x:v>402.39370125824445</x:v>
      </x:c>
      <x:c r="E76" s="48" t="n">
        <x:f>(D76-C76)*1000</x:f>
        <x:v>1805.9234804666744</x:v>
      </x:c>
      <x:c r="F76" s="48" t="n">
        <x:f>E76/Inputs!$C$12</x:f>
        <x:v>1014.5637530711654</x:v>
      </x:c>
      <x:c r="G76" s="48" t="n">
        <x:f>2*E76/Inputs!$C$21*1000000</x:f>
        <x:v>12.047824635179278</x:v>
      </x:c>
      <x:c r="H76" s="48" t="n">
        <x:f>SQRT(A76^2+Inputs!$C$6^2)</x:f>
        <x:v>33.97057550292606</x:v>
      </x:c>
      <x:c r="I76" s="48" t="n">
        <x:f>DEGREES(ATAN(H76/B76))</x:f>
        <x:v>4.847189712205752</x:v>
      </x:c>
      <x:c r="J76" s="48" t="n">
        <x:f>DEGREES((2*PI()/Inputs!$C$13)*Inputs!$C$15*SIN(RADIANS(I76)))</x:f>
        <x:v>30.419475182182925</x:v>
      </x:c>
      <x:c r="K76" s="48" t="n">
        <x:f>(C76/D76)^4</x:f>
        <x:v>0.982168682437086</x:v>
      </x:c>
      <x:c r="L76" s="48" t="n">
        <x:f>10*LOG10(K76)</x:f>
        <x:v>-0.078139179559933</x:v>
      </x:c>
      <x:c r="M76" s="48" t="n">
        <x:f>2*(Inputs!$C$9/(Inputs!$C$10^2))*A76</x:f>
        <x:v>-0.051111111111111114</x:v>
      </x:c>
      <x:c r="N76" s="48" t="n">
        <x:f>M76*Inputs!$C$11</x:f>
        <x:v>-0.20444444444444446</x:v>
      </x:c>
      <x:c r="O76" s="48" t="n">
        <x:f>1000*(D77-D75)/(A77-A75)*Inputs!$C$11</x:f>
        <x:v>-491.00285175427416</x:v>
      </x:c>
      <x:c r="P76" s="48" t="n">
        <x:f>-2*O76/Inputs!$C$13</x:f>
        <x:v>196.40114070170966</x:v>
      </x:c>
      <x:c r="Q76" s="48" t="n">
        <x:f>-2*O76/Inputs!$C$14</x:f>
        <x:v>29.489660766022475</x:v>
      </x:c>
      <x:c r="R76" s="48" t="n">
        <x:f>F76-Inputs!$C$16/2</x:f>
        <x:v>999.5637530711654</x:v>
      </x:c>
      <x:c r="S76" s="48" t="n">
        <x:f>F76+Inputs!$C$16/2</x:f>
        <x:v>1029.5637530711654</x:v>
      </x:c>
      <x:c r="T76" s="48" t="n">
        <x:f>F76-Inputs!$C$17/2</x:f>
        <x:v>864.5637530711654</x:v>
      </x:c>
      <x:c r="U76" s="48" t="n">
        <x:f>F76+Inputs!$C$17/2</x:f>
        <x:v>1164.5637530711654</x:v>
      </x:c>
      <x:c r="V76" s="48" t="n">
        <x:f>ABS(P76)</x:f>
        <x:v>196.40114070170966</x:v>
      </x:c>
      <x:c r="W76" s="48" t="n">
        <x:f>ABS(Q76)</x:f>
        <x:v>29.489660766022475</x:v>
      </x:c>
      <x:c r="X76" s="48" t="n">
        <x: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(0.45*SIN(2*PI()*(((A76)/Inputs!$C$49)+Inputs!$C$47*0.137))+0.35*COS(2*PI()*(((0)/Inputs!$C$50)+Inputs!$C$47*0.173))+0.20*SIN(2*PI()*(((A76)+(0))/(0.5*(Inputs!$C$49+Inputs!$C$50))+Inputs!$C$47*0.097)))+0.30*(2*((SIN(((A76)*12.9898+(0)*78.233+Inputs!$C$47*37.719))*43758.5453)-INT((SIN(((A76)*12.9898+(0)*78.233+Inputs!$C$47*37.719))*43758.5453)))-1)))</x:f>
        <x:v>-132.5457898426781</x:v>
      </x:c>
      <x:c r="Y76" s="48" t="n">
        <x: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(0.45*SIN(2*PI()*(((A76)/Inputs!$C$49)+Inputs!$C$47*0.137))+0.35*COS(2*PI()*(((Inputs!$C$6)/Inputs!$C$50)+Inputs!$C$47*0.173))+0.20*SIN(2*PI()*(((A76)+(Inputs!$C$6))/(0.5*(Inputs!$C$49+Inputs!$C$50))+Inputs!$C$47*0.097)))+0.30*(2*((SIN(((A76)*12.9898+(Inputs!$C$6)*78.233+Inputs!$C$47*37.719))*43758.5453)-INT((SIN(((A76)*12.9898+(Inputs!$C$6)*78.233+Inputs!$C$47*37.719))*43758.5453)))-1)))</x:f>
        <x:v>279.55588840773</x:v>
      </x:c>
      <x:c r="Z76" s="48" t="n">
        <x:f>B76-X76/1000</x:f>
        <x:v>400.7203235676204</x:v>
      </x:c>
      <x:c r="AA76" s="48" t="n">
        <x:f>SQRT((Inputs!$C$52+B76)^2+(Inputs!$C$52+Y76/1000)^2-2*(Inputs!$C$52+B76)*(Inputs!$C$52+Y76/1000)*COS(SQRT(A76^2+Inputs!$C$6^2)/Inputs!$C$52))</x:f>
        <x:v>402.1157238309386</x:v>
      </x:c>
      <x:c r="AB76" s="48" t="n">
        <x:f>(AA76-Z76)*1000</x:f>
        <x:v>1395.4002633181517</x:v>
      </x:c>
      <x:c r="AC76" s="48" t="n">
        <x:f>AB76/Inputs!$C$12</x:f>
        <x:v>783.9327322012089</x:v>
      </x:c>
      <x:c r="AD76" s="48" t="n">
        <x:f>2*AB76/Inputs!$C$21*1000000</x:f>
        <x:v>9.309108525459648</x:v>
      </x:c>
      <x:c r="AE76" s="48" t="n">
        <x:f>DEGREES(ATAN(H76/(B76-Y76/1000)))</x:f>
        <x:v>4.850558609905554</x:v>
      </x:c>
      <x:c r="AF76" s="48" t="n">
        <x:f>DEGREES((2*PI()/Inputs!$C$13)*Inputs!$C$15*SIN(RADIANS(AE76)))</x:f>
        <x:v>30.440566835056774</x:v>
      </x:c>
      <x:c r="AG76" s="48" t="n">
        <x:f>(Z76/AA76)^4</x:f>
        <x:v>0.986191500547363</x:v>
      </x:c>
      <x:c r="AH76" s="48" t="n">
        <x:f>10*LOG10(AG76)</x:f>
        <x:v>-0.0603874473865302</x:v>
      </x:c>
      <x:c r="AI76" s="48" t="n">
        <x:f>AC76-F76</x:f>
        <x:v>-230.6310208699565</x:v>
      </x:c>
      <x:c r="AJ76" s="48" t="n">
        <x:f>AD76-G76</x:f>
        <x:v>-2.738716109719631</x:v>
      </x:c>
      <x:c r="AK76" s="48" t="n">
        <x:f>Y76-X76</x:f>
        <x:v>412.1016782504081</x:v>
      </x:c>
      <x:c r="AL76" s="48" t="n">
        <x:f>1000*(AA77-AA75)/(A77-A75)*Inputs!$C$11</x:f>
        <x:v>-542.0228500745452</x:v>
      </x:c>
      <x:c r="AM76" s="48" t="n">
        <x:f>-2*AL76/Inputs!$C$13</x:f>
        <x:v>216.80914002981808</x:v>
      </x:c>
      <x:c r="AN76" s="48" t="n">
        <x:f>-2*AL76/Inputs!$C$14</x:f>
        <x:v>32.553924929402115</x:v>
      </x:c>
      <x:c r="AO76" s="48" t="n">
        <x:f>ABS(AM76)</x:f>
        <x:v>216.80914002981808</x:v>
      </x:c>
      <x:c r="AP76" s="48" t="n">
        <x:f>ABS(AN76)</x:f>
        <x:v>32.553924929402115</x:v>
      </x:c>
      <x:c r="AQ76" s="48" t="n">
        <x:f>IF(OR(Inputs!$C$27=TRUE,Inputs!$C$27="TRUE",Inputs!$C$27=1),Inputs!$C$46/Inputs!$C$12,0)</x:f>
        <x:v>42.13483146067416</x:v>
      </x:c>
      <x:c r="AR76" s="48" t="n">
        <x:f>AC76-AQ76</x:f>
        <x:v>741.7979007405347</x:v>
      </x:c>
      <x:c r="AS76" s="48" t="n">
        <x:f>AC76+AQ76</x:f>
        <x:v>826.067563661883</x:v>
      </x:c>
    </x:row>
    <x:row r="77">
      <x:c r="A77" s="48" t="n">
        <x:f>Inputs!$C$7+75*(Inputs!$C$8-Inputs!$C$7)/240</x:f>
        <x:v>-22.5</x:v>
      </x:c>
      <x:c r="B77" s="48" t="n">
        <x:f>Inputs!$C$5+Inputs!$C$9*(A77/Inputs!$C$10)^2</x:f>
        <x:v>400.5625</x:v>
      </x:c>
      <x:c r="C77" s="48" t="n">
        <x:f>B77</x:f>
        <x:v>400.5625</x:v>
      </x:c>
      <x:c r="D77" s="48" t="n">
        <x:f>SQRT((Inputs!$C$52+B77)^2+Inputs!$C$52^2-2*(Inputs!$C$52+B77)*Inputs!$C$52*COS(SQRT(A77^2+Inputs!$C$6^2)/Inputs!$C$52))</x:f>
        <x:v>402.3329895961069</x:v>
      </x:c>
      <x:c r="E77" s="48" t="n">
        <x:f>(D77-C77)*1000</x:f>
        <x:v>1770.489596106927</x:v>
      </x:c>
      <x:c r="F77" s="48" t="n">
        <x:f>E77/Inputs!$C$12</x:f>
        <x:v>994.6570764645656</x:v>
      </x:c>
      <x:c r="G77" s="48" t="n">
        <x:f>2*E77/Inputs!$C$21*1000000</x:f>
        <x:v>11.811435203662974</x:v>
      </x:c>
      <x:c r="H77" s="48" t="n">
        <x:f>SQRT(A77^2+Inputs!$C$6^2)</x:f>
        <x:v>33.63406011768428</x:v>
      </x:c>
      <x:c r="I77" s="48" t="n">
        <x:f>DEGREES(ATAN(H77/B77))</x:f>
        <x:v>4.799699905357918</x:v>
      </x:c>
      <x:c r="J77" s="48" t="n">
        <x:f>DEGREES((2*PI()/Inputs!$C$13)*Inputs!$C$15*SIN(RADIANS(I77)))</x:f>
        <x:v>30.122144661864603</x:v>
      </x:c>
      <x:c r="K77" s="48" t="n">
        <x:f>(C77/D77)^4</x:f>
        <x:v>0.9825136175615532</x:v>
      </x:c>
      <x:c r="L77" s="48" t="n">
        <x:f>10*LOG10(K77)</x:f>
        <x:v>-0.0766142162342085</x:v>
      </x:c>
      <x:c r="M77" s="48" t="n">
        <x:f>2*(Inputs!$C$9/(Inputs!$C$10^2))*A77</x:f>
        <x:v>-0.05</x:v>
      </x:c>
      <x:c r="N77" s="48" t="n">
        <x:f>M77*Inputs!$C$11</x:f>
        <x:v>-0.2</x:v>
      </x:c>
      <x:c r="O77" s="48" t="n">
        <x:f>1000*(D78-D76)/(A78-A76)*Inputs!$C$11</x:f>
        <x:v>-480.3819843364181</x:v>
      </x:c>
      <x:c r="P77" s="48" t="n">
        <x:f>-2*O77/Inputs!$C$13</x:f>
        <x:v>192.15279373456724</x:v>
      </x:c>
      <x:c r="Q77" s="48" t="n">
        <x:f>-2*O77/Inputs!$C$14</x:f>
        <x:v>28.851770831016104</x:v>
      </x:c>
      <x:c r="R77" s="48" t="n">
        <x:f>F77-Inputs!$C$16/2</x:f>
        <x:v>979.6570764645656</x:v>
      </x:c>
      <x:c r="S77" s="48" t="n">
        <x:f>F77+Inputs!$C$16/2</x:f>
        <x:v>1009.6570764645656</x:v>
      </x:c>
      <x:c r="T77" s="48" t="n">
        <x:f>F77-Inputs!$C$17/2</x:f>
        <x:v>844.6570764645656</x:v>
      </x:c>
      <x:c r="U77" s="48" t="n">
        <x:f>F77+Inputs!$C$17/2</x:f>
        <x:v>1144.6570764645658</x:v>
      </x:c>
      <x:c r="V77" s="48" t="n">
        <x:f>ABS(P77)</x:f>
        <x:v>192.15279373456724</x:v>
      </x:c>
      <x:c r="W77" s="48" t="n">
        <x:f>ABS(Q77)</x:f>
        <x:v>28.851770831016104</x:v>
      </x:c>
      <x:c r="X77" s="48" t="n">
        <x: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(0.45*SIN(2*PI()*(((A77)/Inputs!$C$49)+Inputs!$C$47*0.137))+0.35*COS(2*PI()*(((0)/Inputs!$C$50)+Inputs!$C$47*0.173))+0.20*SIN(2*PI()*(((A77)+(0))/(0.5*(Inputs!$C$49+Inputs!$C$50))+Inputs!$C$47*0.097)))+0.30*(2*((SIN(((A77)*12.9898+(0)*78.233+Inputs!$C$47*37.719))*43758.5453)-INT((SIN(((A77)*12.9898+(0)*78.233+Inputs!$C$47*37.719))*43758.5453)))-1)))</x:f>
        <x:v>-138.29494668428998</x:v>
      </x:c>
      <x:c r="Y77" s="48" t="n">
        <x: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(0.45*SIN(2*PI()*(((A77)/Inputs!$C$49)+Inputs!$C$47*0.137))+0.35*COS(2*PI()*(((Inputs!$C$6)/Inputs!$C$50)+Inputs!$C$47*0.173))+0.20*SIN(2*PI()*(((A77)+(Inputs!$C$6))/(0.5*(Inputs!$C$49+Inputs!$C$50))+Inputs!$C$47*0.097)))+0.30*(2*((SIN(((A77)*12.9898+(Inputs!$C$6)*78.233+Inputs!$C$47*37.719))*43758.5453)-INT((SIN(((A77)*12.9898+(Inputs!$C$6)*78.233+Inputs!$C$47*37.719))*43758.5453)))-1)))</x:f>
        <x:v>286.69936407981004</x:v>
      </x:c>
      <x:c r="Z77" s="48" t="n">
        <x:f>B77-X77/1000</x:f>
        <x:v>400.7007949466843</x:v>
      </x:c>
      <x:c r="AA77" s="48" t="n">
        <x:f>SQRT((Inputs!$C$52+B77)^2+(Inputs!$C$52+Y77/1000)^2-2*(Inputs!$C$52+B77)*(Inputs!$C$52+Y77/1000)*COS(SQRT(A77^2+Inputs!$C$6^2)/Inputs!$C$52))</x:f>
        <x:v>402.0478774982515</x:v>
      </x:c>
      <x:c r="AB77" s="48" t="n">
        <x:f>(AA77-Z77)*1000</x:f>
        <x:v>1347.0825515672118</x:v>
      </x:c>
      <x:c r="AC77" s="48" t="n">
        <x:f>AB77/Inputs!$C$12</x:f>
        <x:v>756.7879503186583</x:v>
      </x:c>
      <x:c r="AD77" s="48" t="n">
        <x:f>2*AB77/Inputs!$C$21*1000000</x:f>
        <x:v>8.986767449414701</x:v>
      </x:c>
      <x:c r="AE77" s="48" t="n">
        <x:f>DEGREES(ATAN(H77/(B77-Y77/1000)))</x:f>
        <x:v>4.803121634431841</x:v>
      </x:c>
      <x:c r="AF77" s="48" t="n">
        <x:f>DEGREES((2*PI()/Inputs!$C$13)*Inputs!$C$15*SIN(RADIANS(AE77)))</x:f>
        <x:v>30.143568574126842</x:v>
      </x:c>
      <x:c r="AG77" s="48" t="n">
        <x:f>(Z77/AA77)^4</x:f>
        <x:v>0.9866649965820771</x:v>
      </x:c>
      <x:c r="AH77" s="48" t="n">
        <x:f>10*LOG10(AG77)</x:f>
        <x:v>-0.058302787713340805</x:v>
      </x:c>
      <x:c r="AI77" s="48" t="n">
        <x:f>AC77-F77</x:f>
        <x:v>-237.86912614590733</x:v>
      </x:c>
      <x:c r="AJ77" s="48" t="n">
        <x:f>AD77-G77</x:f>
        <x:v>-2.8246677542482725</x:v>
      </x:c>
      <x:c r="AK77" s="48" t="n">
        <x:f>Y77-X77</x:f>
        <x:v>424.9943107641</x:v>
      </x:c>
      <x:c r="AL77" s="48" t="n">
        <x:f>1000*(AA78-AA76)/(A78-A76)*Inputs!$C$11</x:f>
        <x:v>-628.0295870367354</x:v>
      </x:c>
      <x:c r="AM77" s="48" t="n">
        <x:f>-2*AL77/Inputs!$C$13</x:f>
        <x:v>251.21183481469416</x:v>
      </x:c>
      <x:c r="AN77" s="48" t="n">
        <x:f>-2*AL77/Inputs!$C$14</x:f>
        <x:v>37.71949471692105</x:v>
      </x:c>
      <x:c r="AO77" s="48" t="n">
        <x:f>ABS(AM77)</x:f>
        <x:v>251.21183481469416</x:v>
      </x:c>
      <x:c r="AP77" s="48" t="n">
        <x:f>ABS(AN77)</x:f>
        <x:v>37.71949471692105</x:v>
      </x:c>
      <x:c r="AQ77" s="48" t="n">
        <x:f>IF(OR(Inputs!$C$27=TRUE,Inputs!$C$27="TRUE",Inputs!$C$27=1),Inputs!$C$46/Inputs!$C$12,0)</x:f>
        <x:v>42.13483146067416</x:v>
      </x:c>
      <x:c r="AR77" s="48" t="n">
        <x:f>AC77-AQ77</x:f>
        <x:v>714.6531188579842</x:v>
      </x:c>
      <x:c r="AS77" s="48" t="n">
        <x:f>AC77+AQ77</x:f>
        <x:v>798.9227817793325</x:v>
      </x:c>
    </x:row>
    <x:row r="78">
      <x:c r="A78" s="48" t="n">
        <x:f>Inputs!$C$7+76*(Inputs!$C$8-Inputs!$C$7)/240</x:f>
        <x:v>-22</x:v>
      </x:c>
      <x:c r="B78" s="48" t="n">
        <x:f>Inputs!$C$5+Inputs!$C$9*(A78/Inputs!$C$10)^2</x:f>
        <x:v>400.53777777777776</x:v>
      </x:c>
      <x:c r="C78" s="48" t="n">
        <x:f>B78</x:f>
        <x:v>400.53777777777776</x:v>
      </x:c>
      <x:c r="D78" s="48" t="n">
        <x:f>SQRT((Inputs!$C$52+B78)^2+Inputs!$C$52^2-2*(Inputs!$C$52+B78)*Inputs!$C$52*COS(SQRT(A78^2+Inputs!$C$6^2)/Inputs!$C$52))</x:f>
        <x:v>402.27360576216034</x:v>
      </x:c>
      <x:c r="E78" s="48" t="n">
        <x:f>(D78-C78)*1000</x:f>
        <x:v>1735.8279843825812</x:v>
      </x:c>
      <x:c r="F78" s="48" t="n">
        <x:f>E78/Inputs!$C$12</x:f>
        <x:v>975.1842608890905</x:v>
      </x:c>
      <x:c r="G78" s="48" t="n">
        <x:f>2*E78/Inputs!$C$21*1000000</x:f>
        <x:v>11.580197820604154</x:v>
      </x:c>
      <x:c r="H78" s="48" t="n">
        <x:f>SQRT(A78^2+Inputs!$C$6^2)</x:f>
        <x:v>33.301651610693426</x:v>
      </x:c>
      <x:c r="I78" s="48" t="n">
        <x:f>DEGREES(ATAN(H78/B78))</x:f>
        <x:v>4.752774375241167</x:v>
      </x:c>
      <x:c r="J78" s="48" t="n">
        <x:f>DEGREES((2*PI()/Inputs!$C$13)*Inputs!$C$15*SIN(RADIANS(I78)))</x:f>
        <x:v>29.828326713325737</x:v>
      </x:c>
      <x:c r="K78" s="48" t="n">
        <x:f>(C78/D78)^4</x:f>
        <x:v>0.982851223782631</x:v>
      </x:c>
      <x:c r="L78" s="48" t="n">
        <x:f>10*LOG10(K78)</x:f>
        <x:v>-0.0751221724443932</x:v>
      </x:c>
      <x:c r="M78" s="48" t="n">
        <x:f>2*(Inputs!$C$9/(Inputs!$C$10^2))*A78</x:f>
        <x:v>-0.04888888888888889</x:v>
      </x:c>
      <x:c r="N78" s="48" t="n">
        <x:f>M78*Inputs!$C$11</x:f>
        <x:v>-0.19555555555555557</x:v>
      </x:c>
      <x:c r="O78" s="48" t="n">
        <x:f>1000*(D79-D77)/(A79-A77)*Inputs!$C$11</x:f>
        <x:v>-469.75763804971393</x:v>
      </x:c>
      <x:c r="P78" s="48" t="n">
        <x:f>-2*O78/Inputs!$C$13</x:f>
        <x:v>187.90305521988557</x:v>
      </x:c>
      <x:c r="Q78" s="48" t="n">
        <x:f>-2*O78/Inputs!$C$14</x:f>
        <x:v>28.213671954937777</x:v>
      </x:c>
      <x:c r="R78" s="48" t="n">
        <x:f>F78-Inputs!$C$16/2</x:f>
        <x:v>960.1842608890905</x:v>
      </x:c>
      <x:c r="S78" s="48" t="n">
        <x:f>F78+Inputs!$C$16/2</x:f>
        <x:v>990.1842608890905</x:v>
      </x:c>
      <x:c r="T78" s="48" t="n">
        <x:f>F78-Inputs!$C$17/2</x:f>
        <x:v>825.1842608890905</x:v>
      </x:c>
      <x:c r="U78" s="48" t="n">
        <x:f>F78+Inputs!$C$17/2</x:f>
        <x:v>1125.1842608890906</x:v>
      </x:c>
      <x:c r="V78" s="48" t="n">
        <x:f>ABS(P78)</x:f>
        <x:v>187.90305521988557</x:v>
      </x:c>
      <x:c r="W78" s="48" t="n">
        <x:f>ABS(Q78)</x:f>
        <x:v>28.213671954937777</x:v>
      </x:c>
      <x:c r="X78" s="48" t="n">
        <x: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(0.45*SIN(2*PI()*(((A78)/Inputs!$C$49)+Inputs!$C$47*0.137))+0.35*COS(2*PI()*(((0)/Inputs!$C$50)+Inputs!$C$47*0.173))+0.20*SIN(2*PI()*(((A78)+(0))/(0.5*(Inputs!$C$49+Inputs!$C$50))+Inputs!$C$47*0.097)))+0.30*(2*((SIN(((A78)*12.9898+(0)*78.233+Inputs!$C$47*37.719))*43758.5453)-INT((SIN(((A78)*12.9898+(0)*78.233+Inputs!$C$47*37.719))*43758.5453)))-1)))</x:f>
        <x:v>-144.0992283446906</x:v>
      </x:c>
      <x:c r="Y78" s="48" t="n">
        <x: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(0.45*SIN(2*PI()*(((A78)/Inputs!$C$49)+Inputs!$C$47*0.137))+0.35*COS(2*PI()*(((Inputs!$C$6)/Inputs!$C$50)+Inputs!$C$47*0.173))+0.20*SIN(2*PI()*(((A78)+(Inputs!$C$6))/(0.5*(Inputs!$C$49+Inputs!$C$50))+Inputs!$C$47*0.097)))+0.30*(2*((SIN(((A78)*12.9898+(Inputs!$C$6)*78.233+Inputs!$C$47*37.719))*43758.5453)-INT((SIN(((A78)*12.9898+(Inputs!$C$6)*78.233+Inputs!$C$47*37.719))*43758.5453)))-1)))</x:f>
        <x:v>316.60820817766927</x:v>
      </x:c>
      <x:c r="Z78" s="48" t="n">
        <x:f>B78-X78/1000</x:f>
        <x:v>400.6818770061225</x:v>
      </x:c>
      <x:c r="AA78" s="48" t="n">
        <x:f>SQRT((Inputs!$C$52+B78)^2+(Inputs!$C$52+Y78/1000)^2-2*(Inputs!$C$52+B78)*(Inputs!$C$52+Y78/1000)*COS(SQRT(A78^2+Inputs!$C$6^2)/Inputs!$C$52))</x:f>
        <x:v>401.9587164341794</x:v>
      </x:c>
      <x:c r="AB78" s="48" t="n">
        <x:f>(AA78-Z78)*1000</x:f>
        <x:v>1276.8394280569169</x:v>
      </x:c>
      <x:c r="AC78" s="48" t="n">
        <x:f>AB78/Inputs!$C$12</x:f>
        <x:v>717.3255213802904</x:v>
      </x:c>
      <x:c r="AD78" s="48" t="n">
        <x:f>2*AB78/Inputs!$C$21*1000000</x:f>
        <x:v>8.518155770662629</x:v>
      </x:c>
      <x:c r="AE78" s="48" t="n">
        <x:f>DEGREES(ATAN(H78/(B78-Y78/1000)))</x:f>
        <x:v>4.756516970631361</x:v>
      </x:c>
      <x:c r="AF78" s="48" t="n">
        <x:f>DEGREES((2*PI()/Inputs!$C$13)*Inputs!$C$15*SIN(RADIANS(AE78)))</x:f>
        <x:v>29.851761212069313</x:v>
      </x:c>
      <x:c r="AG78" s="48" t="n">
        <x:f>(Z78/AA78)^4</x:f>
        <x:v>0.9873542396731989</x:v>
      </x:c>
      <x:c r="AH78" s="48" t="n">
        <x:f>10*LOG10(AG78)</x:f>
        <x:v>-0.0552700464124401</x:v>
      </x:c>
      <x:c r="AI78" s="48" t="n">
        <x:f>AC78-F78</x:f>
        <x:v>-257.8587395088001</x:v>
      </x:c>
      <x:c r="AJ78" s="48" t="n">
        <x:f>AD78-G78</x:f>
        <x:v>-3.0620420499415246</x:v>
      </x:c>
      <x:c r="AK78" s="48" t="n">
        <x:f>Y78-X78</x:f>
        <x:v>460.7074365223599</x:v>
      </x:c>
      <x:c r="AL78" s="48" t="n">
        <x:f>1000*(AA79-AA77)/(A79-A77)*Inputs!$C$11</x:f>
        <x:v>-652.0274199199321</x:v>
      </x:c>
      <x:c r="AM78" s="48" t="n">
        <x:f>-2*AL78/Inputs!$C$13</x:f>
        <x:v>260.81096796797283</x:v>
      </x:c>
      <x:c r="AN78" s="48" t="n">
        <x:f>-2*AL78/Inputs!$C$14</x:f>
        <x:v>39.16080600119712</x:v>
      </x:c>
      <x:c r="AO78" s="48" t="n">
        <x:f>ABS(AM78)</x:f>
        <x:v>260.81096796797283</x:v>
      </x:c>
      <x:c r="AP78" s="48" t="n">
        <x:f>ABS(AN78)</x:f>
        <x:v>39.16080600119712</x:v>
      </x:c>
      <x:c r="AQ78" s="48" t="n">
        <x:f>IF(OR(Inputs!$C$27=TRUE,Inputs!$C$27="TRUE",Inputs!$C$27=1),Inputs!$C$46/Inputs!$C$12,0)</x:f>
        <x:v>42.13483146067416</x:v>
      </x:c>
      <x:c r="AR78" s="48" t="n">
        <x:f>AC78-AQ78</x:f>
        <x:v>675.1906899196163</x:v>
      </x:c>
      <x:c r="AS78" s="48" t="n">
        <x:f>AC78+AQ78</x:f>
        <x:v>759.4603528409646</x:v>
      </x:c>
    </x:row>
    <x:row r="79">
      <x:c r="A79" s="48" t="n">
        <x:f>Inputs!$C$7+77*(Inputs!$C$8-Inputs!$C$7)/240</x:f>
        <x:v>-21.5</x:v>
      </x:c>
      <x:c r="B79" s="48" t="n">
        <x:f>Inputs!$C$5+Inputs!$C$9*(A79/Inputs!$C$10)^2</x:f>
        <x:v>400.5136111111111</x:v>
      </x:c>
      <x:c r="C79" s="48" t="n">
        <x:f>B79</x:f>
        <x:v>400.5136111111111</x:v>
      </x:c>
      <x:c r="D79" s="48" t="n">
        <x:f>SQRT((Inputs!$C$52+B79)^2+Inputs!$C$52^2-2*(Inputs!$C$52+B79)*Inputs!$C$52*COS(SQRT(A79^2+Inputs!$C$6^2)/Inputs!$C$52))</x:f>
        <x:v>402.2155501865945</x:v>
      </x:c>
      <x:c r="E79" s="48" t="n">
        <x:f>(D79-C79)*1000</x:f>
        <x:v>1701.9390754833807</x:v>
      </x:c>
      <x:c r="F79" s="48" t="n">
        <x:f>E79/Inputs!$C$12</x:f>
        <x:v>956.1455480243712</x:v>
      </x:c>
      <x:c r="G79" s="48" t="n">
        <x:f>2*E79/Inputs!$C$21*1000000</x:f>
        <x:v>11.354115355919866</x:v>
      </x:c>
      <x:c r="H79" s="48" t="n">
        <x:f>SQRT(A79^2+Inputs!$C$6^2)</x:f>
        <x:v>32.973474187595095</x:v>
      </x:c>
      <x:c r="I79" s="48" t="n">
        <x:f>DEGREES(ATAN(H79/B79))</x:f>
        <x:v>4.7064313676414065</x:v>
      </x:c>
      <x:c r="J79" s="48" t="n">
        <x:f>DEGREES((2*PI()/Inputs!$C$13)*Inputs!$C$15*SIN(RADIANS(I79)))</x:f>
        <x:v>29.538136514134884</x:v>
      </x:c>
      <x:c r="K79" s="48" t="n">
        <x:f>(C79/D79)^4</x:f>
        <x:v>0.9831814845422179</x:v>
      </x:c>
      <x:c r="L79" s="48" t="n">
        <x:f>10*LOG10(K79)</x:f>
        <x:v>-0.0736630875958091</x:v>
      </x:c>
      <x:c r="M79" s="48" t="n">
        <x:f>2*(Inputs!$C$9/(Inputs!$C$10^2))*A79</x:f>
        <x:v>-0.04777777777777778</x:v>
      </x:c>
      <x:c r="N79" s="48" t="n">
        <x:f>M79*Inputs!$C$11</x:f>
        <x:v>-0.19111111111111112</x:v>
      </x:c>
      <x:c r="O79" s="48" t="n">
        <x:f>1000*(D80-D78)/(A80-A78)*Inputs!$C$11</x:f>
        <x:v>-459.12988767804563</x:v>
      </x:c>
      <x:c r="P79" s="48" t="n">
        <x:f>-2*O79/Inputs!$C$13</x:f>
        <x:v>183.65195507121825</x:v>
      </x:c>
      <x:c r="Q79" s="48" t="n">
        <x:f>-2*O79/Inputs!$C$14</x:f>
        <x:v>27.575368629312052</x:v>
      </x:c>
      <x:c r="R79" s="48" t="n">
        <x:f>F79-Inputs!$C$16/2</x:f>
        <x:v>941.1455480243712</x:v>
      </x:c>
      <x:c r="S79" s="48" t="n">
        <x:f>F79+Inputs!$C$16/2</x:f>
        <x:v>971.1455480243712</x:v>
      </x:c>
      <x:c r="T79" s="48" t="n">
        <x:f>F79-Inputs!$C$17/2</x:f>
        <x:v>806.1455480243712</x:v>
      </x:c>
      <x:c r="U79" s="48" t="n">
        <x:f>F79+Inputs!$C$17/2</x:f>
        <x:v>1106.1455480243712</x:v>
      </x:c>
      <x:c r="V79" s="48" t="n">
        <x:f>ABS(P79)</x:f>
        <x:v>183.65195507121825</x:v>
      </x:c>
      <x:c r="W79" s="48" t="n">
        <x:f>ABS(Q79)</x:f>
        <x:v>27.575368629312052</x:v>
      </x:c>
      <x:c r="X79" s="48" t="n">
        <x: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(0.45*SIN(2*PI()*(((A79)/Inputs!$C$49)+Inputs!$C$47*0.137))+0.35*COS(2*PI()*(((0)/Inputs!$C$50)+Inputs!$C$47*0.173))+0.20*SIN(2*PI()*(((A79)+(0))/(0.5*(Inputs!$C$49+Inputs!$C$50))+Inputs!$C$47*0.097)))+0.30*(2*((SIN(((A79)*12.9898+(0)*78.233+Inputs!$C$47*37.719))*43758.5453)-INT((SIN(((A79)*12.9898+(0)*78.233+Inputs!$C$47*37.719))*43758.5453)))-1)))</x:f>
        <x:v>-156.9345481530768</x:v>
      </x:c>
      <x:c r="Y79" s="48" t="n">
        <x: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(0.45*SIN(2*PI()*(((A79)/Inputs!$C$49)+Inputs!$C$47*0.137))+0.35*COS(2*PI()*(((Inputs!$C$6)/Inputs!$C$50)+Inputs!$C$47*0.173))+0.20*SIN(2*PI()*(((A79)+(Inputs!$C$6))/(0.5*(Inputs!$C$49+Inputs!$C$50))+Inputs!$C$47*0.097)))+0.30*(2*((SIN(((A79)*12.9898+(Inputs!$C$6)*78.233+Inputs!$C$47*37.719))*43758.5453)-INT((SIN(((A79)*12.9898+(Inputs!$C$6)*78.233+Inputs!$C$47*37.719))*43758.5453)))-1)))</x:f>
        <x:v>332.44947759769417</x:v>
      </x:c>
      <x:c r="Z79" s="48" t="n">
        <x:f>B79-X79/1000</x:f>
        <x:v>400.6705456592642</x:v>
      </x:c>
      <x:c r="AA79" s="48" t="n">
        <x:f>SQRT((Inputs!$C$52+B79)^2+(Inputs!$C$52+Y79/1000)^2-2*(Inputs!$C$52+B79)*(Inputs!$C$52+Y79/1000)*COS(SQRT(A79^2+Inputs!$C$6^2)/Inputs!$C$52))</x:f>
        <x:v>401.88487064327154</x:v>
      </x:c>
      <x:c r="AB79" s="48" t="n">
        <x:f>(AA79-Z79)*1000</x:f>
        <x:v>1214.3249840073622</x:v>
      </x:c>
      <x:c r="AC79" s="48" t="n">
        <x:f>AB79/Inputs!$C$12</x:f>
        <x:v>682.2050471951474</x:v>
      </x:c>
      <x:c r="AD79" s="48" t="n">
        <x:f>2*AB79/Inputs!$C$21*1000000</x:f>
        <x:v>8.101104291338524</x:v>
      </x:c>
      <x:c r="AE79" s="48" t="n">
        <x:f>DEGREES(ATAN(H79/(B79-Y79/1000)))</x:f>
        <x:v>4.710323637775279</x:v>
      </x:c>
      <x:c r="AF79" s="48" t="n">
        <x:f>DEGREES((2*PI()/Inputs!$C$13)*Inputs!$C$15*SIN(RADIANS(AE79)))</x:f>
        <x:v>29.562509839810836</x:v>
      </x:c>
      <x:c r="AG79" s="48" t="n">
        <x:f>(Z79/AA79)^4</x:f>
        <x:v>0.9879683721291723</x:v>
      </x:c>
      <x:c r="AH79" s="48" t="n">
        <x:f>10*LOG10(AG79)</x:f>
        <x:v>-0.0525695827637489</x:v>
      </x:c>
      <x:c r="AI79" s="48" t="n">
        <x:f>AC79-F79</x:f>
        <x:v>-273.9405008292239</x:v>
      </x:c>
      <x:c r="AJ79" s="48" t="n">
        <x:f>AD79-G79</x:f>
        <x:v>-3.253011064581342</x:v>
      </x:c>
      <x:c r="AK79" s="48" t="n">
        <x:f>Y79-X79</x:f>
        <x:v>489.384025750771</x:v>
      </x:c>
      <x:c r="AL79" s="48" t="n">
        <x:f>1000*(AA80-AA78)/(A80-A78)*Inputs!$C$11</x:f>
        <x:v>-464.6059807009806</x:v>
      </x:c>
      <x:c r="AM79" s="48" t="n">
        <x:f>-2*AL79/Inputs!$C$13</x:f>
        <x:v>185.84239228039223</x:v>
      </x:c>
      <x:c r="AN79" s="48" t="n">
        <x:f>-2*AL79/Inputs!$C$14</x:f>
        <x:v>27.904263105164002</x:v>
      </x:c>
      <x:c r="AO79" s="48" t="n">
        <x:f>ABS(AM79)</x:f>
        <x:v>185.84239228039223</x:v>
      </x:c>
      <x:c r="AP79" s="48" t="n">
        <x:f>ABS(AN79)</x:f>
        <x:v>27.904263105164002</x:v>
      </x:c>
      <x:c r="AQ79" s="48" t="n">
        <x:f>IF(OR(Inputs!$C$27=TRUE,Inputs!$C$27="TRUE",Inputs!$C$27=1),Inputs!$C$46/Inputs!$C$12,0)</x:f>
        <x:v>42.13483146067416</x:v>
      </x:c>
      <x:c r="AR79" s="48" t="n">
        <x:f>AC79-AQ79</x:f>
        <x:v>640.0702157344732</x:v>
      </x:c>
      <x:c r="AS79" s="48" t="n">
        <x:f>AC79+AQ79</x:f>
        <x:v>724.3398786558215</x:v>
      </x:c>
    </x:row>
    <x:row r="80">
      <x:c r="A80" s="48" t="n">
        <x:f>Inputs!$C$7+78*(Inputs!$C$8-Inputs!$C$7)/240</x:f>
        <x:v>-21</x:v>
      </x:c>
      <x:c r="B80" s="48" t="n">
        <x:f>Inputs!$C$5+Inputs!$C$9*(A80/Inputs!$C$10)^2</x:f>
        <x:v>400.49</x:v>
      </x:c>
      <x:c r="C80" s="48" t="n">
        <x:f>B80</x:f>
        <x:v>400.49</x:v>
      </x:c>
      <x:c r="D80" s="48" t="n">
        <x:f>SQRT((Inputs!$C$52+B80)^2+Inputs!$C$52^2-2*(Inputs!$C$52+B80)*Inputs!$C$52*COS(SQRT(A80^2+Inputs!$C$6^2)/Inputs!$C$52))</x:f>
        <x:v>402.15882329024083</x:v>
      </x:c>
      <x:c r="E80" s="48" t="n">
        <x:f>(D80-C80)*1000</x:f>
        <x:v>1668.823290240823</x:v>
      </x:c>
      <x:c r="F80" s="48" t="n">
        <x:f>E80/Inputs!$C$12</x:f>
        <x:v>937.5411742925972</x:v>
      </x:c>
      <x:c r="G80" s="48" t="n">
        <x:f>2*E80/Inputs!$C$21*1000000</x:f>
        <x:v>11.133190617095666</x:v>
      </x:c>
      <x:c r="H80" s="48" t="n">
        <x:f>SQRT(A80^2+Inputs!$C$6^2)</x:f>
        <x:v>32.64965543462902</x:v>
      </x:c>
      <x:c r="I80" s="48" t="n">
        <x:f>DEGREES(ATAN(H80/B80))</x:f>
        <x:v>4.660689610438978</x:v>
      </x:c>
      <x:c r="J80" s="48" t="n">
        <x:f>DEGREES((2*PI()/Inputs!$C$13)*Inputs!$C$15*SIN(RADIANS(I80)))</x:f>
        <x:v>29.251692268127087</x:v>
      </x:c>
      <x:c r="K80" s="48" t="n">
        <x:f>(C80/D80)^4</x:f>
        <x:v>0.9835043836267436</x:v>
      </x:c>
      <x:c r="L80" s="48" t="n">
        <x:f>10*LOG10(K80)</x:f>
        <x:v>-0.07223700024601</x:v>
      </x:c>
      <x:c r="M80" s="48" t="n">
        <x:f>2*(Inputs!$C$9/(Inputs!$C$10^2))*A80</x:f>
        <x:v>-0.04666666666666667</x:v>
      </x:c>
      <x:c r="N80" s="48" t="n">
        <x:f>M80*Inputs!$C$11</x:f>
        <x:v>-0.18666666666666668</x:v>
      </x:c>
      <x:c r="O80" s="48" t="n">
        <x:f>1000*(D81-D79)/(A81-A79)*Inputs!$C$11</x:f>
        <x:v>-448.49880820765975</x:v>
      </x:c>
      <x:c r="P80" s="48" t="n">
        <x:f>-2*O80/Inputs!$C$13</x:f>
        <x:v>179.3995232830639</x:v>
      </x:c>
      <x:c r="Q80" s="48" t="n">
        <x:f>-2*O80/Inputs!$C$14</x:f>
        <x:v>26.936865357817403</x:v>
      </x:c>
      <x:c r="R80" s="48" t="n">
        <x:f>F80-Inputs!$C$16/2</x:f>
        <x:v>922.5411742925972</x:v>
      </x:c>
      <x:c r="S80" s="48" t="n">
        <x:f>F80+Inputs!$C$16/2</x:f>
        <x:v>952.5411742925972</x:v>
      </x:c>
      <x:c r="T80" s="48" t="n">
        <x:f>F80-Inputs!$C$17/2</x:f>
        <x:v>787.5411742925972</x:v>
      </x:c>
      <x:c r="U80" s="48" t="n">
        <x:f>F80+Inputs!$C$17/2</x:f>
        <x:v>1087.5411742925971</x:v>
      </x:c>
      <x:c r="V80" s="48" t="n">
        <x:f>ABS(P80)</x:f>
        <x:v>179.3995232830639</x:v>
      </x:c>
      <x:c r="W80" s="48" t="n">
        <x:f>ABS(Q80)</x:f>
        <x:v>26.936865357817403</x:v>
      </x:c>
      <x:c r="X80" s="48" t="n">
        <x: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(0.45*SIN(2*PI()*(((A80)/Inputs!$C$49)+Inputs!$C$47*0.137))+0.35*COS(2*PI()*(((0)/Inputs!$C$50)+Inputs!$C$47*0.173))+0.20*SIN(2*PI()*(((A80)+(0))/(0.5*(Inputs!$C$49+Inputs!$C$50))+Inputs!$C$47*0.097)))+0.30*(2*((SIN(((A80)*12.9898+(0)*78.233+Inputs!$C$47*37.719))*43758.5453)-INT((SIN(((A80)*12.9898+(0)*78.233+Inputs!$C$47*37.719))*43758.5453)))-1)))</x:f>
        <x:v>-142.37794992196604</x:v>
      </x:c>
      <x:c r="Y80" s="48" t="n">
        <x: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(0.45*SIN(2*PI()*(((A80)/Inputs!$C$49)+Inputs!$C$47*0.137))+0.35*COS(2*PI()*(((Inputs!$C$6)/Inputs!$C$50)+Inputs!$C$47*0.173))+0.20*SIN(2*PI()*(((A80)+(Inputs!$C$6))/(0.5*(Inputs!$C$49+Inputs!$C$50))+Inputs!$C$47*0.097)))+0.30*(2*((SIN(((A80)*12.9898+(Inputs!$C$6)*78.233+Inputs!$C$47*37.719))*43758.5453)-INT((SIN(((A80)*12.9898+(Inputs!$C$6)*78.233+Inputs!$C$47*37.719))*43758.5453)))-1)))</x:f>
        <x:v>317.91812880175183</x:v>
      </x:c>
      <x:c r="Z80" s="48" t="n">
        <x:f>B80-X80/1000</x:f>
        <x:v>400.632377949922</x:v>
      </x:c>
      <x:c r="AA80" s="48" t="n">
        <x:f>SQRT((Inputs!$C$52+B80)^2+(Inputs!$C$52+Y80/1000)^2-2*(Inputs!$C$52+B80)*(Inputs!$C$52+Y80/1000)*COS(SQRT(A80^2+Inputs!$C$6^2)/Inputs!$C$52))</x:f>
        <x:v>401.84256493900415</x:v>
      </x:c>
      <x:c r="AB80" s="48" t="n">
        <x:f>(AA80-Z80)*1000</x:f>
        <x:v>1210.1869890821604</x:v>
      </x:c>
      <x:c r="AC80" s="48" t="n">
        <x:f>AB80/Inputs!$C$12</x:f>
        <x:v>679.880330945034</x:v>
      </x:c>
      <x:c r="AD80" s="48" t="n">
        <x:f>2*AB80/Inputs!$C$21*1000000</x:f>
        <x:v>8.073498560675334</x:v>
      </x:c>
      <x:c r="AE80" s="48" t="n">
        <x:f>DEGREES(ATAN(H80/(B80-Y80/1000)))</x:f>
        <x:v>4.664375980457269</x:v>
      </x:c>
      <x:c r="AF80" s="48" t="n">
        <x:f>DEGREES((2*PI()/Inputs!$C$13)*Inputs!$C$15*SIN(RADIANS(AE80)))</x:f>
        <x:v>29.274777764853685</x:v>
      </x:c>
      <x:c r="AG80" s="48" t="n">
        <x:f>(Z80/AA80)^4</x:f>
        <x:v>0.9880079297450474</x:v>
      </x:c>
      <x:c r="AH80" s="48" t="n">
        <x:f>10*LOG10(AG80)</x:f>
        <x:v>-0.052395697537718805</x:v>
      </x:c>
      <x:c r="AI80" s="48" t="n">
        <x:f>AC80-F80</x:f>
        <x:v>-257.6608433475633</x:v>
      </x:c>
      <x:c r="AJ80" s="48" t="n">
        <x:f>AD80-G80</x:f>
        <x:v>-3.0596920564203316</x:v>
      </x:c>
      <x:c r="AK80" s="48" t="n">
        <x:f>Y80-X80</x:f>
        <x:v>460.29607872371787</x:v>
      </x:c>
      <x:c r="AL80" s="48" t="n">
        <x:f>1000*(AA81-AA79)/(A81-A79)*Inputs!$C$11</x:f>
        <x:v>-492.26696746541165</x:v>
      </x:c>
      <x:c r="AM80" s="48" t="n">
        <x:f>-2*AL80/Inputs!$C$13</x:f>
        <x:v>196.90678698616466</x:v>
      </x:c>
      <x:c r="AN80" s="48" t="n">
        <x:f>-2*AL80/Inputs!$C$14</x:f>
        <x:v>29.565583631556258</x:v>
      </x:c>
      <x:c r="AO80" s="48" t="n">
        <x:f>ABS(AM80)</x:f>
        <x:v>196.90678698616466</x:v>
      </x:c>
      <x:c r="AP80" s="48" t="n">
        <x:f>ABS(AN80)</x:f>
        <x:v>29.565583631556258</x:v>
      </x:c>
      <x:c r="AQ80" s="48" t="n">
        <x:f>IF(OR(Inputs!$C$27=TRUE,Inputs!$C$27="TRUE",Inputs!$C$27=1),Inputs!$C$46/Inputs!$C$12,0)</x:f>
        <x:v>42.13483146067416</x:v>
      </x:c>
      <x:c r="AR80" s="48" t="n">
        <x:f>AC80-AQ80</x:f>
        <x:v>637.7454994843598</x:v>
      </x:c>
      <x:c r="AS80" s="48" t="n">
        <x:f>AC80+AQ80</x:f>
        <x:v>722.0151624057081</x:v>
      </x:c>
    </x:row>
    <x:row r="81">
      <x:c r="A81" s="48" t="n">
        <x:f>Inputs!$C$7+79*(Inputs!$C$8-Inputs!$C$7)/240</x:f>
        <x:v>-20.5</x:v>
      </x:c>
      <x:c r="B81" s="48" t="n">
        <x:f>Inputs!$C$5+Inputs!$C$9*(A81/Inputs!$C$10)^2</x:f>
        <x:v>400.46694444444444</x:v>
      </x:c>
      <x:c r="C81" s="48" t="n">
        <x:f>B81</x:f>
        <x:v>400.46694444444444</x:v>
      </x:c>
      <x:c r="D81" s="48" t="n">
        <x:f>SQRT((Inputs!$C$52+B81)^2+Inputs!$C$52^2-2*(Inputs!$C$52+B81)*Inputs!$C$52*COS(SQRT(A81^2+Inputs!$C$6^2)/Inputs!$C$52))</x:f>
        <x:v>402.1034254845426</x:v>
      </x:c>
      <x:c r="E81" s="48" t="n">
        <x:f>(D81-C81)*1000</x:f>
        <x:v>1636.4810400981469</x:v>
      </x:c>
      <x:c r="F81" s="48" t="n">
        <x:f>E81/Inputs!$C$12</x:f>
        <x:v>919.3713708416556</x:v>
      </x:c>
      <x:c r="G81" s="48" t="n">
        <x:f>2*E81/Inputs!$C$21*1000000</x:f>
        <x:v>10.917426348985384</x:v>
      </x:c>
      <x:c r="H81" s="48" t="n">
        <x:f>SQRT(A81^2+Inputs!$C$6^2)</x:f>
        <x:v>32.33032632065442</x:v>
      </x:c>
      <x:c r="I81" s="48" t="n">
        <x:f>DEGREES(ATAN(H81/B81))</x:f>
        <x:v>4.61556831369344</x:v>
      </x:c>
      <x:c r="J81" s="48" t="n">
        <x:f>DEGREES((2*PI()/Inputs!$C$13)*Inputs!$C$15*SIN(RADIANS(I81)))</x:f>
        <x:v>28.96911520563834</x:v>
      </x:c>
      <x:c r="K81" s="48" t="n">
        <x:f>(C81/D81)^4</x:f>
        <x:v>0.9838199051690912</x:v>
      </x:c>
      <x:c r="L81" s="48" t="n">
        <x:f>10*LOG10(K81)</x:f>
        <x:v>-0.070843948101852</x:v>
      </x:c>
      <x:c r="M81" s="48" t="n">
        <x:f>2*(Inputs!$C$9/(Inputs!$C$10^2))*A81</x:f>
        <x:v>-0.04555555555555556</x:v>
      </x:c>
      <x:c r="N81" s="48" t="n">
        <x:f>M81*Inputs!$C$11</x:f>
        <x:v>-0.18222222222222223</x:v>
      </x:c>
      <x:c r="O81" s="48" t="n">
        <x:f>1000*(D82-D80)/(A82-A80)*Inputs!$C$11</x:f>
        <x:v>-437.8644747530416</x:v>
      </x:c>
      <x:c r="P81" s="48" t="n">
        <x:f>-2*O81/Inputs!$C$13</x:f>
        <x:v>175.14578990121663</x:v>
      </x:c>
      <x:c r="Q81" s="48" t="n">
        <x:f>-2*O81/Inputs!$C$14</x:f>
        <x:v>26.298166651834332</x:v>
      </x:c>
      <x:c r="R81" s="48" t="n">
        <x:f>F81-Inputs!$C$16/2</x:f>
        <x:v>904.3713708416556</x:v>
      </x:c>
      <x:c r="S81" s="48" t="n">
        <x:f>F81+Inputs!$C$16/2</x:f>
        <x:v>934.3713708416556</x:v>
      </x:c>
      <x:c r="T81" s="48" t="n">
        <x:f>F81-Inputs!$C$17/2</x:f>
        <x:v>769.3713708416556</x:v>
      </x:c>
      <x:c r="U81" s="48" t="n">
        <x:f>F81+Inputs!$C$17/2</x:f>
        <x:v>1069.3713708416556</x:v>
      </x:c>
      <x:c r="V81" s="48" t="n">
        <x:f>ABS(P81)</x:f>
        <x:v>175.14578990121663</x:v>
      </x:c>
      <x:c r="W81" s="48" t="n">
        <x:f>ABS(Q81)</x:f>
        <x:v>26.298166651834332</x:v>
      </x:c>
      <x:c r="X81" s="48" t="n">
        <x: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(0.45*SIN(2*PI()*(((A81)/Inputs!$C$49)+Inputs!$C$47*0.137))+0.35*COS(2*PI()*(((0)/Inputs!$C$50)+Inputs!$C$47*0.173))+0.20*SIN(2*PI()*(((A81)+(0))/(0.5*(Inputs!$C$49+Inputs!$C$50))+Inputs!$C$47*0.097)))+0.30*(2*((SIN(((A81)*12.9898+(0)*78.233+Inputs!$C$47*37.719))*43758.5453)-INT((SIN(((A81)*12.9898+(0)*78.233+Inputs!$C$47*37.719))*43758.5453)))-1)))</x:f>
        <x:v>-140.5508651158499</x:v>
      </x:c>
      <x:c r="Y81" s="48" t="n">
        <x: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(0.45*SIN(2*PI()*(((A81)/Inputs!$C$49)+Inputs!$C$47*0.137))+0.35*COS(2*PI()*(((Inputs!$C$6)/Inputs!$C$50)+Inputs!$C$47*0.173))+0.20*SIN(2*PI()*(((A81)+(Inputs!$C$6))/(0.5*(Inputs!$C$49+Inputs!$C$50))+Inputs!$C$47*0.097)))+0.30*(2*((SIN(((A81)*12.9898+(Inputs!$C$6)*78.233+Inputs!$C$47*37.719))*43758.5453)-INT((SIN(((A81)*12.9898+(Inputs!$C$6)*78.233+Inputs!$C$47*37.719))*43758.5453)))-1)))</x:f>
        <x:v>343.37986587370784</x:v>
      </x:c>
      <x:c r="Z81" s="48" t="n">
        <x:f>B81-X81/1000</x:f>
        <x:v>400.6074953095603</x:v>
      </x:c>
      <x:c r="AA81" s="48" t="n">
        <x:f>SQRT((Inputs!$C$52+B81)^2+(Inputs!$C$52+Y81/1000)^2-2*(Inputs!$C$52+B81)*(Inputs!$C$52+Y81/1000)*COS(SQRT(A81^2+Inputs!$C$6^2)/Inputs!$C$52))</x:f>
        <x:v>401.7618039014052</x:v>
      </x:c>
      <x:c r="AB81" s="48" t="n">
        <x:f>(AA81-Z81)*1000</x:f>
        <x:v>1154.308591844881</x:v>
      </x:c>
      <x:c r="AC81" s="48" t="n">
        <x:f>AB81/Inputs!$C$12</x:f>
        <x:v>648.4879729465623</x:v>
      </x:c>
      <x:c r="AD81" s="48" t="n">
        <x:f>2*AB81/Inputs!$C$21*1000000</x:f>
        <x:v>7.700718020363814</x:v>
      </x:c>
      <x:c r="AE81" s="48" t="n">
        <x:f>DEGREES(ATAN(H81/(B81-Y81/1000)))</x:f>
        <x:v>4.619512187062934</x:v>
      </x:c>
      <x:c r="AF81" s="48" t="n">
        <x:f>DEGREES((2*PI()/Inputs!$C$13)*Inputs!$C$15*SIN(RADIANS(AE81)))</x:f>
        <x:v>28.993814863618404</x:v>
      </x:c>
      <x:c r="AG81" s="48" t="n">
        <x:f>(Z81/AA81)^4</x:f>
        <x:v>0.9885569667668735</x:v>
      </x:c>
      <x:c r="AH81" s="48" t="n">
        <x:f>10*LOG10(AG81)</x:f>
        <x:v>-0.0499829889492671</x:v>
      </x:c>
      <x:c r="AI81" s="48" t="n">
        <x:f>AC81-F81</x:f>
        <x:v>-270.88339789509325</x:v>
      </x:c>
      <x:c r="AJ81" s="48" t="n">
        <x:f>AD81-G81</x:f>
        <x:v>-3.2167083286215696</x:v>
      </x:c>
      <x:c r="AK81" s="48" t="n">
        <x:f>Y81-X81</x:f>
        <x:v>483.93073098955773</x:v>
      </x:c>
      <x:c r="AL81" s="48" t="n">
        <x:f>1000*(AA82-AA80)/(A82-A80)*Inputs!$C$11</x:f>
        <x:v>-518.6710302721167</x:v>
      </x:c>
      <x:c r="AM81" s="48" t="n">
        <x:f>-2*AL81/Inputs!$C$13</x:f>
        <x:v>207.46841210884668</x:v>
      </x:c>
      <x:c r="AN81" s="48" t="n">
        <x:f>-2*AL81/Inputs!$C$14</x:f>
        <x:v>31.15141322955656</x:v>
      </x:c>
      <x:c r="AO81" s="48" t="n">
        <x:f>ABS(AM81)</x:f>
        <x:v>207.46841210884668</x:v>
      </x:c>
      <x:c r="AP81" s="48" t="n">
        <x:f>ABS(AN81)</x:f>
        <x:v>31.15141322955656</x:v>
      </x:c>
      <x:c r="AQ81" s="48" t="n">
        <x:f>IF(OR(Inputs!$C$27=TRUE,Inputs!$C$27="TRUE",Inputs!$C$27=1),Inputs!$C$46/Inputs!$C$12,0)</x:f>
        <x:v>42.13483146067416</x:v>
      </x:c>
      <x:c r="AR81" s="48" t="n">
        <x:f>AC81-AQ81</x:f>
        <x:v>606.3531414858882</x:v>
      </x:c>
      <x:c r="AS81" s="48" t="n">
        <x:f>AC81+AQ81</x:f>
        <x:v>690.6228044072365</x:v>
      </x:c>
    </x:row>
    <x:row r="82">
      <x:c r="A82" s="48" t="n">
        <x:f>Inputs!$C$7+80*(Inputs!$C$8-Inputs!$C$7)/240</x:f>
        <x:v>-20</x:v>
      </x:c>
      <x:c r="B82" s="48" t="n">
        <x:f>Inputs!$C$5+Inputs!$C$9*(A82/Inputs!$C$10)^2</x:f>
        <x:v>400.44444444444446</x:v>
      </x:c>
      <x:c r="C82" s="48" t="n">
        <x:f>B82</x:f>
        <x:v>400.44444444444446</x:v>
      </x:c>
      <x:c r="D82" s="48" t="n">
        <x:f>SQRT((Inputs!$C$52+B82)^2+Inputs!$C$52^2-2*(Inputs!$C$52+B82)*Inputs!$C$52*COS(SQRT(A82^2+Inputs!$C$6^2)/Inputs!$C$52))</x:f>
        <x:v>402.0493571715526</x:v>
      </x:c>
      <x:c r="E82" s="48" t="n">
        <x:f>(D82-C82)*1000</x:f>
        <x:v>1604.9127271081147</x:v>
      </x:c>
      <x:c r="F82" s="48" t="n">
        <x:f>E82/Inputs!$C$12</x:f>
        <x:v>901.6363635438846</x:v>
      </x:c>
      <x:c r="G82" s="48" t="n">
        <x:f>2*E82/Inputs!$C$21*1000000</x:f>
        <x:v>10.70682523379634</x:v>
      </x:c>
      <x:c r="H82" s="48" t="n">
        <x:f>SQRT(A82^2+Inputs!$C$6^2)</x:f>
        <x:v>32.01562118716424</x:v>
      </x:c>
      <x:c r="I82" s="48" t="n">
        <x:f>DEGREES(ATAN(H82/B82))</x:f>
        <x:v>4.571087167996556</x:v>
      </x:c>
      <x:c r="J82" s="48" t="n">
        <x:f>DEGREES((2*PI()/Inputs!$C$13)*Inputs!$C$15*SIN(RADIANS(I82)))</x:f>
        <x:v>28.69052957284685</x:v>
      </x:c>
      <x:c r="K82" s="48" t="n">
        <x:f>(C82/D82)^4</x:f>
        <x:v>0.9841280336502154</x:v>
      </x:c>
      <x:c r="L82" s="48" t="n">
        <x:f>10*LOG10(K82)</x:f>
        <x:v>-0.0694839680177928</x:v>
      </x:c>
      <x:c r="M82" s="48" t="n">
        <x:f>2*(Inputs!$C$9/(Inputs!$C$10^2))*A82</x:f>
        <x:v>-0.044444444444444446</x:v>
      </x:c>
      <x:c r="N82" s="48" t="n">
        <x:f>M82*Inputs!$C$11</x:f>
        <x:v>-0.17777777777777778</x:v>
      </x:c>
      <x:c r="O82" s="48" t="n">
        <x:f>1000*(D83-D81)/(A83-A81)*Inputs!$C$11</x:f>
        <x:v>-427.2269625973877</x:v>
      </x:c>
      <x:c r="P82" s="48" t="n">
        <x:f>-2*O82/Inputs!$C$13</x:f>
        <x:v>170.89078503895507</x:v>
      </x:c>
      <x:c r="Q82" s="48" t="n">
        <x:f>-2*O82/Inputs!$C$14</x:f>
        <x:v>25.65927703287614</x:v>
      </x:c>
      <x:c r="R82" s="48" t="n">
        <x:f>F82-Inputs!$C$16/2</x:f>
        <x:v>886.6363635438846</x:v>
      </x:c>
      <x:c r="S82" s="48" t="n">
        <x:f>F82+Inputs!$C$16/2</x:f>
        <x:v>916.6363635438846</x:v>
      </x:c>
      <x:c r="T82" s="48" t="n">
        <x:f>F82-Inputs!$C$17/2</x:f>
        <x:v>751.6363635438846</x:v>
      </x:c>
      <x:c r="U82" s="48" t="n">
        <x:f>F82+Inputs!$C$17/2</x:f>
        <x:v>1051.6363635438847</x:v>
      </x:c>
      <x:c r="V82" s="48" t="n">
        <x:f>ABS(P82)</x:f>
        <x:v>170.89078503895507</x:v>
      </x:c>
      <x:c r="W82" s="48" t="n">
        <x:f>ABS(Q82)</x:f>
        <x:v>25.65927703287614</x:v>
      </x:c>
      <x:c r="X82" s="48" t="n">
        <x: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(0.45*SIN(2*PI()*(((A82)/Inputs!$C$49)+Inputs!$C$47*0.137))+0.35*COS(2*PI()*(((0)/Inputs!$C$50)+Inputs!$C$47*0.173))+0.20*SIN(2*PI()*(((A82)+(0))/(0.5*(Inputs!$C$49+Inputs!$C$50))+Inputs!$C$47*0.097)))+0.30*(2*((SIN(((A82)*12.9898+(0)*78.233+Inputs!$C$47*37.719))*43758.5453)-INT((SIN(((A82)*12.9898+(0)*78.233+Inputs!$C$47*37.719))*43758.5453)))-1)))</x:f>
        <x:v>-146.32822187126578</x:v>
      </x:c>
      <x:c r="Y82" s="48" t="n">
        <x: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(0.45*SIN(2*PI()*(((A82)/Inputs!$C$49)+Inputs!$C$47*0.137))+0.35*COS(2*PI()*(((Inputs!$C$6)/Inputs!$C$50)+Inputs!$C$47*0.173))+0.20*SIN(2*PI()*(((A82)+(Inputs!$C$6))/(0.5*(Inputs!$C$49+Inputs!$C$50))+Inputs!$C$47*0.097)))+0.30*(2*((SIN(((A82)*12.9898+(Inputs!$C$6)*78.233+Inputs!$C$47*37.719))*43758.5453)-INT((SIN(((A82)*12.9898+(Inputs!$C$6)*78.233+Inputs!$C$47*37.719))*43758.5453)))-1)))</x:f>
        <x:v>338.15830709992554</x:v>
      </x:c>
      <x:c r="Z82" s="48" t="n">
        <x:f>B82-X82/1000</x:f>
        <x:v>400.59077266631573</x:v>
      </x:c>
      <x:c r="AA82" s="48" t="n">
        <x:f>SQRT((Inputs!$C$52+B82)^2+(Inputs!$C$52+Y82/1000)^2-2*(Inputs!$C$52+B82)*(Inputs!$C$52+Y82/1000)*COS(SQRT(A82^2+Inputs!$C$6^2)/Inputs!$C$52))</x:f>
        <x:v>401.7128971814361</x:v>
      </x:c>
      <x:c r="AB82" s="48" t="n">
        <x:f>(AA82-Z82)*1000</x:f>
        <x:v>1122.1245151203902</x:v>
      </x:c>
      <x:c r="AC82" s="48" t="n">
        <x:f>AB82/Inputs!$C$12</x:f>
        <x:v>630.4070309665113</x:v>
      </x:c>
      <x:c r="AD82" s="48" t="n">
        <x:f>2*AB82/Inputs!$C$21*1000000</x:f>
        <x:v>7.486008971715961</x:v>
      </x:c>
      <x:c r="AE82" s="48" t="n">
        <x:f>DEGREES(ATAN(H82/(B82-Y82/1000)))</x:f>
        <x:v>4.574934126079314</x:v>
      </x:c>
      <x:c r="AF82" s="48" t="n">
        <x:f>DEGREES((2*PI()/Inputs!$C$13)*Inputs!$C$15*SIN(RADIANS(AE82)))</x:f>
        <x:v>28.714623775595047</x:v>
      </x:c>
      <x:c r="AG82" s="48" t="n">
        <x:f>(Z82/AA82)^4</x:f>
        <x:v>0.9888733317386268</x:v>
      </x:c>
      <x:c r="AH82" s="48" t="n">
        <x:f>10*LOG10(AG82)</x:f>
        <x:v>-0.0485933514710104</x:v>
      </x:c>
      <x:c r="AI82" s="48" t="n">
        <x:f>AC82-F82</x:f>
        <x:v>-271.22933257737327</x:v>
      </x:c>
      <x:c r="AJ82" s="48" t="n">
        <x:f>AD82-G82</x:f>
        <x:v>-3.2208162620803797</x:v>
      </x:c>
      <x:c r="AK82" s="48" t="n">
        <x:f>Y82-X82</x:f>
        <x:v>484.4865289711913</x:v>
      </x:c>
      <x:c r="AL82" s="48" t="n">
        <x:f>1000*(AA83-AA81)/(A83-A81)*Inputs!$C$11</x:f>
        <x:v>-508.82909495953754</x:v>
      </x:c>
      <x:c r="AM82" s="48" t="n">
        <x:f>-2*AL82/Inputs!$C$13</x:f>
        <x:v>203.53163798381502</x:v>
      </x:c>
      <x:c r="AN82" s="48" t="n">
        <x:f>-2*AL82/Inputs!$C$14</x:f>
        <x:v>30.560306003575832</x:v>
      </x:c>
      <x:c r="AO82" s="48" t="n">
        <x:f>ABS(AM82)</x:f>
        <x:v>203.53163798381502</x:v>
      </x:c>
      <x:c r="AP82" s="48" t="n">
        <x:f>ABS(AN82)</x:f>
        <x:v>30.560306003575832</x:v>
      </x:c>
      <x:c r="AQ82" s="48" t="n">
        <x:f>IF(OR(Inputs!$C$27=TRUE,Inputs!$C$27="TRUE",Inputs!$C$27=1),Inputs!$C$46/Inputs!$C$12,0)</x:f>
        <x:v>42.13483146067416</x:v>
      </x:c>
      <x:c r="AR82" s="48" t="n">
        <x:f>AC82-AQ82</x:f>
        <x:v>588.2721995058372</x:v>
      </x:c>
      <x:c r="AS82" s="48" t="n">
        <x:f>AC82+AQ82</x:f>
        <x:v>672.5418624271855</x:v>
      </x:c>
    </x:row>
    <x:row r="83">
      <x:c r="A83" s="48" t="n">
        <x:f>Inputs!$C$7+81*(Inputs!$C$8-Inputs!$C$7)/240</x:f>
        <x:v>-19.5</x:v>
      </x:c>
      <x:c r="B83" s="48" t="n">
        <x:f>Inputs!$C$5+Inputs!$C$9*(A83/Inputs!$C$10)^2</x:f>
        <x:v>400.4225</x:v>
      </x:c>
      <x:c r="C83" s="48" t="n">
        <x:f>B83</x:f>
        <x:v>400.4225</x:v>
      </x:c>
      <x:c r="D83" s="48" t="n">
        <x:f>SQRT((Inputs!$C$52+B83)^2+Inputs!$C$52^2-2*(Inputs!$C$52+B83)*Inputs!$C$52*COS(SQRT(A83^2+Inputs!$C$6^2)/Inputs!$C$52))</x:f>
        <x:v>401.99661874389324</x:v>
      </x:c>
      <x:c r="E83" s="48" t="n">
        <x:f>(D83-C83)*1000</x:f>
        <x:v>1574.118743893223</x:v>
      </x:c>
      <x:c r="F83" s="48" t="n">
        <x:f>E83/Inputs!$C$12</x:f>
        <x:v>884.3363729737207</x:v>
      </x:c>
      <x:c r="G83" s="48" t="n">
        <x:f>2*E83/Inputs!$C$21*1000000</x:f>
        <x:v>10.50138989082389</x:v>
      </x:c>
      <x:c r="H83" s="48" t="n">
        <x:f>SQRT(A83^2+Inputs!$C$6^2)</x:f>
        <x:v>31.70567772497538</x:v>
      </x:c>
      <x:c r="I83" s="48" t="n">
        <x:f>DEGREES(ATAN(H83/B83))</x:f>
        <x:v>4.527266340904271</x:v>
      </x:c>
      <x:c r="J83" s="48" t="n">
        <x:f>DEGREES((2*PI()/Inputs!$C$13)*Inputs!$C$15*SIN(RADIANS(I83)))</x:f>
        <x:v>28.416062609031858</x:v>
      </x:c>
      <x:c r="K83" s="48" t="n">
        <x:f>(C83/D83)^4</x:f>
        <x:v>0.9844287539010956</x:v>
      </x:c>
      <x:c r="L83" s="48" t="n">
        <x:f>10*LOG10(K83)</x:f>
        <x:v>-0.0681570959926051</x:v>
      </x:c>
      <x:c r="M83" s="48" t="n">
        <x:f>2*(Inputs!$C$9/(Inputs!$C$10^2))*A83</x:f>
        <x:v>-0.043333333333333335</x:v>
      </x:c>
      <x:c r="N83" s="48" t="n">
        <x:f>M83*Inputs!$C$11</x:f>
        <x:v>-0.17333333333333334</x:v>
      </x:c>
      <x:c r="O83" s="48" t="n">
        <x:f>1000*(D84-D82)/(A84-A82)*Inputs!$C$11</x:f>
        <x:v>-416.5863471978355</x:v>
      </x:c>
      <x:c r="P83" s="48" t="n">
        <x:f>-2*O83/Inputs!$C$13</x:f>
        <x:v>166.6345388791342</x:v>
      </x:c>
      <x:c r="Q83" s="48" t="n">
        <x:f>-2*O83/Inputs!$C$14</x:f>
        <x:v>25.020201032903035</x:v>
      </x:c>
      <x:c r="R83" s="48" t="n">
        <x:f>F83-Inputs!$C$16/2</x:f>
        <x:v>869.3363729737207</x:v>
      </x:c>
      <x:c r="S83" s="48" t="n">
        <x:f>F83+Inputs!$C$16/2</x:f>
        <x:v>899.3363729737207</x:v>
      </x:c>
      <x:c r="T83" s="48" t="n">
        <x:f>F83-Inputs!$C$17/2</x:f>
        <x:v>734.3363729737207</x:v>
      </x:c>
      <x:c r="U83" s="48" t="n">
        <x:f>F83+Inputs!$C$17/2</x:f>
        <x:v>1034.3363729737207</x:v>
      </x:c>
      <x:c r="V83" s="48" t="n">
        <x:f>ABS(P83)</x:f>
        <x:v>166.6345388791342</x:v>
      </x:c>
      <x:c r="W83" s="48" t="n">
        <x:f>ABS(Q83)</x:f>
        <x:v>25.020201032903035</x:v>
      </x:c>
      <x:c r="X83" s="48" t="n">
        <x: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(0.45*SIN(2*PI()*(((A83)/Inputs!$C$49)+Inputs!$C$47*0.137))+0.35*COS(2*PI()*(((0)/Inputs!$C$50)+Inputs!$C$47*0.173))+0.20*SIN(2*PI()*(((A83)+(0))/(0.5*(Inputs!$C$49+Inputs!$C$50))+Inputs!$C$47*0.097)))+0.30*(2*((SIN(((A83)*12.9898+(0)*78.233+Inputs!$C$47*37.719))*43758.5453)-INT((SIN(((A83)*12.9898+(0)*78.233+Inputs!$C$47*37.719))*43758.5453)))-1)))</x:f>
        <x:v>-140.0483381286437</x:v>
      </x:c>
      <x:c r="Y83" s="48" t="n">
        <x: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(0.45*SIN(2*PI()*(((A83)/Inputs!$C$49)+Inputs!$C$47*0.137))+0.35*COS(2*PI()*(((Inputs!$C$6)/Inputs!$C$50)+Inputs!$C$47*0.173))+0.20*SIN(2*PI()*(((A83)+(Inputs!$C$6))/(0.5*(Inputs!$C$49+Inputs!$C$50))+Inputs!$C$47*0.097)))+0.30*(2*((SIN(((A83)*12.9898+(Inputs!$C$6)*78.233+Inputs!$C$47*37.719))*43758.5453)-INT((SIN(((A83)*12.9898+(Inputs!$C$6)*78.233+Inputs!$C$47*37.719))*43758.5453)))-1)))</x:f>
        <x:v>363.81454233496186</x:v>
      </x:c>
      <x:c r="Z83" s="48" t="n">
        <x:f>B83-X83/1000</x:f>
        <x:v>400.56254833812864</x:v>
      </x:c>
      <x:c r="AA83" s="48" t="n">
        <x:f>SQRT((Inputs!$C$52+B83)^2+(Inputs!$C$52+Y83/1000)^2-2*(Inputs!$C$52+B83)*(Inputs!$C$52+Y83/1000)*COS(SQRT(A83^2+Inputs!$C$6^2)/Inputs!$C$52))</x:f>
        <x:v>401.6345966276653</x:v>
      </x:c>
      <x:c r="AB83" s="48" t="n">
        <x:f>(AA83-Z83)*1000</x:f>
        <x:v>1072.0482895366672</x:v>
      </x:c>
      <x:c r="AC83" s="48" t="n">
        <x:f>AB83/Inputs!$C$12</x:f>
        <x:v>602.2743199644198</x:v>
      </x:c>
      <x:c r="AD83" s="48" t="n">
        <x:f>2*AB83/Inputs!$C$21*1000000</x:f>
        <x:v>7.151936354160499</x:v>
      </x:c>
      <x:c r="AE83" s="48" t="n">
        <x:f>DEGREES(ATAN(H83/(B83-Y83/1000)))</x:f>
        <x:v>4.531366311615746</x:v>
      </x:c>
      <x:c r="AF83" s="48" t="n">
        <x:f>DEGREES((2*PI()/Inputs!$C$13)*Inputs!$C$15*SIN(RADIANS(AE83)))</x:f>
        <x:v>28.441743035048873</x:v>
      </x:c>
      <x:c r="AG83" s="48" t="n">
        <x:f>(Z83/AA83)^4</x:f>
        <x:v>0.9893658201403245</x:v>
      </x:c>
      <x:c r="AH83" s="48" t="n">
        <x:f>10*LOG10(AG83)</x:f>
        <x:v>-0.046430973889167504</x:v>
      </x:c>
      <x:c r="AI83" s="48" t="n">
        <x:f>AC83-F83</x:f>
        <x:v>-282.06205300930094</x:v>
      </x:c>
      <x:c r="AJ83" s="48" t="n">
        <x:f>AD83-G83</x:f>
        <x:v>-3.3494535366633915</x:v>
      </x:c>
      <x:c r="AK83" s="48" t="n">
        <x:f>Y83-X83</x:f>
        <x:v>503.86288046360556</x:v>
      </x:c>
      <x:c r="AL83" s="48" t="n">
        <x:f>1000*(AA84-AA82)/(A84-A82)*Inputs!$C$11</x:f>
        <x:v>-548.3156674090424</x:v>
      </x:c>
      <x:c r="AM83" s="48" t="n">
        <x:f>-2*AL83/Inputs!$C$13</x:f>
        <x:v>219.32626696361694</x:v>
      </x:c>
      <x:c r="AN83" s="48" t="n">
        <x:f>-2*AL83/Inputs!$C$14</x:f>
        <x:v>32.931871916459</x:v>
      </x:c>
      <x:c r="AO83" s="48" t="n">
        <x:f>ABS(AM83)</x:f>
        <x:v>219.32626696361694</x:v>
      </x:c>
      <x:c r="AP83" s="48" t="n">
        <x:f>ABS(AN83)</x:f>
        <x:v>32.931871916459</x:v>
      </x:c>
      <x:c r="AQ83" s="48" t="n">
        <x:f>IF(OR(Inputs!$C$27=TRUE,Inputs!$C$27="TRUE",Inputs!$C$27=1),Inputs!$C$46/Inputs!$C$12,0)</x:f>
        <x:v>42.13483146067416</x:v>
      </x:c>
      <x:c r="AR83" s="48" t="n">
        <x:f>AC83-AQ83</x:f>
        <x:v>560.1394885037456</x:v>
      </x:c>
      <x:c r="AS83" s="48" t="n">
        <x:f>AC83+AQ83</x:f>
        <x:v>644.4091514250939</x:v>
      </x:c>
    </x:row>
    <x:row r="84">
      <x:c r="A84" s="48" t="n">
        <x:f>Inputs!$C$7+82*(Inputs!$C$8-Inputs!$C$7)/240</x:f>
        <x:v>-19</x:v>
      </x:c>
      <x:c r="B84" s="48" t="n">
        <x:f>Inputs!$C$5+Inputs!$C$9*(A84/Inputs!$C$10)^2</x:f>
        <x:v>400.4011111111111</x:v>
      </x:c>
      <x:c r="C84" s="48" t="n">
        <x:f>B84</x:f>
        <x:v>400.4011111111111</x:v>
      </x:c>
      <x:c r="D84" s="48" t="n">
        <x:f>SQRT((Inputs!$C$52+B84)^2+Inputs!$C$52^2-2*(Inputs!$C$52+B84)*Inputs!$C$52*COS(SQRT(A84^2+Inputs!$C$6^2)/Inputs!$C$52))</x:f>
        <x:v>401.9452105847531</x:v>
      </x:c>
      <x:c r="E84" s="48" t="n">
        <x:f>(D84-C84)*1000</x:f>
        <x:v>1544.0994736420066</x:v>
      </x:c>
      <x:c r="F84" s="48" t="n">
        <x:f>E84/Inputs!$C$12</x:f>
        <x:v>867.4716144056217</x:v>
      </x:c>
      <x:c r="G84" s="48" t="n">
        <x:f>2*E84/Inputs!$C$21*1000000</x:f>
        <x:v>10.301122876426774</x:v>
      </x:c>
      <x:c r="H84" s="48" t="n">
        <x:f>SQRT(A84^2+Inputs!$C$6^2)</x:f>
        <x:v>31.400636936215164</x:v>
      </x:c>
      <x:c r="I84" s="48" t="n">
        <x:f>DEGREES(ATAN(H84/B84))</x:f>
        <x:v>4.484126471249511</x:v>
      </x:c>
      <x:c r="J84" s="48" t="n">
        <x:f>DEGREES((2*PI()/Inputs!$C$13)*Inputs!$C$15*SIN(RADIANS(I84)))</x:f>
        <x:v>28.14584451050467</x:v>
      </x:c>
      <x:c r="K84" s="48" t="n">
        <x:f>(C84/D84)^4</x:f>
        <x:v>0.9847220511043003</x:v>
      </x:c>
      <x:c r="L84" s="48" t="n">
        <x:f>10*LOG10(K84)</x:f>
        <x:v>-0.0668633671676961</x:v>
      </x:c>
      <x:c r="M84" s="48" t="n">
        <x:f>2*(Inputs!$C$9/(Inputs!$C$10^2))*A84</x:f>
        <x:v>-0.042222222222222223</x:v>
      </x:c>
      <x:c r="N84" s="48" t="n">
        <x:f>M84*Inputs!$C$11</x:f>
        <x:v>-0.1688888888888889</x:v>
      </x:c>
      <x:c r="O84" s="48" t="n">
        <x:f>1000*(D85-D83)/(A85-A83)*Inputs!$C$11</x:f>
        <x:v>-405.9427041381696</x:v>
      </x:c>
      <x:c r="P84" s="48" t="n">
        <x:f>-2*O84/Inputs!$C$13</x:f>
        <x:v>162.37708165526783</x:v>
      </x:c>
      <x:c r="Q84" s="48" t="n">
        <x:f>-2*O84/Inputs!$C$14</x:f>
        <x:v>24.38094319148166</x:v>
      </x:c>
      <x:c r="R84" s="48" t="n">
        <x:f>F84-Inputs!$C$16/2</x:f>
        <x:v>852.4716144056217</x:v>
      </x:c>
      <x:c r="S84" s="48" t="n">
        <x:f>F84+Inputs!$C$16/2</x:f>
        <x:v>882.4716144056217</x:v>
      </x:c>
      <x:c r="T84" s="48" t="n">
        <x:f>F84-Inputs!$C$17/2</x:f>
        <x:v>717.4716144056217</x:v>
      </x:c>
      <x:c r="U84" s="48" t="n">
        <x:f>F84+Inputs!$C$17/2</x:f>
        <x:v>1017.4716144056217</x:v>
      </x:c>
      <x:c r="V84" s="48" t="n">
        <x:f>ABS(P84)</x:f>
        <x:v>162.37708165526783</x:v>
      </x:c>
      <x:c r="W84" s="48" t="n">
        <x:f>ABS(Q84)</x:f>
        <x:v>24.38094319148166</x:v>
      </x:c>
      <x:c r="X84" s="48" t="n">
        <x: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(0.45*SIN(2*PI()*(((A84)/Inputs!$C$49)+Inputs!$C$47*0.137))+0.35*COS(2*PI()*(((0)/Inputs!$C$50)+Inputs!$C$47*0.173))+0.20*SIN(2*PI()*(((A84)+(0))/(0.5*(Inputs!$C$49+Inputs!$C$50))+Inputs!$C$47*0.097)))+0.30*(2*((SIN(((A84)*12.9898+(0)*78.233+Inputs!$C$47*37.719))*43758.5453)-INT((SIN(((A84)*12.9898+(0)*78.233+Inputs!$C$47*37.719))*43758.5453)))-1)))</x:f>
        <x:v>-144.88352309984418</x:v>
      </x:c>
      <x:c r="Y84" s="48" t="n">
        <x: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(0.45*SIN(2*PI()*(((A84)/Inputs!$C$49)+Inputs!$C$47*0.137))+0.35*COS(2*PI()*(((Inputs!$C$6)/Inputs!$C$50)+Inputs!$C$47*0.173))+0.20*SIN(2*PI()*(((A84)+(Inputs!$C$6))/(0.5*(Inputs!$C$49+Inputs!$C$50))+Inputs!$C$47*0.097)))+0.30*(2*((SIN(((A84)*12.9898+(Inputs!$C$6)*78.233+Inputs!$C$47*37.719))*43758.5453)-INT((SIN(((A84)*12.9898+(Inputs!$C$6)*78.233+Inputs!$C$47*37.719))*43758.5453)))-1)))</x:f>
        <x:v>371.18641988344854</x:v>
      </x:c>
      <x:c r="Z84" s="48" t="n">
        <x:f>B84-X84/1000</x:f>
        <x:v>400.54599463421096</x:v>
      </x:c>
      <x:c r="AA84" s="48" t="n">
        <x:f>SQRT((Inputs!$C$52+B84)^2+(Inputs!$C$52+Y84/1000)^2-2*(Inputs!$C$52+B84)*(Inputs!$C$52+Y84/1000)*COS(SQRT(A84^2+Inputs!$C$6^2)/Inputs!$C$52))</x:f>
        <x:v>401.57581826458386</x:v>
      </x:c>
      <x:c r="AB84" s="48" t="n">
        <x:f>(AA84-Z84)*1000</x:f>
        <x:v>1029.8236303729027</x:v>
      </x:c>
      <x:c r="AC84" s="48" t="n">
        <x:f>AB84/Inputs!$C$12</x:f>
        <x:v>578.5526013330914</x:v>
      </x:c>
      <x:c r="AD84" s="48" t="n">
        <x:f>2*AB84/Inputs!$C$21*1000000</x:f>
        <x:v>6.870243749580269</x:v>
      </x:c>
      <x:c r="AE84" s="48" t="n">
        <x:f>DEGREES(ATAN(H84/(B84-Y84/1000)))</x:f>
        <x:v>4.488270284263776</x:v>
      </x:c>
      <x:c r="AF84" s="48" t="n">
        <x:f>DEGREES((2*PI()/Inputs!$C$13)*Inputs!$C$15*SIN(RADIANS(AE84)))</x:f>
        <x:v>28.171801085504747</x:v>
      </x:c>
      <x:c r="AG84" s="48" t="n">
        <x:f>(Z84/AA84)^4</x:f>
        <x:v>0.9897815660662632</x:v>
      </x:c>
      <x:c r="AH84" s="48" t="n">
        <x:f>10*LOG10(AG84)</x:f>
        <x:v>-0.0446063885609288</x:v>
      </x:c>
      <x:c r="AI84" s="48" t="n">
        <x:f>AC84-F84</x:f>
        <x:v>-288.91901307253033</x:v>
      </x:c>
      <x:c r="AJ84" s="48" t="n">
        <x:f>AD84-G84</x:f>
        <x:v>-3.430879126846505</x:v>
      </x:c>
      <x:c r="AK84" s="48" t="n">
        <x:f>Y84-X84</x:f>
        <x:v>516.0699429832928</x:v>
      </x:c>
      <x:c r="AL84" s="48" t="n">
        <x:f>1000*(AA85-AA83)/(A85-A83)*Inputs!$C$11</x:f>
        <x:v>-413.6711414948877</x:v>
      </x:c>
      <x:c r="AM84" s="48" t="n">
        <x:f>-2*AL84/Inputs!$C$13</x:f>
        <x:v>165.46845659795508</x:v>
      </x:c>
      <x:c r="AN84" s="48" t="n">
        <x:f>-2*AL84/Inputs!$C$14</x:f>
        <x:v>24.84511360329656</x:v>
      </x:c>
      <x:c r="AO84" s="48" t="n">
        <x:f>ABS(AM84)</x:f>
        <x:v>165.46845659795508</x:v>
      </x:c>
      <x:c r="AP84" s="48" t="n">
        <x:f>ABS(AN84)</x:f>
        <x:v>24.84511360329656</x:v>
      </x:c>
      <x:c r="AQ84" s="48" t="n">
        <x:f>IF(OR(Inputs!$C$27=TRUE,Inputs!$C$27="TRUE",Inputs!$C$27=1),Inputs!$C$46/Inputs!$C$12,0)</x:f>
        <x:v>42.13483146067416</x:v>
      </x:c>
      <x:c r="AR84" s="48" t="n">
        <x:f>AC84-AQ84</x:f>
        <x:v>536.4177698724172</x:v>
      </x:c>
      <x:c r="AS84" s="48" t="n">
        <x:f>AC84+AQ84</x:f>
        <x:v>620.6874327937655</x:v>
      </x:c>
    </x:row>
    <x:row r="85">
      <x:c r="A85" s="48" t="n">
        <x:f>Inputs!$C$7+83*(Inputs!$C$8-Inputs!$C$7)/240</x:f>
        <x:v>-18.5</x:v>
      </x:c>
      <x:c r="B85" s="48" t="n">
        <x:f>Inputs!$C$5+Inputs!$C$9*(A85/Inputs!$C$10)^2</x:f>
        <x:v>400.3802777777778</x:v>
      </x:c>
      <x:c r="C85" s="48" t="n">
        <x:f>B85</x:f>
        <x:v>400.3802777777778</x:v>
      </x:c>
      <x:c r="D85" s="48" t="n">
        <x:f>SQRT((Inputs!$C$52+B85)^2+Inputs!$C$52^2-2*(Inputs!$C$52+B85)*Inputs!$C$52*COS(SQRT(A85^2+Inputs!$C$6^2)/Inputs!$C$52))</x:f>
        <x:v>401.8951330678587</x:v>
      </x:c>
      <x:c r="E85" s="48" t="n">
        <x:f>(D85-C85)*1000</x:f>
        <x:v>1514.8552900809023</x:v>
      </x:c>
      <x:c r="F85" s="48" t="n">
        <x:f>E85/Inputs!$C$12</x:f>
        <x:v>851.0422977982597</x:v>
      </x:c>
      <x:c r="G85" s="48" t="n">
        <x:f>2*E85/Inputs!$C$21*1000000</x:f>
        <x:v>10.106026683839406</x:v>
      </x:c>
      <x:c r="H85" s="48" t="n">
        <x:f>SQRT(A85^2+Inputs!$C$6^2)</x:f>
        <x:v>31.100643080167973</x:v>
      </x:c>
      <x:c r="I85" s="48" t="n">
        <x:f>DEGREES(ATAN(H85/B85))</x:f>
        <x:v>4.441688661129496</x:v>
      </x:c>
      <x:c r="J85" s="48" t="n">
        <x:f>DEGREES((2*PI()/Inputs!$C$13)*Inputs!$C$15*SIN(RADIANS(I85)))</x:f>
        <x:v>27.88000837991527</x:v>
      </x:c>
      <x:c r="K85" s="48" t="n">
        <x:f>(C85/D85)^4</x:f>
        <x:v>0.9850079107957616</x:v>
      </x:c>
      <x:c r="L85" s="48" t="n">
        <x:f>10*LOG10(K85)</x:f>
        <x:v>-0.0656028158243841</x:v>
      </x:c>
      <x:c r="M85" s="48" t="n">
        <x:f>2*(Inputs!$C$9/(Inputs!$C$10^2))*A85</x:f>
        <x:v>-0.04111111111111111</x:v>
      </x:c>
      <x:c r="N85" s="48" t="n">
        <x:f>M85*Inputs!$C$11</x:f>
        <x:v>-0.16444444444444445</x:v>
      </x:c>
      <x:c r="O85" s="48" t="n">
        <x:f>1000*(D86-D84)/(A86-A84)*Inputs!$C$11</x:f>
        <x:v>-395.2961091731595</x:v>
      </x:c>
      <x:c r="P85" s="48" t="n">
        <x:f>-2*O85/Inputs!$C$13</x:f>
        <x:v>158.1184436692638</x:v>
      </x:c>
      <x:c r="Q85" s="48" t="n">
        <x:f>-2*O85/Inputs!$C$14</x:f>
        <x:v>23.74150805844802</x:v>
      </x:c>
      <x:c r="R85" s="48" t="n">
        <x:f>F85-Inputs!$C$16/2</x:f>
        <x:v>836.0422977982597</x:v>
      </x:c>
      <x:c r="S85" s="48" t="n">
        <x:f>F85+Inputs!$C$16/2</x:f>
        <x:v>866.0422977982597</x:v>
      </x:c>
      <x:c r="T85" s="48" t="n">
        <x:f>F85-Inputs!$C$17/2</x:f>
        <x:v>701.0422977982597</x:v>
      </x:c>
      <x:c r="U85" s="48" t="n">
        <x:f>F85+Inputs!$C$17/2</x:f>
        <x:v>1001.0422977982597</x:v>
      </x:c>
      <x:c r="V85" s="48" t="n">
        <x:f>ABS(P85)</x:f>
        <x:v>158.1184436692638</x:v>
      </x:c>
      <x:c r="W85" s="48" t="n">
        <x:f>ABS(Q85)</x:f>
        <x:v>23.74150805844802</x:v>
      </x:c>
      <x:c r="X85" s="48" t="n">
        <x: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(0.45*SIN(2*PI()*(((A85)/Inputs!$C$49)+Inputs!$C$47*0.137))+0.35*COS(2*PI()*(((0)/Inputs!$C$50)+Inputs!$C$47*0.173))+0.20*SIN(2*PI()*(((A85)+(0))/(0.5*(Inputs!$C$49+Inputs!$C$50))+Inputs!$C$47*0.097)))+0.30*(2*((SIN(((A85)*12.9898+(0)*78.233+Inputs!$C$47*37.719))*43758.5453)-INT((SIN(((A85)*12.9898+(0)*78.233+Inputs!$C$47*37.719))*43758.5453)))-1)))</x:f>
        <x:v>-136.66366560462208</x:v>
      </x:c>
      <x:c r="Y85" s="48" t="n">
        <x: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(0.45*SIN(2*PI()*(((A85)/Inputs!$C$49)+Inputs!$C$47*0.137))+0.35*COS(2*PI()*(((Inputs!$C$6)/Inputs!$C$50)+Inputs!$C$47*0.173))+0.20*SIN(2*PI()*(((A85)+(Inputs!$C$6))/(0.5*(Inputs!$C$49+Inputs!$C$50))+Inputs!$C$47*0.097)))+0.30*(2*((SIN(((A85)*12.9898+(Inputs!$C$6)*78.233+Inputs!$C$47*37.719))*43758.5453)-INT((SIN(((A85)*12.9898+(Inputs!$C$6)*78.233+Inputs!$C$47*37.719))*43758.5453)))-1)))</x:f>
        <x:v>365.6884368087795</x:v>
      </x:c>
      <x:c r="Z85" s="48" t="n">
        <x:f>B85-X85/1000</x:f>
        <x:v>400.5169414433824</x:v>
      </x:c>
      <x:c r="AA85" s="48" t="n">
        <x:f>SQRT((Inputs!$C$52+B85)^2+(Inputs!$C$52+Y85/1000)^2-2*(Inputs!$C$52+B85)*(Inputs!$C$52+Y85/1000)*COS(SQRT(A85^2+Inputs!$C$6^2)/Inputs!$C$52))</x:f>
        <x:v>401.5311788422916</x:v>
      </x:c>
      <x:c r="AB85" s="48" t="n">
        <x:f>(AA85-Z85)*1000</x:f>
        <x:v>1014.237398909188</x:v>
      </x:c>
      <x:c r="AC85" s="48" t="n">
        <x:f>AB85/Inputs!$C$12</x:f>
        <x:v>569.7962915220157</x:v>
      </x:c>
      <x:c r="AD85" s="48" t="n">
        <x:f>2*AB85/Inputs!$C$21*1000000</x:f>
        <x:v>6.76626360566541</x:v>
      </x:c>
      <x:c r="AE85" s="48" t="n">
        <x:f>DEGREES(ATAN(H85/(B85-Y85/1000)))</x:f>
        <x:v>4.4457329275082635</x:v>
      </x:c>
      <x:c r="AF85" s="48" t="n">
        <x:f>DEGREES((2*PI()/Inputs!$C$13)*Inputs!$C$15*SIN(RADIANS(AE85)))</x:f>
        <x:v>27.905342868215158</x:v>
      </x:c>
      <x:c r="AG85" s="48" t="n">
        <x:f>(Z85/AA85)^4</x:f>
        <x:v>0.9899345197711361</x:v>
      </x:c>
      <x:c r="AH85" s="48" t="n">
        <x:f>10*LOG10(AG85)</x:f>
        <x:v>-0.0439353130403495</x:v>
      </x:c>
      <x:c r="AI85" s="48" t="n">
        <x:f>AC85-F85</x:f>
        <x:v>-281.246006276244</x:v>
      </x:c>
      <x:c r="AJ85" s="48" t="n">
        <x:f>AD85-G85</x:f>
        <x:v>-3.3397630781739966</x:v>
      </x:c>
      <x:c r="AK85" s="48" t="n">
        <x:f>Y85-X85</x:f>
        <x:v>502.35210241340155</x:v>
      </x:c>
      <x:c r="AL85" s="48" t="n">
        <x:f>1000*(AA86-AA84)/(A86-A84)*Inputs!$C$11</x:f>
        <x:v>-478.51718714287017</x:v>
      </x:c>
      <x:c r="AM85" s="48" t="n">
        <x:f>-2*AL85/Inputs!$C$13</x:f>
        <x:v>191.40687485714807</x:v>
      </x:c>
      <x:c r="AN85" s="48" t="n">
        <x:f>-2*AL85/Inputs!$C$14</x:f>
        <x:v>28.739770999571785</x:v>
      </x:c>
      <x:c r="AO85" s="48" t="n">
        <x:f>ABS(AM85)</x:f>
        <x:v>191.40687485714807</x:v>
      </x:c>
      <x:c r="AP85" s="48" t="n">
        <x:f>ABS(AN85)</x:f>
        <x:v>28.739770999571785</x:v>
      </x:c>
      <x:c r="AQ85" s="48" t="n">
        <x:f>IF(OR(Inputs!$C$27=TRUE,Inputs!$C$27="TRUE",Inputs!$C$27=1),Inputs!$C$46/Inputs!$C$12,0)</x:f>
        <x:v>42.13483146067416</x:v>
      </x:c>
      <x:c r="AR85" s="48" t="n">
        <x:f>AC85-AQ85</x:f>
        <x:v>527.6614600613416</x:v>
      </x:c>
      <x:c r="AS85" s="48" t="n">
        <x:f>AC85+AQ85</x:f>
        <x:v>611.9311229826899</x:v>
      </x:c>
    </x:row>
    <x:row r="86">
      <x:c r="A86" s="48" t="n">
        <x:f>Inputs!$C$7+84*(Inputs!$C$8-Inputs!$C$7)/240</x:f>
        <x:v>-18</x:v>
      </x:c>
      <x:c r="B86" s="48" t="n">
        <x:f>Inputs!$C$5+Inputs!$C$9*(A86/Inputs!$C$10)^2</x:f>
        <x:v>400.36</x:v>
      </x:c>
      <x:c r="C86" s="48" t="n">
        <x:f>B86</x:f>
        <x:v>400.36</x:v>
      </x:c>
      <x:c r="D86" s="48" t="n">
        <x:f>SQRT((Inputs!$C$52+B86)^2+Inputs!$C$52^2-2*(Inputs!$C$52+B86)*Inputs!$C$52*COS(SQRT(A86^2+Inputs!$C$6^2)/Inputs!$C$52))</x:f>
        <x:v>401.8463865574598</x:v>
      </x:c>
      <x:c r="E86" s="48" t="n">
        <x:f>(D86-C86)*1000</x:f>
        <x:v>1486.3865574598094</x:v>
      </x:c>
      <x:c r="F86" s="48" t="n">
        <x:f>E86/Inputs!$C$12</x:f>
        <x:v>835.0486277864097</x:v>
      </x:c>
      <x:c r="G86" s="48" t="n">
        <x:f>2*E86/Inputs!$C$21*1000000</x:f>
        <x:v>9.916103743075547</x:v>
      </x:c>
      <x:c r="H86" s="48" t="n">
        <x:f>SQRT(A86^2+Inputs!$C$6^2)</x:f>
        <x:v>30.805843601498726</x:v>
      </x:c>
      <x:c r="I86" s="48" t="n">
        <x:f>DEGREES(ATAN(H86/B86))</x:f>
        <x:v>4.3999744653546005</x:v>
      </x:c>
      <x:c r="J86" s="48" t="n">
        <x:f>DEGREES((2*PI()/Inputs!$C$13)*Inputs!$C$15*SIN(RADIANS(I86)))</x:f>
        <x:v>27.618690159596383</x:v>
      </x:c>
      <x:c r="K86" s="48" t="n">
        <x:f>(C86/D86)^4</x:f>
        <x:v>0.9852863188663767</x:v>
      </x:c>
      <x:c r="L86" s="48" t="n">
        <x:f>10*LOG10(K86)</x:f>
        <x:v>-0.0643754753818252</x:v>
      </x:c>
      <x:c r="M86" s="48" t="n">
        <x:f>2*(Inputs!$C$9/(Inputs!$C$10^2))*A86</x:f>
        <x:v>-0.04</x:v>
      </x:c>
      <x:c r="N86" s="48" t="n">
        <x:f>M86*Inputs!$C$11</x:f>
        <x:v>-0.16</x:v>
      </x:c>
      <x:c r="O86" s="48" t="n">
        <x:f>1000*(D87-D85)/(A87-A85)*Inputs!$C$11</x:f>
        <x:v>-384.64663819468115</x:v>
      </x:c>
      <x:c r="P86" s="48" t="n">
        <x:f>-2*O86/Inputs!$C$13</x:f>
        <x:v>153.85865527787246</x:v>
      </x:c>
      <x:c r="Q86" s="48" t="n">
        <x:f>-2*O86/Inputs!$C$14</x:f>
        <x:v>23.101900191872744</x:v>
      </x:c>
      <x:c r="R86" s="48" t="n">
        <x:f>F86-Inputs!$C$16/2</x:f>
        <x:v>820.0486277864097</x:v>
      </x:c>
      <x:c r="S86" s="48" t="n">
        <x:f>F86+Inputs!$C$16/2</x:f>
        <x:v>850.0486277864097</x:v>
      </x:c>
      <x:c r="T86" s="48" t="n">
        <x:f>F86-Inputs!$C$17/2</x:f>
        <x:v>685.0486277864097</x:v>
      </x:c>
      <x:c r="U86" s="48" t="n">
        <x:f>F86+Inputs!$C$17/2</x:f>
        <x:v>985.0486277864097</x:v>
      </x:c>
      <x:c r="V86" s="48" t="n">
        <x:f>ABS(P86)</x:f>
        <x:v>153.85865527787246</x:v>
      </x:c>
      <x:c r="W86" s="48" t="n">
        <x:f>ABS(Q86)</x:f>
        <x:v>23.101900191872744</x:v>
      </x:c>
      <x:c r="X86" s="48" t="n">
        <x: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(0.45*SIN(2*PI()*(((A86)/Inputs!$C$49)+Inputs!$C$47*0.137))+0.35*COS(2*PI()*(((0)/Inputs!$C$50)+Inputs!$C$47*0.173))+0.20*SIN(2*PI()*(((A86)+(0))/(0.5*(Inputs!$C$49+Inputs!$C$50))+Inputs!$C$47*0.097)))+0.30*(2*((SIN(((A86)*12.9898+(0)*78.233+Inputs!$C$47*37.719))*43758.5453)-INT((SIN(((A86)*12.9898+(0)*78.233+Inputs!$C$47*37.719))*43758.5453)))-1)))</x:f>
        <x:v>-149.12259877495586</x:v>
      </x:c>
      <x:c r="Y86" s="48" t="n">
        <x: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(0.45*SIN(2*PI()*(((A86)/Inputs!$C$49)+Inputs!$C$47*0.137))+0.35*COS(2*PI()*(((Inputs!$C$6)/Inputs!$C$50)+Inputs!$C$47*0.173))+0.20*SIN(2*PI()*(((A86)+(Inputs!$C$6))/(0.5*(Inputs!$C$49+Inputs!$C$50))+Inputs!$C$47*0.097)))+0.30*(2*((SIN(((A86)*12.9898+(Inputs!$C$6)*78.233+Inputs!$C$47*37.719))*43758.5453)-INT((SIN(((A86)*12.9898+(Inputs!$C$6)*78.233+Inputs!$C$47*37.719))*43758.5453)))-1)))</x:f>
        <x:v>392.0220541536099</x:v>
      </x:c>
      <x:c r="Z86" s="48" t="n">
        <x:f>B86-X86/1000</x:f>
        <x:v>400.509122598775</x:v>
      </x:c>
      <x:c r="AA86" s="48" t="n">
        <x:f>SQRT((Inputs!$C$52+B86)^2+(Inputs!$C$52+Y86/1000)^2-2*(Inputs!$C$52+B86)*(Inputs!$C$52+Y86/1000)*COS(SQRT(A86^2+Inputs!$C$6^2)/Inputs!$C$52))</x:f>
        <x:v>401.45618896779814</x:v>
      </x:c>
      <x:c r="AB86" s="48" t="n">
        <x:f>(AA86-Z86)*1000</x:f>
        <x:v>947.0663690231618</x:v>
      </x:c>
      <x:c r="AC86" s="48" t="n">
        <x:f>AB86/Inputs!$C$12</x:f>
        <x:v>532.0597578781808</x:v>
      </x:c>
      <x:c r="AD86" s="48" t="n">
        <x:f>2*AB86/Inputs!$C$21*1000000</x:f>
        <x:v>6.318146729516203</x:v>
      </x:c>
      <x:c r="AE86" s="48" t="n">
        <x:f>DEGREES(ATAN(H86/(B86-Y86/1000)))</x:f>
        <x:v>4.404270068310071</x:v>
      </x:c>
      <x:c r="AF86" s="48" t="n">
        <x:f>DEGREES((2*PI()/Inputs!$C$13)*Inputs!$C$15*SIN(RADIANS(AE86)))</x:f>
        <x:v>27.645600605826974</x:v>
      </x:c>
      <x:c r="AG86" s="48" t="n">
        <x:f>(Z86/AA86)^4</x:f>
        <x:v>0.9905970279428946</x:v>
      </x:c>
      <x:c r="AH86" s="48" t="n">
        <x:f>10*LOG10(AG86)</x:f>
        <x:v>-0.0410297935168212</x:v>
      </x:c>
      <x:c r="AI86" s="48" t="n">
        <x:f>AC86-F86</x:f>
        <x:v>-302.98886990822893</x:v>
      </x:c>
      <x:c r="AJ86" s="48" t="n">
        <x:f>AD86-G86</x:f>
        <x:v>-3.597957013559345</x:v>
      </x:c>
      <x:c r="AK86" s="48" t="n">
        <x:f>Y86-X86</x:f>
        <x:v>541.1446529285657</x:v>
      </x:c>
      <x:c r="AL86" s="48" t="n">
        <x:f>1000*(AA87-AA85)/(A87-A85)*Inputs!$C$11</x:f>
        <x:v>-509.85866365749644</x:v>
      </x:c>
      <x:c r="AM86" s="48" t="n">
        <x:f>-2*AL86/Inputs!$C$13</x:f>
        <x:v>203.94346546299857</x:v>
      </x:c>
      <x:c r="AN86" s="48" t="n">
        <x:f>-2*AL86/Inputs!$C$14</x:f>
        <x:v>30.6221419614112</x:v>
      </x:c>
      <x:c r="AO86" s="48" t="n">
        <x:f>ABS(AM86)</x:f>
        <x:v>203.94346546299857</x:v>
      </x:c>
      <x:c r="AP86" s="48" t="n">
        <x:f>ABS(AN86)</x:f>
        <x:v>30.6221419614112</x:v>
      </x:c>
      <x:c r="AQ86" s="48" t="n">
        <x:f>IF(OR(Inputs!$C$27=TRUE,Inputs!$C$27="TRUE",Inputs!$C$27=1),Inputs!$C$46/Inputs!$C$12,0)</x:f>
        <x:v>42.13483146067416</x:v>
      </x:c>
      <x:c r="AR86" s="48" t="n">
        <x:f>AC86-AQ86</x:f>
        <x:v>489.92492641750664</x:v>
      </x:c>
      <x:c r="AS86" s="48" t="n">
        <x:f>AC86+AQ86</x:f>
        <x:v>574.1945893388549</x:v>
      </x:c>
    </x:row>
    <x:row r="87">
      <x:c r="A87" s="48" t="n">
        <x:f>Inputs!$C$7+85*(Inputs!$C$8-Inputs!$C$7)/240</x:f>
        <x:v>-17.5</x:v>
      </x:c>
      <x:c r="B87" s="48" t="n">
        <x:f>Inputs!$C$5+Inputs!$C$9*(A87/Inputs!$C$10)^2</x:f>
        <x:v>400.34027777777777</x:v>
      </x:c>
      <x:c r="C87" s="48" t="n">
        <x:f>B87</x:f>
        <x:v>400.34027777777777</x:v>
      </x:c>
      <x:c r="D87" s="48" t="n">
        <x:f>SQRT((Inputs!$C$52+B87)^2+Inputs!$C$52^2-2*(Inputs!$C$52+B87)*Inputs!$C$52*COS(SQRT(A87^2+Inputs!$C$6^2)/Inputs!$C$52))</x:f>
        <x:v>401.79897140831</x:v>
      </x:c>
      <x:c r="E87" s="48" t="n">
        <x:f>(D87-C87)*1000</x:f>
        <x:v>1458.6936305322524</x:v>
      </x:c>
      <x:c r="F87" s="48" t="n">
        <x:f>E87/Inputs!$C$12</x:f>
        <x:v>819.4908036698047</x:v>
      </x:c>
      <x:c r="G87" s="48" t="n">
        <x:f>2*E87/Inputs!$C$21*1000000</x:f>
        <x:v>9.731356420795965</x:v>
      </x:c>
      <x:c r="H87" s="48" t="n">
        <x:f>SQRT(A87^2+Inputs!$C$6^2)</x:f>
        <x:v>30.516389039334257</x:v>
      </x:c>
      <x:c r="I87" s="48" t="n">
        <x:f>DEGREES(ATAN(H87/B87))</x:f>
        <x:v>4.359005878140658</x:v>
      </x:c>
      <x:c r="J87" s="48" t="n">
        <x:f>DEGREES((2*PI()/Inputs!$C$13)*Inputs!$C$15*SIN(RADIANS(I87)))</x:f>
        <x:v>27.3620285475742</x:v>
      </x:c>
      <x:c r="K87" s="48" t="n">
        <x:f>(C87/D87)^4</x:f>
        <x:v>0.9855572615636342</x:v>
      </x:c>
      <x:c r="L87" s="48" t="n">
        <x:f>10*LOG10(K87)</x:f>
        <x:v>-0.0631813783947216</x:v>
      </x:c>
      <x:c r="M87" s="48" t="n">
        <x:f>2*(Inputs!$C$9/(Inputs!$C$10^2))*A87</x:f>
        <x:v>-0.03888888888888889</x:v>
      </x:c>
      <x:c r="N87" s="48" t="n">
        <x:f>M87*Inputs!$C$11</x:f>
        <x:v>-0.15555555555555556</x:v>
      </x:c>
      <x:c r="O87" s="48" t="n">
        <x:f>1000*(D88-D86)/(A88-A86)*Inputs!$C$11</x:f>
        <x:v>-373.9943672410391</x:v>
      </x:c>
      <x:c r="P87" s="48" t="n">
        <x:f>-2*O87/Inputs!$C$13</x:f>
        <x:v>149.59774689641563</x:v>
      </x:c>
      <x:c r="Q87" s="48" t="n">
        <x:f>-2*O87/Inputs!$C$14</x:f>
        <x:v>22.462124158620966</x:v>
      </x:c>
      <x:c r="R87" s="48" t="n">
        <x:f>F87-Inputs!$C$16/2</x:f>
        <x:v>804.4908036698047</x:v>
      </x:c>
      <x:c r="S87" s="48" t="n">
        <x:f>F87+Inputs!$C$16/2</x:f>
        <x:v>834.4908036698047</x:v>
      </x:c>
      <x:c r="T87" s="48" t="n">
        <x:f>F87-Inputs!$C$17/2</x:f>
        <x:v>669.4908036698047</x:v>
      </x:c>
      <x:c r="U87" s="48" t="n">
        <x:f>F87+Inputs!$C$17/2</x:f>
        <x:v>969.4908036698047</x:v>
      </x:c>
      <x:c r="V87" s="48" t="n">
        <x:f>ABS(P87)</x:f>
        <x:v>149.59774689641563</x:v>
      </x:c>
      <x:c r="W87" s="48" t="n">
        <x:f>ABS(Q87)</x:f>
        <x:v>22.462124158620966</x:v>
      </x:c>
      <x:c r="X87" s="48" t="n">
        <x: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(0.45*SIN(2*PI()*(((A87)/Inputs!$C$49)+Inputs!$C$47*0.137))+0.35*COS(2*PI()*(((0)/Inputs!$C$50)+Inputs!$C$47*0.173))+0.20*SIN(2*PI()*(((A87)+(0))/(0.5*(Inputs!$C$49+Inputs!$C$50))+Inputs!$C$47*0.097)))+0.30*(2*((SIN(((A87)*12.9898+(0)*78.233+Inputs!$C$47*37.719))*43758.5453)-INT((SIN(((A87)*12.9898+(0)*78.233+Inputs!$C$47*37.719))*43758.5453)))-1)))</x:f>
        <x:v>-139.0731304771746</x:v>
      </x:c>
      <x:c r="Y87" s="48" t="n">
        <x: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(0.45*SIN(2*PI()*(((A87)/Inputs!$C$49)+Inputs!$C$47*0.137))+0.35*COS(2*PI()*(((Inputs!$C$6)/Inputs!$C$50)+Inputs!$C$47*0.173))+0.20*SIN(2*PI()*(((A87)+(Inputs!$C$6))/(0.5*(Inputs!$C$49+Inputs!$C$50))+Inputs!$C$47*0.097)))+0.30*(2*((SIN(((A87)*12.9898+(Inputs!$C$6)*78.233+Inputs!$C$47*37.719))*43758.5453)-INT((SIN(((A87)*12.9898+(Inputs!$C$6)*78.233+Inputs!$C$47*37.719))*43758.5453)))-1)))</x:f>
        <x:v>397.07097057156574</x:v>
      </x:c>
      <x:c r="Z87" s="48" t="n">
        <x:f>B87-X87/1000</x:f>
        <x:v>400.47935090825496</x:v>
      </x:c>
      <x:c r="AA87" s="48" t="n">
        <x:f>SQRT((Inputs!$C$52+B87)^2+(Inputs!$C$52+Y87/1000)^2-2*(Inputs!$C$52+B87)*(Inputs!$C$52+Y87/1000)*COS(SQRT(A87^2+Inputs!$C$6^2)/Inputs!$C$52))</x:f>
        <x:v>401.4037141763772</x:v>
      </x:c>
      <x:c r="AB87" s="48" t="n">
        <x:f>(AA87-Z87)*1000</x:f>
        <x:v>924.3632681222493</x:v>
      </x:c>
      <x:c r="AC87" s="48" t="n">
        <x:f>AB87/Inputs!$C$12</x:f>
        <x:v>519.3052068102525</x:v>
      </x:c>
      <x:c r="AD87" s="48" t="n">
        <x:f>2*AB87/Inputs!$C$21*1000000</x:f>
        <x:v>6.166687943312098</x:v>
      </x:c>
      <x:c r="AE87" s="48" t="n">
        <x:f>DEGREES(ATAN(H87/(B87-Y87/1000)))</x:f>
        <x:v>4.363316874725082</x:v>
      </x:c>
      <x:c r="AF87" s="48" t="n">
        <x:f>DEGREES((2*PI()/Inputs!$C$13)*Inputs!$C$15*SIN(RADIANS(AE87)))</x:f>
        <x:v>27.389036908924687</x:v>
      </x:c>
      <x:c r="AG87" s="48" t="n">
        <x:f>(Z87/AA87)^4</x:f>
        <x:v>0.9908204616769941</x:v>
      </x:c>
      <x:c r="AH87" s="48" t="n">
        <x:f>10*LOG10(AG87)</x:f>
        <x:v>-0.0400503327145411</x:v>
      </x:c>
      <x:c r="AI87" s="48" t="n">
        <x:f>AC87-F87</x:f>
        <x:v>-300.1855968595522</x:v>
      </x:c>
      <x:c r="AJ87" s="48" t="n">
        <x:f>AD87-G87</x:f>
        <x:v>-3.564668477483867</x:v>
      </x:c>
      <x:c r="AK87" s="48" t="n">
        <x:f>Y87-X87</x:f>
        <x:v>536.1441010487404</x:v>
      </x:c>
      <x:c r="AL87" s="48" t="n">
        <x:f>1000*(AA88-AA86)/(A88-A86)*Inputs!$C$11</x:f>
        <x:v>-331.8564581766168</x:v>
      </x:c>
      <x:c r="AM87" s="48" t="n">
        <x:f>-2*AL87/Inputs!$C$13</x:f>
        <x:v>132.74258327064672</x:v>
      </x:c>
      <x:c r="AN87" s="48" t="n">
        <x:f>-2*AL87/Inputs!$C$14</x:f>
        <x:v>19.931318809406417</x:v>
      </x:c>
      <x:c r="AO87" s="48" t="n">
        <x:f>ABS(AM87)</x:f>
        <x:v>132.74258327064672</x:v>
      </x:c>
      <x:c r="AP87" s="48" t="n">
        <x:f>ABS(AN87)</x:f>
        <x:v>19.931318809406417</x:v>
      </x:c>
      <x:c r="AQ87" s="48" t="n">
        <x:f>IF(OR(Inputs!$C$27=TRUE,Inputs!$C$27="TRUE",Inputs!$C$27=1),Inputs!$C$46/Inputs!$C$12,0)</x:f>
        <x:v>42.13483146067416</x:v>
      </x:c>
      <x:c r="AR87" s="48" t="n">
        <x:f>AC87-AQ87</x:f>
        <x:v>477.1703753495783</x:v>
      </x:c>
      <x:c r="AS87" s="48" t="n">
        <x:f>AC87+AQ87</x:f>
        <x:v>561.4400382709266</x:v>
      </x:c>
    </x:row>
    <x:row r="88">
      <x:c r="A88" s="48" t="n">
        <x:f>Inputs!$C$7+86*(Inputs!$C$8-Inputs!$C$7)/240</x:f>
        <x:v>-17</x:v>
      </x:c>
      <x:c r="B88" s="48" t="n">
        <x:f>Inputs!$C$5+Inputs!$C$9*(A88/Inputs!$C$10)^2</x:f>
        <x:v>400.3211111111111</x:v>
      </x:c>
      <x:c r="C88" s="48" t="n">
        <x:f>B88</x:f>
        <x:v>400.3211111111111</x:v>
      </x:c>
      <x:c r="D88" s="48" t="n">
        <x:f>SQRT((Inputs!$C$52+B88)^2+Inputs!$C$52^2-2*(Inputs!$C$52+B88)*Inputs!$C$52*COS(SQRT(A88^2+Inputs!$C$6^2)/Inputs!$C$52))</x:f>
        <x:v>401.75288796564956</x:v>
      </x:c>
      <x:c r="E88" s="48" t="n">
        <x:f>(D88-C88)*1000</x:f>
        <x:v>1431.776854538441</x:v>
      </x:c>
      <x:c r="F88" s="48" t="n">
        <x:f>E88/Inputs!$C$12</x:f>
        <x:v>804.3690194036186</x:v>
      </x:c>
      <x:c r="G88" s="48" t="n">
        <x:f>2*E88/Inputs!$C$21*1000000</x:f>
        <x:v>9.551787020195425</x:v>
      </x:c>
      <x:c r="H88" s="48" t="n">
        <x:f>SQRT(A88^2+Inputs!$C$6^2)</x:f>
        <x:v>30.23243291566195</x:v>
      </x:c>
      <x:c r="I88" s="48" t="n">
        <x:f>DEGREES(ATAN(H88/B88))</x:f>
        <x:v>4.3188053168235525</x:v>
      </x:c>
      <x:c r="J88" s="48" t="n">
        <x:f>DEGREES((2*PI()/Inputs!$C$13)*Inputs!$C$15*SIN(RADIANS(I88)))</x:f>
        <x:v>27.110164894856272</x:v>
      </x:c>
      <x:c r="K88" s="48" t="n">
        <x:f>(C88/D88)^4</x:f>
        <x:v>0.9858207254931723</x:v>
      </x:c>
      <x:c r="L88" s="48" t="n">
        <x:f>10*LOG10(K88)</x:f>
        <x:v>-0.0620205565512049</x:v>
      </x:c>
      <x:c r="M88" s="48" t="n">
        <x:f>2*(Inputs!$C$9/(Inputs!$C$10^2))*A88</x:f>
        <x:v>-0.03777777777777778</x:v>
      </x:c>
      <x:c r="N88" s="48" t="n">
        <x:f>M88*Inputs!$C$11</x:f>
        <x:v>-0.1511111111111111</x:v>
      </x:c>
      <x:c r="O88" s="48" t="n">
        <x:f>1000*(D89-D87)/(A89-A87)*Inputs!$C$11</x:f>
        <x:v>-363.33937246513415</x:v>
      </x:c>
      <x:c r="P88" s="48" t="n">
        <x:f>-2*O88/Inputs!$C$13</x:f>
        <x:v>145.33574898605366</x:v>
      </x:c>
      <x:c r="Q88" s="48" t="n">
        <x:f>-2*O88/Inputs!$C$14</x:f>
        <x:v>21.82218453244049</x:v>
      </x:c>
      <x:c r="R88" s="48" t="n">
        <x:f>F88-Inputs!$C$16/2</x:f>
        <x:v>789.3690194036186</x:v>
      </x:c>
      <x:c r="S88" s="48" t="n">
        <x:f>F88+Inputs!$C$16/2</x:f>
        <x:v>819.3690194036186</x:v>
      </x:c>
      <x:c r="T88" s="48" t="n">
        <x:f>F88-Inputs!$C$17/2</x:f>
        <x:v>654.3690194036186</x:v>
      </x:c>
      <x:c r="U88" s="48" t="n">
        <x:f>F88+Inputs!$C$17/2</x:f>
        <x:v>954.3690194036186</x:v>
      </x:c>
      <x:c r="V88" s="48" t="n">
        <x:f>ABS(P88)</x:f>
        <x:v>145.33574898605366</x:v>
      </x:c>
      <x:c r="W88" s="48" t="n">
        <x:f>ABS(Q88)</x:f>
        <x:v>21.82218453244049</x:v>
      </x:c>
      <x:c r="X88" s="48" t="n">
        <x: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(0.45*SIN(2*PI()*(((A88)/Inputs!$C$49)+Inputs!$C$47*0.137))+0.35*COS(2*PI()*(((0)/Inputs!$C$50)+Inputs!$C$47*0.173))+0.20*SIN(2*PI()*(((A88)+(0))/(0.5*(Inputs!$C$49+Inputs!$C$50))+Inputs!$C$47*0.097)))+0.30*(2*((SIN(((A88)*12.9898+(0)*78.233+Inputs!$C$47*37.719))*43758.5453)-INT((SIN(((A88)*12.9898+(0)*78.233+Inputs!$C$47*37.719))*43758.5453)))-1)))</x:f>
        <x:v>-125.70874899839603</x:v>
      </x:c>
      <x:c r="Y88" s="48" t="n">
        <x: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(0.45*SIN(2*PI()*(((A88)/Inputs!$C$49)+Inputs!$C$47*0.137))+0.35*COS(2*PI()*(((Inputs!$C$6)/Inputs!$C$50)+Inputs!$C$47*0.173))+0.20*SIN(2*PI()*(((A88)+(Inputs!$C$6))/(0.5*(Inputs!$C$49+Inputs!$C$50))+Inputs!$C$47*0.097)))+0.30*(2*((SIN(((A88)*12.9898+(Inputs!$C$6)*78.233+Inputs!$C$47*37.719))*43758.5453)-INT((SIN(((A88)*12.9898+(Inputs!$C$6)*78.233+Inputs!$C$47*37.719))*43758.5453)))-1)))</x:f>
        <x:v>381.37310246850825</x:v>
      </x:c>
      <x:c r="Z88" s="48" t="n">
        <x:f>B88-X88/1000</x:f>
        <x:v>400.44681986010954</x:v>
      </x:c>
      <x:c r="AA88" s="48" t="n">
        <x:f>SQRT((Inputs!$C$52+B88)^2+(Inputs!$C$52+Y88/1000)^2-2*(Inputs!$C$52+B88)*(Inputs!$C$52+Y88/1000)*COS(SQRT(A88^2+Inputs!$C$6^2)/Inputs!$C$52))</x:f>
        <x:v>401.373224853254</x:v>
      </x:c>
      <x:c r="AB88" s="48" t="n">
        <x:f>(AA88-Z88)*1000</x:f>
        <x:v>926.4049931444447</x:v>
      </x:c>
      <x:c r="AC88" s="48" t="n">
        <x:f>AB88/Inputs!$C$12</x:f>
        <x:v>520.4522433395757</x:v>
      </x:c>
      <x:c r="AD88" s="48" t="n">
        <x:f>2*AB88/Inputs!$C$21*1000000</x:f>
        <x:v>6.180308866505539</x:v>
      </x:c>
      <x:c r="AE88" s="48" t="n">
        <x:f>DEGREES(ATAN(H88/(B88-Y88/1000)))</x:f>
        <x:v>4.322908023777097</x:v>
      </x:c>
      <x:c r="AF88" s="48" t="n">
        <x:f>DEGREES((2*PI()/Inputs!$C$13)*Inputs!$C$15*SIN(RADIANS(AE88)))</x:f>
        <x:v>27.135869695802725</x:v>
      </x:c>
      <x:c r="AG88" s="48" t="n">
        <x:f>(Z88/AA88)^4</x:f>
        <x:v>0.9907995598008051</x:v>
      </x:c>
      <x:c r="AH88" s="48" t="n">
        <x:f>10*LOG10(AG88)</x:f>
        <x:v>-0.0401419503747609</x:v>
      </x:c>
      <x:c r="AI88" s="48" t="n">
        <x:f>AC88-F88</x:f>
        <x:v>-283.9167760640429</x:v>
      </x:c>
      <x:c r="AJ88" s="48" t="n">
        <x:f>AD88-G88</x:f>
        <x:v>-3.3714781536898863</x:v>
      </x:c>
      <x:c r="AK88" s="48" t="n">
        <x:f>Y88-X88</x:f>
        <x:v>507.08185146690425</x:v>
      </x:c>
      <x:c r="AL88" s="48" t="n">
        <x:f>1000*(AA89-AA87)/(A89-A87)*Inputs!$C$11</x:f>
        <x:v>-324.0654424416789</x:v>
      </x:c>
      <x:c r="AM88" s="48" t="n">
        <x:f>-2*AL88/Inputs!$C$13</x:f>
        <x:v>129.62617697667156</x:v>
      </x:c>
      <x:c r="AN88" s="48" t="n">
        <x:f>-2*AL88/Inputs!$C$14</x:f>
        <x:v>19.463389936437174</x:v>
      </x:c>
      <x:c r="AO88" s="48" t="n">
        <x:f>ABS(AM88)</x:f>
        <x:v>129.62617697667156</x:v>
      </x:c>
      <x:c r="AP88" s="48" t="n">
        <x:f>ABS(AN88)</x:f>
        <x:v>19.463389936437174</x:v>
      </x:c>
      <x:c r="AQ88" s="48" t="n">
        <x:f>IF(OR(Inputs!$C$27=TRUE,Inputs!$C$27="TRUE",Inputs!$C$27=1),Inputs!$C$46/Inputs!$C$12,0)</x:f>
        <x:v>42.13483146067416</x:v>
      </x:c>
      <x:c r="AR88" s="48" t="n">
        <x:f>AC88-AQ88</x:f>
        <x:v>478.31741187890157</x:v>
      </x:c>
      <x:c r="AS88" s="48" t="n">
        <x:f>AC88+AQ88</x:f>
        <x:v>562.5870748002499</x:v>
      </x:c>
    </x:row>
    <x:row r="89">
      <x:c r="A89" s="48" t="n">
        <x:f>Inputs!$C$7+87*(Inputs!$C$8-Inputs!$C$7)/240</x:f>
        <x:v>-16.5</x:v>
      </x:c>
      <x:c r="B89" s="48" t="n">
        <x:f>Inputs!$C$5+Inputs!$C$9*(A89/Inputs!$C$10)^2</x:f>
        <x:v>400.3025</x:v>
      </x:c>
      <x:c r="C89" s="48" t="n">
        <x:f>B89</x:f>
        <x:v>400.3025</x:v>
      </x:c>
      <x:c r="D89" s="48" t="n">
        <x:f>SQRT((Inputs!$C$52+B89)^2+Inputs!$C$52^2-2*(Inputs!$C$52+B89)*Inputs!$C$52*COS(SQRT(A89^2+Inputs!$C$6^2)/Inputs!$C$52))</x:f>
        <x:v>401.70813656519374</x:v>
      </x:c>
      <x:c r="E89" s="48" t="n">
        <x:f>(D89-C89)*1000</x:f>
        <x:v>1405.6365651937313</x:v>
      </x:c>
      <x:c r="F89" s="48" t="n">
        <x:f>E89/Inputs!$C$12</x:f>
        <x:v>789.6834635919838</x:v>
      </x:c>
      <x:c r="G89" s="48" t="n">
        <x:f>2*E89/Inputs!$C$21*1000000</x:f>
        <x:v>9.377397780925705</x:v>
      </x:c>
      <x:c r="H89" s="48" t="n">
        <x:f>SQRT(A89^2+Inputs!$C$6^2)</x:f>
        <x:v>29.95413160150032</x:v>
      </x:c>
      <x:c r="I89" s="48" t="n">
        <x:f>DEGREES(ATAN(H89/B89))</x:f>
        <x:v>4.2793956023743185</x:v>
      </x:c>
      <x:c r="J89" s="48" t="n">
        <x:f>DEGREES((2*PI()/Inputs!$C$13)*Inputs!$C$15*SIN(RADIANS(I89)))</x:f>
        <x:v>26.863243082603024</x:v>
      </x:c>
      <x:c r="K89" s="48" t="n">
        <x:f>(C89/D89)^4</x:f>
        <x:v>0.986076697620253</x:v>
      </x:c>
      <x:c r="L89" s="48" t="n">
        <x:f>10*LOG10(K89)</x:f>
        <x:v>-0.060893040670981904</x:v>
      </x:c>
      <x:c r="M89" s="48" t="n">
        <x:f>2*(Inputs!$C$9/(Inputs!$C$10^2))*A89</x:f>
        <x:v>-0.03666666666666667</x:v>
      </x:c>
      <x:c r="N89" s="48" t="n">
        <x:f>M89*Inputs!$C$11</x:f>
        <x:v>-0.14666666666666667</x:v>
      </x:c>
      <x:c r="O89" s="48" t="n">
        <x:f>1000*(D90-D88)/(A90-A88)*Inputs!$C$11</x:f>
        <x:v>-352.68173018312154</x:v>
      </x:c>
      <x:c r="P89" s="48" t="n">
        <x:f>-2*O89/Inputs!$C$13</x:f>
        <x:v>141.07269207324862</x:v>
      </x:c>
      <x:c r="Q89" s="48" t="n">
        <x:f>-2*O89/Inputs!$C$14</x:f>
        <x:v>21.18208589688418</x:v>
      </x:c>
      <x:c r="R89" s="48" t="n">
        <x:f>F89-Inputs!$C$16/2</x:f>
        <x:v>774.6834635919838</x:v>
      </x:c>
      <x:c r="S89" s="48" t="n">
        <x:f>F89+Inputs!$C$16/2</x:f>
        <x:v>804.6834635919838</x:v>
      </x:c>
      <x:c r="T89" s="48" t="n">
        <x:f>F89-Inputs!$C$17/2</x:f>
        <x:v>639.6834635919838</x:v>
      </x:c>
      <x:c r="U89" s="48" t="n">
        <x:f>F89+Inputs!$C$17/2</x:f>
        <x:v>939.6834635919838</x:v>
      </x:c>
      <x:c r="V89" s="48" t="n">
        <x:f>ABS(P89)</x:f>
        <x:v>141.07269207324862</x:v>
      </x:c>
      <x:c r="W89" s="48" t="n">
        <x:f>ABS(Q89)</x:f>
        <x:v>21.18208589688418</x:v>
      </x:c>
      <x:c r="X89" s="48" t="n">
        <x: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(0.45*SIN(2*PI()*(((A89)/Inputs!$C$49)+Inputs!$C$47*0.137))+0.35*COS(2*PI()*(((0)/Inputs!$C$50)+Inputs!$C$47*0.173))+0.20*SIN(2*PI()*(((A89)+(0))/(0.5*(Inputs!$C$49+Inputs!$C$50))+Inputs!$C$47*0.097)))+0.30*(2*((SIN(((A89)*12.9898+(0)*78.233+Inputs!$C$47*37.719))*43758.5453)-INT((SIN(((A89)*12.9898+(0)*78.233+Inputs!$C$47*37.719))*43758.5453)))-1)))</x:f>
        <x:v>-123.86861357235706</x:v>
      </x:c>
      <x:c r="Y89" s="48" t="n">
        <x: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(0.45*SIN(2*PI()*(((A89)/Inputs!$C$49)+Inputs!$C$47*0.137))+0.35*COS(2*PI()*(((Inputs!$C$6)/Inputs!$C$50)+Inputs!$C$47*0.173))+0.20*SIN(2*PI()*(((A89)+(Inputs!$C$6))/(0.5*(Inputs!$C$49+Inputs!$C$50))+Inputs!$C$47*0.097)))+0.30*(2*((SIN(((A89)*12.9898+(Inputs!$C$6)*78.233+Inputs!$C$47*37.719))*43758.5453)-INT((SIN(((A89)*12.9898+(Inputs!$C$6)*78.233+Inputs!$C$47*37.719))*43758.5453)))-1)))</x:f>
        <x:v>387.1431058674635</x:v>
      </x:c>
      <x:c r="Z89" s="48" t="n">
        <x:f>B89-X89/1000</x:f>
        <x:v>400.4263686135724</x:v>
      </x:c>
      <x:c r="AA89" s="48" t="n">
        <x:f>SQRT((Inputs!$C$52+B89)^2+(Inputs!$C$52+Y89/1000)^2-2*(Inputs!$C$52+B89)*(Inputs!$C$52+Y89/1000)*COS(SQRT(A89^2+Inputs!$C$6^2)/Inputs!$C$52))</x:f>
        <x:v>401.3226978157668</x:v>
      </x:c>
      <x:c r="AB89" s="48" t="n">
        <x:f>(AA89-Z89)*1000</x:f>
        <x:v>896.3292021944085</x:v>
      </x:c>
      <x:c r="AC89" s="48" t="n">
        <x:f>AB89/Inputs!$C$12</x:f>
        <x:v>503.5557315698924</x:v>
      </x:c>
      <x:c r="AD89" s="48" t="n">
        <x:f>2*AB89/Inputs!$C$21*1000000</x:f>
        <x:v>5.979664786593187</x:v>
      </x:c>
      <x:c r="AE89" s="48" t="n">
        <x:f>DEGREES(ATAN(H89/(B89-Y89/1000)))</x:f>
        <x:v>4.283522913330763</x:v>
      </x:c>
      <x:c r="AF89" s="48" t="n">
        <x:f>DEGREES((2*PI()/Inputs!$C$13)*Inputs!$C$15*SIN(RADIANS(AE89)))</x:f>
        <x:v>26.88910337303045</x:v>
      </x:c>
      <x:c r="AG89" s="48" t="n">
        <x:f>(Z89/AA89)^4</x:f>
        <x:v>0.9910961345305623</x:v>
      </x:c>
      <x:c r="AH89" s="48" t="n">
        <x:f>10*LOG10(AG89)</x:f>
        <x:v>-0.0388421769312311</x:v>
      </x:c>
      <x:c r="AI89" s="48" t="n">
        <x:f>AC89-F89</x:f>
        <x:v>-286.12773202209144</x:v>
      </x:c>
      <x:c r="AJ89" s="48" t="n">
        <x:f>AD89-G89</x:f>
        <x:v>-3.397732994332518</x:v>
      </x:c>
      <x:c r="AK89" s="48" t="n">
        <x:f>Y89-X89</x:f>
        <x:v>511.0117194398205</x:v>
      </x:c>
      <x:c r="AL89" s="48" t="n">
        <x:f>1000*(AA90-AA88)/(A90-A88)*Inputs!$C$11</x:f>
        <x:v>-480.06397771155207</x:v>
      </x:c>
      <x:c r="AM89" s="48" t="n">
        <x:f>-2*AL89/Inputs!$C$13</x:f>
        <x:v>192.02559108462083</x:v>
      </x:c>
      <x:c r="AN89" s="48" t="n">
        <x:f>-2*AL89/Inputs!$C$14</x:f>
        <x:v>28.832671334027154</x:v>
      </x:c>
      <x:c r="AO89" s="48" t="n">
        <x:f>ABS(AM89)</x:f>
        <x:v>192.02559108462083</x:v>
      </x:c>
      <x:c r="AP89" s="48" t="n">
        <x:f>ABS(AN89)</x:f>
        <x:v>28.832671334027154</x:v>
      </x:c>
      <x:c r="AQ89" s="48" t="n">
        <x:f>IF(OR(Inputs!$C$27=TRUE,Inputs!$C$27="TRUE",Inputs!$C$27=1),Inputs!$C$46/Inputs!$C$12,0)</x:f>
        <x:v>42.13483146067416</x:v>
      </x:c>
      <x:c r="AR89" s="48" t="n">
        <x:f>AC89-AQ89</x:f>
        <x:v>461.4209001092182</x:v>
      </x:c>
      <x:c r="AS89" s="48" t="n">
        <x:f>AC89+AQ89</x:f>
        <x:v>545.6905630305665</x:v>
      </x:c>
    </x:row>
    <x:row r="90">
      <x:c r="A90" s="48" t="n">
        <x:f>Inputs!$C$7+88*(Inputs!$C$8-Inputs!$C$7)/240</x:f>
        <x:v>-16</x:v>
      </x:c>
      <x:c r="B90" s="48" t="n">
        <x:f>Inputs!$C$5+Inputs!$C$9*(A90/Inputs!$C$10)^2</x:f>
        <x:v>400.28444444444443</x:v>
      </x:c>
      <x:c r="C90" s="48" t="n">
        <x:f>B90</x:f>
        <x:v>400.28444444444443</x:v>
      </x:c>
      <x:c r="D90" s="48" t="n">
        <x:f>SQRT((Inputs!$C$52+B90)^2+Inputs!$C$52^2-2*(Inputs!$C$52+B90)*Inputs!$C$52*COS(SQRT(A90^2+Inputs!$C$6^2)/Inputs!$C$52))</x:f>
        <x:v>401.6647175331038</x:v>
      </x:c>
      <x:c r="E90" s="48" t="n">
        <x:f>(D90-C90)*1000</x:f>
        <x:v>1380.2730886593508</x:v>
      </x:c>
      <x:c r="F90" s="48" t="n">
        <x:f>E90/Inputs!$C$12</x:f>
        <x:v>775.4343194715455</x:v>
      </x:c>
      <x:c r="G90" s="48" t="n">
        <x:f>2*E90/Inputs!$C$21*1000000</x:f>
        <x:v>9.2081908789003</x:v>
      </x:c>
      <x:c r="H90" s="48" t="n">
        <x:f>SQRT(A90^2+Inputs!$C$6^2)</x:f>
        <x:v>29.68164415931166</x:v>
      </x:c>
      <x:c r="I90" s="48" t="n">
        <x:f>DEGREES(ATAN(H90/B90))</x:f>
        <x:v>4.240799936495226</x:v>
      </x:c>
      <x:c r="J90" s="48" t="n">
        <x:f>DEGREES((2*PI()/Inputs!$C$13)*Inputs!$C$15*SIN(RADIANS(I90)))</x:f>
        <x:v>26.621409377803502</x:v>
      </x:c>
      <x:c r="K90" s="48" t="n">
        <x:f>(C90/D90)^4</x:f>
        <x:v>0.986325165271373</x:v>
      </x:c>
      <x:c r="L90" s="48" t="n">
        <x:f>10*LOG10(K90)</x:f>
        <x:v>-0.0597988607027526</x:v>
      </x:c>
      <x:c r="M90" s="48" t="n">
        <x:f>2*(Inputs!$C$9/(Inputs!$C$10^2))*A90</x:f>
        <x:v>-0.035555555555555556</x:v>
      </x:c>
      <x:c r="N90" s="48" t="n">
        <x:f>M90*Inputs!$C$11</x:f>
        <x:v>-0.14222222222222222</x:v>
      </x:c>
      <x:c r="O90" s="48" t="n">
        <x:f>1000*(D91-D89)/(A91-A89)*Inputs!$C$11</x:f>
        <x:v>-342.02151684144155</x:v>
      </x:c>
      <x:c r="P90" s="48" t="n">
        <x:f>-2*O90/Inputs!$C$13</x:f>
        <x:v>136.80860673657662</x:v>
      </x:c>
      <x:c r="Q90" s="48" t="n">
        <x:f>-2*O90/Inputs!$C$14</x:f>
        <x:v>20.541832843329825</x:v>
      </x:c>
      <x:c r="R90" s="48" t="n">
        <x:f>F90-Inputs!$C$16/2</x:f>
        <x:v>760.4343194715455</x:v>
      </x:c>
      <x:c r="S90" s="48" t="n">
        <x:f>F90+Inputs!$C$16/2</x:f>
        <x:v>790.4343194715455</x:v>
      </x:c>
      <x:c r="T90" s="48" t="n">
        <x:f>F90-Inputs!$C$17/2</x:f>
        <x:v>625.4343194715455</x:v>
      </x:c>
      <x:c r="U90" s="48" t="n">
        <x:f>F90+Inputs!$C$17/2</x:f>
        <x:v>925.4343194715455</x:v>
      </x:c>
      <x:c r="V90" s="48" t="n">
        <x:f>ABS(P90)</x:f>
        <x:v>136.80860673657662</x:v>
      </x:c>
      <x:c r="W90" s="48" t="n">
        <x:f>ABS(Q90)</x:f>
        <x:v>20.541832843329825</x:v>
      </x:c>
      <x:c r="X90" s="48" t="n">
        <x: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(0.45*SIN(2*PI()*(((A90)/Inputs!$C$49)+Inputs!$C$47*0.137))+0.35*COS(2*PI()*(((0)/Inputs!$C$50)+Inputs!$C$47*0.173))+0.20*SIN(2*PI()*(((A90)+(0))/(0.5*(Inputs!$C$49+Inputs!$C$50))+Inputs!$C$47*0.097)))+0.30*(2*((SIN(((A90)*12.9898+(0)*78.233+Inputs!$C$47*37.719))*43758.5453)-INT((SIN(((A90)*12.9898+(0)*78.233+Inputs!$C$47*37.719))*43758.5453)))-1)))</x:f>
        <x:v>-97.48037396441562</x:v>
      </x:c>
      <x:c r="Y90" s="48" t="n">
        <x: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(0.45*SIN(2*PI()*(((A90)/Inputs!$C$49)+Inputs!$C$47*0.137))+0.35*COS(2*PI()*(((Inputs!$C$6)/Inputs!$C$50)+Inputs!$C$47*0.173))+0.20*SIN(2*PI()*(((A90)+(Inputs!$C$6))/(0.5*(Inputs!$C$49+Inputs!$C$50))+Inputs!$C$47*0.097)))+0.30*(2*((SIN(((A90)*12.9898+(Inputs!$C$6)*78.233+Inputs!$C$47*37.719))*43758.5453)-INT((SIN(((A90)*12.9898+(Inputs!$C$6)*78.233+Inputs!$C$47*37.719))*43758.5453)))-1)))</x:f>
        <x:v>413.2956148642764</x:v>
      </x:c>
      <x:c r="Z90" s="48" t="n">
        <x:f>B90-X90/1000</x:f>
        <x:v>400.38192481840883</x:v>
      </x:c>
      <x:c r="AA90" s="48" t="n">
        <x:f>SQRT((Inputs!$C$52+B90)^2+(Inputs!$C$52+Y90/1000)^2-2*(Inputs!$C$52+B90)*(Inputs!$C$52+Y90/1000)*COS(SQRT(A90^2+Inputs!$C$6^2)/Inputs!$C$52))</x:f>
        <x:v>401.2532088588261</x:v>
      </x:c>
      <x:c r="AB90" s="48" t="n">
        <x:f>(AA90-Z90)*1000</x:f>
        <x:v>871.2840404172653</x:v>
      </x:c>
      <x:c r="AC90" s="48" t="n">
        <x:f>AB90/Inputs!$C$12</x:f>
        <x:v>489.48541596475576</x:v>
      </x:c>
      <x:c r="AD90" s="48" t="n">
        <x:f>2*AB90/Inputs!$C$21*1000000</x:f>
        <x:v>5.812581452047504</x:v>
      </x:c>
      <x:c r="AE90" s="48" t="n">
        <x:f>DEGREES(ATAN(H90/(B90-Y90/1000)))</x:f>
        <x:v>4.24516709293355</x:v>
      </x:c>
      <x:c r="AF90" s="48" t="n">
        <x:f>DEGREES((2*PI()/Inputs!$C$13)*Inputs!$C$15*SIN(RADIANS(AE90)))</x:f>
        <x:v>26.64877382581733</x:v>
      </x:c>
      <x:c r="AG90" s="48" t="n">
        <x:f>(Z90/AA90)^4</x:f>
        <x:v>0.9913426209816308</x:v>
      </x:c>
      <x:c r="AH90" s="48" t="n">
        <x:f>10*LOG10(AG90)</x:f>
        <x:v>-0.0377622171512183</x:v>
      </x:c>
      <x:c r="AI90" s="48" t="n">
        <x:f>AC90-F90</x:f>
        <x:v>-285.9489035067897</x:v>
      </x:c>
      <x:c r="AJ90" s="48" t="n">
        <x:f>AD90-G90</x:f>
        <x:v>-3.395609426852796</x:v>
      </x:c>
      <x:c r="AK90" s="48" t="n">
        <x:f>Y90-X90</x:f>
        <x:v>510.775988828692</x:v>
      </x:c>
      <x:c r="AL90" s="48" t="n">
        <x:f>1000*(AA91-AA89)/(A91-A89)*Inputs!$C$11</x:f>
        <x:v>-414.10085948609776</x:v>
      </x:c>
      <x:c r="AM90" s="48" t="n">
        <x:f>-2*AL90/Inputs!$C$13</x:f>
        <x:v>165.6403437944391</x:v>
      </x:c>
      <x:c r="AN90" s="48" t="n">
        <x:f>-2*AL90/Inputs!$C$14</x:f>
        <x:v>24.870922491657524</x:v>
      </x:c>
      <x:c r="AO90" s="48" t="n">
        <x:f>ABS(AM90)</x:f>
        <x:v>165.6403437944391</x:v>
      </x:c>
      <x:c r="AP90" s="48" t="n">
        <x:f>ABS(AN90)</x:f>
        <x:v>24.870922491657524</x:v>
      </x:c>
      <x:c r="AQ90" s="48" t="n">
        <x:f>IF(OR(Inputs!$C$27=TRUE,Inputs!$C$27="TRUE",Inputs!$C$27=1),Inputs!$C$46/Inputs!$C$12,0)</x:f>
        <x:v>42.13483146067416</x:v>
      </x:c>
      <x:c r="AR90" s="48" t="n">
        <x:f>AC90-AQ90</x:f>
        <x:v>447.3505845040816</x:v>
      </x:c>
      <x:c r="AS90" s="48" t="n">
        <x:f>AC90+AQ90</x:f>
        <x:v>531.62024742543</x:v>
      </x:c>
    </x:row>
    <x:row r="91">
      <x:c r="A91" s="48" t="n">
        <x:f>Inputs!$C$7+89*(Inputs!$C$8-Inputs!$C$7)/240</x:f>
        <x:v>-15.5</x:v>
      </x:c>
      <x:c r="B91" s="48" t="n">
        <x:f>Inputs!$C$5+Inputs!$C$9*(A91/Inputs!$C$10)^2</x:f>
        <x:v>400.26694444444445</x:v>
      </x:c>
      <x:c r="C91" s="48" t="n">
        <x:f>B91</x:f>
        <x:v>400.26694444444445</x:v>
      </x:c>
      <x:c r="D91" s="48" t="n">
        <x:f>SQRT((Inputs!$C$52+B91)^2+Inputs!$C$52^2-2*(Inputs!$C$52+B91)*Inputs!$C$52*COS(SQRT(A91^2+Inputs!$C$6^2)/Inputs!$C$52))</x:f>
        <x:v>401.6226311859834</x:v>
      </x:c>
      <x:c r="E91" s="48" t="n">
        <x:f>(D91-C91)*1000</x:f>
        <x:v>1355.686741538932</x:v>
      </x:c>
      <x:c r="F91" s="48" t="n">
        <x:f>E91/Inputs!$C$12</x:f>
        <x:v>761.6217649095123</x:v>
      </x:c>
      <x:c r="G91" s="48" t="n">
        <x:f>2*E91/Inputs!$C$21*1000000</x:f>
        <x:v>9.044168426271296</x:v>
      </x:c>
      <x:c r="H91" s="48" t="n">
        <x:f>SQRT(A91^2+Inputs!$C$6^2)</x:f>
        <x:v>29.415132160165456</x:v>
      </x:c>
      <x:c r="I91" s="48" t="n">
        <x:f>DEGREES(ATAN(H91/B91))</x:f>
        <x:v>4.203041875082947</x:v>
      </x:c>
      <x:c r="J91" s="48" t="n">
        <x:f>DEGREES((2*PI()/Inputs!$C$13)*Inputs!$C$15*SIN(RADIANS(I91)))</x:f>
        <x:v>26.38481226611161</x:v>
      </x:c>
      <x:c r="K91" s="48" t="n">
        <x:f>(C91/D91)^4</x:f>
        <x:v>0.9865661161355888</x:v>
      </x:c>
      <x:c r="L91" s="48" t="n">
        <x:f>10*LOG10(K91)</x:f>
        <x:v>-0.058738045722777</x:v>
      </x:c>
      <x:c r="M91" s="48" t="n">
        <x:f>2*(Inputs!$C$9/(Inputs!$C$10^2))*A91</x:f>
        <x:v>-0.034444444444444444</x:v>
      </x:c>
      <x:c r="N91" s="48" t="n">
        <x:f>M91*Inputs!$C$11</x:f>
        <x:v>-0.13777777777777778</x:v>
      </x:c>
      <x:c r="O91" s="48" t="n">
        <x:f>1000*(D92-D90)/(A92-A90)*Inputs!$C$11</x:f>
        <x:v>-331.3588089863515</x:v>
      </x:c>
      <x:c r="P91" s="48" t="n">
        <x:f>-2*O91/Inputs!$C$13</x:f>
        <x:v>132.5435235945406</x:v>
      </x:c>
      <x:c r="Q91" s="48" t="n">
        <x:f>-2*O91/Inputs!$C$14</x:f>
        <x:v>19.901429969150243</x:v>
      </x:c>
      <x:c r="R91" s="48" t="n">
        <x:f>F91-Inputs!$C$16/2</x:f>
        <x:v>746.6217649095123</x:v>
      </x:c>
      <x:c r="S91" s="48" t="n">
        <x:f>F91+Inputs!$C$16/2</x:f>
        <x:v>776.6217649095123</x:v>
      </x:c>
      <x:c r="T91" s="48" t="n">
        <x:f>F91-Inputs!$C$17/2</x:f>
        <x:v>611.6217649095123</x:v>
      </x:c>
      <x:c r="U91" s="48" t="n">
        <x:f>F91+Inputs!$C$17/2</x:f>
        <x:v>911.6217649095123</x:v>
      </x:c>
      <x:c r="V91" s="48" t="n">
        <x:f>ABS(P91)</x:f>
        <x:v>132.5435235945406</x:v>
      </x:c>
      <x:c r="W91" s="48" t="n">
        <x:f>ABS(Q91)</x:f>
        <x:v>19.901429969150243</x:v>
      </x:c>
      <x:c r="X91" s="48" t="n">
        <x: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(0.45*SIN(2*PI()*(((A91)/Inputs!$C$49)+Inputs!$C$47*0.137))+0.35*COS(2*PI()*(((0)/Inputs!$C$50)+Inputs!$C$47*0.173))+0.20*SIN(2*PI()*(((A91)+(0))/(0.5*(Inputs!$C$49+Inputs!$C$50))+Inputs!$C$47*0.097)))+0.30*(2*((SIN(((A91)*12.9898+(0)*78.233+Inputs!$C$47*37.719))*43758.5453)-INT((SIN(((A91)*12.9898+(0)*78.233+Inputs!$C$47*37.719))*43758.5453)))-1)))</x:f>
        <x:v>-109.31712972071381</x:v>
      </x:c>
      <x:c r="Y91" s="48" t="n">
        <x: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(0.45*SIN(2*PI()*(((A91)/Inputs!$C$49)+Inputs!$C$47*0.137))+0.35*COS(2*PI()*(((Inputs!$C$6)/Inputs!$C$50)+Inputs!$C$47*0.173))+0.20*SIN(2*PI()*(((A91)+(Inputs!$C$6))/(0.5*(Inputs!$C$49+Inputs!$C$50))+Inputs!$C$47*0.097)))+0.30*(2*((SIN(((A91)*12.9898+(Inputs!$C$6)*78.233+Inputs!$C$47*37.719))*43758.5453)-INT((SIN(((A91)*12.9898+(Inputs!$C$6)*78.233+Inputs!$C$47*37.719))*43758.5453)))-1)))</x:f>
        <x:v>405.1793484681727</x:v>
      </x:c>
      <x:c r="Z91" s="48" t="n">
        <x:f>B91-X91/1000</x:f>
        <x:v>400.37626157416514</x:v>
      </x:c>
      <x:c r="AA91" s="48" t="n">
        <x:f>SQRT((Inputs!$C$52+B91)^2+(Inputs!$C$52+Y91/1000)^2-2*(Inputs!$C$52+B91)*(Inputs!$C$52+Y91/1000)*COS(SQRT(A91^2+Inputs!$C$6^2)/Inputs!$C$52))</x:f>
        <x:v>401.21917260089526</x:v>
      </x:c>
      <x:c r="AB91" s="48" t="n">
        <x:f>(AA91-Z91)*1000</x:f>
        <x:v>842.9110267301212</x:v>
      </x:c>
      <x:c r="AC91" s="48" t="n">
        <x:f>AB91/Inputs!$C$12</x:f>
        <x:v>473.54552063489956</x:v>
      </x:c>
      <x:c r="AD91" s="48" t="n">
        <x:f>2*AB91/Inputs!$C$21*1000000</x:f>
        <x:v>5.623297079275565</x:v>
      </x:c>
      <x:c r="AE91" s="48" t="n">
        <x:f>DEGREES(ATAN(H91/(B91-Y91/1000)))</x:f>
        <x:v>4.207285525769131</x:v>
      </x:c>
      <x:c r="AF91" s="48" t="n">
        <x:f>DEGREES((2*PI()/Inputs!$C$13)*Inputs!$C$15*SIN(RADIANS(AE91)))</x:f>
        <x:v>26.411404127822436</x:v>
      </x:c>
      <x:c r="AG91" s="48" t="n">
        <x:f>(Z91/AA91)^4</x:f>
        <x:v>0.9916229479806676</x:v>
      </x:c>
      <x:c r="AH91" s="48" t="n">
        <x:f>10*LOG10(AG91)</x:f>
        <x:v>-0.0365343141404273</x:v>
      </x:c>
      <x:c r="AI91" s="48" t="n">
        <x:f>AC91-F91</x:f>
        <x:v>-288.07624427461275</x:v>
      </x:c>
      <x:c r="AJ91" s="48" t="n">
        <x:f>AD91-G91</x:f>
        <x:v>-3.4208713469957317</x:v>
      </x:c>
      <x:c r="AK91" s="48" t="n">
        <x:f>Y91-X91</x:f>
        <x:v>514.4964781888865</x:v>
      </x:c>
      <x:c r="AL91" s="48" t="n">
        <x:f>1000*(AA92-AA90)/(A92-A90)*Inputs!$C$11</x:f>
        <x:v>-344.89099039433313</x:v>
      </x:c>
      <x:c r="AM91" s="48" t="n">
        <x:f>-2*AL91/Inputs!$C$13</x:f>
        <x:v>137.95639615773325</x:v>
      </x:c>
      <x:c r="AN91" s="48" t="n">
        <x:f>-2*AL91/Inputs!$C$14</x:f>
        <x:v>20.714173597257247</x:v>
      </x:c>
      <x:c r="AO91" s="48" t="n">
        <x:f>ABS(AM91)</x:f>
        <x:v>137.95639615773325</x:v>
      </x:c>
      <x:c r="AP91" s="48" t="n">
        <x:f>ABS(AN91)</x:f>
        <x:v>20.714173597257247</x:v>
      </x:c>
      <x:c r="AQ91" s="48" t="n">
        <x:f>IF(OR(Inputs!$C$27=TRUE,Inputs!$C$27="TRUE",Inputs!$C$27=1),Inputs!$C$46/Inputs!$C$12,0)</x:f>
        <x:v>42.13483146067416</x:v>
      </x:c>
      <x:c r="AR91" s="48" t="n">
        <x:f>AC91-AQ91</x:f>
        <x:v>431.4106891742254</x:v>
      </x:c>
      <x:c r="AS91" s="48" t="n">
        <x:f>AC91+AQ91</x:f>
        <x:v>515.6803520955738</x:v>
      </x:c>
    </x:row>
    <x:row r="92">
      <x:c r="A92" s="48" t="n">
        <x:f>Inputs!$C$7+90*(Inputs!$C$8-Inputs!$C$7)/240</x:f>
        <x:v>-15</x:v>
      </x:c>
      <x:c r="B92" s="48" t="n">
        <x:f>Inputs!$C$5+Inputs!$C$9*(A92/Inputs!$C$10)^2</x:f>
        <x:v>400.25</x:v>
      </x:c>
      <x:c r="C92" s="48" t="n">
        <x:f>B92</x:f>
        <x:v>400.25</x:v>
      </x:c>
      <x:c r="D92" s="48" t="n">
        <x:f>SQRT((Inputs!$C$52+B92)^2+Inputs!$C$52^2-2*(Inputs!$C$52+B92)*Inputs!$C$52*COS(SQRT(A92^2+Inputs!$C$6^2)/Inputs!$C$52))</x:f>
        <x:v>401.5818778308572</x:v>
      </x:c>
      <x:c r="E92" s="48" t="n">
        <x:f>(D92-C92)*1000</x:f>
        <x:v>1331.877830857195</x:v>
      </x:c>
      <x:c r="F92" s="48" t="n">
        <x:f>E92/Inputs!$C$12</x:f>
        <x:v>748.2459723916826</x:v>
      </x:c>
      <x:c r="G92" s="48" t="n">
        <x:f>2*E92/Inputs!$C$21*1000000</x:f>
        <x:v>8.885332471287153</x:v>
      </x:c>
      <x:c r="H92" s="48" t="n">
        <x:f>SQRT(A92^2+Inputs!$C$6^2)</x:f>
        <x:v>29.154759474226502</x:v>
      </x:c>
      <x:c r="I92" s="48" t="n">
        <x:f>DEGREES(ATAN(H92/B92))</x:f>
        <x:v>4.1661452978543005</x:v>
      </x:c>
      <x:c r="J92" s="48" t="n">
        <x:f>DEGREES((2*PI()/Inputs!$C$13)*Inputs!$C$15*SIN(RADIANS(I92)))</x:f>
        <x:v>26.153602260558017</x:v>
      </x:c>
      <x:c r="K92" s="48" t="n">
        <x:f>(C92/D92)^4</x:f>
        <x:v>0.9867995382659787</x:v>
      </x:c>
      <x:c r="L92" s="48" t="n">
        <x:f>10*LOG10(K92)</x:f>
        <x:v>-0.0577106239327086</x:v>
      </x:c>
      <x:c r="M92" s="48" t="n">
        <x:f>2*(Inputs!$C$9/(Inputs!$C$10^2))*A92</x:f>
        <x:v>-0.03333333333333333</x:v>
      </x:c>
      <x:c r="N92" s="48" t="n">
        <x:f>M92*Inputs!$C$11</x:f>
        <x:v>-0.13333333333333333</x:v>
      </x:c>
      <x:c r="O92" s="48" t="n">
        <x:f>1000*(D93-D91)/(A93-A91)*Inputs!$C$11</x:f>
        <x:v>-320.69368331076475</x:v>
      </x:c>
      <x:c r="P92" s="48" t="n">
        <x:f>-2*O92/Inputs!$C$13</x:f>
        <x:v>128.2774733243059</x:v>
      </x:c>
      <x:c r="Q92" s="48" t="n">
        <x:f>-2*O92/Inputs!$C$14</x:f>
        <x:v>19.260881880526412</x:v>
      </x:c>
      <x:c r="R92" s="48" t="n">
        <x:f>F92-Inputs!$C$16/2</x:f>
        <x:v>733.2459723916826</x:v>
      </x:c>
      <x:c r="S92" s="48" t="n">
        <x:f>F92+Inputs!$C$16/2</x:f>
        <x:v>763.2459723916826</x:v>
      </x:c>
      <x:c r="T92" s="48" t="n">
        <x:f>F92-Inputs!$C$17/2</x:f>
        <x:v>598.2459723916826</x:v>
      </x:c>
      <x:c r="U92" s="48" t="n">
        <x:f>F92+Inputs!$C$17/2</x:f>
        <x:v>898.2459723916826</x:v>
      </x:c>
      <x:c r="V92" s="48" t="n">
        <x:f>ABS(P92)</x:f>
        <x:v>128.2774733243059</x:v>
      </x:c>
      <x:c r="W92" s="48" t="n">
        <x:f>ABS(Q92)</x:f>
        <x:v>19.260881880526412</x:v>
      </x:c>
      <x:c r="X92" s="48" t="n">
        <x: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(0.45*SIN(2*PI()*(((A92)/Inputs!$C$49)+Inputs!$C$47*0.137))+0.35*COS(2*PI()*(((0)/Inputs!$C$50)+Inputs!$C$47*0.173))+0.20*SIN(2*PI()*(((A92)+(0))/(0.5*(Inputs!$C$49+Inputs!$C$50))+Inputs!$C$47*0.097)))+0.30*(2*((SIN(((A92)*12.9898+(0)*78.233+Inputs!$C$47*37.719))*43758.5453)-INT((SIN(((A92)*12.9898+(0)*78.233+Inputs!$C$47*37.719))*43758.5453)))-1)))</x:f>
        <x:v>-90.49530902944495</x:v>
      </x:c>
      <x:c r="Y92" s="48" t="n">
        <x: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(0.45*SIN(2*PI()*(((A92)/Inputs!$C$49)+Inputs!$C$47*0.137))+0.35*COS(2*PI()*(((Inputs!$C$6)/Inputs!$C$50)+Inputs!$C$47*0.173))+0.20*SIN(2*PI()*(((A92)+(Inputs!$C$6))/(0.5*(Inputs!$C$49+Inputs!$C$50))+Inputs!$C$47*0.097)))+0.30*(2*((SIN(((A92)*12.9898+(Inputs!$C$6)*78.233+Inputs!$C$47*37.719))*43758.5453)-INT((SIN(((A92)*12.9898+(Inputs!$C$6)*78.233+Inputs!$C$47*37.719))*43758.5453)))-1)))</x:f>
        <x:v>416.63024006091615</x:v>
      </x:c>
      <x:c r="Z92" s="48" t="n">
        <x:f>B92-X92/1000</x:f>
        <x:v>400.34049530902945</x:v>
      </x:c>
      <x:c r="AA92" s="48" t="n">
        <x:f>SQRT((Inputs!$C$52+B92)^2+(Inputs!$C$52+Y92/1000)^2-2*(Inputs!$C$52+B92)*(Inputs!$C$52+Y92/1000)*COS(SQRT(A92^2+Inputs!$C$6^2)/Inputs!$C$52))</x:f>
        <x:v>401.1669861112275</x:v>
      </x:c>
      <x:c r="AB92" s="48" t="n">
        <x:f>(AA92-Z92)*1000</x:f>
        <x:v>826.4908021980659</x:v>
      </x:c>
      <x:c r="AC92" s="48" t="n">
        <x:f>AB92/Inputs!$C$12</x:f>
        <x:v>464.32067539217184</x:v>
      </x:c>
      <x:c r="AD92" s="48" t="n">
        <x:f>2*AB92/Inputs!$C$21*1000000</x:f>
        <x:v>5.513753132495855</x:v>
      </x:c>
      <x:c r="AE92" s="48" t="n">
        <x:f>DEGREES(ATAN(H92/(B92-Y92/1000)))</x:f>
        <x:v>4.170471152282782</x:v>
      </x:c>
      <x:c r="AF92" s="48" t="n">
        <x:f>DEGREES((2*PI()/Inputs!$C$13)*Inputs!$C$15*SIN(RADIANS(AE92)))</x:f>
        <x:v>26.180710509558434</x:v>
      </x:c>
      <x:c r="AG92" s="48" t="n">
        <x:f>(Z92/AA92)^4</x:f>
        <x:v>0.9917845664065319</x:v>
      </x:c>
      <x:c r="AH92" s="48" t="n">
        <x:f>10*LOG10(AG92)</x:f>
        <x:v>-0.0358265423872908</x:v>
      </x:c>
      <x:c r="AI92" s="48" t="n">
        <x:f>AC92-F92</x:f>
        <x:v>-283.92529699951075</x:v>
      </x:c>
      <x:c r="AJ92" s="48" t="n">
        <x:f>AD92-G92</x:f>
        <x:v>-3.3715793387912987</x:v>
      </x:c>
      <x:c r="AK92" s="48" t="n">
        <x:f>Y92-X92</x:f>
        <x:v>507.1255490903611</x:v>
      </x:c>
      <x:c r="AL92" s="48" t="n">
        <x:f>1000*(AA93-AA91)/(A93-A91)*Inputs!$C$11</x:f>
        <x:v>-401.13729368113127</x:v>
      </x:c>
      <x:c r="AM92" s="48" t="n">
        <x:f>-2*AL92/Inputs!$C$13</x:f>
        <x:v>160.4549174724525</x:v>
      </x:c>
      <x:c r="AN92" s="48" t="n">
        <x:f>-2*AL92/Inputs!$C$14</x:f>
        <x:v>24.092329950818698</x:v>
      </x:c>
      <x:c r="AO92" s="48" t="n">
        <x:f>ABS(AM92)</x:f>
        <x:v>160.4549174724525</x:v>
      </x:c>
      <x:c r="AP92" s="48" t="n">
        <x:f>ABS(AN92)</x:f>
        <x:v>24.092329950818698</x:v>
      </x:c>
      <x:c r="AQ92" s="48" t="n">
        <x:f>IF(OR(Inputs!$C$27=TRUE,Inputs!$C$27="TRUE",Inputs!$C$27=1),Inputs!$C$46/Inputs!$C$12,0)</x:f>
        <x:v>42.13483146067416</x:v>
      </x:c>
      <x:c r="AR92" s="48" t="n">
        <x:f>AC92-AQ92</x:f>
        <x:v>422.1858439314977</x:v>
      </x:c>
      <x:c r="AS92" s="48" t="n">
        <x:f>AC92+AQ92</x:f>
        <x:v>506.455506852846</x:v>
      </x:c>
    </x:row>
    <x:row r="93">
      <x:c r="A93" s="48" t="n">
        <x:f>Inputs!$C$7+91*(Inputs!$C$8-Inputs!$C$7)/240</x:f>
        <x:v>-14.5</x:v>
      </x:c>
      <x:c r="B93" s="48" t="n">
        <x:f>Inputs!$C$5+Inputs!$C$9*(A93/Inputs!$C$10)^2</x:f>
        <x:v>400.2336111111111</x:v>
      </x:c>
      <x:c r="C93" s="48" t="n">
        <x:f>B93</x:f>
        <x:v>400.2336111111111</x:v>
      </x:c>
      <x:c r="D93" s="48" t="n">
        <x:f>SQRT((Inputs!$C$52+B93)^2+Inputs!$C$52^2-2*(Inputs!$C$52+B93)*Inputs!$C$52*COS(SQRT(A93^2+Inputs!$C$6^2)/Inputs!$C$52))</x:f>
        <x:v>401.5424577651557</x:v>
      </x:c>
      <x:c r="E93" s="48" t="n">
        <x:f>(D93-C93)*1000</x:f>
        <x:v>1308.8466540446007</x:v>
      </x:c>
      <x:c r="F93" s="48" t="n">
        <x:f>E93/Inputs!$C$12</x:f>
        <x:v>735.3071090138205</x:v>
      </x:c>
      <x:c r="G93" s="48" t="n">
        <x:f>2*E93/Inputs!$C$21*1000000</x:f>
        <x:v>8.73168499819032</x:v>
      </x:c>
      <x:c r="H93" s="48" t="n">
        <x:f>SQRT(A93^2+Inputs!$C$6^2)</x:f>
        <x:v>28.90069203323685</x:v>
      </x:c>
      <x:c r="I93" s="48" t="n">
        <x:f>DEGREES(ATAN(H93/B93))</x:f>
        <x:v>4.130134373943814</x:v>
      </x:c>
      <x:c r="J93" s="48" t="n">
        <x:f>DEGREES((2*PI()/Inputs!$C$13)*Inputs!$C$15*SIN(RADIANS(I93)))</x:f>
        <x:v>25.927931684939455</x:v>
      </x:c>
      <x:c r="K93" s="48" t="n">
        <x:f>(C93/D93)^4</x:f>
        <x:v>0.9870254200810124</x:v>
      </x:c>
      <x:c r="L93" s="48" t="n">
        <x:f>10*LOG10(K93)</x:f>
        <x:v>-0.056716622657723995</x:v>
      </x:c>
      <x:c r="M93" s="48" t="n">
        <x:f>2*(Inputs!$C$9/(Inputs!$C$10^2))*A93</x:f>
        <x:v>-0.03222222222222222</x:v>
      </x:c>
      <x:c r="N93" s="48" t="n">
        <x:f>M93*Inputs!$C$11</x:f>
        <x:v>-0.1288888888888889</x:v>
      </x:c>
      <x:c r="O93" s="48" t="n">
        <x:f>1000*(D94-D92)/(A94-A92)*Inputs!$C$11</x:f>
        <x:v>-310.026216641063</x:v>
      </x:c>
      <x:c r="P93" s="48" t="n">
        <x:f>-2*O93/Inputs!$C$13</x:f>
        <x:v>124.0104866564252</x:v>
      </x:c>
      <x:c r="Q93" s="48" t="n">
        <x:f>-2*O93/Inputs!$C$14</x:f>
        <x:v>18.62019319165544</x:v>
      </x:c>
      <x:c r="R93" s="48" t="n">
        <x:f>F93-Inputs!$C$16/2</x:f>
        <x:v>720.3071090138205</x:v>
      </x:c>
      <x:c r="S93" s="48" t="n">
        <x:f>F93+Inputs!$C$16/2</x:f>
        <x:v>750.3071090138205</x:v>
      </x:c>
      <x:c r="T93" s="48" t="n">
        <x:f>F93-Inputs!$C$17/2</x:f>
        <x:v>585.3071090138205</x:v>
      </x:c>
      <x:c r="U93" s="48" t="n">
        <x:f>F93+Inputs!$C$17/2</x:f>
        <x:v>885.3071090138205</x:v>
      </x:c>
      <x:c r="V93" s="48" t="n">
        <x:f>ABS(P93)</x:f>
        <x:v>124.0104866564252</x:v>
      </x:c>
      <x:c r="W93" s="48" t="n">
        <x:f>ABS(Q93)</x:f>
        <x:v>18.62019319165544</x:v>
      </x:c>
      <x:c r="X93" s="48" t="n">
        <x: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(0.45*SIN(2*PI()*(((A93)/Inputs!$C$49)+Inputs!$C$47*0.137))+0.35*COS(2*PI()*(((0)/Inputs!$C$50)+Inputs!$C$47*0.173))+0.20*SIN(2*PI()*(((A93)+(0))/(0.5*(Inputs!$C$49+Inputs!$C$50))+Inputs!$C$47*0.097)))+0.30*(2*((SIN(((A93)*12.9898+(0)*78.233+Inputs!$C$47*37.719))*43758.5453)-INT((SIN(((A93)*12.9898+(0)*78.233+Inputs!$C$47*37.719))*43758.5453)))-1)))</x:f>
        <x:v>-86.65248482679937</x:v>
      </x:c>
      <x:c r="Y93" s="48" t="n">
        <x: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(0.45*SIN(2*PI()*(((A93)/Inputs!$C$49)+Inputs!$C$47*0.137))+0.35*COS(2*PI()*(((Inputs!$C$6)/Inputs!$C$50)+Inputs!$C$47*0.173))+0.20*SIN(2*PI()*(((A93)+(Inputs!$C$6))/(0.5*(Inputs!$C$49+Inputs!$C$50))+Inputs!$C$47*0.097)))+0.30*(2*((SIN(((A93)*12.9898+(Inputs!$C$6)*78.233+Inputs!$C$47*37.719))*43758.5453)-INT((SIN(((A93)*12.9898+(Inputs!$C$6)*78.233+Inputs!$C$47*37.719))*43758.5453)))-1)))</x:f>
        <x:v>425.31373753688456</x:v>
      </x:c>
      <x:c r="Z93" s="48" t="n">
        <x:f>B93-X93/1000</x:f>
        <x:v>400.3202635959379</x:v>
      </x:c>
      <x:c r="AA93" s="48" t="n">
        <x:f>SQRT((Inputs!$C$52+B93)^2+(Inputs!$C$52+Y93/1000)^2-2*(Inputs!$C$52+B93)*(Inputs!$C$52+Y93/1000)*COS(SQRT(A93^2+Inputs!$C$6^2)/Inputs!$C$52))</x:f>
        <x:v>401.118888277475</x:v>
      </x:c>
      <x:c r="AB93" s="48" t="n">
        <x:f>(AA93-Z93)*1000</x:f>
        <x:v>798.6246815370919</x:v>
      </x:c>
      <x:c r="AC93" s="48" t="n">
        <x:f>AB93/Inputs!$C$12</x:f>
        <x:v>448.6655514253325</x:v>
      </x:c>
      <x:c r="AD93" s="48" t="n">
        <x:f>2*AB93/Inputs!$C$21*1000000</x:f>
        <x:v>5.327850385996648</x:v>
      </x:c>
      <x:c r="AE93" s="48" t="n">
        <x:f>DEGREES(ATAN(H93/(B93-Y93/1000)))</x:f>
        <x:v>4.134512758505744</x:v>
      </x:c>
      <x:c r="AF93" s="48" t="n">
        <x:f>DEGREES((2*PI()/Inputs!$C$13)*Inputs!$C$15*SIN(RADIANS(AE93)))</x:f>
        <x:v>25.95537036790056</x:v>
      </x:c>
      <x:c r="AG93" s="48" t="n">
        <x:f>(Z93/AA93)^4</x:f>
        <x:v>0.9920597829178042</x:v>
      </x:c>
      <x:c r="AH93" s="48" t="n">
        <x:f>10*LOG10(AG93)</x:f>
        <x:v>-0.0346215586093881</x:v>
      </x:c>
      <x:c r="AI93" s="48" t="n">
        <x:f>AC93-F93</x:f>
        <x:v>-286.641557588488</x:v>
      </x:c>
      <x:c r="AJ93" s="48" t="n">
        <x:f>AD93-G93</x:f>
        <x:v>-3.4038346121936716</x:v>
      </x:c>
      <x:c r="AK93" s="48" t="n">
        <x:f>Y93-X93</x:f>
        <x:v>511.9662223636839</x:v>
      </x:c>
      <x:c r="AL93" s="48" t="n">
        <x:f>1000*(AA94-AA92)/(A94-A92)*Inputs!$C$11</x:f>
        <x:v>-327.5011007988269</x:v>
      </x:c>
      <x:c r="AM93" s="48" t="n">
        <x:f>-2*AL93/Inputs!$C$13</x:f>
        <x:v>131.00044031953075</x:v>
      </x:c>
      <x:c r="AN93" s="48" t="n">
        <x:f>-2*AL93/Inputs!$C$14</x:f>
        <x:v>19.669735783713328</x:v>
      </x:c>
      <x:c r="AO93" s="48" t="n">
        <x:f>ABS(AM93)</x:f>
        <x:v>131.00044031953075</x:v>
      </x:c>
      <x:c r="AP93" s="48" t="n">
        <x:f>ABS(AN93)</x:f>
        <x:v>19.669735783713328</x:v>
      </x:c>
      <x:c r="AQ93" s="48" t="n">
        <x:f>IF(OR(Inputs!$C$27=TRUE,Inputs!$C$27="TRUE",Inputs!$C$27=1),Inputs!$C$46/Inputs!$C$12,0)</x:f>
        <x:v>42.13483146067416</x:v>
      </x:c>
      <x:c r="AR93" s="48" t="n">
        <x:f>AC93-AQ93</x:f>
        <x:v>406.5307199646584</x:v>
      </x:c>
      <x:c r="AS93" s="48" t="n">
        <x:f>AC93+AQ93</x:f>
        <x:v>490.8003828860067</x:v>
      </x:c>
    </x:row>
    <x:row r="94">
      <x:c r="A94" s="48" t="n">
        <x:f>Inputs!$C$7+92*(Inputs!$C$8-Inputs!$C$7)/240</x:f>
        <x:v>-14</x:v>
      </x:c>
      <x:c r="B94" s="48" t="n">
        <x:f>Inputs!$C$5+Inputs!$C$9*(A94/Inputs!$C$10)^2</x:f>
        <x:v>400.21777777777777</x:v>
      </x:c>
      <x:c r="C94" s="48" t="n">
        <x:f>B94</x:f>
        <x:v>400.21777777777777</x:v>
      </x:c>
      <x:c r="D94" s="48" t="n">
        <x:f>SQRT((Inputs!$C$52+B94)^2+Inputs!$C$52^2-2*(Inputs!$C$52+B94)*Inputs!$C$52*COS(SQRT(A94^2+Inputs!$C$6^2)/Inputs!$C$52))</x:f>
        <x:v>401.50437127669693</x:v>
      </x:c>
      <x:c r="E94" s="48" t="n">
        <x:f>(D94-C94)*1000</x:f>
        <x:v>1286.59349891916</x:v>
      </x:c>
      <x:c r="F94" s="48" t="n">
        <x:f>E94/Inputs!$C$12</x:f>
        <x:v>722.8053364714383</x:v>
      </x:c>
      <x:c r="G94" s="48" t="n">
        <x:f>2*E94/Inputs!$C$21*1000000</x:f>
        <x:v>8.583227927095885</x:v>
      </x:c>
      <x:c r="H94" s="48" t="n">
        <x:f>SQRT(A94^2+Inputs!$C$6^2)</x:f>
        <x:v>28.653097563788805</x:v>
      </x:c>
      <x:c r="I94" s="48" t="n">
        <x:f>DEGREES(ATAN(H94/B94))</x:f>
        <x:v>4.095033523300829</x:v>
      </x:c>
      <x:c r="J94" s="48" t="n">
        <x:f>DEGREES((2*PI()/Inputs!$C$13)*Inputs!$C$15*SIN(RADIANS(I94)))</x:f>
        <x:v>25.707954430803454</x:v>
      </x:c>
      <x:c r="K94" s="48" t="n">
        <x:f>(C94/D94)^4</x:f>
        <x:v>0.9872437503659116</x:v>
      </x:c>
      <x:c r="L94" s="48" t="n">
        <x:f>10*LOG10(K94)</x:f>
        <x:v>-0.0557560683445633</x:v>
      </x:c>
      <x:c r="M94" s="48" t="n">
        <x:f>2*(Inputs!$C$9/(Inputs!$C$10^2))*A94</x:f>
        <x:v>-0.03111111111111111</x:v>
      </x:c>
      <x:c r="N94" s="48" t="n">
        <x:f>M94*Inputs!$C$11</x:f>
        <x:v>-0.12444444444444444</x:v>
      </x:c>
      <x:c r="O94" s="48" t="n">
        <x:f>1000*(D95-D93)/(A95-A93)*Inputs!$C$11</x:f>
        <x:v>-299.356485882754</x:v>
      </x:c>
      <x:c r="P94" s="48" t="n">
        <x:f>-2*O94/Inputs!$C$13</x:f>
        <x:v>119.7425943531016</x:v>
      </x:c>
      <x:c r="Q94" s="48" t="n">
        <x:f>-2*O94/Inputs!$C$14</x:f>
        <x:v>17.979368521486727</x:v>
      </x:c>
      <x:c r="R94" s="48" t="n">
        <x:f>F94-Inputs!$C$16/2</x:f>
        <x:v>707.8053364714383</x:v>
      </x:c>
      <x:c r="S94" s="48" t="n">
        <x:f>F94+Inputs!$C$16/2</x:f>
        <x:v>737.8053364714383</x:v>
      </x:c>
      <x:c r="T94" s="48" t="n">
        <x:f>F94-Inputs!$C$17/2</x:f>
        <x:v>572.8053364714383</x:v>
      </x:c>
      <x:c r="U94" s="48" t="n">
        <x:f>F94+Inputs!$C$17/2</x:f>
        <x:v>872.8053364714383</x:v>
      </x:c>
      <x:c r="V94" s="48" t="n">
        <x:f>ABS(P94)</x:f>
        <x:v>119.7425943531016</x:v>
      </x:c>
      <x:c r="W94" s="48" t="n">
        <x:f>ABS(Q94)</x:f>
        <x:v>17.979368521486727</x:v>
      </x:c>
      <x:c r="X94" s="48" t="n">
        <x: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(0.45*SIN(2*PI()*(((A94)/Inputs!$C$49)+Inputs!$C$47*0.137))+0.35*COS(2*PI()*(((0)/Inputs!$C$50)+Inputs!$C$47*0.173))+0.20*SIN(2*PI()*(((A94)+(0))/(0.5*(Inputs!$C$49+Inputs!$C$50))+Inputs!$C$47*0.097)))+0.30*(2*((SIN(((A94)*12.9898+(0)*78.233+Inputs!$C$47*37.719))*43758.5453)-INT((SIN(((A94)*12.9898+(0)*78.233+Inputs!$C$47*37.719))*43758.5453)))-1)))</x:f>
        <x:v>-84.36597258140502</x:v>
      </x:c>
      <x:c r="Y94" s="48" t="n">
        <x: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(0.45*SIN(2*PI()*(((A94)/Inputs!$C$49)+Inputs!$C$47*0.137))+0.35*COS(2*PI()*(((Inputs!$C$6)/Inputs!$C$50)+Inputs!$C$47*0.173))+0.20*SIN(2*PI()*(((A94)+(Inputs!$C$6))/(0.5*(Inputs!$C$49+Inputs!$C$50))+Inputs!$C$47*0.097)))+0.30*(2*((SIN(((A94)*12.9898+(Inputs!$C$6)*78.233+Inputs!$C$47*37.719))*43758.5453)-INT((SIN(((A94)*12.9898+(Inputs!$C$6)*78.233+Inputs!$C$47*37.719))*43758.5453)))-1)))</x:f>
        <x:v>420.9575928892744</x:v>
      </x:c>
      <x:c r="Z94" s="48" t="n">
        <x:f>B94-X94/1000</x:f>
        <x:v>400.30214375035916</x:v>
      </x:c>
      <x:c r="AA94" s="48" t="n">
        <x:f>SQRT((Inputs!$C$52+B94)^2+(Inputs!$C$52+Y94/1000)^2-2*(Inputs!$C$52+B94)*(Inputs!$C$52+Y94/1000)*COS(SQRT(A94^2+Inputs!$C$6^2)/Inputs!$C$52))</x:f>
        <x:v>401.0851108360278</x:v>
      </x:c>
      <x:c r="AB94" s="48" t="n">
        <x:f>(AA94-Z94)*1000</x:f>
        <x:v>782.9670856686448</x:v>
      </x:c>
      <x:c r="AC94" s="48" t="n">
        <x:f>AB94/Inputs!$C$12</x:f>
        <x:v>439.86914925204763</x:v>
      </x:c>
      <x:c r="AD94" s="48" t="n">
        <x:f>2*AB94/Inputs!$C$21*1000000</x:f>
        <x:v>5.22339415001991</x:v>
      </x:c>
      <x:c r="AE94" s="48" t="n">
        <x:f>DEGREES(ATAN(H94/(B94-Y94/1000)))</x:f>
        <x:v>4.0993306103383205</x:v>
      </x:c>
      <x:c r="AF94" s="48" t="n">
        <x:f>DEGREES((2*PI()/Inputs!$C$13)*Inputs!$C$15*SIN(RADIANS(AE94)))</x:f>
        <x:v>25.734884822532617</x:v>
      </x:c>
      <x:c r="AG94" s="48" t="n">
        <x:f>(Z94/AA94)^4</x:f>
        <x:v>0.9922143467720201</x:v>
      </x:c>
      <x:c r="AH94" s="48" t="n">
        <x:f>10*LOG10(AG94)</x:f>
        <x:v>-0.0339449763960832</x:v>
      </x:c>
      <x:c r="AI94" s="48" t="n">
        <x:f>AC94-F94</x:f>
        <x:v>-282.93618721939066</x:v>
      </x:c>
      <x:c r="AJ94" s="48" t="n">
        <x:f>AD94-G94</x:f>
        <x:v>-3.359833777075975</x:v>
      </x:c>
      <x:c r="AK94" s="48" t="n">
        <x:f>Y94-X94</x:f>
        <x:v>505.3235654706794</x:v>
      </x:c>
      <x:c r="AL94" s="48" t="n">
        <x:f>1000*(AA95-AA93)/(A95-A93)*Inputs!$C$11</x:f>
        <x:v>-273.5175129585059</x:v>
      </x:c>
      <x:c r="AM94" s="48" t="n">
        <x:f>-2*AL94/Inputs!$C$13</x:f>
        <x:v>109.40700518340236</x:v>
      </x:c>
      <x:c r="AN94" s="48" t="n">
        <x:f>-2*AL94/Inputs!$C$14</x:f>
        <x:v>16.427478255766122</x:v>
      </x:c>
      <x:c r="AO94" s="48" t="n">
        <x:f>ABS(AM94)</x:f>
        <x:v>109.40700518340236</x:v>
      </x:c>
      <x:c r="AP94" s="48" t="n">
        <x:f>ABS(AN94)</x:f>
        <x:v>16.427478255766122</x:v>
      </x:c>
      <x:c r="AQ94" s="48" t="n">
        <x:f>IF(OR(Inputs!$C$27=TRUE,Inputs!$C$27="TRUE",Inputs!$C$27=1),Inputs!$C$46/Inputs!$C$12,0)</x:f>
        <x:v>42.13483146067416</x:v>
      </x:c>
      <x:c r="AR94" s="48" t="n">
        <x:f>AC94-AQ94</x:f>
        <x:v>397.7343177913735</x:v>
      </x:c>
      <x:c r="AS94" s="48" t="n">
        <x:f>AC94+AQ94</x:f>
        <x:v>482.0039807127218</x:v>
      </x:c>
    </x:row>
    <x:row r="95">
      <x:c r="A95" s="48" t="n">
        <x:f>Inputs!$C$7+93*(Inputs!$C$8-Inputs!$C$7)/240</x:f>
        <x:v>-13.5</x:v>
      </x:c>
      <x:c r="B95" s="48" t="n">
        <x:f>Inputs!$C$5+Inputs!$C$9*(A95/Inputs!$C$10)^2</x:f>
        <x:v>400.2025</x:v>
      </x:c>
      <x:c r="C95" s="48" t="n">
        <x:f>B95</x:f>
        <x:v>400.2025</x:v>
      </x:c>
      <x:c r="D95" s="48" t="n">
        <x:f>SQRT((Inputs!$C$52+B95)^2+Inputs!$C$52^2-2*(Inputs!$C$52+B95)*Inputs!$C$52*COS(SQRT(A95^2+Inputs!$C$6^2)/Inputs!$C$52))</x:f>
        <x:v>401.467618643685</x:v>
      </x:c>
      <x:c r="E95" s="48" t="n">
        <x:f>(D95-C95)*1000</x:f>
        <x:v>1265.118643685014</x:v>
      </x:c>
      <x:c r="F95" s="48" t="n">
        <x:f>E95/Inputs!$C$12</x:f>
        <x:v>710.7408110589965</x:v>
      </x:c>
      <x:c r="G95" s="48" t="n">
        <x:f>2*E95/Inputs!$C$21*1000000</x:f>
        <x:v>8.439963113982099</x:v>
      </x:c>
      <x:c r="H95" s="48" t="n">
        <x:f>SQRT(A95^2+Inputs!$C$6^2)</x:f>
        <x:v>28.412145290350743</x:v>
      </x:c>
      <x:c r="I95" s="48" t="n">
        <x:f>DEGREES(ATAN(H95/B95))</x:f>
        <x:v>4.060867373737527</x:v>
      </x:c>
      <x:c r="J95" s="48" t="n">
        <x:f>DEGREES((2*PI()/Inputs!$C$13)*Inputs!$C$15*SIN(RADIANS(I95)))</x:f>
        <x:v>25.49382568709516</x:v>
      </x:c>
      <x:c r="K95" s="48" t="n">
        <x:f>(C95/D95)^4</x:f>
        <x:v>0.9874545182738117</x:v>
      </x:c>
      <x:c r="L95" s="48" t="n">
        <x:f>10*LOG10(K95)</x:f>
        <x:v>-0.054828986560327496</x:v>
      </x:c>
      <x:c r="M95" s="48" t="n">
        <x:f>2*(Inputs!$C$9/(Inputs!$C$10^2))*A95</x:f>
        <x:v>-0.03</x:v>
      </x:c>
      <x:c r="N95" s="48" t="n">
        <x:f>M95*Inputs!$C$11</x:f>
        <x:v>-0.12</x:v>
      </x:c>
      <x:c r="O95" s="48" t="n">
        <x:f>1000*(D96-D94)/(A96-A94)*Inputs!$C$11</x:f>
        <x:v>-288.68456805867027</x:v>
      </x:c>
      <x:c r="P95" s="48" t="n">
        <x:f>-2*O95/Inputs!$C$13</x:f>
        <x:v>115.4738272234681</x:v>
      </x:c>
      <x:c r="Q95" s="48" t="n">
        <x:f>-2*O95/Inputs!$C$14</x:f>
        <x:v>17.338412496016232</x:v>
      </x:c>
      <x:c r="R95" s="48" t="n">
        <x:f>F95-Inputs!$C$16/2</x:f>
        <x:v>695.7408110589965</x:v>
      </x:c>
      <x:c r="S95" s="48" t="n">
        <x:f>F95+Inputs!$C$16/2</x:f>
        <x:v>725.7408110589965</x:v>
      </x:c>
      <x:c r="T95" s="48" t="n">
        <x:f>F95-Inputs!$C$17/2</x:f>
        <x:v>560.7408110589965</x:v>
      </x:c>
      <x:c r="U95" s="48" t="n">
        <x:f>F95+Inputs!$C$17/2</x:f>
        <x:v>860.7408110589965</x:v>
      </x:c>
      <x:c r="V95" s="48" t="n">
        <x:f>ABS(P95)</x:f>
        <x:v>115.4738272234681</x:v>
      </x:c>
      <x:c r="W95" s="48" t="n">
        <x:f>ABS(Q95)</x:f>
        <x:v>17.338412496016232</x:v>
      </x:c>
      <x:c r="X95" s="48" t="n">
        <x: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(0.45*SIN(2*PI()*(((A95)/Inputs!$C$49)+Inputs!$C$47*0.137))+0.35*COS(2*PI()*(((0)/Inputs!$C$50)+Inputs!$C$47*0.173))+0.20*SIN(2*PI()*(((A95)+(0))/(0.5*(Inputs!$C$49+Inputs!$C$50))+Inputs!$C$47*0.097)))+0.30*(2*((SIN(((A95)*12.9898+(0)*78.233+Inputs!$C$47*37.719))*43758.5453)-INT((SIN(((A95)*12.9898+(0)*78.233+Inputs!$C$47*37.719))*43758.5453)))-1)))</x:f>
        <x:v>-61.03205493353448</x:v>
      </x:c>
      <x:c r="Y95" s="48" t="n">
        <x: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(0.45*SIN(2*PI()*(((A95)/Inputs!$C$49)+Inputs!$C$47*0.137))+0.35*COS(2*PI()*(((Inputs!$C$6)/Inputs!$C$50)+Inputs!$C$47*0.173))+0.20*SIN(2*PI()*(((A95)+(Inputs!$C$6))/(0.5*(Inputs!$C$49+Inputs!$C$50))+Inputs!$C$47*0.097)))+0.30*(2*((SIN(((A95)*12.9898+(Inputs!$C$6)*78.233+Inputs!$C$47*37.719))*43758.5453)-INT((SIN(((A95)*12.9898+(Inputs!$C$6)*78.233+Inputs!$C$47*37.719))*43758.5453)))-1)))</x:f>
        <x:v>418.7700178970381</x:v>
      </x:c>
      <x:c r="Z95" s="48" t="n">
        <x:f>B95-X95/1000</x:f>
        <x:v>400.26353205493353</x:v>
      </x:c>
      <x:c r="AA95" s="48" t="n">
        <x:f>SQRT((Inputs!$C$52+B95)^2+(Inputs!$C$52+Y95/1000)^2-2*(Inputs!$C$52+B95)*(Inputs!$C$52+Y95/1000)*COS(SQRT(A95^2+Inputs!$C$6^2)/Inputs!$C$52))</x:f>
        <x:v>401.05050889923535</x:v>
      </x:c>
      <x:c r="AB95" s="48" t="n">
        <x:f>(AA95-Z95)*1000</x:f>
        <x:v>786.9768443018188</x:v>
      </x:c>
      <x:c r="AC95" s="48" t="n">
        <x:f>AB95/Inputs!$C$12</x:f>
        <x:v>442.1218226414712</x:v>
      </x:c>
      <x:c r="AD95" s="48" t="n">
        <x:f>2*AB95/Inputs!$C$21*1000000</x:f>
        <x:v>5.250144380228663</x:v>
      </x:c>
      <x:c r="AE95" s="48" t="n">
        <x:f>DEGREES(ATAN(H95/(B95-Y95/1000)))</x:f>
        <x:v>4.065106844144217</x:v>
      </x:c>
      <x:c r="AF95" s="48" t="n">
        <x:f>DEGREES((2*PI()/Inputs!$C$13)*Inputs!$C$15*SIN(RADIANS(AE95)))</x:f>
        <x:v>25.520396119185655</x:v>
      </x:c>
      <x:c r="AG95" s="48" t="n">
        <x:f>(Z95/AA95)^4</x:f>
        <x:v>0.9921739188239347</x:v>
      </x:c>
      <x:c r="AH95" s="48" t="n">
        <x:f>10*LOG10(AG95)</x:f>
        <x:v>-0.0341219340517499</x:v>
      </x:c>
      <x:c r="AI95" s="48" t="n">
        <x:f>AC95-F95</x:f>
        <x:v>-268.6189884175253</x:v>
      </x:c>
      <x:c r="AJ95" s="48" t="n">
        <x:f>AD95-G95</x:f>
        <x:v>-3.1898187337534356</x:v>
      </x:c>
      <x:c r="AK95" s="48" t="n">
        <x:f>Y95-X95</x:f>
        <x:v>479.80207283057257</x:v>
      </x:c>
      <x:c r="AL95" s="48" t="n">
        <x:f>1000*(AA96-AA94)/(A96-A94)*Inputs!$C$11</x:f>
        <x:v>-336.4272171961602</x:v>
      </x:c>
      <x:c r="AM95" s="48" t="n">
        <x:f>-2*AL95/Inputs!$C$13</x:f>
        <x:v>134.57088687846408</x:v>
      </x:c>
      <x:c r="AN95" s="48" t="n">
        <x:f>-2*AL95/Inputs!$C$14</x:f>
        <x:v>20.205838870640253</x:v>
      </x:c>
      <x:c r="AO95" s="48" t="n">
        <x:f>ABS(AM95)</x:f>
        <x:v>134.57088687846408</x:v>
      </x:c>
      <x:c r="AP95" s="48" t="n">
        <x:f>ABS(AN95)</x:f>
        <x:v>20.205838870640253</x:v>
      </x:c>
      <x:c r="AQ95" s="48" t="n">
        <x:f>IF(OR(Inputs!$C$27=TRUE,Inputs!$C$27="TRUE",Inputs!$C$27=1),Inputs!$C$46/Inputs!$C$12,0)</x:f>
        <x:v>42.13483146067416</x:v>
      </x:c>
      <x:c r="AR95" s="48" t="n">
        <x:f>AC95-AQ95</x:f>
        <x:v>399.9869911807971</x:v>
      </x:c>
      <x:c r="AS95" s="48" t="n">
        <x:f>AC95+AQ95</x:f>
        <x:v>484.2566541021454</x:v>
      </x:c>
    </x:row>
    <x:row r="96">
      <x:c r="A96" s="48" t="n">
        <x:f>Inputs!$C$7+94*(Inputs!$C$8-Inputs!$C$7)/240</x:f>
        <x:v>-13</x:v>
      </x:c>
      <x:c r="B96" s="48" t="n">
        <x:f>Inputs!$C$5+Inputs!$C$9*(A96/Inputs!$C$10)^2</x:f>
        <x:v>400.1877777777778</x:v>
      </x:c>
      <x:c r="C96" s="48" t="n">
        <x:f>B96</x:f>
        <x:v>400.1877777777778</x:v>
      </x:c>
      <x:c r="D96" s="48" t="n">
        <x:f>SQRT((Inputs!$C$52+B96)^2+Inputs!$C$52^2-2*(Inputs!$C$52+B96)*Inputs!$C$52*COS(SQRT(A96^2+Inputs!$C$6^2)/Inputs!$C$52))</x:f>
        <x:v>401.43220013468226</x:v>
      </x:c>
      <x:c r="E96" s="48" t="n">
        <x:f>(D96-C96)*1000</x:f>
        <x:v>1244.4223569044652</x:v>
      </x:c>
      <x:c r="F96" s="48" t="n">
        <x:f>E96/Inputs!$C$12</x:f>
        <x:v>699.1136836541939</x:v>
      </x:c>
      <x:c r="G96" s="48" t="n">
        <x:f>2*E96/Inputs!$C$21*1000000</x:f>
        <x:v>8.301892350503795</x:v>
      </x:c>
      <x:c r="H96" s="48" t="n">
        <x:f>SQRT(A96^2+Inputs!$C$6^2)</x:f>
        <x:v>28.178005607210743</x:v>
      </x:c>
      <x:c r="I96" s="48" t="n">
        <x:f>DEGREES(ATAN(H96/B96))</x:f>
        <x:v>4.027660713508556</x:v>
      </x:c>
      <x:c r="J96" s="48" t="n">
        <x:f>DEGREES((2*PI()/Inputs!$C$13)*Inputs!$C$15*SIN(RADIANS(I96)))</x:f>
        <x:v>25.285701641717207</x:v>
      </x:c>
      <x:c r="K96" s="48" t="n">
        <x:f>(C96/D96)^4</x:f>
        <x:v>0.9876577133271429</x:v>
      </x:c>
      <x:c r="L96" s="48" t="n">
        <x:f>10*LOG10(K96)</x:f>
        <x:v>-0.053935401990183</x:v>
      </x:c>
      <x:c r="M96" s="48" t="n">
        <x:f>2*(Inputs!$C$9/(Inputs!$C$10^2))*A96</x:f>
        <x:v>-0.028888888888888888</x:v>
      </x:c>
      <x:c r="N96" s="48" t="n">
        <x:f>M96*Inputs!$C$11</x:f>
        <x:v>-0.11555555555555555</x:v>
      </x:c>
      <x:c r="O96" s="48" t="n">
        <x:f>1000*(D97-D95)/(A97-A95)*Inputs!$C$11</x:f>
        <x:v>-278.01054033716355</x:v>
      </x:c>
      <x:c r="P96" s="48" t="n">
        <x:f>-2*O96/Inputs!$C$13</x:f>
        <x:v>111.20421613486542</x:v>
      </x:c>
      <x:c r="Q96" s="48" t="n">
        <x:f>-2*O96/Inputs!$C$14</x:f>
        <x:v>16.697329749979794</x:v>
      </x:c>
      <x:c r="R96" s="48" t="n">
        <x:f>F96-Inputs!$C$16/2</x:f>
        <x:v>684.1136836541939</x:v>
      </x:c>
      <x:c r="S96" s="48" t="n">
        <x:f>F96+Inputs!$C$16/2</x:f>
        <x:v>714.1136836541939</x:v>
      </x:c>
      <x:c r="T96" s="48" t="n">
        <x:f>F96-Inputs!$C$17/2</x:f>
        <x:v>549.1136836541939</x:v>
      </x:c>
      <x:c r="U96" s="48" t="n">
        <x:f>F96+Inputs!$C$17/2</x:f>
        <x:v>849.1136836541939</x:v>
      </x:c>
      <x:c r="V96" s="48" t="n">
        <x:f>ABS(P96)</x:f>
        <x:v>111.20421613486542</x:v>
      </x:c>
      <x:c r="W96" s="48" t="n">
        <x:f>ABS(Q96)</x:f>
        <x:v>16.697329749979794</x:v>
      </x:c>
      <x:c r="X96" s="48" t="n">
        <x: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(0.45*SIN(2*PI()*(((A96)/Inputs!$C$49)+Inputs!$C$47*0.137))+0.35*COS(2*PI()*(((0)/Inputs!$C$50)+Inputs!$C$47*0.173))+0.20*SIN(2*PI()*(((A96)+(0))/(0.5*(Inputs!$C$49+Inputs!$C$50))+Inputs!$C$47*0.097)))+0.30*(2*((SIN(((A96)*12.9898+(0)*78.233+Inputs!$C$47*37.719))*43758.5453)-INT((SIN(((A96)*12.9898+(0)*78.233+Inputs!$C$47*37.719))*43758.5453)))-1)))</x:f>
        <x:v>-64.09243482429542</x:v>
      </x:c>
      <x:c r="Y96" s="48" t="n">
        <x: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(0.45*SIN(2*PI()*(((A96)/Inputs!$C$49)+Inputs!$C$47*0.137))+0.35*COS(2*PI()*(((Inputs!$C$6)/Inputs!$C$50)+Inputs!$C$47*0.173))+0.20*SIN(2*PI()*(((A96)+(Inputs!$C$6))/(0.5*(Inputs!$C$49+Inputs!$C$50))+Inputs!$C$47*0.097)))+0.30*(2*((SIN(((A96)*12.9898+(Inputs!$C$6)*78.233+Inputs!$C$47*37.719))*43758.5453)-INT((SIN(((A96)*12.9898+(Inputs!$C$6)*78.233+Inputs!$C$47*37.719))*43758.5453)))-1)))</x:f>
        <x:v>432.8844458249992</x:v>
      </x:c>
      <x:c r="Z96" s="48" t="n">
        <x:f>B96-X96/1000</x:f>
        <x:v>400.2518702126021</x:v>
      </x:c>
      <x:c r="AA96" s="48" t="n">
        <x:f>SQRT((Inputs!$C$52+B96)^2+(Inputs!$C$52+Y96/1000)^2-2*(Inputs!$C$52+B96)*(Inputs!$C$52+Y96/1000)*COS(SQRT(A96^2+Inputs!$C$6^2)/Inputs!$C$52))</x:f>
        <x:v>401.00100403172877</x:v>
      </x:c>
      <x:c r="AB96" s="48" t="n">
        <x:f>(AA96-Z96)*1000</x:f>
        <x:v>749.133819126655</x:v>
      </x:c>
      <x:c r="AC96" s="48" t="n">
        <x:f>AB96/Inputs!$C$12</x:f>
        <x:v>420.8616961385702</x:v>
      </x:c>
      <x:c r="AD96" s="48" t="n">
        <x:f>2*AB96/Inputs!$C$21*1000000</x:f>
        <x:v>4.9976828911863755</x:v>
      </x:c>
      <x:c r="AE96" s="48" t="n">
        <x:f>DEGREES(ATAN(H96/(B96-Y96/1000)))</x:f>
        <x:v>4.032007788080743</x:v>
      </x:c>
      <x:c r="AF96" s="48" t="n">
        <x:f>DEGREES((2*PI()/Inputs!$C$13)*Inputs!$C$15*SIN(RADIANS(AE96)))</x:f>
        <x:v>25.31294758674893</x:v>
      </x:c>
      <x:c r="AG96" s="48" t="n">
        <x:f>(Z96/AA96)^4</x:f>
        <x:v>0.9925482762113796</x:v>
      </x:c>
      <x:c r="AH96" s="48" t="n">
        <x:f>10*LOG10(AG96)</x:f>
        <x:v>-0.0324836055243436</x:v>
      </x:c>
      <x:c r="AI96" s="48" t="n">
        <x:f>AC96-F96</x:f>
        <x:v>-278.2519875156237</x:v>
      </x:c>
      <x:c r="AJ96" s="48" t="n">
        <x:f>AD96-G96</x:f>
        <x:v>-3.30420945931742</x:v>
      </x:c>
      <x:c r="AK96" s="48" t="n">
        <x:f>Y96-X96</x:f>
        <x:v>496.9768806492946</x:v>
      </x:c>
      <x:c r="AL96" s="48" t="n">
        <x:f>1000*(AA97-AA95)/(A97-A95)*Inputs!$C$11</x:f>
        <x:v>-398.1533994065103</x:v>
      </x:c>
      <x:c r="AM96" s="48" t="n">
        <x:f>-2*AL96/Inputs!$C$13</x:f>
        <x:v>159.26135976260412</x:v>
      </x:c>
      <x:c r="AN96" s="48" t="n">
        <x:f>-2*AL96/Inputs!$C$14</x:f>
        <x:v>23.91311708147209</x:v>
      </x:c>
      <x:c r="AO96" s="48" t="n">
        <x:f>ABS(AM96)</x:f>
        <x:v>159.26135976260412</x:v>
      </x:c>
      <x:c r="AP96" s="48" t="n">
        <x:f>ABS(AN96)</x:f>
        <x:v>23.91311708147209</x:v>
      </x:c>
      <x:c r="AQ96" s="48" t="n">
        <x:f>IF(OR(Inputs!$C$27=TRUE,Inputs!$C$27="TRUE",Inputs!$C$27=1),Inputs!$C$46/Inputs!$C$12,0)</x:f>
        <x:v>42.13483146067416</x:v>
      </x:c>
      <x:c r="AR96" s="48" t="n">
        <x:f>AC96-AQ96</x:f>
        <x:v>378.72686467789606</x:v>
      </x:c>
      <x:c r="AS96" s="48" t="n">
        <x:f>AC96+AQ96</x:f>
        <x:v>462.99652759924436</x:v>
      </x:c>
    </x:row>
    <x:row r="97">
      <x:c r="A97" s="48" t="n">
        <x:f>Inputs!$C$7+95*(Inputs!$C$8-Inputs!$C$7)/240</x:f>
        <x:v>-12.5</x:v>
      </x:c>
      <x:c r="B97" s="48" t="n">
        <x:f>Inputs!$C$5+Inputs!$C$9*(A97/Inputs!$C$10)^2</x:f>
        <x:v>400.1736111111111</x:v>
      </x:c>
      <x:c r="C97" s="48" t="n">
        <x:f>B97</x:f>
        <x:v>400.1736111111111</x:v>
      </x:c>
      <x:c r="D97" s="48" t="n">
        <x:f>SQRT((Inputs!$C$52+B97)^2+Inputs!$C$52^2-2*(Inputs!$C$52+B97)*Inputs!$C$52*COS(SQRT(A97^2+Inputs!$C$6^2)/Inputs!$C$52))</x:f>
        <x:v>401.3981160086007</x:v>
      </x:c>
      <x:c r="E97" s="48" t="n">
        <x:f>(D97-C97)*1000</x:f>
        <x:v>1224.5048974896235</x:v>
      </x:c>
      <x:c r="F97" s="48" t="n">
        <x:f>E97/Inputs!$C$12</x:f>
        <x:v>687.9240997132716</x:v>
      </x:c>
      <x:c r="G97" s="48" t="n">
        <x:f>2*E97/Inputs!$C$21*1000000</x:f>
        <x:v>8.169017363936645</x:v>
      </x:c>
      <x:c r="H97" s="48" t="n">
        <x:f>SQRT(A97^2+Inputs!$C$6^2)</x:f>
        <x:v>27.95084971874737</x:v>
      </x:c>
      <x:c r="I97" s="48" t="n">
        <x:f>DEGREES(ATAN(H97/B97))</x:f>
        <x:v>3.9954384393380815</x:v>
      </x:c>
      <x:c r="J97" s="48" t="n">
        <x:f>DEGREES((2*PI()/Inputs!$C$13)*Inputs!$C$15*SIN(RADIANS(I97)))</x:f>
        <x:v>25.083739154474607</x:v>
      </x:c>
      <x:c r="K97" s="48" t="n">
        <x:f>(C97/D97)^4</x:f>
        <x:v>0.987853325418788</x:v>
      </x:c>
      <x:c r="L97" s="48" t="n">
        <x:f>10*LOG10(K97)</x:f>
        <x:v>-0.0530753384359283</x:v>
      </x:c>
      <x:c r="M97" s="48" t="n">
        <x:f>2*(Inputs!$C$9/(Inputs!$C$10^2))*A97</x:f>
        <x:v>-0.027777777777777776</x:v>
      </x:c>
      <x:c r="N97" s="48" t="n">
        <x:f>M97*Inputs!$C$11</x:f>
        <x:v>-0.1111111111111111</x:v>
      </x:c>
      <x:c r="O97" s="48" t="n">
        <x:f>1000*(D98-D96)/(A98-A96)*Inputs!$C$11</x:f>
        <x:v>-267.334479958663</x:v>
      </x:c>
      <x:c r="P97" s="48" t="n">
        <x:f>-2*O97/Inputs!$C$13</x:f>
        <x:v>106.9337919834652</x:v>
      </x:c>
      <x:c r="Q97" s="48" t="n">
        <x:f>-2*O97/Inputs!$C$14</x:f>
        <x:v>16.056124922442223</x:v>
      </x:c>
      <x:c r="R97" s="48" t="n">
        <x:f>F97-Inputs!$C$16/2</x:f>
        <x:v>672.9240997132716</x:v>
      </x:c>
      <x:c r="S97" s="48" t="n">
        <x:f>F97+Inputs!$C$16/2</x:f>
        <x:v>702.9240997132716</x:v>
      </x:c>
      <x:c r="T97" s="48" t="n">
        <x:f>F97-Inputs!$C$17/2</x:f>
        <x:v>537.9240997132716</x:v>
      </x:c>
      <x:c r="U97" s="48" t="n">
        <x:f>F97+Inputs!$C$17/2</x:f>
        <x:v>837.9240997132716</x:v>
      </x:c>
      <x:c r="V97" s="48" t="n">
        <x:f>ABS(P97)</x:f>
        <x:v>106.9337919834652</x:v>
      </x:c>
      <x:c r="W97" s="48" t="n">
        <x:f>ABS(Q97)</x:f>
        <x:v>16.056124922442223</x:v>
      </x:c>
      <x:c r="X97" s="48" t="n">
        <x: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(0.45*SIN(2*PI()*(((A97)/Inputs!$C$49)+Inputs!$C$47*0.137))+0.35*COS(2*PI()*(((0)/Inputs!$C$50)+Inputs!$C$47*0.173))+0.20*SIN(2*PI()*(((A97)+(0))/(0.5*(Inputs!$C$49+Inputs!$C$50))+Inputs!$C$47*0.097)))+0.30*(2*((SIN(((A97)*12.9898+(0)*78.233+Inputs!$C$47*37.719))*43758.5453)-INT((SIN(((A97)*12.9898+(0)*78.233+Inputs!$C$47*37.719))*43758.5453)))-1)))</x:f>
        <x:v>-70.18392228131138</x:v>
      </x:c>
      <x:c r="Y97" s="48" t="n">
        <x: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(0.45*SIN(2*PI()*(((A97)/Inputs!$C$49)+Inputs!$C$47*0.137))+0.35*COS(2*PI()*(((Inputs!$C$6)/Inputs!$C$50)+Inputs!$C$47*0.173))+0.20*SIN(2*PI()*(((A97)+(Inputs!$C$6))/(0.5*(Inputs!$C$49+Inputs!$C$50))+Inputs!$C$47*0.097)))+0.30*(2*((SIN(((A97)*12.9898+(Inputs!$C$6)*78.233+Inputs!$C$47*37.719))*43758.5453)-INT((SIN(((A97)*12.9898+(Inputs!$C$6)*78.233+Inputs!$C$47*37.719))*43758.5453)))-1)))</x:f>
        <x:v>448.8683161255995</x:v>
      </x:c>
      <x:c r="Z97" s="48" t="n">
        <x:f>B97-X97/1000</x:f>
        <x:v>400.2437950333924</x:v>
      </x:c>
      <x:c r="AA97" s="48" t="n">
        <x:f>SQRT((Inputs!$C$52+B97)^2+(Inputs!$C$52+Y97/1000)^2-2*(Inputs!$C$52+B97)*(Inputs!$C$52+Y97/1000)*COS(SQRT(A97^2+Inputs!$C$6^2)/Inputs!$C$52))</x:f>
        <x:v>400.9509705493837</x:v>
      </x:c>
      <x:c r="AB97" s="48" t="n">
        <x:f>(AA97-Z97)*1000</x:f>
        <x:v>707.1755159913096</x:v>
      </x:c>
      <x:c r="AC97" s="48" t="n">
        <x:f>AB97/Inputs!$C$12</x:f>
        <x:v>397.2896157254548</x:v>
      </x:c>
      <x:c r="AD97" s="48" t="n">
        <x:f>2*AB97/Inputs!$C$21*1000000</x:f>
        <x:v>4.71776722275855</x:v>
      </x:c>
      <x:c r="AE97" s="48" t="n">
        <x:f>DEGREES(ATAN(H97/(B97-Y97/1000)))</x:f>
        <x:v>3.9999105358231075</x:v>
      </x:c>
      <x:c r="AF97" s="48" t="n">
        <x:f>DEGREES((2*PI()/Inputs!$C$13)*Inputs!$C$15*SIN(RADIANS(AE97)))</x:f>
        <x:v>25.111769797148796</x:v>
      </x:c>
      <x:c r="AG97" s="48" t="n">
        <x:f>(Z97/AA97)^4</x:f>
        <x:v>0.9929636603960545</x:v>
      </x:c>
      <x:c r="AH97" s="48" t="n">
        <x:f>10*LOG10(AG97)</x:f>
        <x:v>-0.030666451383086497</x:v>
      </x:c>
      <x:c r="AI97" s="48" t="n">
        <x:f>AC97-F97</x:f>
        <x:v>-290.63448398781685</x:v>
      </x:c>
      <x:c r="AJ97" s="48" t="n">
        <x:f>AD97-G97</x:f>
        <x:v>-3.451250141178095</x:v>
      </x:c>
      <x:c r="AK97" s="48" t="n">
        <x:f>Y97-X97</x:f>
        <x:v>519.0522384069109</x:v>
      </x:c>
      <x:c r="AL97" s="48" t="n">
        <x:f>1000*(AA98-AA96)/(A98-A96)*Inputs!$C$11</x:f>
        <x:v>-287.89803836184547</x:v>
      </x:c>
      <x:c r="AM97" s="48" t="n">
        <x:f>-2*AL97/Inputs!$C$13</x:f>
        <x:v>115.15921534473819</x:v>
      </x:c>
      <x:c r="AN97" s="48" t="n">
        <x:f>-2*AL97/Inputs!$C$14</x:f>
        <x:v>17.291173475185914</x:v>
      </x:c>
      <x:c r="AO97" s="48" t="n">
        <x:f>ABS(AM97)</x:f>
        <x:v>115.15921534473819</x:v>
      </x:c>
      <x:c r="AP97" s="48" t="n">
        <x:f>ABS(AN97)</x:f>
        <x:v>17.291173475185914</x:v>
      </x:c>
      <x:c r="AQ97" s="48" t="n">
        <x:f>IF(OR(Inputs!$C$27=TRUE,Inputs!$C$27="TRUE",Inputs!$C$27=1),Inputs!$C$46/Inputs!$C$12,0)</x:f>
        <x:v>42.13483146067416</x:v>
      </x:c>
      <x:c r="AR97" s="48" t="n">
        <x:f>AC97-AQ97</x:f>
        <x:v>355.15478426478063</x:v>
      </x:c>
      <x:c r="AS97" s="48" t="n">
        <x:f>AC97+AQ97</x:f>
        <x:v>439.42444718612893</x:v>
      </x:c>
    </x:row>
    <x:row r="98">
      <x:c r="A98" s="48" t="n">
        <x:f>Inputs!$C$7+96*(Inputs!$C$8-Inputs!$C$7)/240</x:f>
        <x:v>-12</x:v>
      </x:c>
      <x:c r="B98" s="48" t="n">
        <x:f>Inputs!$C$5+Inputs!$C$9*(A98/Inputs!$C$10)^2</x:f>
        <x:v>400.16</x:v>
      </x:c>
      <x:c r="C98" s="48" t="n">
        <x:f>B98</x:f>
        <x:v>400.16</x:v>
      </x:c>
      <x:c r="D98" s="48" t="n">
        <x:f>SQRT((Inputs!$C$52+B98)^2+Inputs!$C$52^2-2*(Inputs!$C$52+B98)*Inputs!$C$52*COS(SQRT(A98^2+Inputs!$C$6^2)/Inputs!$C$52))</x:f>
        <x:v>401.3653665146926</x:v>
      </x:c>
      <x:c r="E98" s="48" t="n">
        <x:f>(D98-C98)*1000</x:f>
        <x:v>1205.366514692571</x:v>
      </x:c>
      <x:c r="F98" s="48" t="n">
        <x:f>E98/Inputs!$C$12</x:f>
        <x:v>677.1721992654893</x:v>
      </x:c>
      <x:c r="G98" s="48" t="n">
        <x:f>2*E98/Inputs!$C$21*1000000</x:f>
        <x:v>8.041339817111549</x:v>
      </x:c>
      <x:c r="H98" s="48" t="n">
        <x:f>SQRT(A98^2+Inputs!$C$6^2)</x:f>
        <x:v>27.730849247724095</x:v>
      </x:c>
      <x:c r="I98" s="48" t="n">
        <x:f>DEGREES(ATAN(H98/B98))</x:f>
        <x:v>3.964225499851384</x:v>
      </x:c>
      <x:c r="J98" s="48" t="n">
        <x:f>DEGREES((2*PI()/Inputs!$C$13)*Inputs!$C$15*SIN(RADIANS(I98)))</x:f>
        <x:v>24.888095401136177</x:v>
      </x:c>
      <x:c r="K98" s="48" t="n">
        <x:f>(C98/D98)^4</x:f>
        <x:v>0.9880413448132133</x:v>
      </x:c>
      <x:c r="L98" s="48" t="n">
        <x:f>10*LOG10(K98)</x:f>
        <x:v>-0.0522488188145504</x:v>
      </x:c>
      <x:c r="M98" s="48" t="n">
        <x:f>2*(Inputs!$C$9/(Inputs!$C$10^2))*A98</x:f>
        <x:v>-0.026666666666666665</x:v>
      </x:c>
      <x:c r="N98" s="48" t="n">
        <x:f>M98*Inputs!$C$11</x:f>
        <x:v>-0.10666666666666666</x:v>
      </x:c>
      <x:c r="O98" s="48" t="n">
        <x:f>1000*(D99-D97)/(A99-A97)*Inputs!$C$11</x:f>
        <x:v>-256.65646427364663</x:v>
      </x:c>
      <x:c r="P98" s="48" t="n">
        <x:f>-2*O98/Inputs!$C$13</x:f>
        <x:v>102.66258570945865</x:v>
      </x:c>
      <x:c r="Q98" s="48" t="n">
        <x:f>-2*O98/Inputs!$C$14</x:f>
        <x:v>15.414802659077877</x:v>
      </x:c>
      <x:c r="R98" s="48" t="n">
        <x:f>F98-Inputs!$C$16/2</x:f>
        <x:v>662.1721992654893</x:v>
      </x:c>
      <x:c r="S98" s="48" t="n">
        <x:f>F98+Inputs!$C$16/2</x:f>
        <x:v>692.1721992654893</x:v>
      </x:c>
      <x:c r="T98" s="48" t="n">
        <x:f>F98-Inputs!$C$17/2</x:f>
        <x:v>527.1721992654893</x:v>
      </x:c>
      <x:c r="U98" s="48" t="n">
        <x:f>F98+Inputs!$C$17/2</x:f>
        <x:v>827.1721992654893</x:v>
      </x:c>
      <x:c r="V98" s="48" t="n">
        <x:f>ABS(P98)</x:f>
        <x:v>102.66258570945865</x:v>
      </x:c>
      <x:c r="W98" s="48" t="n">
        <x:f>ABS(Q98)</x:f>
        <x:v>15.414802659077877</x:v>
      </x:c>
      <x:c r="X98" s="48" t="n">
        <x: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(0.45*SIN(2*PI()*(((A98)/Inputs!$C$49)+Inputs!$C$47*0.137))+0.35*COS(2*PI()*(((0)/Inputs!$C$50)+Inputs!$C$47*0.173))+0.20*SIN(2*PI()*(((A98)+(0))/(0.5*(Inputs!$C$49+Inputs!$C$50))+Inputs!$C$47*0.097)))+0.30*(2*((SIN(((A98)*12.9898+(0)*78.233+Inputs!$C$47*37.719))*43758.5453)-INT((SIN(((A98)*12.9898+(0)*78.233+Inputs!$C$47*37.719))*43758.5453)))-1)))</x:f>
        <x:v>-47.55794552962975</x:v>
      </x:c>
      <x:c r="Y98" s="48" t="n">
        <x: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(0.45*SIN(2*PI()*(((A98)/Inputs!$C$49)+Inputs!$C$47*0.137))+0.35*COS(2*PI()*(((Inputs!$C$6)/Inputs!$C$50)+Inputs!$C$47*0.173))+0.20*SIN(2*PI()*(((A98)+(Inputs!$C$6))/(0.5*(Inputs!$C$49+Inputs!$C$50))+Inputs!$C$47*0.097)))+0.30*(2*((SIN(((A98)*12.9898+(Inputs!$C$6)*78.233+Inputs!$C$47*37.719))*43758.5453)-INT((SIN(((A98)*12.9898+(Inputs!$C$6)*78.233+Inputs!$C$47*37.719))*43758.5453)))-1)))</x:f>
        <x:v>437.9918993099811</x:v>
      </x:c>
      <x:c r="Z98" s="48" t="n">
        <x:f>B98-X98/1000</x:f>
        <x:v>400.20755794552963</x:v>
      </x:c>
      <x:c r="AA98" s="48" t="n">
        <x:f>SQRT((Inputs!$C$52+B98)^2+(Inputs!$C$52+Y98/1000)^2-2*(Inputs!$C$52+B98)*(Inputs!$C$52+Y98/1000)*COS(SQRT(A98^2+Inputs!$C$6^2)/Inputs!$C$52))</x:f>
        <x:v>400.9290295221383</x:v>
      </x:c>
      <x:c r="AB98" s="48" t="n">
        <x:f>(AA98-Z98)*1000</x:f>
        <x:v>721.4715766086783</x:v>
      </x:c>
      <x:c r="AC98" s="48" t="n">
        <x:f>AB98/Inputs!$C$12</x:f>
        <x:v>405.32111045431367</x:v>
      </x:c>
      <x:c r="AD98" s="48" t="n">
        <x:f>2*AB98/Inputs!$C$21*1000000</x:f>
        <x:v>4.813140273253161</x:v>
      </x:c>
      <x:c r="AE98" s="48" t="n">
        <x:f>DEGREES(ATAN(H98/(B98-Y98/1000)))</x:f>
        <x:v>3.968555393243375</x:v>
      </x:c>
      <x:c r="AF98" s="48" t="n">
        <x:f>DEGREES((2*PI()/Inputs!$C$13)*Inputs!$C$15*SIN(RADIANS(AE98)))</x:f>
        <x:v>24.915235760938838</x:v>
      </x:c>
      <x:c r="AG98" s="48" t="n">
        <x:f>(Z98/AA98)^4</x:f>
        <x:v>0.9928214080072731</x:v>
      </x:c>
      <x:c r="AH98" s="48" t="n">
        <x:f>10*LOG10(AG98)</x:f>
        <x:v>-0.0312886680426233</x:v>
      </x:c>
      <x:c r="AI98" s="48" t="n">
        <x:f>AC98-F98</x:f>
        <x:v>-271.85108881117566</x:v>
      </x:c>
      <x:c r="AJ98" s="48" t="n">
        <x:f>AD98-G98</x:f>
        <x:v>-3.2281995438583877</x:v>
      </x:c>
      <x:c r="AK98" s="48" t="n">
        <x:f>Y98-X98</x:f>
        <x:v>485.54984483961084</x:v>
      </x:c>
      <x:c r="AL98" s="48" t="n">
        <x:f>1000*(AA99-AA97)/(A99-A97)*Inputs!$C$11</x:f>
        <x:v>-296.88723128629135</x:v>
      </x:c>
      <x:c r="AM98" s="48" t="n">
        <x:f>-2*AL98/Inputs!$C$13</x:f>
        <x:v>118.75489251451654</x:v>
      </x:c>
      <x:c r="AN98" s="48" t="n">
        <x:f>-2*AL98/Inputs!$C$14</x:f>
        <x:v>17.831064942119603</x:v>
      </x:c>
      <x:c r="AO98" s="48" t="n">
        <x:f>ABS(AM98)</x:f>
        <x:v>118.75489251451654</x:v>
      </x:c>
      <x:c r="AP98" s="48" t="n">
        <x:f>ABS(AN98)</x:f>
        <x:v>17.831064942119603</x:v>
      </x:c>
      <x:c r="AQ98" s="48" t="n">
        <x:f>IF(OR(Inputs!$C$27=TRUE,Inputs!$C$27="TRUE",Inputs!$C$27=1),Inputs!$C$46/Inputs!$C$12,0)</x:f>
        <x:v>42.13483146067416</x:v>
      </x:c>
      <x:c r="AR98" s="48" t="n">
        <x:f>AC98-AQ98</x:f>
        <x:v>363.1862789936395</x:v>
      </x:c>
      <x:c r="AS98" s="48" t="n">
        <x:f>AC98+AQ98</x:f>
        <x:v>447.4559419149878</x:v>
      </x:c>
    </x:row>
    <x:row r="99">
      <x:c r="A99" s="48" t="n">
        <x:f>Inputs!$C$7+97*(Inputs!$C$8-Inputs!$C$7)/240</x:f>
        <x:v>-11.5</x:v>
      </x:c>
      <x:c r="B99" s="48" t="n">
        <x:f>Inputs!$C$5+Inputs!$C$9*(A99/Inputs!$C$10)^2</x:f>
        <x:v>400.14694444444444</x:v>
      </x:c>
      <x:c r="C99" s="48" t="n">
        <x:f>B99</x:f>
        <x:v>400.14694444444444</x:v>
      </x:c>
      <x:c r="D99" s="48" t="n">
        <x:f>SQRT((Inputs!$C$52+B99)^2+Inputs!$C$52^2-2*(Inputs!$C$52+B99)*Inputs!$C$52*COS(SQRT(A99^2+Inputs!$C$6^2)/Inputs!$C$52))</x:f>
        <x:v>401.3339518925323</x:v>
      </x:c>
      <x:c r="E99" s="48" t="n">
        <x:f>(D99-C99)*1000</x:f>
        <x:v>1187.0074480878543</x:v>
      </x:c>
      <x:c r="F99" s="48" t="n">
        <x:f>E99/Inputs!$C$12</x:f>
        <x:v>666.8581169032889</x:v>
      </x:c>
      <x:c r="G99" s="48" t="n">
        <x:f>2*E99/Inputs!$C$21*1000000</x:f>
        <x:v>7.918861308297851</x:v>
      </x:c>
      <x:c r="H99" s="48" t="n">
        <x:f>SQRT(A99^2+Inputs!$C$6^2)</x:f>
        <x:v>27.518175811634027</x:v>
      </x:c>
      <x:c r="I99" s="48" t="n">
        <x:f>DEGREES(ATAN(H99/B99))</x:f>
        <x:v>3.934046834415676</x:v>
      </x:c>
      <x:c r="J99" s="48" t="n">
        <x:f>DEGREES((2*PI()/Inputs!$C$13)*Inputs!$C$15*SIN(RADIANS(I99)))</x:f>
        <x:v>24.69892748864289</x:v>
      </x:c>
      <x:c r="K99" s="48" t="n">
        <x:f>(C99/D99)^4</x:f>
        <x:v>0.988221762147641</x:v>
      </x:c>
      <x:c r="L99" s="48" t="n">
        <x:f>10*LOG10(K99)</x:f>
        <x:v>-0.051455865156473594</x:v>
      </x:c>
      <x:c r="M99" s="48" t="n">
        <x:f>2*(Inputs!$C$9/(Inputs!$C$10^2))*A99</x:f>
        <x:v>-0.025555555555555557</x:v>
      </x:c>
      <x:c r="N99" s="48" t="n">
        <x:f>M99*Inputs!$C$11</x:f>
        <x:v>-0.10222222222222223</x:v>
      </x:c>
      <x:c r="O99" s="48" t="n">
        <x:f>1000*(D100-D98)/(A100-A98)*Inputs!$C$11</x:f>
        <x:v>-245.97657072126822</x:v>
      </x:c>
      <x:c r="P99" s="48" t="n">
        <x:f>-2*O99/Inputs!$C$13</x:f>
        <x:v>98.39062828850729</x:v>
      </x:c>
      <x:c r="Q99" s="48" t="n">
        <x:f>-2*O99/Inputs!$C$14</x:f>
        <x:v>14.77336761088698</x:v>
      </x:c>
      <x:c r="R99" s="48" t="n">
        <x:f>F99-Inputs!$C$16/2</x:f>
        <x:v>651.8581169032889</x:v>
      </x:c>
      <x:c r="S99" s="48" t="n">
        <x:f>F99+Inputs!$C$16/2</x:f>
        <x:v>681.8581169032889</x:v>
      </x:c>
      <x:c r="T99" s="48" t="n">
        <x:f>F99-Inputs!$C$17/2</x:f>
        <x:v>516.8581169032889</x:v>
      </x:c>
      <x:c r="U99" s="48" t="n">
        <x:f>F99+Inputs!$C$17/2</x:f>
        <x:v>816.8581169032889</x:v>
      </x:c>
      <x:c r="V99" s="48" t="n">
        <x:f>ABS(P99)</x:f>
        <x:v>98.39062828850729</x:v>
      </x:c>
      <x:c r="W99" s="48" t="n">
        <x:f>ABS(Q99)</x:f>
        <x:v>14.77336761088698</x:v>
      </x:c>
      <x:c r="X99" s="48" t="n">
        <x: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(0.45*SIN(2*PI()*(((A99)/Inputs!$C$49)+Inputs!$C$47*0.137))+0.35*COS(2*PI()*(((0)/Inputs!$C$50)+Inputs!$C$47*0.173))+0.20*SIN(2*PI()*(((A99)+(0))/(0.5*(Inputs!$C$49+Inputs!$C$50))+Inputs!$C$47*0.097)))+0.30*(2*((SIN(((A99)*12.9898+(0)*78.233+Inputs!$C$47*37.719))*43758.5453)-INT((SIN(((A99)*12.9898+(0)*78.233+Inputs!$C$47*37.719))*43758.5453)))-1)))</x:f>
        <x:v>-48.06780811544866</x:v>
      </x:c>
      <x:c r="Y99" s="48" t="n">
        <x: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(0.45*SIN(2*PI()*(((A99)/Inputs!$C$49)+Inputs!$C$47*0.137))+0.35*COS(2*PI()*(((Inputs!$C$6)/Inputs!$C$50)+Inputs!$C$47*0.173))+0.20*SIN(2*PI()*(((A99)+(Inputs!$C$6))/(0.5*(Inputs!$C$49+Inputs!$C$50))+Inputs!$C$47*0.097)))+0.30*(2*((SIN(((A99)*12.9898+(Inputs!$C$6)*78.233+Inputs!$C$47*37.719))*43758.5453)-INT((SIN(((A99)*12.9898+(Inputs!$C$6)*78.233+Inputs!$C$47*37.719))*43758.5453)))-1)))</x:f>
        <x:v>458.910891472728</x:v>
      </x:c>
      <x:c r="Z99" s="48" t="n">
        <x:f>B99-X99/1000</x:f>
        <x:v>400.1950122525599</x:v>
      </x:c>
      <x:c r="AA99" s="48" t="n">
        <x:f>SQRT((Inputs!$C$52+B99)^2+(Inputs!$C$52+Y99/1000)^2-2*(Inputs!$C$52+B99)*(Inputs!$C$52+Y99/1000)*COS(SQRT(A99^2+Inputs!$C$6^2)/Inputs!$C$52))</x:f>
        <x:v>400.87674874156215</x:v>
      </x:c>
      <x:c r="AB99" s="48" t="n">
        <x:f>(AA99-Z99)*1000</x:f>
        <x:v>681.7364890022759</x:v>
      </x:c>
      <x:c r="AC99" s="48" t="n">
        <x:f>AB99/Inputs!$C$12</x:f>
        <x:v>382.99802752936847</x:v>
      </x:c>
      <x:c r="AD99" s="48" t="n">
        <x:f>2*AB99/Inputs!$C$21*1000000</x:f>
        <x:v>4.548056302352181</x:v>
      </x:c>
      <x:c r="AE99" s="48" t="n">
        <x:f>DEGREES(ATAN(H99/(B99-Y99/1000)))</x:f>
        <x:v>3.938549591893754</x:v>
      </x:c>
      <x:c r="AF99" s="48" t="n">
        <x:f>DEGREES((2*PI()/Inputs!$C$13)*Inputs!$C$15*SIN(RADIANS(AE99)))</x:f>
        <x:v>24.72715240793741</x:v>
      </x:c>
      <x:c r="AG99" s="48" t="n">
        <x:f>(Z99/AA99)^4</x:f>
        <x:v>0.9932148780758644</x:v>
      </x:c>
      <x:c r="AH99" s="48" t="n">
        <x:f>10*LOG10(AG99)</x:f>
        <x:v>-0.0295678346115681</x:v>
      </x:c>
      <x:c r="AI99" s="48" t="n">
        <x:f>AC99-F99</x:f>
        <x:v>-283.8600893739204</x:v>
      </x:c>
      <x:c r="AJ99" s="48" t="n">
        <x:f>AD99-G99</x:f>
        <x:v>-3.3708050059456696</x:v>
      </x:c>
      <x:c r="AK99" s="48" t="n">
        <x:f>Y99-X99</x:f>
        <x:v>506.97869958817665</x:v>
      </x:c>
      <x:c r="AL99" s="48" t="n">
        <x:f>1000*(AA100-AA98)/(A100-A98)*Inputs!$C$11</x:f>
        <x:v>-344.0100667696697</x:v>
      </x:c>
      <x:c r="AM99" s="48" t="n">
        <x:f>-2*AL99/Inputs!$C$13</x:f>
        <x:v>137.6040267078679</x:v>
      </x:c>
      <x:c r="AN99" s="48" t="n">
        <x:f>-2*AL99/Inputs!$C$14</x:f>
        <x:v>20.661265271451636</x:v>
      </x:c>
      <x:c r="AO99" s="48" t="n">
        <x:f>ABS(AM99)</x:f>
        <x:v>137.6040267078679</x:v>
      </x:c>
      <x:c r="AP99" s="48" t="n">
        <x:f>ABS(AN99)</x:f>
        <x:v>20.661265271451636</x:v>
      </x:c>
      <x:c r="AQ99" s="48" t="n">
        <x:f>IF(OR(Inputs!$C$27=TRUE,Inputs!$C$27="TRUE",Inputs!$C$27=1),Inputs!$C$46/Inputs!$C$12,0)</x:f>
        <x:v>42.13483146067416</x:v>
      </x:c>
      <x:c r="AR99" s="48" t="n">
        <x:f>AC99-AQ99</x:f>
        <x:v>340.8631960686943</x:v>
      </x:c>
      <x:c r="AS99" s="48" t="n">
        <x:f>AC99+AQ99</x:f>
        <x:v>425.1328589900426</x:v>
      </x:c>
    </x:row>
    <x:row r="100">
      <x:c r="A100" s="48" t="n">
        <x:f>Inputs!$C$7+98*(Inputs!$C$8-Inputs!$C$7)/240</x:f>
        <x:v>-11</x:v>
      </x:c>
      <x:c r="B100" s="48" t="n">
        <x:f>Inputs!$C$5+Inputs!$C$9*(A100/Inputs!$C$10)^2</x:f>
        <x:v>400.13444444444445</x:v>
      </x:c>
      <x:c r="C100" s="48" t="n">
        <x:f>B100</x:f>
        <x:v>400.13444444444445</x:v>
      </x:c>
      <x:c r="D100" s="48" t="n">
        <x:f>SQRT((Inputs!$C$52+B100)^2+Inputs!$C$52^2-2*(Inputs!$C$52+B100)*Inputs!$C$52*COS(SQRT(A100^2+Inputs!$C$6^2)/Inputs!$C$52))</x:f>
        <x:v>401.3038723720123</x:v>
      </x:c>
      <x:c r="E100" s="48" t="n">
        <x:f>(D100-C100)*1000</x:f>
        <x:v>1169.427927567824</x:v>
      </x:c>
      <x:c r="F100" s="48" t="n">
        <x:f>E100/Inputs!$C$12</x:f>
        <x:v>656.9819817796764</x:v>
      </x:c>
      <x:c r="G100" s="48" t="n">
        <x:f>2*E100/Inputs!$C$21*1000000</x:f>
        <x:v>7.801583371172226</x:v>
      </x:c>
      <x:c r="H100" s="48" t="n">
        <x:f>SQRT(A100^2+Inputs!$C$6^2)</x:f>
        <x:v>27.313000567495326</x:v>
      </x:c>
      <x:c r="I100" s="48" t="n">
        <x:f>DEGREES(ATAN(H100/B100))</x:f>
        <x:v>3.904927307448456</x:v>
      </x:c>
      <x:c r="J100" s="48" t="n">
        <x:f>DEGREES((2*PI()/Inputs!$C$13)*Inputs!$C$15*SIN(RADIANS(I100)))</x:f>
        <x:v>24.516392041831022</x:v>
      </x:c>
      <x:c r="K100" s="48" t="n">
        <x:f>(C100/D100)^4</x:f>
        <x:v>0.9883945684330527</x:v>
      </x:c>
      <x:c r="L100" s="48" t="n">
        <x:f>10*LOG10(K100)</x:f>
        <x:v>-0.050696498604425905</x:v>
      </x:c>
      <x:c r="M100" s="48" t="n">
        <x:f>2*(Inputs!$C$9/(Inputs!$C$10^2))*A100</x:f>
        <x:v>-0.024444444444444446</x:v>
      </x:c>
      <x:c r="N100" s="48" t="n">
        <x:f>M100*Inputs!$C$11</x:f>
        <x:v>-0.09777777777777778</x:v>
      </x:c>
      <x:c r="O100" s="48" t="n">
        <x:f>1000*(D101-D99)/(A101-A99)*Inputs!$C$11</x:f>
        <x:v>-235.2948768477745</x:v>
      </x:c>
      <x:c r="P100" s="48" t="n">
        <x:f>-2*O100/Inputs!$C$13</x:f>
        <x:v>94.1179507391098</x:v>
      </x:c>
      <x:c r="Q100" s="48" t="n">
        <x:f>-2*O100/Inputs!$C$14</x:f>
        <x:v>14.131824435301773</x:v>
      </x:c>
      <x:c r="R100" s="48" t="n">
        <x:f>F100-Inputs!$C$16/2</x:f>
        <x:v>641.9819817796764</x:v>
      </x:c>
      <x:c r="S100" s="48" t="n">
        <x:f>F100+Inputs!$C$16/2</x:f>
        <x:v>671.9819817796764</x:v>
      </x:c>
      <x:c r="T100" s="48" t="n">
        <x:f>F100-Inputs!$C$17/2</x:f>
        <x:v>506.9819817796764</x:v>
      </x:c>
      <x:c r="U100" s="48" t="n">
        <x:f>F100+Inputs!$C$17/2</x:f>
        <x:v>806.9819817796764</x:v>
      </x:c>
      <x:c r="V100" s="48" t="n">
        <x:f>ABS(P100)</x:f>
        <x:v>94.1179507391098</x:v>
      </x:c>
      <x:c r="W100" s="48" t="n">
        <x:f>ABS(Q100)</x:f>
        <x:v>14.131824435301773</x:v>
      </x:c>
      <x:c r="X100" s="48" t="n">
        <x: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(0.45*SIN(2*PI()*(((A100)/Inputs!$C$49)+Inputs!$C$47*0.137))+0.35*COS(2*PI()*(((0)/Inputs!$C$50)+Inputs!$C$47*0.173))+0.20*SIN(2*PI()*(((A100)+(0))/(0.5*(Inputs!$C$49+Inputs!$C$50))+Inputs!$C$47*0.097)))+0.30*(2*((SIN(((A100)*12.9898+(0)*78.233+Inputs!$C$47*37.719))*43758.5453)-INT((SIN(((A100)*12.9898+(0)*78.233+Inputs!$C$47*37.719))*43758.5453)))-1)))</x:f>
        <x:v>-43.28983557333215</x:v>
      </x:c>
      <x:c r="Y100" s="48" t="n">
        <x: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(0.45*SIN(2*PI()*(((A100)/Inputs!$C$49)+Inputs!$C$47*0.137))+0.35*COS(2*PI()*(((Inputs!$C$6)/Inputs!$C$50)+Inputs!$C$47*0.173))+0.20*SIN(2*PI()*(((A100)+(Inputs!$C$6))/(0.5*(Inputs!$C$49+Inputs!$C$50))+Inputs!$C$47*0.097)))+0.30*(2*((SIN(((A100)*12.9898+(Inputs!$C$6)*78.233+Inputs!$C$47*37.719))*43758.5453)-INT((SIN(((A100)*12.9898+(Inputs!$C$6)*78.233+Inputs!$C$47*37.719))*43758.5453)))-1)))</x:f>
        <x:v>462.5412492822977</x:v>
      </x:c>
      <x:c r="Z100" s="48" t="n">
        <x:f>B100-X100/1000</x:f>
        <x:v>400.1777342800178</x:v>
      </x:c>
      <x:c r="AA100" s="48" t="n">
        <x:f>SQRT((Inputs!$C$52+B100)^2+(Inputs!$C$52+Y100/1000)^2-2*(Inputs!$C$52+B100)*(Inputs!$C$52+Y100/1000)*COS(SQRT(A100^2+Inputs!$C$6^2)/Inputs!$C$52))</x:f>
        <x:v>400.8430270054459</x:v>
      </x:c>
      <x:c r="AB100" s="48" t="n">
        <x:f>(AA100-Z100)*1000</x:f>
        <x:v>665.2927254281167</x:v>
      </x:c>
      <x:c r="AC100" s="48" t="n">
        <x:f>AB100/Inputs!$C$12</x:f>
        <x:v>373.75995810568355</x:v>
      </x:c>
      <x:c r="AD100" s="48" t="n">
        <x:f>2*AB100/Inputs!$C$21*1000000</x:f>
        <x:v>4.438355319986846</x:v>
      </x:c>
      <x:c r="AE100" s="48" t="n">
        <x:f>DEGREES(ATAN(H100/(B100-Y100/1000)))</x:f>
        <x:v>3.9094324837280876</x:v>
      </x:c>
      <x:c r="AF100" s="48" t="n">
        <x:f>DEGREES((2*PI()/Inputs!$C$13)*Inputs!$C$15*SIN(RADIANS(AE100)))</x:f>
        <x:v>24.54463310695499</x:v>
      </x:c>
      <x:c r="AG100" s="48" t="n">
        <x:f>(Z100/AA100)^4</x:f>
        <x:v>0.993377574767152</x:v>
      </x:c>
      <x:c r="AH100" s="48" t="n">
        <x:f>10*LOG10(AG100)</x:f>
        <x:v>-0.0288564831181402</x:v>
      </x:c>
      <x:c r="AI100" s="48" t="n">
        <x:f>AC100-F100</x:f>
        <x:v>-283.22202367399285</x:v>
      </x:c>
      <x:c r="AJ100" s="48" t="n">
        <x:f>AD100-G100</x:f>
        <x:v>-3.36322805118538</x:v>
      </x:c>
      <x:c r="AK100" s="48" t="n">
        <x:f>Y100-X100</x:f>
        <x:v>505.83108485562985</x:v>
      </x:c>
      <x:c r="AL100" s="48" t="n">
        <x:f>1000*(AA101-AA99)/(A101-A99)*Inputs!$C$11</x:f>
        <x:v>-280.0928895742345</x:v>
      </x:c>
      <x:c r="AM100" s="48" t="n">
        <x:f>-2*AL100/Inputs!$C$13</x:f>
        <x:v>112.0371558296938</x:v>
      </x:c>
      <x:c r="AN100" s="48" t="n">
        <x:f>-2*AL100/Inputs!$C$14</x:f>
        <x:v>16.822395770224297</x:v>
      </x:c>
      <x:c r="AO100" s="48" t="n">
        <x:f>ABS(AM100)</x:f>
        <x:v>112.0371558296938</x:v>
      </x:c>
      <x:c r="AP100" s="48" t="n">
        <x:f>ABS(AN100)</x:f>
        <x:v>16.822395770224297</x:v>
      </x:c>
      <x:c r="AQ100" s="48" t="n">
        <x:f>IF(OR(Inputs!$C$27=TRUE,Inputs!$C$27="TRUE",Inputs!$C$27=1),Inputs!$C$46/Inputs!$C$12,0)</x:f>
        <x:v>42.13483146067416</x:v>
      </x:c>
      <x:c r="AR100" s="48" t="n">
        <x:f>AC100-AQ100</x:f>
        <x:v>331.6251266450094</x:v>
      </x:c>
      <x:c r="AS100" s="48" t="n">
        <x:f>AC100+AQ100</x:f>
        <x:v>415.8947895663577</x:v>
      </x:c>
    </x:row>
    <x:row r="101">
      <x:c r="A101" s="48" t="n">
        <x:f>Inputs!$C$7+99*(Inputs!$C$8-Inputs!$C$7)/240</x:f>
        <x:v>-10.5</x:v>
      </x:c>
      <x:c r="B101" s="48" t="n">
        <x:f>Inputs!$C$5+Inputs!$C$9*(A101/Inputs!$C$10)^2</x:f>
        <x:v>400.1225</x:v>
      </x:c>
      <x:c r="C101" s="48" t="n">
        <x:f>B101</x:f>
        <x:v>400.1225</x:v>
      </x:c>
      <x:c r="D101" s="48" t="n">
        <x:f>SQRT((Inputs!$C$52+B101)^2+Inputs!$C$52^2-2*(Inputs!$C$52+B101)*Inputs!$C$52*COS(SQRT(A101^2+Inputs!$C$6^2)/Inputs!$C$52))</x:f>
        <x:v>401.27512817332035</x:v>
      </x:c>
      <x:c r="E101" s="48" t="n">
        <x:f>(D101-C101)*1000</x:f>
        <x:v>1152.6281733203518</x:v>
      </x:c>
      <x:c r="F101" s="48" t="n">
        <x:f>E101/Inputs!$C$12</x:f>
        <x:v>647.5439175957033</x:v>
      </x:c>
      <x:c r="G101" s="48" t="n">
        <x:f>2*E101/Inputs!$C$21*1000000</x:f>
        <x:v>7.689507474670039</x:v>
      </x:c>
      <x:c r="H101" s="48" t="n">
        <x:f>SQRT(A101^2+Inputs!$C$6^2)</x:f>
        <x:v>27.115493725912497</x:v>
      </x:c>
      <x:c r="I101" s="48" t="n">
        <x:f>DEGREES(ATAN(H101/B101))</x:f>
        <x:v>3.8768916383114713</x:v>
      </x:c>
      <x:c r="J101" s="48" t="n">
        <x:f>DEGREES((2*PI()/Inputs!$C$13)*Inputs!$C$15*SIN(RADIANS(I101)))</x:f>
        <x:v>24.340644762413287</x:v>
      </x:c>
      <x:c r="K101" s="48" t="n">
        <x:f>(C101/D101)^4</x:f>
        <x:v>0.9885597550553369</x:v>
      </x:c>
      <x:c r="L101" s="48" t="n">
        <x:f>10*LOG10(K101)</x:f>
        <x:v>-0.0499707394115416</x:v>
      </x:c>
      <x:c r="M101" s="48" t="n">
        <x:f>2*(Inputs!$C$9/(Inputs!$C$10^2))*A101</x:f>
        <x:v>-0.023333333333333334</x:v>
      </x:c>
      <x:c r="N101" s="48" t="n">
        <x:f>M101*Inputs!$C$11</x:f>
        <x:v>-0.09333333333333334</x:v>
      </x:c>
      <x:c r="O101" s="48" t="n">
        <x:f>1000*(D102-D100)/(A102-A100)*Inputs!$C$11</x:f>
        <x:v>-224.61146028399526</x:v>
      </x:c>
      <x:c r="P101" s="48" t="n">
        <x:f>-2*O101/Inputs!$C$13</x:f>
        <x:v>89.8445841135981</x:v>
      </x:c>
      <x:c r="Q101" s="48" t="n">
        <x:f>-2*O101/Inputs!$C$14</x:f>
        <x:v>13.490177794834551</x:v>
      </x:c>
      <x:c r="R101" s="48" t="n">
        <x:f>F101-Inputs!$C$16/2</x:f>
        <x:v>632.5439175957033</x:v>
      </x:c>
      <x:c r="S101" s="48" t="n">
        <x:f>F101+Inputs!$C$16/2</x:f>
        <x:v>662.5439175957033</x:v>
      </x:c>
      <x:c r="T101" s="48" t="n">
        <x:f>F101-Inputs!$C$17/2</x:f>
        <x:v>497.5439175957033</x:v>
      </x:c>
      <x:c r="U101" s="48" t="n">
        <x:f>F101+Inputs!$C$17/2</x:f>
        <x:v>797.5439175957033</x:v>
      </x:c>
      <x:c r="V101" s="48" t="n">
        <x:f>ABS(P101)</x:f>
        <x:v>89.8445841135981</x:v>
      </x:c>
      <x:c r="W101" s="48" t="n">
        <x:f>ABS(Q101)</x:f>
        <x:v>13.490177794834551</x:v>
      </x:c>
      <x:c r="X101" s="48" t="n">
        <x: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(0.45*SIN(2*PI()*(((A101)/Inputs!$C$49)+Inputs!$C$47*0.137))+0.35*COS(2*PI()*(((0)/Inputs!$C$50)+Inputs!$C$47*0.173))+0.20*SIN(2*PI()*(((A101)+(0))/(0.5*(Inputs!$C$49+Inputs!$C$50))+Inputs!$C$47*0.097)))+0.30*(2*((SIN(((A101)*12.9898+(0)*78.233+Inputs!$C$47*37.719))*43758.5453)-INT((SIN(((A101)*12.9898+(0)*78.233+Inputs!$C$47*37.719))*43758.5453)))-1)))</x:f>
        <x:v>-52.09631463655199</x:v>
      </x:c>
      <x:c r="Y101" s="48" t="n">
        <x: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(0.45*SIN(2*PI()*(((A101)/Inputs!$C$49)+Inputs!$C$47*0.137))+0.35*COS(2*PI()*(((Inputs!$C$6)/Inputs!$C$50)+Inputs!$C$47*0.173))+0.20*SIN(2*PI()*(((A101)+(Inputs!$C$6))/(0.5*(Inputs!$C$49+Inputs!$C$50))+Inputs!$C$47*0.097)))+0.30*(2*((SIN(((A101)*12.9898+(Inputs!$C$6)*78.233+Inputs!$C$47*37.719))*43758.5453)-INT((SIN(((A101)*12.9898+(Inputs!$C$6)*78.233+Inputs!$C$47*37.719))*43758.5453)))-1)))</x:f>
        <x:v>470.10163194835394</x:v>
      </x:c>
      <x:c r="Z101" s="48" t="n">
        <x:f>B101-X101/1000</x:f>
        <x:v>400.1745963146366</x:v>
      </x:c>
      <x:c r="AA101" s="48" t="n">
        <x:f>SQRT((Inputs!$C$52+B101)^2+(Inputs!$C$52+Y101/1000)^2-2*(Inputs!$C$52+B101)*(Inputs!$C$52+Y101/1000)*COS(SQRT(A101^2+Inputs!$C$6^2)/Inputs!$C$52))</x:f>
        <x:v>400.8067255191686</x:v>
      </x:c>
      <x:c r="AB101" s="48" t="n">
        <x:f>(AA101-Z101)*1000</x:f>
        <x:v>632.1292045320206</x:v>
      </x:c>
      <x:c r="AC101" s="48" t="n">
        <x:f>AB101/Inputs!$C$12</x:f>
        <x:v>355.1287665910228</x:v>
      </x:c>
      <x:c r="AD101" s="48" t="n">
        <x:f>2*AB101/Inputs!$C$21*1000000</x:f>
        <x:v>4.217112123161021</x:v>
      </x:c>
      <x:c r="AE101" s="48" t="n">
        <x:f>DEGREES(ATAN(H101/(B101-Y101/1000)))</x:f>
        <x:v>3.88143800272045</x:v>
      </x:c>
      <x:c r="AF101" s="48" t="n">
        <x:f>DEGREES((2*PI()/Inputs!$C$13)*Inputs!$C$15*SIN(RADIANS(AE101)))</x:f>
        <x:v>24.369144967017967</x:v>
      </x:c>
      <x:c r="AG101" s="48" t="n">
        <x:f>(Z101/AA101)^4</x:f>
        <x:v>0.993706339743037</x:v>
      </x:c>
      <x:c r="AH101" s="48" t="n">
        <x:f>10*LOG10(AG101)</x:f>
        <x:v>-0.0274193941745873</x:v>
      </x:c>
      <x:c r="AI101" s="48" t="n">
        <x:f>AC101-F101</x:f>
        <x:v>-292.4151510046805</x:v>
      </x:c>
      <x:c r="AJ101" s="48" t="n">
        <x:f>AD101-G101</x:f>
        <x:v>-3.472395351509018</x:v>
      </x:c>
      <x:c r="AK101" s="48" t="n">
        <x:f>Y101-X101</x:f>
        <x:v>522.1979465849059</x:v>
      </x:c>
      <x:c r="AL101" s="48" t="n">
        <x:f>1000*(AA102-AA100)/(A102-A100)*Inputs!$C$11</x:f>
        <x:v>-260.5659174446373</x:v>
      </x:c>
      <x:c r="AM101" s="48" t="n">
        <x:f>-2*AL101/Inputs!$C$13</x:f>
        <x:v>104.22636697785492</x:v>
      </x:c>
      <x:c r="AN101" s="48" t="n">
        <x:f>-2*AL101/Inputs!$C$14</x:f>
        <x:v>15.64960465132957</x:v>
      </x:c>
      <x:c r="AO101" s="48" t="n">
        <x:f>ABS(AM101)</x:f>
        <x:v>104.22636697785492</x:v>
      </x:c>
      <x:c r="AP101" s="48" t="n">
        <x:f>ABS(AN101)</x:f>
        <x:v>15.64960465132957</x:v>
      </x:c>
      <x:c r="AQ101" s="48" t="n">
        <x:f>IF(OR(Inputs!$C$27=TRUE,Inputs!$C$27="TRUE",Inputs!$C$27=1),Inputs!$C$46/Inputs!$C$12,0)</x:f>
        <x:v>42.13483146067416</x:v>
      </x:c>
      <x:c r="AR101" s="48" t="n">
        <x:f>AC101-AQ101</x:f>
        <x:v>312.99393513034863</x:v>
      </x:c>
      <x:c r="AS101" s="48" t="n">
        <x:f>AC101+AQ101</x:f>
        <x:v>397.26359805169693</x:v>
      </x:c>
    </x:row>
    <x:row r="102">
      <x:c r="A102" s="48" t="n">
        <x:f>Inputs!$C$7+100*(Inputs!$C$8-Inputs!$C$7)/240</x:f>
        <x:v>-10</x:v>
      </x:c>
      <x:c r="B102" s="48" t="n">
        <x:f>Inputs!$C$5+Inputs!$C$9*(A102/Inputs!$C$10)^2</x:f>
        <x:v>400.1111111111111</x:v>
      </x:c>
      <x:c r="C102" s="48" t="n">
        <x:f>B102</x:f>
        <x:v>400.1111111111111</x:v>
      </x:c>
      <x:c r="D102" s="48" t="n">
        <x:f>SQRT((Inputs!$C$52+B102)^2+Inputs!$C$52^2-2*(Inputs!$C$52+B102)*Inputs!$C$52*COS(SQRT(A102^2+Inputs!$C$6^2)/Inputs!$C$52))</x:f>
        <x:v>401.2477195069413</x:v>
      </x:c>
      <x:c r="E102" s="48" t="n">
        <x:f>(D102-C102)*1000</x:f>
        <x:v>1136.6083958301942</x:v>
      </x:c>
      <x:c r="F102" s="48" t="n">
        <x:f>E102/Inputs!$C$12</x:f>
        <x:v>638.5440426012327</x:v>
      </x:c>
      <x:c r="G102" s="48" t="n">
        <x:f>2*E102/Inputs!$C$21*1000000</x:f>
        <x:v>7.5826350229944355</x:v>
      </x:c>
      <x:c r="H102" s="48" t="n">
        <x:f>SQRT(A102^2+Inputs!$C$6^2)</x:f>
        <x:v>26.92582403567252</x:v>
      </x:c>
      <x:c r="I102" s="48" t="n">
        <x:f>DEGREES(ATAN(H102/B102))</x:f>
        <x:v>3.8499643269735215</x:v>
      </x:c>
      <x:c r="J102" s="48" t="n">
        <x:f>DEGREES((2*PI()/Inputs!$C$13)*Inputs!$C$15*SIN(RADIANS(I102)))</x:f>
        <x:v>24.171839961370843</x:v>
      </x:c>
      <x:c r="K102" s="48" t="n">
        <x:f>(C102/D102)^4</x:f>
        <x:v>0.9887173137761573</x:v>
      </x:c>
      <x:c r="L102" s="48" t="n">
        <x:f>10*LOG10(K102)</x:f>
        <x:v>-0.049278606940564004</x:v>
      </x:c>
      <x:c r="M102" s="48" t="n">
        <x:f>2*(Inputs!$C$9/(Inputs!$C$10^2))*A102</x:f>
        <x:v>-0.022222222222222223</x:v>
      </x:c>
      <x:c r="N102" s="48" t="n">
        <x:f>M102*Inputs!$C$11</x:f>
        <x:v>-0.08888888888888889</x:v>
      </x:c>
      <x:c r="O102" s="48" t="n">
        <x:f>1000*(D103-D101)/(A103-A101)*Inputs!$C$11</x:f>
        <x:v>-213.92639874261477</x:v>
      </x:c>
      <x:c r="P102" s="48" t="n">
        <x:f>-2*O102/Inputs!$C$13</x:f>
        <x:v>85.5705594970459</x:v>
      </x:c>
      <x:c r="Q102" s="48" t="n">
        <x:f>-2*O102/Inputs!$C$14</x:f>
        <x:v>12.8484323569138</x:v>
      </x:c>
      <x:c r="R102" s="48" t="n">
        <x:f>F102-Inputs!$C$16/2</x:f>
        <x:v>623.5440426012327</x:v>
      </x:c>
      <x:c r="S102" s="48" t="n">
        <x:f>F102+Inputs!$C$16/2</x:f>
        <x:v>653.5440426012327</x:v>
      </x:c>
      <x:c r="T102" s="48" t="n">
        <x:f>F102-Inputs!$C$17/2</x:f>
        <x:v>488.5440426012327</x:v>
      </x:c>
      <x:c r="U102" s="48" t="n">
        <x:f>F102+Inputs!$C$17/2</x:f>
        <x:v>788.5440426012327</x:v>
      </x:c>
      <x:c r="V102" s="48" t="n">
        <x:f>ABS(P102)</x:f>
        <x:v>85.5705594970459</x:v>
      </x:c>
      <x:c r="W102" s="48" t="n">
        <x:f>ABS(Q102)</x:f>
        <x:v>12.8484323569138</x:v>
      </x:c>
      <x:c r="X102" s="48" t="n">
        <x: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(0.45*SIN(2*PI()*(((A102)/Inputs!$C$49)+Inputs!$C$47*0.137))+0.35*COS(2*PI()*(((0)/Inputs!$C$50)+Inputs!$C$47*0.173))+0.20*SIN(2*PI()*(((A102)+(0))/(0.5*(Inputs!$C$49+Inputs!$C$50))+Inputs!$C$47*0.097)))+0.30*(2*((SIN(((A102)*12.9898+(0)*78.233+Inputs!$C$47*37.719))*43758.5453)-INT((SIN(((A102)*12.9898+(0)*78.233+Inputs!$C$47*37.719))*43758.5453)))-1)))</x:f>
        <x:v>-49.423131521111884</x:v>
      </x:c>
      <x:c r="Y102" s="48" t="n">
        <x: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(0.45*SIN(2*PI()*(((A102)/Inputs!$C$49)+Inputs!$C$47*0.137))+0.35*COS(2*PI()*(((Inputs!$C$6)/Inputs!$C$50)+Inputs!$C$47*0.173))+0.20*SIN(2*PI()*(((A102)+(Inputs!$C$6))/(0.5*(Inputs!$C$49+Inputs!$C$50))+Inputs!$C$47*0.097)))+0.30*(2*((SIN(((A102)*12.9898+(Inputs!$C$6)*78.233+Inputs!$C$47*37.719))*43758.5453)-INT((SIN(((A102)*12.9898+(Inputs!$C$6)*78.233+Inputs!$C$47*37.719))*43758.5453)))-1)))</x:f>
        <x:v>471.5144848829251</x:v>
      </x:c>
      <x:c r="Z102" s="48" t="n">
        <x:f>B102-X102/1000</x:f>
        <x:v>400.1605342426322</x:v>
      </x:c>
      <x:c r="AA102" s="48" t="n">
        <x:f>SQRT((Inputs!$C$52+B102)^2+(Inputs!$C$52+Y102/1000)^2-2*(Inputs!$C$52+B102)*(Inputs!$C$52+Y102/1000)*COS(SQRT(A102^2+Inputs!$C$6^2)/Inputs!$C$52))</x:f>
        <x:v>400.77788552608473</x:v>
      </x:c>
      <x:c r="AB102" s="48" t="n">
        <x:f>(AA102-Z102)*1000</x:f>
        <x:v>617.3512834525354</x:v>
      </x:c>
      <x:c r="AC102" s="48" t="n">
        <x:f>AB102/Inputs!$C$12</x:f>
        <x:v>346.82656373737944</x:v>
      </x:c>
      <x:c r="AD102" s="48" t="n">
        <x:f>2*AB102/Inputs!$C$21*1000000</x:f>
        <x:v>4.118524445685257</x:v>
      </x:c>
      <x:c r="AE102" s="48" t="n">
        <x:f>DEGREES(ATAN(H102/(B102-Y102/1000)))</x:f>
        <x:v>3.8544930199199263</x:v>
      </x:c>
      <x:c r="AF102" s="48" t="n">
        <x:f>DEGREES((2*PI()/Inputs!$C$13)*Inputs!$C$15*SIN(RADIANS(AE102)))</x:f>
        <x:v>24.200230289148667</x:v>
      </x:c>
      <x:c r="AG102" s="48" t="n">
        <x:f>(Z102/AA102)^4</x:f>
        <x:v>0.9938526916359146</x:v>
      </x:c>
      <x:c r="AH102" s="48" t="n">
        <x:f>10*LOG10(AG102)</x:f>
        <x:v>-0.0267798175018521</x:v>
      </x:c>
      <x:c r="AI102" s="48" t="n">
        <x:f>AC102-F102</x:f>
        <x:v>-291.7174788638533</x:v>
      </x:c>
      <x:c r="AJ102" s="48" t="n">
        <x:f>AD102-G102</x:f>
        <x:v>-3.464110577309178</x:v>
      </x:c>
      <x:c r="AK102" s="48" t="n">
        <x:f>Y102-X102</x:f>
        <x:v>520.937616404037</x:v>
      </x:c>
      <x:c r="AL102" s="48" t="n">
        <x:f>1000*(AA103-AA101)/(A103-A101)*Inputs!$C$11</x:f>
        <x:v>-216.02295813136152</x:v>
      </x:c>
      <x:c r="AM102" s="48" t="n">
        <x:f>-2*AL102/Inputs!$C$13</x:f>
        <x:v>86.40918325254461</x:v>
      </x:c>
      <x:c r="AN102" s="48" t="n">
        <x:f>-2*AL102/Inputs!$C$14</x:f>
        <x:v>12.974351839721415</x:v>
      </x:c>
      <x:c r="AO102" s="48" t="n">
        <x:f>ABS(AM102)</x:f>
        <x:v>86.40918325254461</x:v>
      </x:c>
      <x:c r="AP102" s="48" t="n">
        <x:f>ABS(AN102)</x:f>
        <x:v>12.974351839721415</x:v>
      </x:c>
      <x:c r="AQ102" s="48" t="n">
        <x:f>IF(OR(Inputs!$C$27=TRUE,Inputs!$C$27="TRUE",Inputs!$C$27=1),Inputs!$C$46/Inputs!$C$12,0)</x:f>
        <x:v>42.13483146067416</x:v>
      </x:c>
      <x:c r="AR102" s="48" t="n">
        <x:f>AC102-AQ102</x:f>
        <x:v>304.6917322767053</x:v>
      </x:c>
      <x:c r="AS102" s="48" t="n">
        <x:f>AC102+AQ102</x:f>
        <x:v>388.9613951980536</x:v>
      </x:c>
    </x:row>
    <x:row r="103">
      <x:c r="A103" s="48" t="n">
        <x:f>Inputs!$C$7+101*(Inputs!$C$8-Inputs!$C$7)/240</x:f>
        <x:v>-9.5</x:v>
      </x:c>
      <x:c r="B103" s="48" t="n">
        <x:f>Inputs!$C$5+Inputs!$C$9*(A103/Inputs!$C$10)^2</x:f>
        <x:v>400.10027777777776</x:v>
      </x:c>
      <x:c r="C103" s="48" t="n">
        <x:f>B103</x:f>
        <x:v>400.10027777777776</x:v>
      </x:c>
      <x:c r="D103" s="48" t="n">
        <x:f>SQRT((Inputs!$C$52+B103)^2+Inputs!$C$52^2-2*(Inputs!$C$52+B103)*Inputs!$C$52*COS(SQRT(A103^2+Inputs!$C$6^2)/Inputs!$C$52))</x:f>
        <x:v>401.2216465736347</x:v>
      </x:c>
      <x:c r="E103" s="48" t="n">
        <x:f>(D103-C103)*1000</x:f>
        <x:v>1121.368795856938</x:v>
      </x:c>
      <x:c r="F103" s="48" t="n">
        <x:f>E103/Inputs!$C$12</x:f>
        <x:v>629.9824695825495</x:v>
      </x:c>
      <x:c r="G103" s="48" t="n">
        <x:f>2*E103/Inputs!$C$21*1000000</x:f>
        <x:v>7.4809673554692155</x:v>
      </x:c>
      <x:c r="H103" s="48" t="n">
        <x:f>SQRT(A103^2+Inputs!$C$6^2)</x:f>
        <x:v>26.744158240632665</x:v>
      </x:c>
      <x:c r="I103" s="48" t="n">
        <x:f>DEGREES(ATAN(H103/B103))</x:f>
        <x:v>3.8241695756954894</x:v>
      </x:c>
      <x:c r="J103" s="48" t="n">
        <x:f>DEGREES((2*PI()/Inputs!$C$13)*Inputs!$C$15*SIN(RADIANS(I103)))</x:f>
        <x:v>24.010130066350158</x:v>
      </x:c>
      <x:c r="K103" s="48" t="n">
        <x:f>(C103/D103)^4</x:f>
        <x:v>0.9888672367340193</x:v>
      </x:c>
      <x:c r="L103" s="48" t="n">
        <x:f>10*LOG10(K103)</x:f>
        <x:v>-0.04862011966205031</x:v>
      </x:c>
      <x:c r="M103" s="48" t="n">
        <x:f>2*(Inputs!$C$9/(Inputs!$C$10^2))*A103</x:f>
        <x:v>-0.021111111111111112</x:v>
      </x:c>
      <x:c r="N103" s="48" t="n">
        <x:f>M103*Inputs!$C$11</x:f>
        <x:v>-0.08444444444444445</x:v>
      </x:c>
      <x:c r="O103" s="48" t="n">
        <x:f>1000*(D104-D102)/(A104-A102)*Inputs!$C$11</x:f>
        <x:v>-203.23977003636173</x:v>
      </x:c>
      <x:c r="P103" s="48" t="n">
        <x:f>-2*O103/Inputs!$C$13</x:f>
        <x:v>81.2959080145447</x:v>
      </x:c>
      <x:c r="Q103" s="48" t="n">
        <x:f>-2*O103/Inputs!$C$14</x:f>
        <x:v>12.206592794976682</x:v>
      </x:c>
      <x:c r="R103" s="48" t="n">
        <x:f>F103-Inputs!$C$16/2</x:f>
        <x:v>614.9824695825495</x:v>
      </x:c>
      <x:c r="S103" s="48" t="n">
        <x:f>F103+Inputs!$C$16/2</x:f>
        <x:v>644.9824695825495</x:v>
      </x:c>
      <x:c r="T103" s="48" t="n">
        <x:f>F103-Inputs!$C$17/2</x:f>
        <x:v>479.98246958254947</x:v>
      </x:c>
      <x:c r="U103" s="48" t="n">
        <x:f>F103+Inputs!$C$17/2</x:f>
        <x:v>779.9824695825495</x:v>
      </x:c>
      <x:c r="V103" s="48" t="n">
        <x:f>ABS(P103)</x:f>
        <x:v>81.2959080145447</x:v>
      </x:c>
      <x:c r="W103" s="48" t="n">
        <x:f>ABS(Q103)</x:f>
        <x:v>12.206592794976682</x:v>
      </x:c>
      <x:c r="X103" s="48" t="n">
        <x: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(0.45*SIN(2*PI()*(((A103)/Inputs!$C$49)+Inputs!$C$47*0.137))+0.35*COS(2*PI()*(((0)/Inputs!$C$50)+Inputs!$C$47*0.173))+0.20*SIN(2*PI()*(((A103)+(0))/(0.5*(Inputs!$C$49+Inputs!$C$50))+Inputs!$C$47*0.097)))+0.30*(2*((SIN(((A103)*12.9898+(0)*78.233+Inputs!$C$47*37.719))*43758.5453)-INT((SIN(((A103)*12.9898+(0)*78.233+Inputs!$C$47*37.719))*43758.5453)))-1)))</x:f>
        <x:v>-32.277557975083496</x:v>
      </x:c>
      <x:c r="Y103" s="48" t="n">
        <x: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(0.45*SIN(2*PI()*(((A103)/Inputs!$C$49)+Inputs!$C$47*0.137))+0.35*COS(2*PI()*(((Inputs!$C$6)/Inputs!$C$50)+Inputs!$C$47*0.173))+0.20*SIN(2*PI()*(((A103)+(Inputs!$C$6))/(0.5*(Inputs!$C$49+Inputs!$C$50))+Inputs!$C$47*0.097)))+0.30*(2*((SIN(((A103)*12.9898+(Inputs!$C$6)*78.233+Inputs!$C$47*37.719))*43758.5453)-INT((SIN(((A103)*12.9898+(Inputs!$C$6)*78.233+Inputs!$C$47*37.719))*43758.5453)))-1)))</x:f>
        <x:v>470.5815738170562</x:v>
      </x:c>
      <x:c r="Z103" s="48" t="n">
        <x:f>B103-X103/1000</x:f>
        <x:v>400.13255533575284</x:v>
      </x:c>
      <x:c r="AA103" s="48" t="n">
        <x:f>SQRT((Inputs!$C$52+B103)^2+(Inputs!$C$52+Y103/1000)^2-2*(Inputs!$C$52+B103)*(Inputs!$C$52+Y103/1000)*COS(SQRT(A103^2+Inputs!$C$6^2)/Inputs!$C$52))</x:f>
        <x:v>400.75271977963575</x:v>
      </x:c>
      <x:c r="AB103" s="48" t="n">
        <x:f>(AA103-Z103)*1000</x:f>
        <x:v>620.1644438829135</x:v>
      </x:c>
      <x:c r="AC103" s="48" t="n">
        <x:f>AB103/Inputs!$C$12</x:f>
        <x:v>348.406990945457</x:v>
      </x:c>
      <x:c r="AD103" s="48" t="n">
        <x:f>2*AB103/Inputs!$C$21*1000000</x:f>
        <x:v>4.137291831957383</x:v>
      </x:c>
      <x:c r="AE103" s="48" t="n">
        <x:f>DEGREES(ATAN(H103/(B103-Y103/1000)))</x:f>
        <x:v>3.8286593185218867</x:v>
      </x:c>
      <x:c r="AF103" s="48" t="n">
        <x:f>DEGREES((2*PI()/Inputs!$C$13)*Inputs!$C$15*SIN(RADIANS(AE103)))</x:f>
        <x:v>24.03827706727071</x:v>
      </x:c>
      <x:c r="AG103" s="48" t="n">
        <x:f>(Z103/AA103)^4</x:f>
        <x:v>0.993824357594087</x:v>
      </x:c>
      <x:c r="AH103" s="48" t="n">
        <x:f>10*LOG10(AG103)</x:f>
        <x:v>-0.026903633571684203</x:v>
      </x:c>
      <x:c r="AI103" s="48" t="n">
        <x:f>AC103-F103</x:f>
        <x:v>-281.5754786370925</x:v>
      </x:c>
      <x:c r="AJ103" s="48" t="n">
        <x:f>AD103-G103</x:f>
        <x:v>-3.3436755235118323</x:v>
      </x:c>
      <x:c r="AK103" s="48" t="n">
        <x:f>Y103-X103</x:f>
        <x:v>502.8591317921397</x:v>
      </x:c>
      <x:c r="AL103" s="48" t="n">
        <x:f>1000*(AA104-AA102)/(A104-A102)*Inputs!$C$11</x:f>
        <x:v>-239.7033450286017</x:v>
      </x:c>
      <x:c r="AM103" s="48" t="n">
        <x:f>-2*AL103/Inputs!$C$13</x:f>
        <x:v>95.88133801144068</x:v>
      </x:c>
      <x:c r="AN103" s="48" t="n">
        <x:f>-2*AL103/Inputs!$C$14</x:f>
        <x:v>14.396597299015118</x:v>
      </x:c>
      <x:c r="AO103" s="48" t="n">
        <x:f>ABS(AM103)</x:f>
        <x:v>95.88133801144068</x:v>
      </x:c>
      <x:c r="AP103" s="48" t="n">
        <x:f>ABS(AN103)</x:f>
        <x:v>14.396597299015118</x:v>
      </x:c>
      <x:c r="AQ103" s="48" t="n">
        <x:f>IF(OR(Inputs!$C$27=TRUE,Inputs!$C$27="TRUE",Inputs!$C$27=1),Inputs!$C$46/Inputs!$C$12,0)</x:f>
        <x:v>42.13483146067416</x:v>
      </x:c>
      <x:c r="AR103" s="48" t="n">
        <x:f>AC103-AQ103</x:f>
        <x:v>306.27215948478283</x:v>
      </x:c>
      <x:c r="AS103" s="48" t="n">
        <x:f>AC103+AQ103</x:f>
        <x:v>390.54182240613113</x:v>
      </x:c>
    </x:row>
    <x:row r="104">
      <x:c r="A104" s="48" t="n">
        <x:f>Inputs!$C$7+102*(Inputs!$C$8-Inputs!$C$7)/240</x:f>
        <x:v>-9</x:v>
      </x:c>
      <x:c r="B104" s="48" t="n">
        <x:f>Inputs!$C$5+Inputs!$C$9*(A104/Inputs!$C$10)^2</x:f>
        <x:v>400.09</x:v>
      </x:c>
      <x:c r="C104" s="48" t="n">
        <x:f>B104</x:f>
        <x:v>400.09</x:v>
      </x:c>
      <x:c r="D104" s="48" t="n">
        <x:f>SQRT((Inputs!$C$52+B104)^2+Inputs!$C$52^2-2*(Inputs!$C$52+B104)*Inputs!$C$52*COS(SQRT(A104^2+Inputs!$C$6^2)/Inputs!$C$52))</x:f>
        <x:v>401.1969095644322</x:v>
      </x:c>
      <x:c r="E104" s="48" t="n">
        <x:f>(D104-C104)*1000</x:f>
        <x:v>1106.9095644322147</x:v>
      </x:c>
      <x:c r="F104" s="48" t="n">
        <x:f>E104/Inputs!$C$12</x:f>
        <x:v>621.8593058607947</x:v>
      </x:c>
      <x:c r="G104" s="48" t="n">
        <x:f>2*E104/Inputs!$C$21*1000000</x:f>
        <x:v>7.3845057465202455</x:v>
      </x:c>
      <x:c r="H104" s="48" t="n">
        <x:f>SQRT(A104^2+Inputs!$C$6^2)</x:f>
        <x:v>26.570660511172846</x:v>
      </x:c>
      <x:c r="I104" s="48" t="n">
        <x:f>DEGREES(ATAN(H104/B104))</x:f>
        <x:v>3.79953120706518</x:v>
      </x:c>
      <x:c r="J104" s="48" t="n">
        <x:f>DEGREES((2*PI()/Inputs!$C$13)*Inputs!$C$15*SIN(RADIANS(I104)))</x:f>
        <x:v>23.85566510612477</x:v>
      </x:c>
      <x:c r="K104" s="48" t="n">
        <x:f>(C104/D104)^4</x:f>
        <x:v>0.9890095164451073</x:v>
      </x:c>
      <x:c r="L104" s="48" t="n">
        <x:f>10*LOG10(K104)</x:f>
        <x:v>-0.0479952951534499</x:v>
      </x:c>
      <x:c r="M104" s="48" t="n">
        <x:f>2*(Inputs!$C$9/(Inputs!$C$10^2))*A104</x:f>
        <x:v>-0.02</x:v>
      </x:c>
      <x:c r="N104" s="48" t="n">
        <x:f>M104*Inputs!$C$11</x:f>
        <x:v>-0.08</x:v>
      </x:c>
      <x:c r="O104" s="48" t="n">
        <x:f>1000*(D105-D103)/(A105-A103)*Inputs!$C$11</x:f>
        <x:v>-192.55165201866475</x:v>
      </x:c>
      <x:c r="P104" s="48" t="n">
        <x:f>-2*O104/Inputs!$C$13</x:f>
        <x:v>77.0206608074659</x:v>
      </x:c>
      <x:c r="Q104" s="48" t="n">
        <x:f>-2*O104/Inputs!$C$14</x:f>
        <x:v>11.564663784904791</x:v>
      </x:c>
      <x:c r="R104" s="48" t="n">
        <x:f>F104-Inputs!$C$16/2</x:f>
        <x:v>606.8593058607947</x:v>
      </x:c>
      <x:c r="S104" s="48" t="n">
        <x:f>F104+Inputs!$C$16/2</x:f>
        <x:v>636.8593058607947</x:v>
      </x:c>
      <x:c r="T104" s="48" t="n">
        <x:f>F104-Inputs!$C$17/2</x:f>
        <x:v>471.85930586079473</x:v>
      </x:c>
      <x:c r="U104" s="48" t="n">
        <x:f>F104+Inputs!$C$17/2</x:f>
        <x:v>771.8593058607947</x:v>
      </x:c>
      <x:c r="V104" s="48" t="n">
        <x:f>ABS(P104)</x:f>
        <x:v>77.0206608074659</x:v>
      </x:c>
      <x:c r="W104" s="48" t="n">
        <x:f>ABS(Q104)</x:f>
        <x:v>11.564663784904791</x:v>
      </x:c>
      <x:c r="X104" s="48" t="n">
        <x: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(0.45*SIN(2*PI()*(((A104)/Inputs!$C$49)+Inputs!$C$47*0.137))+0.35*COS(2*PI()*(((0)/Inputs!$C$50)+Inputs!$C$47*0.173))+0.20*SIN(2*PI()*(((A104)+(0))/(0.5*(Inputs!$C$49+Inputs!$C$50))+Inputs!$C$47*0.097)))+0.30*(2*((SIN(((A104)*12.9898+(0)*78.233+Inputs!$C$47*37.719))*43758.5453)-INT((SIN(((A104)*12.9898+(0)*78.233+Inputs!$C$47*37.719))*43758.5453)))-1)))</x:f>
        <x:v>-47.4214748383975</x:v>
      </x:c>
      <x:c r="Y104" s="48" t="n">
        <x: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(0.45*SIN(2*PI()*(((A104)/Inputs!$C$49)+Inputs!$C$47*0.137))+0.35*COS(2*PI()*(((Inputs!$C$6)/Inputs!$C$50)+Inputs!$C$47*0.173))+0.20*SIN(2*PI()*(((A104)+(Inputs!$C$6))/(0.5*(Inputs!$C$49+Inputs!$C$50))+Inputs!$C$47*0.097)))+0.30*(2*((SIN(((A104)*12.9898+(Inputs!$C$6)*78.233+Inputs!$C$47*37.719))*43758.5453)-INT((SIN(((A104)*12.9898+(Inputs!$C$6)*78.233+Inputs!$C$47*37.719))*43758.5453)))-1)))</x:f>
        <x:v>480.618285675218</x:v>
      </x:c>
      <x:c r="Z104" s="48" t="n">
        <x:f>B104-X104/1000</x:f>
        <x:v>400.1374214748384</x:v>
      </x:c>
      <x:c r="AA104" s="48" t="n">
        <x:f>SQRT((Inputs!$C$52+B104)^2+(Inputs!$C$52+Y104/1000)^2-2*(Inputs!$C$52+B104)*(Inputs!$C$52+Y104/1000)*COS(SQRT(A104^2+Inputs!$C$6^2)/Inputs!$C$52))</x:f>
        <x:v>400.7179596898276</x:v>
      </x:c>
      <x:c r="AB104" s="48" t="n">
        <x:f>(AA104-Z104)*1000</x:f>
        <x:v>580.5382149891898</x:v>
      </x:c>
      <x:c r="AC104" s="48" t="n">
        <x:f>AB104/Inputs!$C$12</x:f>
        <x:v>326.14506460066843</x:v>
      </x:c>
      <x:c r="AD104" s="48" t="n">
        <x:f>2*AB104/Inputs!$C$21*1000000</x:f>
        <x:v>3.872934088216387</x:v>
      </x:c>
      <x:c r="AE104" s="48" t="n">
        <x:f>DEGREES(ATAN(H104/(B104-Y104/1000)))</x:f>
        <x:v>3.8040875704738526</x:v>
      </x:c>
      <x:c r="AF104" s="48" t="n">
        <x:f>DEGREES((2*PI()/Inputs!$C$13)*Inputs!$C$15*SIN(RADIANS(AE104)))</x:f>
        <x:v>23.884230581198143</x:v>
      </x:c>
      <x:c r="AG104" s="48" t="n">
        <x:f>(Z104/AA104)^4</x:f>
        <x:v>0.9942176002737692</x:v>
      </x:c>
      <x:c r="AH104" s="48" t="n">
        <x:f>10*LOG10(AG104)</x:f>
        <x:v>-0.025185529711891197</x:v>
      </x:c>
      <x:c r="AI104" s="48" t="n">
        <x:f>AC104-F104</x:f>
        <x:v>-295.7142412601263</x:v>
      </x:c>
      <x:c r="AJ104" s="48" t="n">
        <x:f>AD104-G104</x:f>
        <x:v>-3.5115716583038585</x:v>
      </x:c>
      <x:c r="AK104" s="48" t="n">
        <x:f>Y104-X104</x:f>
        <x:v>528.0397605136154</x:v>
      </x:c>
      <x:c r="AL104" s="48" t="n">
        <x:f>1000*(AA105-AA103)/(A105-A103)*Inputs!$C$11</x:f>
        <x:v>-153.0099908070497</x:v>
      </x:c>
      <x:c r="AM104" s="48" t="n">
        <x:f>-2*AL104/Inputs!$C$13</x:f>
        <x:v>61.203996322819876</x:v>
      </x:c>
      <x:c r="AN104" s="48" t="n">
        <x:f>-2*AL104/Inputs!$C$14</x:f>
        <x:v>9.189789237660642</x:v>
      </x:c>
      <x:c r="AO104" s="48" t="n">
        <x:f>ABS(AM104)</x:f>
        <x:v>61.203996322819876</x:v>
      </x:c>
      <x:c r="AP104" s="48" t="n">
        <x:f>ABS(AN104)</x:f>
        <x:v>9.189789237660642</x:v>
      </x:c>
      <x:c r="AQ104" s="48" t="n">
        <x:f>IF(OR(Inputs!$C$27=TRUE,Inputs!$C$27="TRUE",Inputs!$C$27=1),Inputs!$C$46/Inputs!$C$12,0)</x:f>
        <x:v>42.13483146067416</x:v>
      </x:c>
      <x:c r="AR104" s="48" t="n">
        <x:f>AC104-AQ104</x:f>
        <x:v>284.0102331399943</x:v>
      </x:c>
      <x:c r="AS104" s="48" t="n">
        <x:f>AC104+AQ104</x:f>
        <x:v>368.2798960613426</x:v>
      </x:c>
    </x:row>
    <x:row r="105">
      <x:c r="A105" s="48" t="n">
        <x:f>Inputs!$C$7+103*(Inputs!$C$8-Inputs!$C$7)/240</x:f>
        <x:v>-8.5</x:v>
      </x:c>
      <x:c r="B105" s="48" t="n">
        <x:f>Inputs!$C$5+Inputs!$C$9*(A105/Inputs!$C$10)^2</x:f>
        <x:v>400.0802777777778</x:v>
      </x:c>
      <x:c r="C105" s="48" t="n">
        <x:f>B105</x:f>
        <x:v>400.0802777777778</x:v>
      </x:c>
      <x:c r="D105" s="48" t="n">
        <x:f>SQRT((Inputs!$C$52+B105)^2+Inputs!$C$52^2-2*(Inputs!$C$52+B105)*Inputs!$C$52*COS(SQRT(A105^2+Inputs!$C$6^2)/Inputs!$C$52))</x:f>
        <x:v>401.17350866063003</x:v>
      </x:c>
      <x:c r="E105" s="48" t="n">
        <x:f>(D105-C105)*1000</x:f>
        <x:v>1093.2308828522537</x:v>
      </x:c>
      <x:c r="F105" s="48" t="n">
        <x:f>E105/Inputs!$C$12</x:f>
        <x:v>614.1746532877829</x:v>
      </x:c>
      <x:c r="G105" s="48" t="n">
        <x:f>2*E105/Inputs!$C$21*1000000</x:f>
        <x:v>7.29325140562578</x:v>
      </x:c>
      <x:c r="H105" s="48" t="n">
        <x:f>SQRT(A105^2+Inputs!$C$6^2)</x:f>
        <x:v>26.405491853021786</x:v>
      </x:c>
      <x:c r="I105" s="48" t="n">
        <x:f>DEGREES(ATAN(H105/B105))</x:f>
        <x:v>3.776072578786574</x:v>
      </x:c>
      <x:c r="J105" s="48" t="n">
        <x:f>DEGREES((2*PI()/Inputs!$C$13)*Inputs!$C$15*SIN(RADIANS(I105)))</x:f>
        <x:v>23.708592174666432</x:v>
      </x:c>
      <x:c r="K105" s="48" t="n">
        <x:f>(C105/D105)^4</x:f>
        <x:v>0.989144145804127</x:v>
      </x:c>
      <x:c r="L105" s="48" t="n">
        <x:f>10*LOG10(K105)</x:f>
        <x:v>-0.0474041500980325</x:v>
      </x:c>
      <x:c r="M105" s="48" t="n">
        <x:f>2*(Inputs!$C$9/(Inputs!$C$10^2))*A105</x:f>
        <x:v>-0.01888888888888889</x:v>
      </x:c>
      <x:c r="N105" s="48" t="n">
        <x:f>M105*Inputs!$C$11</x:f>
        <x:v>-0.07555555555555556</x:v>
      </x:c>
      <x:c r="O105" s="48" t="n">
        <x:f>1000*(D106-D104)/(A106-A104)*Inputs!$C$11</x:f>
        <x:v>-181.8621226407231</x:v>
      </x:c>
      <x:c r="P105" s="48" t="n">
        <x:f>-2*O105/Inputs!$C$13</x:f>
        <x:v>72.74484905628924</x:v>
      </x:c>
      <x:c r="Q105" s="48" t="n">
        <x:f>-2*O105/Inputs!$C$14</x:f>
        <x:v>10.92265000845184</x:v>
      </x:c>
      <x:c r="R105" s="48" t="n">
        <x:f>F105-Inputs!$C$16/2</x:f>
        <x:v>599.1746532877829</x:v>
      </x:c>
      <x:c r="S105" s="48" t="n">
        <x:f>F105+Inputs!$C$16/2</x:f>
        <x:v>629.1746532877829</x:v>
      </x:c>
      <x:c r="T105" s="48" t="n">
        <x:f>F105-Inputs!$C$17/2</x:f>
        <x:v>464.1746532877829</x:v>
      </x:c>
      <x:c r="U105" s="48" t="n">
        <x:f>F105+Inputs!$C$17/2</x:f>
        <x:v>764.1746532877829</x:v>
      </x:c>
      <x:c r="V105" s="48" t="n">
        <x:f>ABS(P105)</x:f>
        <x:v>72.74484905628924</x:v>
      </x:c>
      <x:c r="W105" s="48" t="n">
        <x:f>ABS(Q105)</x:f>
        <x:v>10.92265000845184</x:v>
      </x:c>
      <x:c r="X105" s="48" t="n">
        <x: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(0.45*SIN(2*PI()*(((A105)/Inputs!$C$49)+Inputs!$C$47*0.137))+0.35*COS(2*PI()*(((0)/Inputs!$C$50)+Inputs!$C$47*0.173))+0.20*SIN(2*PI()*(((A105)+(0))/(0.5*(Inputs!$C$49+Inputs!$C$50))+Inputs!$C$47*0.097)))+0.30*(2*((SIN(((A105)*12.9898+(0)*78.233+Inputs!$C$47*37.719))*43758.5453)-INT((SIN(((A105)*12.9898+(0)*78.233+Inputs!$C$47*37.719))*43758.5453)))-1)))</x:f>
        <x:v>-61.84832289166857</x:v>
      </x:c>
      <x:c r="Y105" s="48" t="n">
        <x: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(0.45*SIN(2*PI()*(((A105)/Inputs!$C$49)+Inputs!$C$47*0.137))+0.35*COS(2*PI()*(((Inputs!$C$6)/Inputs!$C$50)+Inputs!$C$47*0.173))+0.20*SIN(2*PI()*(((A105)+(Inputs!$C$6))/(0.5*(Inputs!$C$49+Inputs!$C$50))+Inputs!$C$47*0.097)))+0.30*(2*((SIN(((A105)*12.9898+(Inputs!$C$6)*78.233+Inputs!$C$47*37.719))*43758.5453)-INT((SIN(((A105)*12.9898+(Inputs!$C$6)*78.233+Inputs!$C$47*37.719))*43758.5453)))-1)))</x:f>
        <x:v>460.6206107904381</x:v>
      </x:c>
      <x:c r="Z105" s="48" t="n">
        <x:f>B105-X105/1000</x:f>
        <x:v>400.14212610066943</x:v>
      </x:c>
      <x:c r="AA105" s="48" t="n">
        <x:f>SQRT((Inputs!$C$52+B105)^2+(Inputs!$C$52+Y105/1000)^2-2*(Inputs!$C$52+B105)*(Inputs!$C$52+Y105/1000)*COS(SQRT(A105^2+Inputs!$C$6^2)/Inputs!$C$52))</x:f>
        <x:v>400.714467281934</x:v>
      </x:c>
      <x:c r="AB105" s="48" t="n">
        <x:f>(AA105-Z105)*1000</x:f>
        <x:v>572.3411812645622</x:v>
      </x:c>
      <x:c r="AC105" s="48" t="n">
        <x:f>AB105/Inputs!$C$12</x:f>
        <x:v>321.53998947447315</x:v>
      </x:c>
      <x:c r="AD105" s="48" t="n">
        <x:f>2*AB105/Inputs!$C$21*1000000</x:f>
        <x:v>3.8182493654631044</x:v>
      </x:c>
      <x:c r="AE105" s="48" t="n">
        <x:f>DEGREES(ATAN(H105/(B105-Y105/1000)))</x:f>
        <x:v>3.7804124455522796</x:v>
      </x:c>
      <x:c r="AF105" s="48" t="n">
        <x:f>DEGREES((2*PI()/Inputs!$C$13)*Inputs!$C$15*SIN(RADIANS(AE105)))</x:f>
        <x:v>23.735801096075644</x:v>
      </x:c>
      <x:c r="AG105" s="48" t="n">
        <x:f>(Z105/AA105)^4</x:f>
        <x:v>0.9942990215607245</x:v>
      </x:c>
      <x:c r="AH105" s="48" t="n">
        <x:f>10*LOG10(AG105)</x:f>
        <x:v>-0.0248298795225425</x:v>
      </x:c>
      <x:c r="AI105" s="48" t="n">
        <x:f>AC105-F105</x:f>
        <x:v>-292.63466381330977</x:v>
      </x:c>
      <x:c r="AJ105" s="48" t="n">
        <x:f>AD105-G105</x:f>
        <x:v>-3.4750020401626753</x:v>
      </x:c>
      <x:c r="AK105" s="48" t="n">
        <x:f>Y105-X105</x:f>
        <x:v>522.4689336821067</x:v>
      </x:c>
      <x:c r="AL105" s="48" t="n">
        <x:f>1000*(AA106-AA104)/(A106-A104)*Inputs!$C$11</x:f>
        <x:v>-162.27947085280903</x:v>
      </x:c>
      <x:c r="AM105" s="48" t="n">
        <x:f>-2*AL105/Inputs!$C$13</x:f>
        <x:v>64.91178834112361</x:v>
      </x:c>
      <x:c r="AN105" s="48" t="n">
        <x:f>-2*AL105/Inputs!$C$14</x:f>
        <x:v>9.746514765934476</x:v>
      </x:c>
      <x:c r="AO105" s="48" t="n">
        <x:f>ABS(AM105)</x:f>
        <x:v>64.91178834112361</x:v>
      </x:c>
      <x:c r="AP105" s="48" t="n">
        <x:f>ABS(AN105)</x:f>
        <x:v>9.746514765934476</x:v>
      </x:c>
      <x:c r="AQ105" s="48" t="n">
        <x:f>IF(OR(Inputs!$C$27=TRUE,Inputs!$C$27="TRUE",Inputs!$C$27=1),Inputs!$C$46/Inputs!$C$12,0)</x:f>
        <x:v>42.13483146067416</x:v>
      </x:c>
      <x:c r="AR105" s="48" t="n">
        <x:f>AC105-AQ105</x:f>
        <x:v>279.405158013799</x:v>
      </x:c>
      <x:c r="AS105" s="48" t="n">
        <x:f>AC105+AQ105</x:f>
        <x:v>363.6748209351473</x:v>
      </x:c>
    </x:row>
    <x:row r="106">
      <x:c r="A106" s="48" t="n">
        <x:f>Inputs!$C$7+104*(Inputs!$C$8-Inputs!$C$7)/240</x:f>
        <x:v>-8</x:v>
      </x:c>
      <x:c r="B106" s="48" t="n">
        <x:f>Inputs!$C$5+Inputs!$C$9*(A106/Inputs!$C$10)^2</x:f>
        <x:v>400.0711111111111</x:v>
      </x:c>
      <x:c r="C106" s="48" t="n">
        <x:f>B106</x:f>
        <x:v>400.0711111111111</x:v>
      </x:c>
      <x:c r="D106" s="48" t="n">
        <x:f>SQRT((Inputs!$C$52+B106)^2+Inputs!$C$52^2-2*(Inputs!$C$52+B106)*Inputs!$C$52*COS(SQRT(A106^2+Inputs!$C$6^2)/Inputs!$C$52))</x:f>
        <x:v>401.151444033772</x:v>
      </x:c>
      <x:c r="E106" s="48" t="n">
        <x:f>(D106-C106)*1000</x:f>
        <x:v>1080.3329226608867</x:v>
      </x:c>
      <x:c r="F106" s="48" t="n">
        <x:f>E106/Inputs!$C$12</x:f>
        <x:v>606.9286082364532</x:v>
      </x:c>
      <x:c r="G106" s="48" t="n">
        <x:f>2*E106/Inputs!$C$21*1000000</x:f>
        <x:v>7.207205477203076</x:v>
      </x:c>
      <x:c r="H106" s="48" t="n">
        <x:f>SQRT(A106^2+Inputs!$C$6^2)</x:f>
        <x:v>26.248809496813376</x:v>
      </x:c>
      <x:c r="I106" s="48" t="n">
        <x:f>DEGREES(ATAN(H106/B106))</x:f>
        <x:v>3.75381649570681</x:v>
      </x:c>
      <x:c r="J106" s="48" t="n">
        <x:f>DEGREES((2*PI()/Inputs!$C$13)*Inputs!$C$15*SIN(RADIANS(I106)))</x:f>
        <x:v>23.56905487786457</x:v>
      </x:c>
      <x:c r="K106" s="48" t="n">
        <x:f>(C106/D106)^4</x:f>
        <x:v>0.989271118085209</x:v>
      </x:c>
      <x:c r="L106" s="48" t="n">
        <x:f>10*LOG10(K106)</x:f>
        <x:v>-0.0468467002834181</x:v>
      </x:c>
      <x:c r="M106" s="48" t="n">
        <x:f>2*(Inputs!$C$9/(Inputs!$C$10^2))*A106</x:f>
        <x:v>-0.017777777777777778</x:v>
      </x:c>
      <x:c r="N106" s="48" t="n">
        <x:f>M106*Inputs!$C$11</x:f>
        <x:v>-0.07111111111111111</x:v>
      </x:c>
      <x:c r="O106" s="48" t="n">
        <x:f>1000*(D107-D105)/(A107-A105)*Inputs!$C$11</x:f>
        <x:v>-171.1712599292241</x:v>
      </x:c>
      <x:c r="P106" s="48" t="n">
        <x:f>-2*O106/Inputs!$C$13</x:f>
        <x:v>68.46850397168964</x:v>
      </x:c>
      <x:c r="Q106" s="48" t="n">
        <x:f>-2*O106/Inputs!$C$14</x:f>
        <x:v>10.280556151905353</x:v>
      </x:c>
      <x:c r="R106" s="48" t="n">
        <x:f>F106-Inputs!$C$16/2</x:f>
        <x:v>591.9286082364532</x:v>
      </x:c>
      <x:c r="S106" s="48" t="n">
        <x:f>F106+Inputs!$C$16/2</x:f>
        <x:v>621.9286082364532</x:v>
      </x:c>
      <x:c r="T106" s="48" t="n">
        <x:f>F106-Inputs!$C$17/2</x:f>
        <x:v>456.9286082364532</x:v>
      </x:c>
      <x:c r="U106" s="48" t="n">
        <x:f>F106+Inputs!$C$17/2</x:f>
        <x:v>756.9286082364532</x:v>
      </x:c>
      <x:c r="V106" s="48" t="n">
        <x:f>ABS(P106)</x:f>
        <x:v>68.46850397168964</x:v>
      </x:c>
      <x:c r="W106" s="48" t="n">
        <x:f>ABS(Q106)</x:f>
        <x:v>10.280556151905353</x:v>
      </x:c>
      <x:c r="X106" s="48" t="n">
        <x: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(0.45*SIN(2*PI()*(((A106)/Inputs!$C$49)+Inputs!$C$47*0.137))+0.35*COS(2*PI()*(((0)/Inputs!$C$50)+Inputs!$C$47*0.173))+0.20*SIN(2*PI()*(((A106)+(0))/(0.5*(Inputs!$C$49+Inputs!$C$50))+Inputs!$C$47*0.097)))+0.30*(2*((SIN(((A106)*12.9898+(0)*78.233+Inputs!$C$47*37.719))*43758.5453)-INT((SIN(((A106)*12.9898+(0)*78.233+Inputs!$C$47*37.719))*43758.5453)))-1)))</x:f>
        <x:v>-39.34099577037003</x:v>
      </x:c>
      <x:c r="Y106" s="48" t="n">
        <x: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(0.45*SIN(2*PI()*(((A106)/Inputs!$C$49)+Inputs!$C$47*0.137))+0.35*COS(2*PI()*(((Inputs!$C$6)/Inputs!$C$50)+Inputs!$C$47*0.173))+0.20*SIN(2*PI()*(((A106)+(Inputs!$C$6))/(0.5*(Inputs!$C$49+Inputs!$C$50))+Inputs!$C$47*0.097)))+0.30*(2*((SIN(((A106)*12.9898+(Inputs!$C$6)*78.233+Inputs!$C$47*37.719))*43758.5453)-INT((SIN(((A106)*12.9898+(Inputs!$C$6)*78.233+Inputs!$C$47*37.719))*43758.5453)))-1)))</x:f>
        <x:v>475.6659223963138</x:v>
      </x:c>
      <x:c r="Z106" s="48" t="n">
        <x:f>B106-X106/1000</x:f>
        <x:v>400.1104521068815</x:v>
      </x:c>
      <x:c r="AA106" s="48" t="n">
        <x:f>SQRT((Inputs!$C$52+B106)^2+(Inputs!$C$52+Y106/1000)^2-2*(Inputs!$C$52+B106)*(Inputs!$C$52+Y106/1000)*COS(SQRT(A106^2+Inputs!$C$6^2)/Inputs!$C$52))</x:f>
        <x:v>400.6773898221144</x:v>
      </x:c>
      <x:c r="AB106" s="48" t="n">
        <x:f>(AA106-Z106)*1000</x:f>
        <x:v>566.937715232882</x:v>
      </x:c>
      <x:c r="AC106" s="48" t="n">
        <x:f>AB106/Inputs!$C$12</x:f>
        <x:v>318.5043344004955</x:v>
      </x:c>
      <x:c r="AD106" s="48" t="n">
        <x:f>2*AB106/Inputs!$C$21*1000000</x:f>
        <x:v>3.7822013203072777</x:v>
      </x:c>
      <x:c r="AE106" s="48" t="n">
        <x:f>DEGREES(ATAN(H106/(B106-Y106/1000)))</x:f>
        <x:v>3.758272122844037</x:v>
      </x:c>
      <x:c r="AF106" s="48" t="n">
        <x:f>DEGREES((2*PI()/Inputs!$C$13)*Inputs!$C$15*SIN(RADIANS(AE106)))</x:f>
        <x:v>23.596990274926846</x:v>
      </x:c>
      <x:c r="AG106" s="48" t="n">
        <x:f>(Z106/AA106)^4</x:f>
        <x:v>0.9943522087037294</x:v>
      </x:c>
      <x:c r="AH106" s="48" t="n">
        <x:f>10*LOG10(AG106)</x:f>
        <x:v>-0.0245975724958581</x:v>
      </x:c>
      <x:c r="AI106" s="48" t="n">
        <x:f>AC106-F106</x:f>
        <x:v>-288.4242738359577</x:v>
      </x:c>
      <x:c r="AJ106" s="48" t="n">
        <x:f>AD106-G106</x:f>
        <x:v>-3.4250041568957985</x:v>
      </x:c>
      <x:c r="AK106" s="48" t="n">
        <x:f>Y106-X106</x:f>
        <x:v>515.0069181666838</x:v>
      </x:c>
      <x:c r="AL106" s="48" t="n">
        <x:f>1000*(AA107-AA105)/(A107-A105)*Inputs!$C$11</x:f>
        <x:v>-209.75978813908114</x:v>
      </x:c>
      <x:c r="AM106" s="48" t="n">
        <x:f>-2*AL106/Inputs!$C$13</x:f>
        <x:v>83.90391525563246</x:v>
      </x:c>
      <x:c r="AN106" s="48" t="n">
        <x:f>-2*AL106/Inputs!$C$14</x:f>
        <x:v>12.598185473818688</x:v>
      </x:c>
      <x:c r="AO106" s="48" t="n">
        <x:f>ABS(AM106)</x:f>
        <x:v>83.90391525563246</x:v>
      </x:c>
      <x:c r="AP106" s="48" t="n">
        <x:f>ABS(AN106)</x:f>
        <x:v>12.598185473818688</x:v>
      </x:c>
      <x:c r="AQ106" s="48" t="n">
        <x:f>IF(OR(Inputs!$C$27=TRUE,Inputs!$C$27="TRUE",Inputs!$C$27=1),Inputs!$C$46/Inputs!$C$12,0)</x:f>
        <x:v>42.13483146067416</x:v>
      </x:c>
      <x:c r="AR106" s="48" t="n">
        <x:f>AC106-AQ106</x:f>
        <x:v>276.36950293982136</x:v>
      </x:c>
      <x:c r="AS106" s="48" t="n">
        <x:f>AC106+AQ106</x:f>
        <x:v>360.63916586116966</x:v>
      </x:c>
    </x:row>
    <x:row r="107">
      <x:c r="A107" s="48" t="n">
        <x:f>Inputs!$C$7+105*(Inputs!$C$8-Inputs!$C$7)/240</x:f>
        <x:v>-7.5</x:v>
      </x:c>
      <x:c r="B107" s="48" t="n">
        <x:f>Inputs!$C$5+Inputs!$C$9*(A107/Inputs!$C$10)^2</x:f>
        <x:v>400.0625</x:v>
      </x:c>
      <x:c r="C107" s="48" t="n">
        <x:f>B107</x:f>
        <x:v>400.0625</x:v>
      </x:c>
      <x:c r="D107" s="48" t="n">
        <x:f>SQRT((Inputs!$C$52+B107)^2+Inputs!$C$52^2-2*(Inputs!$C$52+B107)*Inputs!$C$52*COS(SQRT(A107^2+Inputs!$C$6^2)/Inputs!$C$52))</x:f>
        <x:v>401.1307158456477</x:v>
      </x:c>
      <x:c r="E107" s="48" t="n">
        <x:f>(D107-C107)*1000</x:f>
        <x:v>1068.2158456477282</x:v>
      </x:c>
      <x:c r="F107" s="48" t="n">
        <x:f>E107/Inputs!$C$12</x:f>
        <x:v>600.1212615998473</x:v>
      </x:c>
      <x:c r="G107" s="48" t="n">
        <x:f>2*E107/Inputs!$C$21*1000000</x:f>
        <x:v>7.126369040596266</x:v>
      </x:c>
      <x:c r="H107" s="48" t="n">
        <x:f>SQRT(A107^2+Inputs!$C$6^2)</x:f>
        <x:v>26.100766272276374</x:v>
      </x:c>
      <x:c r="I107" s="48" t="n">
        <x:f>DEGREES(ATAN(H107/B107))</x:f>
        <x:v>3.7327851196426796</x:v>
      </x:c>
      <x:c r="J107" s="48" t="n">
        <x:f>DEGREES((2*PI()/Inputs!$C$13)*Inputs!$C$15*SIN(RADIANS(I107)))</x:f>
        <x:v>23.437192766426364</x:v>
      </x:c>
      <x:c r="K107" s="48" t="n">
        <x:f>(C107/D107)^4</x:f>
        <x:v>0.9893904269426156</x:v>
      </x:c>
      <x:c r="L107" s="48" t="n">
        <x:f>10*LOG10(K107)</x:f>
        <x:v>-0.0463229606008344</x:v>
      </x:c>
      <x:c r="M107" s="48" t="n">
        <x:f>2*(Inputs!$C$9/(Inputs!$C$10^2))*A107</x:f>
        <x:v>-0.016666666666666666</x:v>
      </x:c>
      <x:c r="N107" s="48" t="n">
        <x:f>M107*Inputs!$C$11</x:f>
        <x:v>-0.06666666666666667</x:v>
      </x:c>
      <x:c r="O107" s="48" t="n">
        <x:f>1000*(D108-D106)/(A108-A106)*Inputs!$C$11</x:f>
        <x:v>-160.4791419626963</x:v>
      </x:c>
      <x:c r="P107" s="48" t="n">
        <x:f>-2*O107/Inputs!$C$13</x:f>
        <x:v>64.19165678507852</x:v>
      </x:c>
      <x:c r="Q107" s="48" t="n">
        <x:f>-2*O107/Inputs!$C$14</x:f>
        <x:v>9.638386904666445</x:v>
      </x:c>
      <x:c r="R107" s="48" t="n">
        <x:f>F107-Inputs!$C$16/2</x:f>
        <x:v>585.1212615998473</x:v>
      </x:c>
      <x:c r="S107" s="48" t="n">
        <x:f>F107+Inputs!$C$16/2</x:f>
        <x:v>615.1212615998473</x:v>
      </x:c>
      <x:c r="T107" s="48" t="n">
        <x:f>F107-Inputs!$C$17/2</x:f>
        <x:v>450.12126159984734</x:v>
      </x:c>
      <x:c r="U107" s="48" t="n">
        <x:f>F107+Inputs!$C$17/2</x:f>
        <x:v>750.1212615998473</x:v>
      </x:c>
      <x:c r="V107" s="48" t="n">
        <x:f>ABS(P107)</x:f>
        <x:v>64.19165678507852</x:v>
      </x:c>
      <x:c r="W107" s="48" t="n">
        <x:f>ABS(Q107)</x:f>
        <x:v>9.638386904666445</x:v>
      </x:c>
      <x:c r="X107" s="48" t="n">
        <x: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(0.45*SIN(2*PI()*(((A107)/Inputs!$C$49)+Inputs!$C$47*0.137))+0.35*COS(2*PI()*(((0)/Inputs!$C$50)+Inputs!$C$47*0.173))+0.20*SIN(2*PI()*(((A107)+(0))/(0.5*(Inputs!$C$49+Inputs!$C$50))+Inputs!$C$47*0.097)))+0.30*(2*((SIN(((A107)*12.9898+(0)*78.233+Inputs!$C$47*37.719))*43758.5453)-INT((SIN(((A107)*12.9898+(0)*78.233+Inputs!$C$47*37.719))*43758.5453)))-1)))</x:f>
        <x:v>-43.22381145165265</x:v>
      </x:c>
      <x:c r="Y107" s="48" t="n">
        <x: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(0.45*SIN(2*PI()*(((A107)/Inputs!$C$49)+Inputs!$C$47*0.137))+0.35*COS(2*PI()*(((Inputs!$C$6)/Inputs!$C$50)+Inputs!$C$47*0.173))+0.20*SIN(2*PI()*(((A107)+(Inputs!$C$6))/(0.5*(Inputs!$C$49+Inputs!$C$50))+Inputs!$C$47*0.097)))+0.30*(2*((SIN(((A107)*12.9898+(Inputs!$C$6)*78.233+Inputs!$C$47*37.719))*43758.5453)-INT((SIN(((A107)*12.9898+(Inputs!$C$6)*78.233+Inputs!$C$47*37.719))*43758.5453)))-1)))</x:f>
        <x:v>470.2640951439132</x:v>
      </x:c>
      <x:c r="Z107" s="48" t="n">
        <x:f>B107-X107/1000</x:f>
        <x:v>400.10572381145164</x:v>
      </x:c>
      <x:c r="AA107" s="48" t="n">
        <x:f>SQRT((Inputs!$C$52+B107)^2+(Inputs!$C$52+Y107/1000)^2-2*(Inputs!$C$52+B107)*(Inputs!$C$52+Y107/1000)*COS(SQRT(A107^2+Inputs!$C$6^2)/Inputs!$C$52))</x:f>
        <x:v>400.6620273348992</x:v>
      </x:c>
      <x:c r="AB107" s="48" t="n">
        <x:f>(AA107-Z107)*1000</x:f>
        <x:v>556.3035234475819</x:v>
      </x:c>
      <x:c r="AC107" s="48" t="n">
        <x:f>AB107/Inputs!$C$12</x:f>
        <x:v>312.5300693525741</x:v>
      </x:c>
      <x:c r="AD107" s="48" t="n">
        <x:f>2*AB107/Inputs!$C$21*1000000</x:f>
        <x:v>3.7112576290867327</x:v>
      </x:c>
      <x:c r="AE107" s="48" t="n">
        <x:f>DEGREES(ATAN(H107/(B107-Y107/1000)))</x:f>
        <x:v>3.737165643146335</x:v>
      </x:c>
      <x:c r="AF107" s="48" t="n">
        <x:f>DEGREES((2*PI()/Inputs!$C$13)*Inputs!$C$15*SIN(RADIANS(AE107)))</x:f>
        <x:v>23.464657948210338</x:v>
      </x:c>
      <x:c r="AG107" s="48" t="n">
        <x:f>(Z107/AA107)^4</x:f>
        <x:v>0.9944577129930591</x:v>
      </x:c>
      <x:c r="AH107" s="48" t="n">
        <x:f>10*LOG10(AG107)</x:f>
        <x:v>-0.0241367951212472</x:v>
      </x:c>
      <x:c r="AI107" s="48" t="n">
        <x:f>AC107-F107</x:f>
        <x:v>-287.5911922472732</x:v>
      </x:c>
      <x:c r="AJ107" s="48" t="n">
        <x:f>AD107-G107</x:f>
        <x:v>-3.4151114115095336</x:v>
      </x:c>
      <x:c r="AK107" s="48" t="n">
        <x:f>Y107-X107</x:f>
        <x:v>513.4879065955658</x:v>
      </x:c>
      <x:c r="AL107" s="48" t="n">
        <x:f>1000*(AA108-AA106)/(A108-A106)*Inputs!$C$11</x:f>
        <x:v>-30.21739786731814</x:v>
      </x:c>
      <x:c r="AM107" s="48" t="n">
        <x:f>-2*AL107/Inputs!$C$13</x:f>
        <x:v>12.086959146927256</x:v>
      </x:c>
      <x:c r="AN107" s="48" t="n">
        <x:f>-2*AL107/Inputs!$C$14</x:f>
        <x:v>1.8148587307698585</x:v>
      </x:c>
      <x:c r="AO107" s="48" t="n">
        <x:f>ABS(AM107)</x:f>
        <x:v>12.086959146927256</x:v>
      </x:c>
      <x:c r="AP107" s="48" t="n">
        <x:f>ABS(AN107)</x:f>
        <x:v>1.8148587307698585</x:v>
      </x:c>
      <x:c r="AQ107" s="48" t="n">
        <x:f>IF(OR(Inputs!$C$27=TRUE,Inputs!$C$27="TRUE",Inputs!$C$27=1),Inputs!$C$46/Inputs!$C$12,0)</x:f>
        <x:v>42.13483146067416</x:v>
      </x:c>
      <x:c r="AR107" s="48" t="n">
        <x:f>AC107-AQ107</x:f>
        <x:v>270.39523789189997</x:v>
      </x:c>
      <x:c r="AS107" s="48" t="n">
        <x:f>AC107+AQ107</x:f>
        <x:v>354.66490081324827</x:v>
      </x:c>
    </x:row>
    <x:row r="108">
      <x:c r="A108" s="48" t="n">
        <x:f>Inputs!$C$7+106*(Inputs!$C$8-Inputs!$C$7)/240</x:f>
        <x:v>-7</x:v>
      </x:c>
      <x:c r="B108" s="48" t="n">
        <x:f>Inputs!$C$5+Inputs!$C$9*(A108/Inputs!$C$10)^2</x:f>
        <x:v>400.05444444444447</x:v>
      </x:c>
      <x:c r="C108" s="48" t="n">
        <x:f>B108</x:f>
        <x:v>400.05444444444447</x:v>
      </x:c>
      <x:c r="D108" s="48" t="n">
        <x:f>SQRT((Inputs!$C$52+B108)^2+Inputs!$C$52^2-2*(Inputs!$C$52+B108)*Inputs!$C$52*COS(SQRT(A108^2+Inputs!$C$6^2)/Inputs!$C$52))</x:f>
        <x:v>401.11132424828133</x:v>
      </x:c>
      <x:c r="E108" s="48" t="n">
        <x:f>(D108-C108)*1000</x:f>
        <x:v>1056.879803836864</x:v>
      </x:c>
      <x:c r="F108" s="48" t="n">
        <x:f>E108/Inputs!$C$12</x:f>
        <x:v>593.7526987847551</x:v>
      </x:c>
      <x:c r="G108" s="48" t="n">
        <x:f>2*E108/Inputs!$C$21*1000000</x:f>
        <x:v>7.05074311000088</x:v>
      </x:c>
      <x:c r="H108" s="48" t="n">
        <x:f>SQRT(A108^2+Inputs!$C$6^2)</x:f>
        <x:v>25.96150997149434</x:v>
      </x:c>
      <x:c r="I108" s="48" t="n">
        <x:f>DEGREES(ATAN(H108/B108))</x:f>
        <x:v>3.7129998776451707</x:v>
      </x:c>
      <x:c r="J108" s="48" t="n">
        <x:f>DEGREES((2*PI()/Inputs!$C$13)*Inputs!$C$15*SIN(RADIANS(I108)))</x:f>
        <x:v>23.31314075897189</x:v>
      </x:c>
      <x:c r="K108" s="48" t="n">
        <x:f>(C108/D108)^4</x:f>
        <x:v>0.9895020664115125</x:v>
      </x:c>
      <x:c r="L108" s="48" t="n">
        <x:f>10*LOG10(K108)</x:f>
        <x:v>-0.045832945043963</x:v>
      </x:c>
      <x:c r="M108" s="48" t="n">
        <x:f>2*(Inputs!$C$9/(Inputs!$C$10^2))*A108</x:f>
        <x:v>-0.015555555555555555</x:v>
      </x:c>
      <x:c r="N108" s="48" t="n">
        <x:f>M108*Inputs!$C$11</x:f>
        <x:v>-0.06222222222222222</x:v>
      </x:c>
      <x:c r="O108" s="48" t="n">
        <x:f>1000*(D109-D107)/(A109-A107)*Inputs!$C$11</x:f>
        <x:v>-149.78584691539254</x:v>
      </x:c>
      <x:c r="P108" s="48" t="n">
        <x:f>-2*O108/Inputs!$C$13</x:f>
        <x:v>59.914338766157016</x:v>
      </x:c>
      <x:c r="Q108" s="48" t="n">
        <x:f>-2*O108/Inputs!$C$14</x:f>
        <x:v>8.996146961885438</x:v>
      </x:c>
      <x:c r="R108" s="48" t="n">
        <x:f>F108-Inputs!$C$16/2</x:f>
        <x:v>578.7526987847551</x:v>
      </x:c>
      <x:c r="S108" s="48" t="n">
        <x:f>F108+Inputs!$C$16/2</x:f>
        <x:v>608.7526987847551</x:v>
      </x:c>
      <x:c r="T108" s="48" t="n">
        <x:f>F108-Inputs!$C$17/2</x:f>
        <x:v>443.7526987847551</x:v>
      </x:c>
      <x:c r="U108" s="48" t="n">
        <x:f>F108+Inputs!$C$17/2</x:f>
        <x:v>743.7526987847551</x:v>
      </x:c>
      <x:c r="V108" s="48" t="n">
        <x:f>ABS(P108)</x:f>
        <x:v>59.914338766157016</x:v>
      </x:c>
      <x:c r="W108" s="48" t="n">
        <x:f>ABS(Q108)</x:f>
        <x:v>8.996146961885438</x:v>
      </x:c>
      <x:c r="X108" s="48" t="n">
        <x: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(0.45*SIN(2*PI()*(((A108)/Inputs!$C$49)+Inputs!$C$47*0.137))+0.35*COS(2*PI()*(((0)/Inputs!$C$50)+Inputs!$C$47*0.173))+0.20*SIN(2*PI()*(((A108)+(0))/(0.5*(Inputs!$C$49+Inputs!$C$50))+Inputs!$C$47*0.097)))+0.30*(2*((SIN(((A108)*12.9898+(0)*78.233+Inputs!$C$47*37.719))*43758.5453)-INT((SIN(((A108)*12.9898+(0)*78.233+Inputs!$C$47*37.719))*43758.5453)))-1)))</x:f>
        <x:v>-48.04634011268098</x:v>
      </x:c>
      <x:c r="Y108" s="48" t="n">
        <x: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(0.45*SIN(2*PI()*(((A108)/Inputs!$C$49)+Inputs!$C$47*0.137))+0.35*COS(2*PI()*(((Inputs!$C$6)/Inputs!$C$50)+Inputs!$C$47*0.173))+0.20*SIN(2*PI()*(((A108)+(Inputs!$C$6))/(0.5*(Inputs!$C$49+Inputs!$C$50))+Inputs!$C$47*0.097)))+0.30*(2*((SIN(((A108)*12.9898+(Inputs!$C$6)*78.233+Inputs!$C$47*37.719))*43758.5453)-INT((SIN(((A108)*12.9898+(Inputs!$C$6)*78.233+Inputs!$C$47*37.719))*43758.5453)))-1)))</x:f>
        <x:v>442.95708145426426</x:v>
      </x:c>
      <x:c r="Z108" s="48" t="n">
        <x:f>B108-X108/1000</x:f>
        <x:v>400.1024907845572</x:v>
      </x:c>
      <x:c r="AA108" s="48" t="n">
        <x:f>SQRT((Inputs!$C$52+B108)^2+(Inputs!$C$52+Y108/1000)^2-2*(Inputs!$C$52+B108)*(Inputs!$C$52+Y108/1000)*COS(SQRT(A108^2+Inputs!$C$6^2)/Inputs!$C$52))</x:f>
        <x:v>400.66983547264755</x:v>
      </x:c>
      <x:c r="AB108" s="48" t="n">
        <x:f>(AA108-Z108)*1000</x:f>
        <x:v>567.3446880903725</x:v>
      </x:c>
      <x:c r="AC108" s="48" t="n">
        <x:f>AB108/Inputs!$C$12</x:f>
        <x:v>318.73297083728795</x:v>
      </x:c>
      <x:c r="AD108" s="48" t="n">
        <x:f>2*AB108/Inputs!$C$21*1000000</x:f>
        <x:v>3.784916350966858</x:v>
      </x:c>
      <x:c r="AE108" s="48" t="n">
        <x:f>DEGREES(ATAN(H108/(B108-Y108/1000)))</x:f>
        <x:v>3.717104091851114</x:v>
      </x:c>
      <x:c r="AF108" s="48" t="n">
        <x:f>DEGREES((2*PI()/Inputs!$C$13)*Inputs!$C$15*SIN(RADIANS(AE108)))</x:f>
        <x:v>23.338874108222925</x:v>
      </x:c>
      <x:c r="AG108" s="48" t="n">
        <x:f>(Z108/AA108)^4</x:f>
        <x:v>0.994348056748381</x:v>
      </x:c>
      <x:c r="AH108" s="48" t="n">
        <x:f>10*LOG10(AG108)</x:f>
        <x:v>-0.0246157066644732</x:v>
      </x:c>
      <x:c r="AI108" s="48" t="n">
        <x:f>AC108-F108</x:f>
        <x:v>-275.0197279474672</x:v>
      </x:c>
      <x:c r="AJ108" s="48" t="n">
        <x:f>AD108-G108</x:f>
        <x:v>-3.265826759034022</x:v>
      </x:c>
      <x:c r="AK108" s="48" t="n">
        <x:f>Y108-X108</x:f>
        <x:v>491.00342156694524</x:v>
      </x:c>
      <x:c r="AL108" s="48" t="n">
        <x:f>1000*(AA109-AA107)/(A109-A107)*Inputs!$C$11</x:f>
        <x:v>-92.28828727555083</x:v>
      </x:c>
      <x:c r="AM108" s="48" t="n">
        <x:f>-2*AL108/Inputs!$C$13</x:f>
        <x:v>36.91531491022033</x:v>
      </x:c>
      <x:c r="AN108" s="48" t="n">
        <x:f>-2*AL108/Inputs!$C$14</x:f>
        <x:v>5.54284007660966</x:v>
      </x:c>
      <x:c r="AO108" s="48" t="n">
        <x:f>ABS(AM108)</x:f>
        <x:v>36.91531491022033</x:v>
      </x:c>
      <x:c r="AP108" s="48" t="n">
        <x:f>ABS(AN108)</x:f>
        <x:v>5.54284007660966</x:v>
      </x:c>
      <x:c r="AQ108" s="48" t="n">
        <x:f>IF(OR(Inputs!$C$27=TRUE,Inputs!$C$27="TRUE",Inputs!$C$27=1),Inputs!$C$46/Inputs!$C$12,0)</x:f>
        <x:v>42.13483146067416</x:v>
      </x:c>
      <x:c r="AR108" s="48" t="n">
        <x:f>AC108-AQ108</x:f>
        <x:v>276.5981393766138</x:v>
      </x:c>
      <x:c r="AS108" s="48" t="n">
        <x:f>AC108+AQ108</x:f>
        <x:v>360.8678022979621</x:v>
      </x:c>
    </x:row>
    <x:row r="109">
      <x:c r="A109" s="48" t="n">
        <x:f>Inputs!$C$7+107*(Inputs!$C$8-Inputs!$C$7)/240</x:f>
        <x:v>-6.5</x:v>
      </x:c>
      <x:c r="B109" s="48" t="n">
        <x:f>Inputs!$C$5+Inputs!$C$9*(A109/Inputs!$C$10)^2</x:f>
        <x:v>400.0469444444444</x:v>
      </x:c>
      <x:c r="C109" s="48" t="n">
        <x:f>B109</x:f>
        <x:v>400.0469444444444</x:v>
      </x:c>
      <x:c r="D109" s="48" t="n">
        <x:f>SQRT((Inputs!$C$52+B109)^2+Inputs!$C$52^2-2*(Inputs!$C$52+B109)*Inputs!$C$52*COS(SQRT(A109^2+Inputs!$C$6^2)/Inputs!$C$52))</x:f>
        <x:v>401.0932693839189</x:v>
      </x:c>
      <x:c r="E109" s="48" t="n">
        <x:f>(D109-C109)*1000</x:f>
        <x:v>1046.3249394744594</x:v>
      </x:c>
      <x:c r="F109" s="48" t="n">
        <x:f>E109/Inputs!$C$12</x:f>
        <x:v>587.8229997047524</x:v>
      </x:c>
      <x:c r="G109" s="48" t="n">
        <x:f>2*E109/Inputs!$C$21*1000000</x:f>
        <x:v>6.980328634381184</x:v>
      </x:c>
      <x:c r="H109" s="48" t="n">
        <x:f>SQRT(A109^2+Inputs!$C$6^2)</x:f>
        <x:v>25.83118270617898</x:v>
      </x:c>
      <x:c r="I109" s="48" t="n">
        <x:f>DEGREES(ATAN(H109/B109))</x:f>
        <x:v>3.694481369413298</x:v>
      </x:c>
      <x:c r="J109" s="48" t="n">
        <x:f>DEGREES((2*PI()/Inputs!$C$13)*Inputs!$C$15*SIN(RADIANS(I109)))</x:f>
        <x:v>23.19702855979598</x:v>
      </x:c>
      <x:c r="K109" s="48" t="n">
        <x:f>(C109/D109)^4</x:f>
        <x:v>0.9896060309087035</x:v>
      </x:c>
      <x:c r="L109" s="48" t="n">
        <x:f>10*LOG10(K109)</x:f>
        <x:v>-0.0453766667078119</x:v>
      </x:c>
      <x:c r="M109" s="48" t="n">
        <x:f>2*(Inputs!$C$9/(Inputs!$C$10^2))*A109</x:f>
        <x:v>-0.014444444444444444</x:v>
      </x:c>
      <x:c r="N109" s="48" t="n">
        <x:f>M109*Inputs!$C$11</x:f>
        <x:v>-0.057777777777777775</x:v>
      </x:c>
      <x:c r="O109" s="48" t="n">
        <x:f>1000*(D110-D108)/(A110-A108)*Inputs!$C$11</x:f>
        <x:v>-139.0914529733891</x:v>
      </x:c>
      <x:c r="P109" s="48" t="n">
        <x:f>-2*O109/Inputs!$C$13</x:f>
        <x:v>55.63658118935564</x:v>
      </x:c>
      <x:c r="Q109" s="48" t="n">
        <x:f>-2*O109/Inputs!$C$14</x:f>
        <x:v>8.353841019422768</x:v>
      </x:c>
      <x:c r="R109" s="48" t="n">
        <x:f>F109-Inputs!$C$16/2</x:f>
        <x:v>572.8229997047524</x:v>
      </x:c>
      <x:c r="S109" s="48" t="n">
        <x:f>F109+Inputs!$C$16/2</x:f>
        <x:v>602.8229997047524</x:v>
      </x:c>
      <x:c r="T109" s="48" t="n">
        <x:f>F109-Inputs!$C$17/2</x:f>
        <x:v>437.8229997047524</x:v>
      </x:c>
      <x:c r="U109" s="48" t="n">
        <x:f>F109+Inputs!$C$17/2</x:f>
        <x:v>737.8229997047524</x:v>
      </x:c>
      <x:c r="V109" s="48" t="n">
        <x:f>ABS(P109)</x:f>
        <x:v>55.63658118935564</x:v>
      </x:c>
      <x:c r="W109" s="48" t="n">
        <x:f>ABS(Q109)</x:f>
        <x:v>8.353841019422768</x:v>
      </x:c>
      <x:c r="X109" s="48" t="n">
        <x: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(0.45*SIN(2*PI()*(((A109)/Inputs!$C$49)+Inputs!$C$47*0.137))+0.35*COS(2*PI()*(((0)/Inputs!$C$50)+Inputs!$C$47*0.173))+0.20*SIN(2*PI()*(((A109)+(0))/(0.5*(Inputs!$C$49+Inputs!$C$50))+Inputs!$C$47*0.097)))+0.30*(2*((SIN(((A109)*12.9898+(0)*78.233+Inputs!$C$47*37.719))*43758.5453)-INT((SIN(((A109)*12.9898+(0)*78.233+Inputs!$C$47*37.719))*43758.5453)))-1)))</x:f>
        <x:v>-59.466303655605586</x:v>
      </x:c>
      <x:c r="Y109" s="48" t="n">
        <x: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(0.45*SIN(2*PI()*(((A109)/Inputs!$C$49)+Inputs!$C$47*0.137))+0.35*COS(2*PI()*(((Inputs!$C$6)/Inputs!$C$50)+Inputs!$C$47*0.173))+0.20*SIN(2*PI()*(((A109)+(Inputs!$C$6))/(0.5*(Inputs!$C$49+Inputs!$C$50))+Inputs!$C$47*0.097)))+0.30*(2*((SIN(((A109)*12.9898+(Inputs!$C$6)*78.233+Inputs!$C$47*37.719))*43758.5453)-INT((SIN(((A109)*12.9898+(Inputs!$C$6)*78.233+Inputs!$C$47*37.719))*43758.5453)))-1)))</x:f>
        <x:v>455.8100478474453</x:v>
      </x:c>
      <x:c r="Z109" s="48" t="n">
        <x:f>B109-X109/1000</x:f>
        <x:v>400.1064107481</x:v>
      </x:c>
      <x:c r="AA109" s="48" t="n">
        <x:f>SQRT((Inputs!$C$52+B109)^2+(Inputs!$C$52+Y109/1000)^2-2*(Inputs!$C$52+B109)*(Inputs!$C$52+Y109/1000)*COS(SQRT(A109^2+Inputs!$C$6^2)/Inputs!$C$52))</x:f>
        <x:v>400.63895526308033</x:v>
      </x:c>
      <x:c r="AB109" s="48" t="n">
        <x:f>(AA109-Z109)*1000</x:f>
        <x:v>532.5445149803159</x:v>
      </x:c>
      <x:c r="AC109" s="48" t="n">
        <x:f>AB109/Inputs!$C$12</x:f>
        <x:v>299.1823117866943</x:v>
      </x:c>
      <x:c r="AD109" s="48" t="n">
        <x:f>2*AB109/Inputs!$C$21*1000000</x:f>
        <x:v>3.5527545858429557</x:v>
      </x:c>
      <x:c r="AE109" s="48" t="n">
        <x:f>DEGREES(ATAN(H109/(B109-Y109/1000)))</x:f>
        <x:v>3.6986839398815357</x:v>
      </x:c>
      <x:c r="AF109" s="48" t="n">
        <x:f>DEGREES((2*PI()/Inputs!$C$13)*Inputs!$C$15*SIN(RADIANS(AE109)))</x:f>
        <x:v>23.223379151193264</x:v>
      </x:c>
      <x:c r="AG109" s="48" t="n">
        <x:f>(Z109/AA109)^4</x:f>
        <x:v>0.9946936399365787</x:v>
      </x:c>
      <x:c r="AH109" s="48" t="n">
        <x:f>10*LOG10(AG109)</x:f>
        <x:v>-0.023106589249457597</x:v>
      </x:c>
      <x:c r="AI109" s="48" t="n">
        <x:f>AC109-F109</x:f>
        <x:v>-288.6406879180581</x:v>
      </x:c>
      <x:c r="AJ109" s="48" t="n">
        <x:f>AD109-G109</x:f>
        <x:v>-3.4275740485382284</x:v>
      </x:c>
      <x:c r="AK109" s="48" t="n">
        <x:f>Y109-X109</x:f>
        <x:v>515.2763515030508</x:v>
      </x:c>
      <x:c r="AL109" s="48" t="n">
        <x:f>1000*(AA110-AA108)/(A110-A108)*Inputs!$C$11</x:f>
        <x:v>-158.3269913469394</x:v>
      </x:c>
      <x:c r="AM109" s="48" t="n">
        <x:f>-2*AL109/Inputs!$C$13</x:f>
        <x:v>63.33079653877576</x:v>
      </x:c>
      <x:c r="AN109" s="48" t="n">
        <x:f>-2*AL109/Inputs!$C$14</x:f>
        <x:v>9.50912860942579</x:v>
      </x:c>
      <x:c r="AO109" s="48" t="n">
        <x:f>ABS(AM109)</x:f>
        <x:v>63.33079653877576</x:v>
      </x:c>
      <x:c r="AP109" s="48" t="n">
        <x:f>ABS(AN109)</x:f>
        <x:v>9.50912860942579</x:v>
      </x:c>
      <x:c r="AQ109" s="48" t="n">
        <x:f>IF(OR(Inputs!$C$27=TRUE,Inputs!$C$27="TRUE",Inputs!$C$27=1),Inputs!$C$46/Inputs!$C$12,0)</x:f>
        <x:v>42.13483146067416</x:v>
      </x:c>
      <x:c r="AR109" s="48" t="n">
        <x:f>AC109-AQ109</x:f>
        <x:v>257.04748032602015</x:v>
      </x:c>
      <x:c r="AS109" s="48" t="n">
        <x:f>AC109+AQ109</x:f>
        <x:v>341.31714324736845</x:v>
      </x:c>
    </x:row>
    <x:row r="110">
      <x:c r="A110" s="48" t="n">
        <x:f>Inputs!$C$7+108*(Inputs!$C$8-Inputs!$C$7)/240</x:f>
        <x:v>-6</x:v>
      </x:c>
      <x:c r="B110" s="48" t="n">
        <x:f>Inputs!$C$5+Inputs!$C$9*(A110/Inputs!$C$10)^2</x:f>
        <x:v>400.04</x:v>
      </x:c>
      <x:c r="C110" s="48" t="n">
        <x:f>B110</x:f>
        <x:v>400.04</x:v>
      </x:c>
      <x:c r="D110" s="48" t="n">
        <x:f>SQRT((Inputs!$C$52+B110)^2+Inputs!$C$52^2-2*(Inputs!$C$52+B110)*Inputs!$C$52*COS(SQRT(A110^2+Inputs!$C$6^2)/Inputs!$C$52))</x:f>
        <x:v>401.076551385038</x:v>
      </x:c>
      <x:c r="E110" s="48" t="n">
        <x:f>(D110-C110)*1000</x:f>
        <x:v>1036.551385037967</x:v>
      </x:c>
      <x:c r="F110" s="48" t="n">
        <x:f>E110/Inputs!$C$12</x:f>
        <x:v>582.3322387853748</x:v>
      </x:c>
      <x:c r="G110" s="48" t="n">
        <x:f>2*E110/Inputs!$C$21*1000000</x:f>
        <x:v>6.915126497531617</x:v>
      </x:c>
      <x:c r="H110" s="48" t="n">
        <x:f>SQRT(A110^2+Inputs!$C$6^2)</x:f>
        <x:v>25.709920264364882</x:v>
      </x:c>
      <x:c r="I110" s="48" t="n">
        <x:f>DEGREES(ATAN(H110/B110))</x:f>
        <x:v>3.6772492746351846</x:v>
      </x:c>
      <x:c r="J110" s="48" t="n">
        <x:f>DEGREES((2*PI()/Inputs!$C$13)*Inputs!$C$15*SIN(RADIANS(I110)))</x:f>
        <x:v>23.0889800761876</x:v>
      </x:c>
      <x:c r="K110" s="48" t="n">
        <x:f>(C110/D110)^4</x:f>
        <x:v>0.9897023152331168</x:v>
      </x:c>
      <x:c r="L110" s="48" t="n">
        <x:f>10*LOG10(K110)</x:f>
        <x:v>-0.0449541377885459</x:v>
      </x:c>
      <x:c r="M110" s="48" t="n">
        <x:f>2*(Inputs!$C$9/(Inputs!$C$10^2))*A110</x:f>
        <x:v>-0.013333333333333332</x:v>
      </x:c>
      <x:c r="N110" s="48" t="n">
        <x:f>M110*Inputs!$C$11</x:f>
        <x:v>-0.05333333333333333</x:v>
      </x:c>
      <x:c r="O110" s="48" t="n">
        <x:f>1000*(D111-D109)/(A111-A109)*Inputs!$C$11</x:f>
        <x:v>-128.3960383966587</x:v>
      </x:c>
      <x:c r="P110" s="48" t="n">
        <x:f>-2*O110/Inputs!$C$13</x:f>
        <x:v>51.35841535866348</x:v>
      </x:c>
      <x:c r="Q110" s="48" t="n">
        <x:f>-2*O110/Inputs!$C$14</x:f>
        <x:v>7.711473777577099</x:v>
      </x:c>
      <x:c r="R110" s="48" t="n">
        <x:f>F110-Inputs!$C$16/2</x:f>
        <x:v>567.3322387853748</x:v>
      </x:c>
      <x:c r="S110" s="48" t="n">
        <x:f>F110+Inputs!$C$16/2</x:f>
        <x:v>597.3322387853748</x:v>
      </x:c>
      <x:c r="T110" s="48" t="n">
        <x:f>F110-Inputs!$C$17/2</x:f>
        <x:v>432.3322387853748</x:v>
      </x:c>
      <x:c r="U110" s="48" t="n">
        <x:f>F110+Inputs!$C$17/2</x:f>
        <x:v>732.3322387853748</x:v>
      </x:c>
      <x:c r="V110" s="48" t="n">
        <x:f>ABS(P110)</x:f>
        <x:v>51.35841535866348</x:v>
      </x:c>
      <x:c r="W110" s="48" t="n">
        <x:f>ABS(Q110)</x:f>
        <x:v>7.711473777577099</x:v>
      </x:c>
      <x:c r="X110" s="48" t="n">
        <x: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(0.45*SIN(2*PI()*(((A110)/Inputs!$C$49)+Inputs!$C$47*0.137))+0.35*COS(2*PI()*(((0)/Inputs!$C$50)+Inputs!$C$47*0.173))+0.20*SIN(2*PI()*(((A110)+(0))/(0.5*(Inputs!$C$49+Inputs!$C$50))+Inputs!$C$47*0.097)))+0.30*(2*((SIN(((A110)*12.9898+(0)*78.233+Inputs!$C$47*37.719))*43758.5453)-INT((SIN(((A110)*12.9898+(0)*78.233+Inputs!$C$47*37.719))*43758.5453)))-1)))</x:f>
        <x:v>-61.0986453608147</x:v>
      </x:c>
      <x:c r="Y110" s="48" t="n">
        <x: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(0.45*SIN(2*PI()*(((A110)/Inputs!$C$49)+Inputs!$C$47*0.137))+0.35*COS(2*PI()*(((Inputs!$C$6)/Inputs!$C$50)+Inputs!$C$47*0.173))+0.20*SIN(2*PI()*(((A110)+(Inputs!$C$6))/(0.5*(Inputs!$C$49+Inputs!$C$50))+Inputs!$C$47*0.097)))+0.30*(2*((SIN(((A110)*12.9898+(Inputs!$C$6)*78.233+Inputs!$C$47*37.719))*43758.5453)-INT((SIN(((A110)*12.9898+(Inputs!$C$6)*78.233+Inputs!$C$47*37.719))*43758.5453)))-1)))</x:f>
        <x:v>447.7534427220802</x:v>
      </x:c>
      <x:c r="Z110" s="48" t="n">
        <x:f>B110-X110/1000</x:f>
        <x:v>400.1010986453608</x:v>
      </x:c>
      <x:c r="AA110" s="48" t="n">
        <x:f>SQRT((Inputs!$C$52+B110)^2+(Inputs!$C$52+Y110/1000)^2-2*(Inputs!$C$52+B110)*(Inputs!$C$52+Y110/1000)*COS(SQRT(A110^2+Inputs!$C$6^2)/Inputs!$C$52))</x:f>
        <x:v>400.6302537248108</x:v>
      </x:c>
      <x:c r="AB110" s="48" t="n">
        <x:f>(AA110-Z110)*1000</x:f>
        <x:v>529.1550794499926</x:v>
      </x:c>
      <x:c r="AC110" s="48" t="n">
        <x:f>AB110/Inputs!$C$12</x:f>
        <x:v>297.2781345224678</x:v>
      </x:c>
      <x:c r="AD110" s="48" t="n">
        <x:f>2*AB110/Inputs!$C$21*1000000</x:f>
        <x:v>3.530142705924861</x:v>
      </x:c>
      <x:c r="AE110" s="48" t="n">
        <x:f>DEGREES(ATAN(H110/(B110-Y110/1000)))</x:f>
        <x:v>3.681358402884123</x:v>
      </x:c>
      <x:c r="AF110" s="48" t="n">
        <x:f>DEGREES((2*PI()/Inputs!$C$13)*Inputs!$C$15*SIN(RADIANS(AE110)))</x:f>
        <x:v>23.11474527513952</x:v>
      </x:c>
      <x:c r="AG110" s="48" t="n">
        <x:f>(Z110/AA110)^4</x:f>
        <x:v>0.9947272316048262</x:v>
      </x:c>
      <x:c r="AH110" s="48" t="n">
        <x:f>10*LOG10(AG110)</x:f>
        <x:v>-0.022959926706926502</x:v>
      </x:c>
      <x:c r="AI110" s="48" t="n">
        <x:f>AC110-F110</x:f>
        <x:v>-285.054104262907</x:v>
      </x:c>
      <x:c r="AJ110" s="48" t="n">
        <x:f>AD110-G110</x:f>
        <x:v>-3.3849837916067558</x:v>
      </x:c>
      <x:c r="AK110" s="48" t="n">
        <x:f>Y110-X110</x:f>
        <x:v>508.8520880828949</x:v>
      </x:c>
      <x:c r="AL110" s="48" t="n">
        <x:f>1000*(AA111-AA109)/(A111-A109)*Inputs!$C$11</x:f>
        <x:v>-54.43067836222326</x:v>
      </x:c>
      <x:c r="AM110" s="48" t="n">
        <x:f>-2*AL110/Inputs!$C$13</x:f>
        <x:v>21.772271344889305</x:v>
      </x:c>
      <x:c r="AN110" s="48" t="n">
        <x:f>-2*AL110/Inputs!$C$14</x:f>
        <x:v>3.269109811544941</x:v>
      </x:c>
      <x:c r="AO110" s="48" t="n">
        <x:f>ABS(AM110)</x:f>
        <x:v>21.772271344889305</x:v>
      </x:c>
      <x:c r="AP110" s="48" t="n">
        <x:f>ABS(AN110)</x:f>
        <x:v>3.269109811544941</x:v>
      </x:c>
      <x:c r="AQ110" s="48" t="n">
        <x:f>IF(OR(Inputs!$C$27=TRUE,Inputs!$C$27="TRUE",Inputs!$C$27=1),Inputs!$C$46/Inputs!$C$12,0)</x:f>
        <x:v>42.13483146067416</x:v>
      </x:c>
      <x:c r="AR110" s="48" t="n">
        <x:f>AC110-AQ110</x:f>
        <x:v>255.14330306179363</x:v>
      </x:c>
      <x:c r="AS110" s="48" t="n">
        <x:f>AC110+AQ110</x:f>
        <x:v>339.41296598314193</x:v>
      </x:c>
    </x:row>
    <x:row r="111">
      <x:c r="A111" s="48" t="n">
        <x:f>Inputs!$C$7+109*(Inputs!$C$8-Inputs!$C$7)/240</x:f>
        <x:v>-5.5</x:v>
      </x:c>
      <x:c r="B111" s="48" t="n">
        <x:f>Inputs!$C$5+Inputs!$C$9*(A111/Inputs!$C$10)^2</x:f>
        <x:v>400.0336111111111</x:v>
      </x:c>
      <x:c r="C111" s="48" t="n">
        <x:f>B111</x:f>
        <x:v>400.0336111111111</x:v>
      </x:c>
      <x:c r="D111" s="48" t="n">
        <x:f>SQRT((Inputs!$C$52+B111)^2+Inputs!$C$52^2-2*(Inputs!$C$52+B111)*Inputs!$C$52*COS(SQRT(A111^2+Inputs!$C$6^2)/Inputs!$C$52))</x:f>
        <x:v>401.0611703743197</x:v>
      </x:c>
      <x:c r="E111" s="48" t="n">
        <x:f>(D111-C111)*1000</x:f>
        <x:v>1027.559263208616</x:v>
      </x:c>
      <x:c r="F111" s="48" t="n">
        <x:f>E111/Inputs!$C$12</x:f>
        <x:v>577.2804849486606</x:v>
      </x:c>
      <x:c r="G111" s="48" t="n">
        <x:f>2*E111/Inputs!$C$21*1000000</x:f>
        <x:v>6.855137517893235</x:v>
      </x:c>
      <x:c r="H111" s="48" t="n">
        <x:f>SQRT(A111^2+Inputs!$C$6^2)</x:f>
        <x:v>25.59785147234041</x:v>
      </x:c>
      <x:c r="I111" s="48" t="n">
        <x:f>DEGREES(ATAN(H111/B111))</x:f>
        <x:v>3.6613222610928524</x:v>
      </x:c>
      <x:c r="J111" s="48" t="n">
        <x:f>DEGREES((2*PI()/Inputs!$C$13)*Inputs!$C$15*SIN(RADIANS(I111)))</x:f>
        <x:v>22.989112840565028</x:v>
      </x:c>
      <x:c r="K111" s="48" t="n">
        <x:f>(C111/D111)^4</x:f>
        <x:v>0.9897909145666158</x:v>
      </x:c>
      <x:c r="L111" s="48" t="n">
        <x:f>10*LOG10(K111)</x:f>
        <x:v>-0.0445653695817608</x:v>
      </x:c>
      <x:c r="M111" s="48" t="n">
        <x:f>2*(Inputs!$C$9/(Inputs!$C$10^2))*A111</x:f>
        <x:v>-0.012222222222222223</x:v>
      </x:c>
      <x:c r="N111" s="48" t="n">
        <x:f>M111*Inputs!$C$11</x:f>
        <x:v>-0.04888888888888889</x:v>
      </x:c>
      <x:c r="O111" s="48" t="n">
        <x:f>1000*(D112-D110)/(A112-A110)*Inputs!$C$11</x:f>
        <x:v>-117.69968152384536</x:v>
      </x:c>
      <x:c r="P111" s="48" t="n">
        <x:f>-2*O111/Inputs!$C$13</x:f>
        <x:v>47.07987260953814</x:v>
      </x:c>
      <x:c r="Q111" s="48" t="n">
        <x:f>-2*O111/Inputs!$C$14</x:f>
        <x:v>7.069049941372094</x:v>
      </x:c>
      <x:c r="R111" s="48" t="n">
        <x:f>F111-Inputs!$C$16/2</x:f>
        <x:v>562.2804849486606</x:v>
      </x:c>
      <x:c r="S111" s="48" t="n">
        <x:f>F111+Inputs!$C$16/2</x:f>
        <x:v>592.2804849486606</x:v>
      </x:c>
      <x:c r="T111" s="48" t="n">
        <x:f>F111-Inputs!$C$17/2</x:f>
        <x:v>427.2804849486606</x:v>
      </x:c>
      <x:c r="U111" s="48" t="n">
        <x:f>F111+Inputs!$C$17/2</x:f>
        <x:v>727.2804849486606</x:v>
      </x:c>
      <x:c r="V111" s="48" t="n">
        <x:f>ABS(P111)</x:f>
        <x:v>47.07987260953814</x:v>
      </x:c>
      <x:c r="W111" s="48" t="n">
        <x:f>ABS(Q111)</x:f>
        <x:v>7.069049941372094</x:v>
      </x:c>
      <x:c r="X111" s="48" t="n">
        <x: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(0.45*SIN(2*PI()*(((A111)/Inputs!$C$49)+Inputs!$C$47*0.137))+0.35*COS(2*PI()*(((0)/Inputs!$C$50)+Inputs!$C$47*0.173))+0.20*SIN(2*PI()*(((A111)+(0))/(0.5*(Inputs!$C$49+Inputs!$C$50))+Inputs!$C$47*0.097)))+0.30*(2*((SIN(((A111)*12.9898+(0)*78.233+Inputs!$C$47*37.719))*43758.5453)-INT((SIN(((A111)*12.9898+(0)*78.233+Inputs!$C$47*37.719))*43758.5453)))-1)))</x:f>
        <x:v>-63.59054434613801</x:v>
      </x:c>
      <x:c r="Y111" s="48" t="n">
        <x: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(0.45*SIN(2*PI()*(((A111)/Inputs!$C$49)+Inputs!$C$47*0.137))+0.35*COS(2*PI()*(((Inputs!$C$6)/Inputs!$C$50)+Inputs!$C$47*0.173))+0.20*SIN(2*PI()*(((A111)+(Inputs!$C$6))/(0.5*(Inputs!$C$49+Inputs!$C$50))+Inputs!$C$47*0.097)))+0.30*(2*((SIN(((A111)*12.9898+(Inputs!$C$6)*78.233+Inputs!$C$47*37.719))*43758.5453)-INT((SIN(((A111)*12.9898+(Inputs!$C$6)*78.233+Inputs!$C$47*37.719))*43758.5453)))-1)))</x:f>
        <x:v>437.23203216912464</x:v>
      </x:c>
      <x:c r="Z111" s="48" t="n">
        <x:f>B111-X111/1000</x:f>
        <x:v>400.09720165545724</x:v>
      </x:c>
      <x:c r="AA111" s="48" t="n">
        <x:f>SQRT((Inputs!$C$52+B111)^2+(Inputs!$C$52+Y111/1000)^2-2*(Inputs!$C$52+B111)*(Inputs!$C$52+Y111/1000)*COS(SQRT(A111^2+Inputs!$C$6^2)/Inputs!$C$52))</x:f>
        <x:v>400.6253475934898</x:v>
      </x:c>
      <x:c r="AB111" s="48" t="n">
        <x:f>(AA111-Z111)*1000</x:f>
        <x:v>528.1459380325373</x:v>
      </x:c>
      <x:c r="AC111" s="48" t="n">
        <x:f>AB111/Inputs!$C$12</x:f>
        <x:v>296.7112011418749</x:v>
      </x:c>
      <x:c r="AD111" s="48" t="n">
        <x:f>2*AB111/Inputs!$C$21*1000000</x:f>
        <x:v>3.523410439048052</x:v>
      </x:c>
      <x:c r="AE111" s="48" t="n">
        <x:f>DEGREES(ATAN(H111/(B111-Y111/1000)))</x:f>
        <x:v>3.665317506963284</x:v>
      </x:c>
      <x:c r="AF111" s="48" t="n">
        <x:f>DEGREES((2*PI()/Inputs!$C$13)*Inputs!$C$15*SIN(RADIANS(AE111)))</x:f>
        <x:v>23.014164418685684</x:v>
      </x:c>
      <x:c r="AG111" s="48" t="n">
        <x:f>(Z111/AA111)^4</x:f>
        <x:v>0.9947372029898824</x:v>
      </x:c>
      <x:c r="AH111" s="48" t="n">
        <x:f>10*LOG10(AG111)</x:f>
        <x:v>-0.0229163922015433</x:v>
      </x:c>
      <x:c r="AI111" s="48" t="n">
        <x:f>AC111-F111</x:f>
        <x:v>-280.56928380678573</x:v>
      </x:c>
      <x:c r="AJ111" s="48" t="n">
        <x:f>AD111-G111</x:f>
        <x:v>-3.331727078845183</x:v>
      </x:c>
      <x:c r="AK111" s="48" t="n">
        <x:f>Y111-X111</x:f>
        <x:v>500.82257651526265</x:v>
      </x:c>
      <x:c r="AL111" s="48" t="n">
        <x:f>1000*(AA112-AA110)/(A112-A110)*Inputs!$C$11</x:f>
        <x:v>-33.03477638928598</x:v>
      </x:c>
      <x:c r="AM111" s="48" t="n">
        <x:f>-2*AL111/Inputs!$C$13</x:f>
        <x:v>13.213910555714392</x:v>
      </x:c>
      <x:c r="AN111" s="48" t="n">
        <x:f>-2*AL111/Inputs!$C$14</x:f>
        <x:v>1.98407065401117</x:v>
      </x:c>
      <x:c r="AO111" s="48" t="n">
        <x:f>ABS(AM111)</x:f>
        <x:v>13.213910555714392</x:v>
      </x:c>
      <x:c r="AP111" s="48" t="n">
        <x:f>ABS(AN111)</x:f>
        <x:v>1.98407065401117</x:v>
      </x:c>
      <x:c r="AQ111" s="48" t="n">
        <x:f>IF(OR(Inputs!$C$27=TRUE,Inputs!$C$27="TRUE",Inputs!$C$27=1),Inputs!$C$46/Inputs!$C$12,0)</x:f>
        <x:v>42.13483146067416</x:v>
      </x:c>
      <x:c r="AR111" s="48" t="n">
        <x:f>AC111-AQ111</x:f>
        <x:v>254.57636968120073</x:v>
      </x:c>
      <x:c r="AS111" s="48" t="n">
        <x:f>AC111+AQ111</x:f>
        <x:v>338.84603260254903</x:v>
      </x:c>
    </x:row>
    <x:row r="112">
      <x:c r="A112" s="48" t="n">
        <x:f>Inputs!$C$7+110*(Inputs!$C$8-Inputs!$C$7)/240</x:f>
        <x:v>-5</x:v>
      </x:c>
      <x:c r="B112" s="48" t="n">
        <x:f>Inputs!$C$5+Inputs!$C$9*(A112/Inputs!$C$10)^2</x:f>
        <x:v>400.02777777777777</x:v>
      </x:c>
      <x:c r="C112" s="48" t="n">
        <x:f>B112</x:f>
        <x:v>400.02777777777777</x:v>
      </x:c>
      <x:c r="D112" s="48" t="n">
        <x:f>SQRT((Inputs!$C$52+B112)^2+Inputs!$C$52^2-2*(Inputs!$C$52+B112)*Inputs!$C$52*COS(SQRT(A112^2+Inputs!$C$6^2)/Inputs!$C$52))</x:f>
        <x:v>401.047126464657</x:v>
      </x:c>
      <x:c r="E112" s="48" t="n">
        <x:f>(D112-C112)*1000</x:f>
        <x:v>1019.3486868792547</x:v>
      </x:c>
      <x:c r="F112" s="48" t="n">
        <x:f>E112/Inputs!$C$12</x:f>
        <x:v>572.6678016175588</x:v>
      </x:c>
      <x:c r="G112" s="48" t="n">
        <x:f>2*E112/Inputs!$C$21*1000000</x:f>
        <x:v>6.80036244860606</x:v>
      </x:c>
      <x:c r="H112" s="48" t="n">
        <x:f>SQRT(A112^2+Inputs!$C$6^2)</x:f>
        <x:v>25.495097567963924</x:v>
      </x:c>
      <x:c r="I112" s="48" t="n">
        <x:f>DEGREES(ATAN(H112/B112))</x:f>
        <x:v>3.646717894415093</x:v>
      </x:c>
      <x:c r="J112" s="48" t="n">
        <x:f>DEGREES((2*PI()/Inputs!$C$13)*Inputs!$C$15*SIN(RADIANS(I112)))</x:f>
        <x:v>22.897537442986597</x:v>
      </x:c>
      <x:c r="K112" s="48" t="n">
        <x:f>(C112/D112)^4</x:f>
        <x:v>0.9898718244744187</x:v>
      </x:c>
      <x:c r="L112" s="48" t="n">
        <x:f>10*LOG10(K112)</x:f>
        <x:v>-0.044210372482339</x:v>
      </x:c>
      <x:c r="M112" s="48" t="n">
        <x:f>2*(Inputs!$C$9/(Inputs!$C$10^2))*A112</x:f>
        <x:v>-0.011111111111111112</x:v>
      </x:c>
      <x:c r="N112" s="48" t="n">
        <x:f>M112*Inputs!$C$11</x:f>
        <x:v>-0.044444444444444446</x:v>
      </x:c>
      <x:c r="O112" s="48" t="n">
        <x:f>1000*(D113-D111)/(A113-A111)*Inputs!$C$11</x:f>
        <x:v>-107.00246068472552</x:v>
      </x:c>
      <x:c r="P112" s="48" t="n">
        <x:f>-2*O112/Inputs!$C$13</x:f>
        <x:v>42.80098427389021</x:v>
      </x:c>
      <x:c r="Q112" s="48" t="n">
        <x:f>-2*O112/Inputs!$C$14</x:f>
        <x:v>6.426574215298831</x:v>
      </x:c>
      <x:c r="R112" s="48" t="n">
        <x:f>F112-Inputs!$C$16/2</x:f>
        <x:v>557.6678016175588</x:v>
      </x:c>
      <x:c r="S112" s="48" t="n">
        <x:f>F112+Inputs!$C$16/2</x:f>
        <x:v>587.6678016175588</x:v>
      </x:c>
      <x:c r="T112" s="48" t="n">
        <x:f>F112-Inputs!$C$17/2</x:f>
        <x:v>422.6678016175588</x:v>
      </x:c>
      <x:c r="U112" s="48" t="n">
        <x:f>F112+Inputs!$C$17/2</x:f>
        <x:v>722.6678016175588</x:v>
      </x:c>
      <x:c r="V112" s="48" t="n">
        <x:f>ABS(P112)</x:f>
        <x:v>42.80098427389021</x:v>
      </x:c>
      <x:c r="W112" s="48" t="n">
        <x:f>ABS(Q112)</x:f>
        <x:v>6.426574215298831</x:v>
      </x:c>
      <x:c r="X112" s="48" t="n">
        <x: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(0.45*SIN(2*PI()*(((A112)/Inputs!$C$49)+Inputs!$C$47*0.137))+0.35*COS(2*PI()*(((0)/Inputs!$C$50)+Inputs!$C$47*0.173))+0.20*SIN(2*PI()*(((A112)+(0))/(0.5*(Inputs!$C$49+Inputs!$C$50))+Inputs!$C$47*0.097)))+0.30*(2*((SIN(((A112)*12.9898+(0)*78.233+Inputs!$C$47*37.719))*43758.5453)-INT((SIN(((A112)*12.9898+(0)*78.233+Inputs!$C$47*37.719))*43758.5453)))-1)))</x:f>
        <x:v>-73.64560445817172</x:v>
      </x:c>
      <x:c r="Y112" s="48" t="n">
        <x: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(0.45*SIN(2*PI()*(((A112)/Inputs!$C$49)+Inputs!$C$47*0.137))+0.35*COS(2*PI()*(((Inputs!$C$6)/Inputs!$C$50)+Inputs!$C$47*0.173))+0.20*SIN(2*PI()*(((A112)+(Inputs!$C$6))/(0.5*(Inputs!$C$49+Inputs!$C$50))+Inputs!$C$47*0.097)))+0.30*(2*((SIN(((A112)*12.9898+(Inputs!$C$6)*78.233+Inputs!$C$47*37.719))*43758.5453)-INT((SIN(((A112)*12.9898+(Inputs!$C$6)*78.233+Inputs!$C$47*37.719))*43758.5453)))-1)))</x:f>
        <x:v>426.4950993655156</x:v>
      </x:c>
      <x:c r="Z112" s="48" t="n">
        <x:f>B112-X112/1000</x:f>
        <x:v>400.10142338223596</x:v>
      </x:c>
      <x:c r="AA112" s="48" t="n">
        <x:f>SQRT((Inputs!$C$52+B112)^2+(Inputs!$C$52+Y112/1000)^2-2*(Inputs!$C$52+B112)*(Inputs!$C$52+Y112/1000)*COS(SQRT(A112^2+Inputs!$C$6^2)/Inputs!$C$52))</x:f>
        <x:v>400.6219950307135</x:v>
      </x:c>
      <x:c r="AB112" s="48" t="n">
        <x:f>(AA112-Z112)*1000</x:f>
        <x:v>520.571648477528</x:v>
      </x:c>
      <x:c r="AC112" s="48" t="n">
        <x:f>AB112/Inputs!$C$12</x:f>
        <x:v>292.4559822907461</x:v>
      </x:c>
      <x:c r="AD112" s="48" t="n">
        <x:f>2*AB112/Inputs!$C$21*1000000</x:f>
        <x:v>3.4728802182043417</x:v>
      </x:c>
      <x:c r="AE112" s="48" t="n">
        <x:f>DEGREES(ATAN(H112/(B112-Y112/1000)))</x:f>
        <x:v>3.6505995227884935</x:v>
      </x:c>
      <x:c r="AF112" s="48" t="n">
        <x:f>DEGREES((2*PI()/Inputs!$C$13)*Inputs!$C$15*SIN(RADIANS(AE112)))</x:f>
        <x:v>22.92187699792033</x:v>
      </x:c>
      <x:c r="AG112" s="48" t="n">
        <x:f>(Z112/AA112)^4</x:f>
        <x:v>0.9948124877743065</x:v>
      </x:c>
      <x:c r="AH112" s="48" t="n">
        <x:f>10*LOG10(AG112)</x:f>
        <x:v>-0.0225877171590044</x:v>
      </x:c>
      <x:c r="AI112" s="48" t="n">
        <x:f>AC112-F112</x:f>
        <x:v>-280.2118193268127</x:v>
      </x:c>
      <x:c r="AJ112" s="48" t="n">
        <x:f>AD112-G112</x:f>
        <x:v>-3.327482230401718</x:v>
      </x:c>
      <x:c r="AK112" s="48" t="n">
        <x:f>Y112-X112</x:f>
        <x:v>500.1407038236873</x:v>
      </x:c>
      <x:c r="AL112" s="48" t="n">
        <x:f>1000*(AA113-AA111)/(A113-A111)*Inputs!$C$11</x:f>
        <x:v>-51.55954101815041</x:v>
      </x:c>
      <x:c r="AM112" s="48" t="n">
        <x:f>-2*AL112/Inputs!$C$13</x:f>
        <x:v>20.623816407260165</x:v>
      </x:c>
      <x:c r="AN112" s="48" t="n">
        <x:f>-2*AL112/Inputs!$C$14</x:f>
        <x:v>3.096669130219244</x:v>
      </x:c>
      <x:c r="AO112" s="48" t="n">
        <x:f>ABS(AM112)</x:f>
        <x:v>20.623816407260165</x:v>
      </x:c>
      <x:c r="AP112" s="48" t="n">
        <x:f>ABS(AN112)</x:f>
        <x:v>3.096669130219244</x:v>
      </x:c>
      <x:c r="AQ112" s="48" t="n">
        <x:f>IF(OR(Inputs!$C$27=TRUE,Inputs!$C$27="TRUE",Inputs!$C$27=1),Inputs!$C$46/Inputs!$C$12,0)</x:f>
        <x:v>42.13483146067416</x:v>
      </x:c>
      <x:c r="AR112" s="48" t="n">
        <x:f>AC112-AQ112</x:f>
        <x:v>250.32115083007193</x:v>
      </x:c>
      <x:c r="AS112" s="48" t="n">
        <x:f>AC112+AQ112</x:f>
        <x:v>334.5908137514202</x:v>
      </x:c>
    </x:row>
    <x:row r="113">
      <x:c r="A113" s="48" t="n">
        <x:f>Inputs!$C$7+111*(Inputs!$C$8-Inputs!$C$7)/240</x:f>
        <x:v>-4.5</x:v>
      </x:c>
      <x:c r="B113" s="48" t="n">
        <x:f>Inputs!$C$5+Inputs!$C$9*(A113/Inputs!$C$10)^2</x:f>
        <x:v>400.0225</x:v>
      </x:c>
      <x:c r="C113" s="48" t="n">
        <x:f>B113</x:f>
        <x:v>400.0225</x:v>
      </x:c>
      <x:c r="D113" s="48" t="n">
        <x:f>SQRT((Inputs!$C$52+B113)^2+Inputs!$C$52^2-2*(Inputs!$C$52+B113)*Inputs!$C$52*COS(SQRT(A113^2+Inputs!$C$6^2)/Inputs!$C$52))</x:f>
        <x:v>401.03441975914853</x:v>
      </x:c>
      <x:c r="E113" s="48" t="n">
        <x:f>(D113-C113)*1000</x:f>
        <x:v>1011.9197591485545</x:v>
      </x:c>
      <x:c r="F113" s="48" t="n">
        <x:f>E113/Inputs!$C$12</x:f>
        <x:v>568.494246712671</x:v>
      </x:c>
      <x:c r="G113" s="48" t="n">
        <x:f>2*E113/Inputs!$C$21*1000000</x:f>
        <x:v>6.75080197747039</x:v>
      </x:c>
      <x:c r="H113" s="48" t="n">
        <x:f>SQRT(A113^2+Inputs!$C$6^2)</x:f>
        <x:v>25.401771591761076</x:v>
      </x:c>
      <x:c r="I113" s="48" t="n">
        <x:f>DEGREES(ATAN(H113/B113))</x:f>
        <x:v>3.6334525503982564</x:v>
      </x:c>
      <x:c r="J113" s="48" t="n">
        <x:f>DEGREES((2*PI()/Inputs!$C$13)*Inputs!$C$15*SIN(RADIANS(I113)))</x:f>
        <x:v>22.814356979819124</x:v>
      </x:c>
      <x:c r="K113" s="48" t="n">
        <x:f>(C113/D113)^4</x:f>
        <x:v>0.989945040905614</x:v>
      </x:c>
      <x:c r="L113" s="48" t="n">
        <x:f>10*LOG10(K113)</x:f>
        <x:v>-0.0438891559837498</x:v>
      </x:c>
      <x:c r="M113" s="48" t="n">
        <x:f>2*(Inputs!$C$9/(Inputs!$C$10^2))*A113</x:f>
        <x:v>-0.01</x:v>
      </x:c>
      <x:c r="N113" s="48" t="n">
        <x:f>M113*Inputs!$C$11</x:f>
        <x:v>-0.04</x:v>
      </x:c>
      <x:c r="O113" s="48" t="n">
        <x:f>1000*(D114-D112)/(A114-A112)*Inputs!$C$11</x:f>
        <x:v>-96.30445428069834</x:v>
      </x:c>
      <x:c r="P113" s="48" t="n">
        <x:f>-2*O113/Inputs!$C$13</x:f>
        <x:v>38.521781712279335</x:v>
      </x:c>
      <x:c r="Q113" s="48" t="n">
        <x:f>-2*O113/Inputs!$C$14</x:f>
        <x:v>5.784051308150051</x:v>
      </x:c>
      <x:c r="R113" s="48" t="n">
        <x:f>F113-Inputs!$C$16/2</x:f>
        <x:v>553.494246712671</x:v>
      </x:c>
      <x:c r="S113" s="48" t="n">
        <x:f>F113+Inputs!$C$16/2</x:f>
        <x:v>583.494246712671</x:v>
      </x:c>
      <x:c r="T113" s="48" t="n">
        <x:f>F113-Inputs!$C$17/2</x:f>
        <x:v>418.49424671267104</x:v>
      </x:c>
      <x:c r="U113" s="48" t="n">
        <x:f>F113+Inputs!$C$17/2</x:f>
        <x:v>718.494246712671</x:v>
      </x:c>
      <x:c r="V113" s="48" t="n">
        <x:f>ABS(P113)</x:f>
        <x:v>38.521781712279335</x:v>
      </x:c>
      <x:c r="W113" s="48" t="n">
        <x:f>ABS(Q113)</x:f>
        <x:v>5.784051308150051</x:v>
      </x:c>
      <x:c r="X113" s="48" t="n">
        <x: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(0.45*SIN(2*PI()*(((A113)/Inputs!$C$49)+Inputs!$C$47*0.137))+0.35*COS(2*PI()*(((0)/Inputs!$C$50)+Inputs!$C$47*0.173))+0.20*SIN(2*PI()*(((A113)+(0))/(0.5*(Inputs!$C$49+Inputs!$C$50))+Inputs!$C$47*0.097)))+0.30*(2*((SIN(((A113)*12.9898+(0)*78.233+Inputs!$C$47*37.719))*43758.5453)-INT((SIN(((A113)*12.9898+(0)*78.233+Inputs!$C$47*37.719))*43758.5453)))-1)))</x:f>
        <x:v>-73.08935088189128</x:v>
      </x:c>
      <x:c r="Y113" s="48" t="n">
        <x: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(0.45*SIN(2*PI()*(((A113)/Inputs!$C$49)+Inputs!$C$47*0.137))+0.35*COS(2*PI()*(((Inputs!$C$6)/Inputs!$C$50)+Inputs!$C$47*0.173))+0.20*SIN(2*PI()*(((A113)+(Inputs!$C$6))/(0.5*(Inputs!$C$49+Inputs!$C$50))+Inputs!$C$47*0.097)))+0.30*(2*((SIN(((A113)*12.9898+(Inputs!$C$6)*78.233+Inputs!$C$47*37.719))*43758.5453)-INT((SIN(((A113)*12.9898+(Inputs!$C$6)*78.233+Inputs!$C$47*37.719))*43758.5453)))-1)))</x:f>
        <x:v>423.30568039510905</x:v>
      </x:c>
      <x:c r="Z113" s="48" t="n">
        <x:f>B113-X113/1000</x:f>
        <x:v>400.0955893508819</x:v>
      </x:c>
      <x:c r="AA113" s="48" t="n">
        <x:f>SQRT((Inputs!$C$52+B113)^2+(Inputs!$C$52+Y113/1000)^2-2*(Inputs!$C$52+B113)*(Inputs!$C$52+Y113/1000)*COS(SQRT(A113^2+Inputs!$C$6^2)/Inputs!$C$52))</x:f>
        <x:v>400.61245770823524</x:v>
      </x:c>
      <x:c r="AB113" s="48" t="n">
        <x:f>(AA113-Z113)*1000</x:f>
        <x:v>516.8683573533599</x:v>
      </x:c>
      <x:c r="AC113" s="48" t="n">
        <x:f>AB113/Inputs!$C$12</x:f>
        <x:v>290.37548165919094</x:v>
      </x:c>
      <x:c r="AD113" s="48" t="n">
        <x:f>2*AB113/Inputs!$C$21*1000000</x:f>
        <x:v>3.4481745191425723</x:v>
      </x:c>
      <x:c r="AE113" s="48" t="n">
        <x:f>DEGREES(ATAN(H113/(B113-Y113/1000)))</x:f>
        <x:v>3.637291232551428</x:v>
      </x:c>
      <x:c r="AF113" s="48" t="n">
        <x:f>DEGREES((2*PI()/Inputs!$C$13)*Inputs!$C$15*SIN(RADIANS(AE113)))</x:f>
        <x:v>22.8384275979384</x:v>
      </x:c>
      <x:c r="AG113" s="48" t="n">
        <x:f>(Z113/AA113)^4</x:f>
        <x:v>0.9948491973651684</x:v>
      </x:c>
      <x:c r="AH113" s="48" t="n">
        <x:f>10*LOG10(AG113)</x:f>
        <x:v>-0.0224274610424482</x:v>
      </x:c>
      <x:c r="AI113" s="48" t="n">
        <x:f>AC113-F113</x:f>
        <x:v>-278.1187650534801</x:v>
      </x:c>
      <x:c r="AJ113" s="48" t="n">
        <x:f>AD113-G113</x:f>
        <x:v>-3.3026274583278177</x:v>
      </x:c>
      <x:c r="AK113" s="48" t="n">
        <x:f>Y113-X113</x:f>
        <x:v>496.3950312770003</x:v>
      </x:c>
      <x:c r="AL113" s="48" t="n">
        <x:f>1000*(AA114-AA112)/(A114-A112)*Inputs!$C$11</x:f>
        <x:v>-94.46415557863475</x:v>
      </x:c>
      <x:c r="AM113" s="48" t="n">
        <x:f>-2*AL113/Inputs!$C$13</x:f>
        <x:v>37.7856622314539</x:v>
      </x:c>
      <x:c r="AN113" s="48" t="n">
        <x:f>-2*AL113/Inputs!$C$14</x:f>
        <x:v>5.67352285757566</x:v>
      </x:c>
      <x:c r="AO113" s="48" t="n">
        <x:f>ABS(AM113)</x:f>
        <x:v>37.7856622314539</x:v>
      </x:c>
      <x:c r="AP113" s="48" t="n">
        <x:f>ABS(AN113)</x:f>
        <x:v>5.67352285757566</x:v>
      </x:c>
      <x:c r="AQ113" s="48" t="n">
        <x:f>IF(OR(Inputs!$C$27=TRUE,Inputs!$C$27="TRUE",Inputs!$C$27=1),Inputs!$C$46/Inputs!$C$12,0)</x:f>
        <x:v>42.13483146067416</x:v>
      </x:c>
      <x:c r="AR113" s="48" t="n">
        <x:f>AC113-AQ113</x:f>
        <x:v>248.2406501985168</x:v>
      </x:c>
      <x:c r="AS113" s="48" t="n">
        <x:f>AC113+AQ113</x:f>
        <x:v>332.5103131198651</x:v>
      </x:c>
    </x:row>
    <x:row r="114">
      <x:c r="A114" s="48" t="n">
        <x:f>Inputs!$C$7+112*(Inputs!$C$8-Inputs!$C$7)/240</x:f>
        <x:v>-4</x:v>
      </x:c>
      <x:c r="B114" s="48" t="n">
        <x:f>Inputs!$C$5+Inputs!$C$9*(A114/Inputs!$C$10)^2</x:f>
        <x:v>400.0177777777778</x:v>
      </x:c>
      <x:c r="C114" s="48" t="n">
        <x:f>B114</x:f>
        <x:v>400.0177777777778</x:v>
      </x:c>
      <x:c r="D114" s="48" t="n">
        <x:f>SQRT((Inputs!$C$52+B114)^2+Inputs!$C$52^2-2*(Inputs!$C$52+B114)*Inputs!$C$52*COS(SQRT(A114^2+Inputs!$C$6^2)/Inputs!$C$52))</x:f>
        <x:v>401.02305035108685</x:v>
      </x:c>
      <x:c r="E114" s="48" t="n">
        <x:f>(D114-C114)*1000</x:f>
        <x:v>1005.272573309071</x:v>
      </x:c>
      <x:c r="F114" s="48" t="n">
        <x:f>E114/Inputs!$C$12</x:f>
        <x:v>564.7598726455456</x:v>
      </x:c>
      <x:c r="G114" s="48" t="n">
        <x:f>2*E114/Inputs!$C$21*1000000</x:f>
        <x:v>6.706456726867165</x:v>
      </x:c>
      <x:c r="H114" s="48" t="n">
        <x:f>SQRT(A114^2+Inputs!$C$6^2)</x:f>
        <x:v>25.317977802344327</x:v>
      </x:c>
      <x:c r="I114" s="48" t="n">
        <x:f>DEGREES(ATAN(H114/B114))</x:f>
        <x:v>3.62154133083556</x:v>
      </x:c>
      <x:c r="J114" s="48" t="n">
        <x:f>DEGREES((2*PI()/Inputs!$C$13)*Inputs!$C$15*SIN(RADIANS(I114)))</x:f>
        <x:v>22.739666524476903</x:v>
      </x:c>
      <x:c r="K114" s="48" t="n">
        <x:f>(C114/D114)^4</x:f>
        <x:v>0.9900105601936992</x:v>
      </x:c>
      <x:c r="L114" s="48" t="n">
        <x:f>10*LOG10(K114)</x:f>
        <x:v>-0.0436017286771152</x:v>
      </x:c>
      <x:c r="M114" s="48" t="n">
        <x:f>2*(Inputs!$C$9/(Inputs!$C$10^2))*A114</x:f>
        <x:v>-0.008888888888888889</x:v>
      </x:c>
      <x:c r="N114" s="48" t="n">
        <x:f>M114*Inputs!$C$11</x:f>
        <x:v>-0.035555555555555556</x:v>
      </x:c>
      <x:c r="O114" s="48" t="n">
        <x:f>1000*(D115-D113)/(A115-A113)*Inputs!$C$11</x:f>
        <x:v>-85.60574078887839</x:v>
      </x:c>
      <x:c r="P114" s="48" t="n">
        <x:f>-2*O114/Inputs!$C$13</x:f>
        <x:v>34.24229631555136</x:v>
      </x:c>
      <x:c r="Q114" s="48" t="n">
        <x:f>-2*O114/Inputs!$C$14</x:f>
        <x:v>5.14148593326597</x:v>
      </x:c>
      <x:c r="R114" s="48" t="n">
        <x:f>F114-Inputs!$C$16/2</x:f>
        <x:v>549.7598726455456</x:v>
      </x:c>
      <x:c r="S114" s="48" t="n">
        <x:f>F114+Inputs!$C$16/2</x:f>
        <x:v>579.7598726455456</x:v>
      </x:c>
      <x:c r="T114" s="48" t="n">
        <x:f>F114-Inputs!$C$17/2</x:f>
        <x:v>414.75987264554556</x:v>
      </x:c>
      <x:c r="U114" s="48" t="n">
        <x:f>F114+Inputs!$C$17/2</x:f>
        <x:v>714.7598726455456</x:v>
      </x:c>
      <x:c r="V114" s="48" t="n">
        <x:f>ABS(P114)</x:f>
        <x:v>34.24229631555136</x:v>
      </x:c>
      <x:c r="W114" s="48" t="n">
        <x:f>ABS(Q114)</x:f>
        <x:v>5.14148593326597</x:v>
      </x:c>
      <x:c r="X114" s="48" t="n">
        <x: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(0.45*SIN(2*PI()*(((A114)/Inputs!$C$49)+Inputs!$C$47*0.137))+0.35*COS(2*PI()*(((0)/Inputs!$C$50)+Inputs!$C$47*0.173))+0.20*SIN(2*PI()*(((A114)+(0))/(0.5*(Inputs!$C$49+Inputs!$C$50))+Inputs!$C$47*0.097)))+0.30*(2*((SIN(((A114)*12.9898+(0)*78.233+Inputs!$C$47*37.719))*43758.5453)-INT((SIN(((A114)*12.9898+(0)*78.233+Inputs!$C$47*37.719))*43758.5453)))-1)))</x:f>
        <x:v>-74.23673097551541</x:v>
      </x:c>
      <x:c r="Y114" s="48" t="n">
        <x: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(0.45*SIN(2*PI()*(((A114)/Inputs!$C$49)+Inputs!$C$47*0.137))+0.35*COS(2*PI()*(((Inputs!$C$6)/Inputs!$C$50)+Inputs!$C$47*0.173))+0.20*SIN(2*PI()*(((A114)+(Inputs!$C$6))/(0.5*(Inputs!$C$49+Inputs!$C$50))+Inputs!$C$47*0.097)))+0.30*(2*((SIN(((A114)*12.9898+(Inputs!$C$6)*78.233+Inputs!$C$47*37.719))*43758.5453)-INT((SIN(((A114)*12.9898+(Inputs!$C$6)*78.233+Inputs!$C$47*37.719))*43758.5453)))-1)))</x:f>
        <x:v>426.0147467563934</x:v>
      </x:c>
      <x:c r="Z114" s="48" t="n">
        <x:f>B114-X114/1000</x:f>
        <x:v>400.0920145087533</x:v>
      </x:c>
      <x:c r="AA114" s="48" t="n">
        <x:f>SQRT((Inputs!$C$52+B114)^2+(Inputs!$C$52+Y114/1000)^2-2*(Inputs!$C$52+B114)*(Inputs!$C$52+Y114/1000)*COS(SQRT(A114^2+Inputs!$C$6^2)/Inputs!$C$52))</x:f>
        <x:v>400.59837899181883</x:v>
      </x:c>
      <x:c r="AB114" s="48" t="n">
        <x:f>(AA114-Z114)*1000</x:f>
        <x:v>506.36448306551074</x:v>
      </x:c>
      <x:c r="AC114" s="48" t="n">
        <x:f>AB114/Inputs!$C$12</x:f>
        <x:v>284.4744286884892</x:v>
      </x:c>
      <x:c r="AD114" s="48" t="n">
        <x:f>2*AB114/Inputs!$C$21*1000000</x:f>
        <x:v>3.3781002126845414</x:v>
      </x:c>
      <x:c r="AE114" s="48" t="n">
        <x:f>DEGREES(ATAN(H114/(B114-Y114/1000)))</x:f>
        <x:v>3.6253920544596827</x:v>
      </x:c>
      <x:c r="AF114" s="48" t="n">
        <x:f>DEGREES((2*PI()/Inputs!$C$13)*Inputs!$C$15*SIN(RADIANS(AE114)))</x:f>
        <x:v>22.763812967390944</x:v>
      </x:c>
      <x:c r="AG114" s="48" t="n">
        <x:f>(Z114/AA114)^4</x:f>
        <x:v>0.994953497209391</x:v>
      </x:c>
      <x:c r="AH114" s="48" t="n">
        <x:f>10*LOG10(AG114)</x:f>
        <x:v>-0.0219721712091977</x:v>
      </x:c>
      <x:c r="AI114" s="48" t="n">
        <x:f>AC114-F114</x:f>
        <x:v>-280.2854439570564</x:v>
      </x:c>
      <x:c r="AJ114" s="48" t="n">
        <x:f>AD114-G114</x:f>
        <x:v>-3.3283565141826235</x:v>
      </x:c>
      <x:c r="AK114" s="48" t="n">
        <x:f>Y114-X114</x:f>
        <x:v>500.2514777319088</x:v>
      </x:c>
      <x:c r="AL114" s="48" t="n">
        <x:f>1000*(AA115-AA113)/(A115-A113)*Inputs!$C$11</x:f>
        <x:v>-12.539654399688516</x:v>
      </x:c>
      <x:c r="AM114" s="48" t="n">
        <x:f>-2*AL114/Inputs!$C$13</x:f>
        <x:v>5.015861759875406</x:v>
      </x:c>
      <x:c r="AN114" s="48" t="n">
        <x:f>-2*AL114/Inputs!$C$14</x:f>
        <x:v>0.7531323963776887</x:v>
      </x:c>
      <x:c r="AO114" s="48" t="n">
        <x:f>ABS(AM114)</x:f>
        <x:v>5.015861759875406</x:v>
      </x:c>
      <x:c r="AP114" s="48" t="n">
        <x:f>ABS(AN114)</x:f>
        <x:v>0.7531323963776887</x:v>
      </x:c>
      <x:c r="AQ114" s="48" t="n">
        <x:f>IF(OR(Inputs!$C$27=TRUE,Inputs!$C$27="TRUE",Inputs!$C$27=1),Inputs!$C$46/Inputs!$C$12,0)</x:f>
        <x:v>42.13483146067416</x:v>
      </x:c>
      <x:c r="AR114" s="48" t="n">
        <x:f>AC114-AQ114</x:f>
        <x:v>242.33959722781503</x:v>
      </x:c>
      <x:c r="AS114" s="48" t="n">
        <x:f>AC114+AQ114</x:f>
        <x:v>326.60926014916333</x:v>
      </x:c>
    </x:row>
    <x:row r="115">
      <x:c r="A115" s="48" t="n">
        <x:f>Inputs!$C$7+113*(Inputs!$C$8-Inputs!$C$7)/240</x:f>
        <x:v>-3.5</x:v>
      </x:c>
      <x:c r="B115" s="48" t="n">
        <x:f>Inputs!$C$5+Inputs!$C$9*(A115/Inputs!$C$10)^2</x:f>
        <x:v>400.0136111111111</x:v>
      </x:c>
      <x:c r="C115" s="48" t="n">
        <x:f>B115</x:f>
        <x:v>400.0136111111111</x:v>
      </x:c>
      <x:c r="D115" s="48" t="n">
        <x:f>SQRT((Inputs!$C$52+B115)^2+Inputs!$C$52^2-2*(Inputs!$C$52+B115)*Inputs!$C$52*COS(SQRT(A115^2+Inputs!$C$6^2)/Inputs!$C$52))</x:f>
        <x:v>401.0130183239513</x:v>
      </x:c>
      <x:c r="E115" s="48" t="n">
        <x:f>(D115-C115)*1000</x:f>
        <x:v>999.4072128401967</x:v>
      </x:c>
      <x:c r="F115" s="48" t="n">
        <x:f>E115/Inputs!$C$12</x:f>
        <x:v>561.4647263147173</x:v>
      </x:c>
      <x:c r="G115" s="48" t="n">
        <x:f>2*E115/Inputs!$C$21*1000000</x:f>
        <x:v>6.667327253710944</x:v>
      </x:c>
      <x:c r="H115" s="48" t="n">
        <x:f>SQRT(A115^2+Inputs!$C$6^2)</x:f>
        <x:v>25.243811122728676</x:v>
      </x:c>
      <x:c r="I115" s="48" t="n">
        <x:f>DEGREES(ATAN(H115/B115))</x:f>
        <x:v>3.6109979838002473</x:v>
      </x:c>
      <x:c r="J115" s="48" t="n">
        <x:f>DEGREES((2*PI()/Inputs!$C$13)*Inputs!$C$15*SIN(RADIANS(I115)))</x:f>
        <x:v>22.673552626173688</x:v>
      </x:c>
      <x:c r="K115" s="48" t="n">
        <x:f>(C115/D115)^4</x:f>
        <x:v>0.9900683790570275</x:v>
      </x:c>
      <x:c r="L115" s="48" t="n">
        <x:f>10*LOG10(K115)</x:f>
        <x:v>-0.0433480982505418</x:v>
      </x:c>
      <x:c r="M115" s="48" t="n">
        <x:f>2*(Inputs!$C$9/(Inputs!$C$10^2))*A115</x:f>
        <x:v>-0.0077777777777777776</x:v>
      </x:c>
      <x:c r="N115" s="48" t="n">
        <x:f>M115*Inputs!$C$11</x:f>
        <x:v>-0.03111111111111111</x:v>
      </x:c>
      <x:c r="O115" s="48" t="n">
        <x:f>1000*(D116-D114)/(A116-A114)*Inputs!$C$11</x:f>
        <x:v>-74.90639867137361</x:v>
      </x:c>
      <x:c r="P115" s="48" t="n">
        <x:f>-2*O115/Inputs!$C$13</x:f>
        <x:v>29.962559468549443</x:v>
      </x:c>
      <x:c r="Q115" s="48" t="n">
        <x:f>-2*O115/Inputs!$C$14</x:f>
        <x:v>4.498882803085502</x:v>
      </x:c>
      <x:c r="R115" s="48" t="n">
        <x:f>F115-Inputs!$C$16/2</x:f>
        <x:v>546.4647263147173</x:v>
      </x:c>
      <x:c r="S115" s="48" t="n">
        <x:f>F115+Inputs!$C$16/2</x:f>
        <x:v>576.4647263147173</x:v>
      </x:c>
      <x:c r="T115" s="48" t="n">
        <x:f>F115-Inputs!$C$17/2</x:f>
        <x:v>411.46472631471727</x:v>
      </x:c>
      <x:c r="U115" s="48" t="n">
        <x:f>F115+Inputs!$C$17/2</x:f>
        <x:v>711.4647263147173</x:v>
      </x:c>
      <x:c r="V115" s="48" t="n">
        <x:f>ABS(P115)</x:f>
        <x:v>29.962559468549443</x:v>
      </x:c>
      <x:c r="W115" s="48" t="n">
        <x:f>ABS(Q115)</x:f>
        <x:v>4.498882803085502</x:v>
      </x:c>
      <x:c r="X115" s="48" t="n">
        <x: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(0.45*SIN(2*PI()*(((A115)/Inputs!$C$49)+Inputs!$C$47*0.137))+0.35*COS(2*PI()*(((0)/Inputs!$C$50)+Inputs!$C$47*0.173))+0.20*SIN(2*PI()*(((A115)+(0))/(0.5*(Inputs!$C$49+Inputs!$C$50))+Inputs!$C$47*0.097)))+0.30*(2*((SIN(((A115)*12.9898+(0)*78.233+Inputs!$C$47*37.719))*43758.5453)-INT((SIN(((A115)*12.9898+(0)*78.233+Inputs!$C$47*37.719))*43758.5453)))-1)))</x:f>
        <x:v>-78.64906809360804</x:v>
      </x:c>
      <x:c r="Y115" s="48" t="n">
        <x: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(0.45*SIN(2*PI()*(((A115)/Inputs!$C$49)+Inputs!$C$47*0.137))+0.35*COS(2*PI()*(((Inputs!$C$6)/Inputs!$C$50)+Inputs!$C$47*0.173))+0.20*SIN(2*PI()*(((A115)+(Inputs!$C$6))/(0.5*(Inputs!$C$49+Inputs!$C$50))+Inputs!$C$47*0.097)))+0.30*(2*((SIN(((A115)*12.9898+(Inputs!$C$6)*78.233+Inputs!$C$47*37.719))*43758.5453)-INT((SIN(((A115)*12.9898+(Inputs!$C$6)*78.233+Inputs!$C$47*37.719))*43758.5453)))-1)))</x:f>
        <x:v>404.9650488225026</x:v>
      </x:c>
      <x:c r="Z115" s="48" t="n">
        <x:f>B115-X115/1000</x:f>
        <x:v>400.09226017920474</x:v>
      </x:c>
      <x:c r="AA115" s="48" t="n">
        <x:f>SQRT((Inputs!$C$52+B115)^2+(Inputs!$C$52+Y115/1000)^2-2*(Inputs!$C$52+B115)*(Inputs!$C$52+Y115/1000)*COS(SQRT(A115^2+Inputs!$C$6^2)/Inputs!$C$52))</x:f>
        <x:v>400.6093227946353</x:v>
      </x:c>
      <x:c r="AB115" s="48" t="n">
        <x:f>(AA115-Z115)*1000</x:f>
        <x:v>517.0626154305751</x:v>
      </x:c>
      <x:c r="AC115" s="48" t="n">
        <x:f>AB115/Inputs!$C$12</x:f>
        <x:v>290.4846154104354</x:v>
      </x:c>
      <x:c r="AD115" s="48" t="n">
        <x:f>2*AB115/Inputs!$C$21*1000000</x:f>
        <x:v>3.4494704695377965</x:v>
      </x:c>
      <x:c r="AE115" s="48" t="n">
        <x:f>DEGREES(ATAN(H115/(B115-Y115/1000)))</x:f>
        <x:v>3.6146476869659185</x:v>
      </x:c>
      <x:c r="AF115" s="48" t="n">
        <x:f>DEGREES((2*PI()/Inputs!$C$13)*Inputs!$C$15*SIN(RADIANS(AE115)))</x:f>
        <x:v>22.696438814060098</x:v>
      </x:c>
      <x:c r="AG115" s="48" t="n">
        <x:f>(Z115/AA115)^4</x:f>
        <x:v>0.9948472250094359</x:v>
      </x:c>
      <x:c r="AH115" s="48" t="n">
        <x:f>10*LOG10(AG115)</x:f>
        <x:v>-0.0224360712324385</x:v>
      </x:c>
      <x:c r="AI115" s="48" t="n">
        <x:f>AC115-F115</x:f>
        <x:v>-270.98011090428184</x:v>
      </x:c>
      <x:c r="AJ115" s="48" t="n">
        <x:f>AD115-G115</x:f>
        <x:v>-3.2178567841731476</x:v>
      </x:c>
      <x:c r="AK115" s="48" t="n">
        <x:f>Y115-X115</x:f>
        <x:v>483.6141169161106</x:v>
      </x:c>
      <x:c r="AL115" s="48" t="n">
        <x:f>1000*(AA116-AA114)/(A116-A114)*Inputs!$C$11</x:f>
        <x:v>-51.568681529261085</x:v>
      </x:c>
      <x:c r="AM115" s="48" t="n">
        <x:f>-2*AL115/Inputs!$C$13</x:f>
        <x:v>20.627472611704434</x:v>
      </x:c>
      <x:c r="AN115" s="48" t="n">
        <x:f>-2*AL115/Inputs!$C$14</x:f>
        <x:v>3.0972181098655307</x:v>
      </x:c>
      <x:c r="AO115" s="48" t="n">
        <x:f>ABS(AM115)</x:f>
        <x:v>20.627472611704434</x:v>
      </x:c>
      <x:c r="AP115" s="48" t="n">
        <x:f>ABS(AN115)</x:f>
        <x:v>3.0972181098655307</x:v>
      </x:c>
      <x:c r="AQ115" s="48" t="n">
        <x:f>IF(OR(Inputs!$C$27=TRUE,Inputs!$C$27="TRUE",Inputs!$C$27=1),Inputs!$C$46/Inputs!$C$12,0)</x:f>
        <x:v>42.13483146067416</x:v>
      </x:c>
      <x:c r="AR115" s="48" t="n">
        <x:f>AC115-AQ115</x:f>
        <x:v>248.34978394976127</x:v>
      </x:c>
      <x:c r="AS115" s="48" t="n">
        <x:f>AC115+AQ115</x:f>
        <x:v>332.6194468711096</x:v>
      </x:c>
    </x:row>
    <x:row r="116">
      <x:c r="A116" s="48" t="n">
        <x:f>Inputs!$C$7+114*(Inputs!$C$8-Inputs!$C$7)/240</x:f>
        <x:v>-3</x:v>
      </x:c>
      <x:c r="B116" s="48" t="n">
        <x:f>Inputs!$C$5+Inputs!$C$9*(A116/Inputs!$C$10)^2</x:f>
        <x:v>400.01</x:v>
      </x:c>
      <x:c r="C116" s="48" t="n">
        <x:f>B116</x:f>
        <x:v>400.01</x:v>
      </x:c>
      <x:c r="D116" s="48" t="n">
        <x:f>SQRT((Inputs!$C$52+B116)^2+Inputs!$C$52^2-2*(Inputs!$C$52+B116)*Inputs!$C$52*COS(SQRT(A116^2+Inputs!$C$6^2)/Inputs!$C$52))</x:f>
        <x:v>401.004323751419</x:v>
      </x:c>
      <x:c r="E116" s="48" t="n">
        <x:f>(D116-C116)*1000</x:f>
        <x:v>994.3237514190173</x:v>
      </x:c>
      <x:c r="F116" s="48" t="n">
        <x:f>E116/Inputs!$C$12</x:f>
        <x:v>558.6088491118074</x:v>
      </x:c>
      <x:c r="G116" s="48" t="n">
        <x:f>2*E116/Inputs!$C$21*1000000</x:f>
        <x:v>6.633414049522335</x:v>
      </x:c>
      <x:c r="H116" s="48" t="n">
        <x:f>SQRT(A116^2+Inputs!$C$6^2)</x:f>
        <x:v>25.179356624028344</x:v>
      </x:c>
      <x:c r="I116" s="48" t="n">
        <x:f>DEGREES(ATAN(H116/B116))</x:f>
        <x:v>3.601834829314978</x:v>
      </x:c>
      <x:c r="J116" s="48" t="n">
        <x:f>DEGREES((2*PI()/Inputs!$C$13)*Inputs!$C$15*SIN(RADIANS(I116)))</x:f>
        <x:v>22.616092842548554</x:v>
      </x:c>
      <x:c r="K116" s="48" t="n">
        <x:f>(C116/D116)^4</x:f>
        <x:v>0.9901184945990438</x:v>
      </x:c>
      <x:c r="L116" s="48" t="n">
        <x:f>10*LOG10(K116)</x:f>
        <x:v>-0.043128271489245</x:v>
      </x:c>
      <x:c r="M116" s="48" t="n">
        <x:f>2*(Inputs!$C$9/(Inputs!$C$10^2))*A116</x:f>
        <x:v>-0.006666666666666666</x:v>
      </x:c>
      <x:c r="N116" s="48" t="n">
        <x:f>M116*Inputs!$C$11</x:f>
        <x:v>-0.026666666666666665</x:v>
      </x:c>
      <x:c r="O116" s="48" t="n">
        <x:f>1000*(D117-D115)/(A117-A115)*Inputs!$C$11</x:f>
        <x:v>-64.20650642598957</x:v>
      </x:c>
      <x:c r="P116" s="48" t="n">
        <x:f>-2*O116/Inputs!$C$13</x:f>
        <x:v>25.68260257039583</x:v>
      </x:c>
      <x:c r="Q116" s="48" t="n">
        <x:f>-2*O116/Inputs!$C$14</x:f>
        <x:v>3.8562466321915663</x:v>
      </x:c>
      <x:c r="R116" s="48" t="n">
        <x:f>F116-Inputs!$C$16/2</x:f>
        <x:v>543.6088491118074</x:v>
      </x:c>
      <x:c r="S116" s="48" t="n">
        <x:f>F116+Inputs!$C$16/2</x:f>
        <x:v>573.6088491118074</x:v>
      </x:c>
      <x:c r="T116" s="48" t="n">
        <x:f>F116-Inputs!$C$17/2</x:f>
        <x:v>408.60884911180744</x:v>
      </x:c>
      <x:c r="U116" s="48" t="n">
        <x:f>F116+Inputs!$C$17/2</x:f>
        <x:v>708.6088491118074</x:v>
      </x:c>
      <x:c r="V116" s="48" t="n">
        <x:f>ABS(P116)</x:f>
        <x:v>25.68260257039583</x:v>
      </x:c>
      <x:c r="W116" s="48" t="n">
        <x:f>ABS(Q116)</x:f>
        <x:v>3.8562466321915663</x:v>
      </x:c>
      <x:c r="X116" s="48" t="n">
        <x: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(0.45*SIN(2*PI()*(((A116)/Inputs!$C$49)+Inputs!$C$47*0.137))+0.35*COS(2*PI()*(((0)/Inputs!$C$50)+Inputs!$C$47*0.173))+0.20*SIN(2*PI()*(((A116)+(0))/(0.5*(Inputs!$C$49+Inputs!$C$50))+Inputs!$C$47*0.097)))+0.30*(2*((SIN(((A116)*12.9898+(0)*78.233+Inputs!$C$47*37.719))*43758.5453)-INT((SIN(((A116)*12.9898+(0)*78.233+Inputs!$C$47*37.719))*43758.5453)))-1)))</x:f>
        <x:v>-67.68197739460362</x:v>
      </x:c>
      <x:c r="Y116" s="48" t="n">
        <x: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(0.45*SIN(2*PI()*(((A116)/Inputs!$C$49)+Inputs!$C$47*0.137))+0.35*COS(2*PI()*(((Inputs!$C$6)/Inputs!$C$50)+Inputs!$C$47*0.173))+0.20*SIN(2*PI()*(((A116)+(Inputs!$C$6))/(0.5*(Inputs!$C$49+Inputs!$C$50))+Inputs!$C$47*0.097)))+0.30*(2*((SIN(((A116)*12.9898+(Inputs!$C$6)*78.233+Inputs!$C$47*37.719))*43758.5453)-INT((SIN(((A116)*12.9898+(Inputs!$C$6)*78.233+Inputs!$C$47*37.719))*43758.5453)))-1)))</x:f>
        <x:v>420.14741895617453</x:v>
      </x:c>
      <x:c r="Z116" s="48" t="n">
        <x:f>B116-X116/1000</x:f>
        <x:v>400.0776819773946</x:v>
      </x:c>
      <x:c r="AA116" s="48" t="n">
        <x:f>SQRT((Inputs!$C$52+B116)^2+(Inputs!$C$52+Y116/1000)^2-2*(Inputs!$C$52+B116)*(Inputs!$C$52+Y116/1000)*COS(SQRT(A116^2+Inputs!$C$6^2)/Inputs!$C$52))</x:f>
        <x:v>400.5854868214365</x:v>
      </x:c>
      <x:c r="AB116" s="48" t="n">
        <x:f>(AA116-Z116)*1000</x:f>
        <x:v>507.80484404191384</x:v>
      </x:c>
      <x:c r="AC116" s="48" t="n">
        <x:f>AB116/Inputs!$C$12</x:f>
        <x:v>285.2836202482662</x:v>
      </x:c>
      <x:c r="AD116" s="48" t="n">
        <x:f>2*AB116/Inputs!$C$21*1000000</x:f>
        <x:v>3.387709266801594</x:v>
      </x:c>
      <x:c r="AE116" s="48" t="n">
        <x:f>DEGREES(ATAN(H116/(B116-Y116/1000)))</x:f>
        <x:v>3.605611981238959</x:v>
      </x:c>
      <x:c r="AF116" s="48" t="n">
        <x:f>DEGREES((2*PI()/Inputs!$C$13)*Inputs!$C$15*SIN(RADIANS(AE116)))</x:f>
        <x:v>22.639778460368408</x:v>
      </x:c>
      <x:c r="AG116" s="48" t="n">
        <x:f>(Z116/AA116)^4</x:f>
        <x:v>0.9949390070961812</x:v>
      </x:c>
      <x:c r="AH116" s="48" t="n">
        <x:f>10*LOG10(AG116)</x:f>
        <x:v>-0.0220354206178532</x:v>
      </x:c>
      <x:c r="AI116" s="48" t="n">
        <x:f>AC116-F116</x:f>
        <x:v>-273.32522886354127</x:v>
      </x:c>
      <x:c r="AJ116" s="48" t="n">
        <x:f>AD116-G116</x:f>
        <x:v>-3.245704782720741</x:v>
      </x:c>
      <x:c r="AK116" s="48" t="n">
        <x:f>Y116-X116</x:f>
        <x:v>487.82939635077815</x:v>
      </x:c>
      <x:c r="AL116" s="48" t="n">
        <x:f>1000*(AA117-AA115)/(A117-A115)*Inputs!$C$11</x:f>
        <x:v>-128.09968959595608</x:v>
      </x:c>
      <x:c r="AM116" s="48" t="n">
        <x:f>-2*AL116/Inputs!$C$13</x:f>
        <x:v>51.23987583838243</x:v>
      </x:c>
      <x:c r="AN116" s="48" t="n">
        <x:f>-2*AL116/Inputs!$C$14</x:f>
        <x:v>7.6936750508081735</x:v>
      </x:c>
      <x:c r="AO116" s="48" t="n">
        <x:f>ABS(AM116)</x:f>
        <x:v>51.23987583838243</x:v>
      </x:c>
      <x:c r="AP116" s="48" t="n">
        <x:f>ABS(AN116)</x:f>
        <x:v>7.6936750508081735</x:v>
      </x:c>
      <x:c r="AQ116" s="48" t="n">
        <x:f>IF(OR(Inputs!$C$27=TRUE,Inputs!$C$27="TRUE",Inputs!$C$27=1),Inputs!$C$46/Inputs!$C$12,0)</x:f>
        <x:v>42.13483146067416</x:v>
      </x:c>
      <x:c r="AR116" s="48" t="n">
        <x:f>AC116-AQ116</x:f>
        <x:v>243.14878878759203</x:v>
      </x:c>
      <x:c r="AS116" s="48" t="n">
        <x:f>AC116+AQ116</x:f>
        <x:v>327.4184517089403</x:v>
      </x:c>
    </x:row>
    <x:row r="117">
      <x:c r="A117" s="48" t="n">
        <x:f>Inputs!$C$7+115*(Inputs!$C$8-Inputs!$C$7)/240</x:f>
        <x:v>-2.5</x:v>
      </x:c>
      <x:c r="B117" s="48" t="n">
        <x:f>Inputs!$C$5+Inputs!$C$9*(A117/Inputs!$C$10)^2</x:f>
        <x:v>400.00694444444446</x:v>
      </x:c>
      <x:c r="C117" s="48" t="n">
        <x:f>B117</x:f>
        <x:v>400.00694444444446</x:v>
      </x:c>
      <x:c r="D117" s="48" t="n">
        <x:f>SQRT((Inputs!$C$52+B117)^2+Inputs!$C$52^2-2*(Inputs!$C$52+B117)*Inputs!$C$52*COS(SQRT(A117^2+Inputs!$C$6^2)/Inputs!$C$52))</x:f>
        <x:v>400.9969666973448</x:v>
      </x:c>
      <x:c r="E117" s="48" t="n">
        <x:f>(D117-C117)*1000</x:f>
        <x:v>990.02225290036</x:v>
      </x:c>
      <x:c r="F117" s="48" t="n">
        <x:f>E117/Inputs!$C$12</x:f>
        <x:v>556.1922769103146</x:v>
      </x:c>
      <x:c r="G117" s="48" t="n">
        <x:f>2*E117/Inputs!$C$21*1000000</x:f>
        <x:v>6.604717540294893</x:v>
      </x:c>
      <x:c r="H117" s="48" t="n">
        <x:f>SQRT(A117^2+Inputs!$C$6^2)</x:f>
        <x:v>25.124689052802225</x:v>
      </x:c>
      <x:c r="I117" s="48" t="n">
        <x:f>DEGREES(ATAN(H117/B117))</x:f>
        <x:v>3.594062691308639</x:v>
      </x:c>
      <x:c r="J117" s="48" t="n">
        <x:f>DEGREES((2*PI()/Inputs!$C$13)*Inputs!$C$15*SIN(RADIANS(I117)))</x:f>
        <x:v>22.567355311830532</x:v>
      </x:c>
      <x:c r="K117" s="48" t="n">
        <x:f>(C117/D117)^4</x:f>
        <x:v>0.9901609043087782</x:v>
      </x:c>
      <x:c r="L117" s="48" t="n">
        <x:f>10*LOG10(K117)</x:f>
        <x:v>-0.0429422542744039</x:v>
      </x:c>
      <x:c r="M117" s="48" t="n">
        <x:f>2*(Inputs!$C$9/(Inputs!$C$10^2))*A117</x:f>
        <x:v>-0.005555555555555556</x:v>
      </x:c>
      <x:c r="N117" s="48" t="n">
        <x:f>M117*Inputs!$C$11</x:f>
        <x:v>-0.022222222222222223</x:v>
      </x:c>
      <x:c r="O117" s="48" t="n">
        <x:f>1000*(D118-D116)/(A118-A116)*Inputs!$C$11</x:f>
        <x:v>-53.506142605556306</x:v>
      </x:c>
      <x:c r="P117" s="48" t="n">
        <x:f>-2*O117/Inputs!$C$13</x:f>
        <x:v>21.402457042222522</x:v>
      </x:c>
      <x:c r="Q117" s="48" t="n">
        <x:f>-2*O117/Inputs!$C$14</x:f>
        <x:v>3.2135821384718506</x:v>
      </x:c>
      <x:c r="R117" s="48" t="n">
        <x:f>F117-Inputs!$C$16/2</x:f>
        <x:v>541.1922769103146</x:v>
      </x:c>
      <x:c r="S117" s="48" t="n">
        <x:f>F117+Inputs!$C$16/2</x:f>
        <x:v>571.1922769103146</x:v>
      </x:c>
      <x:c r="T117" s="48" t="n">
        <x:f>F117-Inputs!$C$17/2</x:f>
        <x:v>406.1922769103146</x:v>
      </x:c>
      <x:c r="U117" s="48" t="n">
        <x:f>F117+Inputs!$C$17/2</x:f>
        <x:v>706.1922769103146</x:v>
      </x:c>
      <x:c r="V117" s="48" t="n">
        <x:f>ABS(P117)</x:f>
        <x:v>21.402457042222522</x:v>
      </x:c>
      <x:c r="W117" s="48" t="n">
        <x:f>ABS(Q117)</x:f>
        <x:v>3.2135821384718506</x:v>
      </x:c>
      <x:c r="X117" s="48" t="n">
        <x: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(0.45*SIN(2*PI()*(((A117)/Inputs!$C$49)+Inputs!$C$47*0.137))+0.35*COS(2*PI()*(((0)/Inputs!$C$50)+Inputs!$C$47*0.173))+0.20*SIN(2*PI()*(((A117)+(0))/(0.5*(Inputs!$C$49+Inputs!$C$50))+Inputs!$C$47*0.097)))+0.30*(2*((SIN(((A117)*12.9898+(0)*78.233+Inputs!$C$47*37.719))*43758.5453)-INT((SIN(((A117)*12.9898+(0)*78.233+Inputs!$C$47*37.719))*43758.5453)))-1)))</x:f>
        <x:v>-49.83449295863612</x:v>
      </x:c>
      <x:c r="Y117" s="48" t="n">
        <x: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(0.45*SIN(2*PI()*(((A117)/Inputs!$C$49)+Inputs!$C$47*0.137))+0.35*COS(2*PI()*(((Inputs!$C$6)/Inputs!$C$50)+Inputs!$C$47*0.173))+0.20*SIN(2*PI()*(((A117)+(Inputs!$C$6))/(0.5*(Inputs!$C$49+Inputs!$C$50))+Inputs!$C$47*0.097)))+0.30*(2*((SIN(((A117)*12.9898+(Inputs!$C$6)*78.233+Inputs!$C$47*37.719))*43758.5453)-INT((SIN(((A117)*12.9898+(Inputs!$C$6)*78.233+Inputs!$C$47*37.719))*43758.5453)))-1)))</x:f>
        <x:v>420.97624209793275</x:v>
      </x:c>
      <x:c r="Z117" s="48" t="n">
        <x:f>B117-X117/1000</x:f>
        <x:v>400.05677893740307</x:v>
      </x:c>
      <x:c r="AA117" s="48" t="n">
        <x:f>SQRT((Inputs!$C$52+B117)^2+(Inputs!$C$52+Y117/1000)^2-2*(Inputs!$C$52+B117)*(Inputs!$C$52+Y117/1000)*COS(SQRT(A117^2+Inputs!$C$6^2)/Inputs!$C$52))</x:f>
        <x:v>400.57729787223633</x:v>
      </x:c>
      <x:c r="AB117" s="48" t="n">
        <x:f>(AA117-Z117)*1000</x:f>
        <x:v>520.5189348332624</x:v>
      </x:c>
      <x:c r="AC117" s="48" t="n">
        <x:f>AB117/Inputs!$C$12</x:f>
        <x:v>292.4263678838553</x:v>
      </x:c>
      <x:c r="AD117" s="48" t="n">
        <x:f>2*AB117/Inputs!$C$21*1000000</x:f>
        <x:v>3.472528550623261</x:v>
      </x:c>
      <x:c r="AE117" s="48" t="n">
        <x:f>DEGREES(ATAN(H117/(B117-Y117/1000)))</x:f>
        <x:v>3.5978392075694425</x:v>
      </x:c>
      <x:c r="AF117" s="48" t="n">
        <x:f>DEGREES((2*PI()/Inputs!$C$13)*Inputs!$C$15*SIN(RADIANS(AE117)))</x:f>
        <x:v>22.591037145665354</x:v>
      </x:c>
      <x:c r="AG117" s="48" t="n">
        <x:f>(Z117/AA117)^4</x:f>
        <x:v>0.9948124343979993</x:v>
      </x:c>
      <x:c r="AH117" s="48" t="n">
        <x:f>10*LOG10(AG117)</x:f>
        <x:v>-0.022587950178157398</x:v>
      </x:c>
      <x:c r="AI117" s="48" t="n">
        <x:f>AC117-F117</x:f>
        <x:v>-263.7659090264593</x:v>
      </x:c>
      <x:c r="AJ117" s="48" t="n">
        <x:f>AD117-G117</x:f>
        <x:v>-3.1321889896716324</x:v>
      </x:c>
      <x:c r="AK117" s="48" t="n">
        <x:f>Y117-X117</x:f>
        <x:v>470.8107350565689</x:v>
      </x:c>
      <x:c r="AL117" s="48" t="n">
        <x:f>1000*(AA118-AA116)/(A118-A116)*Inputs!$C$11</x:f>
        <x:v>-116.69334565840472</x:v>
      </x:c>
      <x:c r="AM117" s="48" t="n">
        <x:f>-2*AL117/Inputs!$C$13</x:f>
        <x:v>46.67733826336189</x:v>
      </x:c>
      <x:c r="AN117" s="48" t="n">
        <x:f>-2*AL117/Inputs!$C$14</x:f>
        <x:v>7.008609348853137</x:v>
      </x:c>
      <x:c r="AO117" s="48" t="n">
        <x:f>ABS(AM117)</x:f>
        <x:v>46.67733826336189</x:v>
      </x:c>
      <x:c r="AP117" s="48" t="n">
        <x:f>ABS(AN117)</x:f>
        <x:v>7.008609348853137</x:v>
      </x:c>
      <x:c r="AQ117" s="48" t="n">
        <x:f>IF(OR(Inputs!$C$27=TRUE,Inputs!$C$27="TRUE",Inputs!$C$27=1),Inputs!$C$46/Inputs!$C$12,0)</x:f>
        <x:v>42.13483146067416</x:v>
      </x:c>
      <x:c r="AR117" s="48" t="n">
        <x:f>AC117-AQ117</x:f>
        <x:v>250.29153642318113</x:v>
      </x:c>
      <x:c r="AS117" s="48" t="n">
        <x:f>AC117+AQ117</x:f>
        <x:v>334.5611993445294</x:v>
      </x:c>
    </x:row>
    <x:row r="118">
      <x:c r="A118" s="48" t="n">
        <x:f>Inputs!$C$7+116*(Inputs!$C$8-Inputs!$C$7)/240</x:f>
        <x:v>-2</x:v>
      </x:c>
      <x:c r="B118" s="48" t="n">
        <x:f>Inputs!$C$5+Inputs!$C$9*(A118/Inputs!$C$10)^2</x:f>
        <x:v>400.00444444444446</x:v>
      </x:c>
      <x:c r="C118" s="48" t="n">
        <x:f>B118</x:f>
        <x:v>400.00444444444446</x:v>
      </x:c>
      <x:c r="D118" s="48" t="n">
        <x:f>SQRT((Inputs!$C$52+B118)^2+Inputs!$C$52^2-2*(Inputs!$C$52+B118)*Inputs!$C$52*COS(SQRT(A118^2+Inputs!$C$6^2)/Inputs!$C$52))</x:f>
        <x:v>400.9909472157676</x:v>
      </x:c>
      <x:c r="E118" s="48" t="n">
        <x:f>(D118-C118)*1000</x:f>
        <x:v>986.5027713231598</x:v>
      </x:c>
      <x:c r="F118" s="48" t="n">
        <x:f>E118/Inputs!$C$12</x:f>
        <x:v>554.2150400691909</x:v>
      </x:c>
      <x:c r="G118" s="48" t="n">
        <x:f>2*E118/Inputs!$C$21*1000000</x:f>
        <x:v>6.581238086537586</x:v>
      </x:c>
      <x:c r="H118" s="48" t="n">
        <x:f>SQRT(A118^2+Inputs!$C$6^2)</x:f>
        <x:v>25.079872407968907</x:v>
      </x:c>
      <x:c r="I118" s="48" t="n">
        <x:f>DEGREES(ATAN(H118/B118))</x:f>
        <x:v>3.5876908367118427</x:v>
      </x:c>
      <x:c r="J118" s="48" t="n">
        <x:f>DEGREES((2*PI()/Inputs!$C$13)*Inputs!$C$15*SIN(RADIANS(I118)))</x:f>
        <x:v>22.52739836989279</x:v>
      </x:c>
      <x:c r="K118" s="48" t="n">
        <x:f>(C118/D118)^4</x:f>
        <x:v>0.9901956060610456</x:v>
      </x:c>
      <x:c r="L118" s="48" t="n">
        <x:f>10*LOG10(K118)</x:f>
        <x:v>-0.042790051583174</x:v>
      </x:c>
      <x:c r="M118" s="48" t="n">
        <x:f>2*(Inputs!$C$9/(Inputs!$C$10^2))*A118</x:f>
        <x:v>-0.0044444444444444444</x:v>
      </x:c>
      <x:c r="N118" s="48" t="n">
        <x:f>M118*Inputs!$C$11</x:f>
        <x:v>-0.017777777777777778</x:v>
      </x:c>
      <x:c r="O118" s="48" t="n">
        <x:f>1000*(D119-D117)/(A119-A117)*Inputs!$C$11</x:f>
        <x:v>-42.805385754263625</x:v>
      </x:c>
      <x:c r="P118" s="48" t="n">
        <x:f>-2*O118/Inputs!$C$13</x:f>
        <x:v>17.12215430170545</x:v>
      </x:c>
      <x:c r="Q118" s="48" t="n">
        <x:f>-2*O118/Inputs!$C$14</x:f>
        <x:v>2.570894039295113</x:v>
      </x:c>
      <x:c r="R118" s="48" t="n">
        <x:f>F118-Inputs!$C$16/2</x:f>
        <x:v>539.2150400691909</x:v>
      </x:c>
      <x:c r="S118" s="48" t="n">
        <x:f>F118+Inputs!$C$16/2</x:f>
        <x:v>569.2150400691909</x:v>
      </x:c>
      <x:c r="T118" s="48" t="n">
        <x:f>F118-Inputs!$C$17/2</x:f>
        <x:v>404.2150400691909</x:v>
      </x:c>
      <x:c r="U118" s="48" t="n">
        <x:f>F118+Inputs!$C$17/2</x:f>
        <x:v>704.2150400691909</x:v>
      </x:c>
      <x:c r="V118" s="48" t="n">
        <x:f>ABS(P118)</x:f>
        <x:v>17.12215430170545</x:v>
      </x:c>
      <x:c r="W118" s="48" t="n">
        <x:f>ABS(Q118)</x:f>
        <x:v>2.570894039295113</x:v>
      </x:c>
      <x:c r="X118" s="48" t="n">
        <x: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(0.45*SIN(2*PI()*(((A118)/Inputs!$C$49)+Inputs!$C$47*0.137))+0.35*COS(2*PI()*(((0)/Inputs!$C$50)+Inputs!$C$47*0.173))+0.20*SIN(2*PI()*(((A118)+(0))/(0.5*(Inputs!$C$49+Inputs!$C$50))+Inputs!$C$47*0.097)))+0.30*(2*((SIN(((A118)*12.9898+(0)*78.233+Inputs!$C$47*37.719))*43758.5453)-INT((SIN(((A118)*12.9898+(0)*78.233+Inputs!$C$47*37.719))*43758.5453)))-1)))</x:f>
        <x:v>-59.60727995622125</x:v>
      </x:c>
      <x:c r="Y118" s="48" t="n">
        <x: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(0.45*SIN(2*PI()*(((A118)/Inputs!$C$49)+Inputs!$C$47*0.137))+0.35*COS(2*PI()*(((Inputs!$C$6)/Inputs!$C$50)+Inputs!$C$47*0.173))+0.20*SIN(2*PI()*(((A118)+(Inputs!$C$6))/(0.5*(Inputs!$C$49+Inputs!$C$50))+Inputs!$C$47*0.097)))+0.30*(2*((SIN(((A118)*12.9898+(Inputs!$C$6)*78.233+Inputs!$C$47*37.719))*43758.5453)-INT((SIN(((A118)*12.9898+(Inputs!$C$6)*78.233+Inputs!$C$47*37.719))*43758.5453)))-1)))</x:f>
        <x:v>435.98300826713626</x:v>
      </x:c>
      <x:c r="Z118" s="48" t="n">
        <x:f>B118-X118/1000</x:f>
        <x:v>400.06405172440066</x:v>
      </x:c>
      <x:c r="AA118" s="48" t="n">
        <x:f>SQRT((Inputs!$C$52+B118)^2+(Inputs!$C$52+Y118/1000)^2-2*(Inputs!$C$52+B118)*(Inputs!$C$52+Y118/1000)*COS(SQRT(A118^2+Inputs!$C$6^2)/Inputs!$C$52))</x:f>
        <x:v>400.5563134850219</x:v>
      </x:c>
      <x:c r="AB118" s="48" t="n">
        <x:f>(AA118-Z118)*1000</x:f>
        <x:v>492.26176062126115</x:v>
      </x:c>
      <x:c r="AC118" s="48" t="n">
        <x:f>AB118/Inputs!$C$12</x:f>
        <x:v>276.5515509108209</x:v>
      </x:c>
      <x:c r="AD118" s="48" t="n">
        <x:f>2*AB118/Inputs!$C$21*1000000</x:f>
        <x:v>3.2840169756456055</x:v>
      </x:c>
      <x:c r="AE118" s="48" t="n">
        <x:f>DEGREES(ATAN(H118/(B118-Y118/1000)))</x:f>
        <x:v>3.5915952493438987</x:v>
      </x:c>
      <x:c r="AF118" s="48" t="n">
        <x:f>DEGREES((2*PI()/Inputs!$C$13)*Inputs!$C$15*SIN(RADIANS(AE118)))</x:f>
        <x:v>22.55188238742539</x:v>
      </x:c>
      <x:c r="AG118" s="48" t="n">
        <x:f>(Z118/AA118)^4</x:f>
        <x:v>0.9950932735975251</x:v>
      </x:c>
      <x:c r="AH118" s="48" t="n">
        <x:f>10*LOG10(AG118)</x:f>
        <x:v>-0.0213620939481269</x:v>
      </x:c>
      <x:c r="AI118" s="48" t="n">
        <x:f>AC118-F118</x:f>
        <x:v>-277.66348915837</x:v>
      </x:c>
      <x:c r="AJ118" s="48" t="n">
        <x:f>AD118-G118</x:f>
        <x:v>-3.2972211108919804</x:v>
      </x:c>
      <x:c r="AK118" s="48" t="n">
        <x:f>Y118-X118</x:f>
        <x:v>495.5902882233575</x:v>
      </x:c>
      <x:c r="AL118" s="48" t="n">
        <x:f>1000*(AA119-AA117)/(A119-A117)*Inputs!$C$11</x:f>
        <x:v>-83.23139808589985</x:v>
      </x:c>
      <x:c r="AM118" s="48" t="n">
        <x:f>-2*AL118/Inputs!$C$13</x:f>
        <x:v>33.29255923435994</x:v>
      </x:c>
      <x:c r="AN118" s="48" t="n">
        <x:f>-2*AL118/Inputs!$C$14</x:f>
        <x:v>4.998882767921914</x:v>
      </x:c>
      <x:c r="AO118" s="48" t="n">
        <x:f>ABS(AM118)</x:f>
        <x:v>33.29255923435994</x:v>
      </x:c>
      <x:c r="AP118" s="48" t="n">
        <x:f>ABS(AN118)</x:f>
        <x:v>4.998882767921914</x:v>
      </x:c>
      <x:c r="AQ118" s="48" t="n">
        <x:f>IF(OR(Inputs!$C$27=TRUE,Inputs!$C$27="TRUE",Inputs!$C$27=1),Inputs!$C$46/Inputs!$C$12,0)</x:f>
        <x:v>42.13483146067416</x:v>
      </x:c>
      <x:c r="AR118" s="48" t="n">
        <x:f>AC118-AQ118</x:f>
        <x:v>234.41671945014673</x:v>
      </x:c>
      <x:c r="AS118" s="48" t="n">
        <x:f>AC118+AQ118</x:f>
        <x:v>318.68638237149503</x:v>
      </x:c>
    </x:row>
    <x:row r="119">
      <x:c r="A119" s="48" t="n">
        <x:f>Inputs!$C$7+117*(Inputs!$C$8-Inputs!$C$7)/240</x:f>
        <x:v>-1.5</x:v>
      </x:c>
      <x:c r="B119" s="48" t="n">
        <x:f>Inputs!$C$5+Inputs!$C$9*(A119/Inputs!$C$10)^2</x:f>
        <x:v>400.0025</x:v>
      </x:c>
      <x:c r="C119" s="48" t="n">
        <x:f>B119</x:f>
        <x:v>400.0025</x:v>
      </x:c>
      <x:c r="D119" s="48" t="n">
        <x:f>SQRT((Inputs!$C$52+B119)^2+Inputs!$C$52^2-2*(Inputs!$C$52+B119)*Inputs!$C$52*COS(SQRT(A119^2+Inputs!$C$6^2)/Inputs!$C$52))</x:f>
        <x:v>400.98626535090625</x:v>
      </x:c>
      <x:c r="E119" s="48" t="n">
        <x:f>(D119-C119)*1000</x:f>
        <x:v>983.7653509062534</x:v>
      </x:c>
      <x:c r="F119" s="48" t="n">
        <x:f>E119/Inputs!$C$12</x:f>
        <x:v>552.6771634304794</x:v>
      </x:c>
      <x:c r="G119" s="48" t="n">
        <x:f>2*E119/Inputs!$C$21*1000000</x:f>
        <x:v>6.562975983246739</x:v>
      </x:c>
      <x:c r="H119" s="48" t="n">
        <x:f>SQRT(A119^2+Inputs!$C$6^2)</x:f>
        <x:v>25.04495957273639</x:v>
      </x:c>
      <x:c r="I119" s="48" t="n">
        <x:f>DEGREES(ATAN(H119/B119))</x:f>
        <x:v>3.582726922473895</x:v>
      </x:c>
      <x:c r="J119" s="48" t="n">
        <x:f>DEGREES((2*PI()/Inputs!$C$13)*Inputs!$C$15*SIN(RADIANS(I119)))</x:f>
        <x:v>22.49627021711709</x:v>
      </x:c>
      <x:c r="K119" s="48" t="n">
        <x:f>(C119/D119)^4</x:f>
        <x:v>0.9902225981167069</x:v>
      </x:c>
      <x:c r="L119" s="48" t="n">
        <x:f>10*LOG10(K119)</x:f>
        <x:v>-0.0426716674882904</x:v>
      </x:c>
      <x:c r="M119" s="48" t="n">
        <x:f>2*(Inputs!$C$9/(Inputs!$C$10^2))*A119</x:f>
        <x:v>-0.003333333333333333</x:v>
      </x:c>
      <x:c r="N119" s="48" t="n">
        <x:f>M119*Inputs!$C$11</x:f>
        <x:v>-0.013333333333333332</x:v>
      </x:c>
      <x:c r="O119" s="48" t="n">
        <x:f>1000*(D120-D118)/(A120-A118)*Inputs!$C$11</x:f>
        <x:v>-32.10431447382689</x:v>
      </x:c>
      <x:c r="P119" s="48" t="n">
        <x:f>-2*O119/Inputs!$C$13</x:f>
        <x:v>12.841725789530756</x:v>
      </x:c>
      <x:c r="Q119" s="48" t="n">
        <x:f>-2*O119/Inputs!$C$14</x:f>
        <x:v>1.9281870554850986</x:v>
      </x:c>
      <x:c r="R119" s="48" t="n">
        <x:f>F119-Inputs!$C$16/2</x:f>
        <x:v>537.6771634304794</x:v>
      </x:c>
      <x:c r="S119" s="48" t="n">
        <x:f>F119+Inputs!$C$16/2</x:f>
        <x:v>567.6771634304794</x:v>
      </x:c>
      <x:c r="T119" s="48" t="n">
        <x:f>F119-Inputs!$C$17/2</x:f>
        <x:v>402.67716343047937</x:v>
      </x:c>
      <x:c r="U119" s="48" t="n">
        <x:f>F119+Inputs!$C$17/2</x:f>
        <x:v>702.6771634304794</x:v>
      </x:c>
      <x:c r="V119" s="48" t="n">
        <x:f>ABS(P119)</x:f>
        <x:v>12.841725789530756</x:v>
      </x:c>
      <x:c r="W119" s="48" t="n">
        <x:f>ABS(Q119)</x:f>
        <x:v>1.9281870554850986</x:v>
      </x:c>
      <x:c r="X119" s="48" t="n">
        <x: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(0.45*SIN(2*PI()*(((A119)/Inputs!$C$49)+Inputs!$C$47*0.137))+0.35*COS(2*PI()*(((0)/Inputs!$C$50)+Inputs!$C$47*0.173))+0.20*SIN(2*PI()*(((A119)+(0))/(0.5*(Inputs!$C$49+Inputs!$C$50))+Inputs!$C$47*0.097)))+0.30*(2*((SIN(((A119)*12.9898+(0)*78.233+Inputs!$C$47*37.719))*43758.5453)-INT((SIN(((A119)*12.9898+(0)*78.233+Inputs!$C$47*37.719))*43758.5453)))-1)))</x:f>
        <x:v>-34.15455011761312</x:v>
      </x:c>
      <x:c r="Y119" s="48" t="n">
        <x: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(0.45*SIN(2*PI()*(((A119)/Inputs!$C$49)+Inputs!$C$47*0.137))+0.35*COS(2*PI()*(((Inputs!$C$6)/Inputs!$C$50)+Inputs!$C$47*0.173))+0.20*SIN(2*PI()*(((A119)+(Inputs!$C$6))/(0.5*(Inputs!$C$49+Inputs!$C$50))+Inputs!$C$47*0.097)))+0.30*(2*((SIN(((A119)*12.9898+(Inputs!$C$6)*78.233+Inputs!$C$47*37.719))*43758.5453)-INT((SIN(((A119)*12.9898+(Inputs!$C$6)*78.233+Inputs!$C$47*37.719))*43758.5453)))-1)))</x:f>
        <x:v>431.10580672292525</x:v>
      </x:c>
      <x:c r="Z119" s="48" t="n">
        <x:f>B119-X119/1000</x:f>
        <x:v>400.0366545501176</x:v>
      </x:c>
      <x:c r="AA119" s="48" t="n">
        <x:f>SQRT((Inputs!$C$52+B119)^2+(Inputs!$C$52+Y119/1000)^2-2*(Inputs!$C$52+B119)*(Inputs!$C$52+Y119/1000)*COS(SQRT(A119^2+Inputs!$C$6^2)/Inputs!$C$52))</x:f>
        <x:v>400.55649002271485</x:v>
      </x:c>
      <x:c r="AB119" s="48" t="n">
        <x:f>(AA119-Z119)*1000</x:f>
        <x:v>519.8354725972649</x:v>
      </x:c>
      <x:c r="AC119" s="48" t="n">
        <x:f>AB119/Inputs!$C$12</x:f>
        <x:v>292.0424003355421</x:v>
      </x:c>
      <x:c r="AD119" s="48" t="n">
        <x:f>2*AB119/Inputs!$C$21*1000000</x:f>
        <x:v>3.467968981376209</x:v>
      </x:c>
      <x:c r="AE119" s="48" t="n">
        <x:f>DEGREES(ATAN(H119/(B119-Y119/1000)))</x:f>
        <x:v>3.5865823158301713</x:v>
      </x:c>
      <x:c r="AF119" s="48" t="n">
        <x:f>DEGREES((2*PI()/Inputs!$C$13)*Inputs!$C$15*SIN(RADIANS(AE119)))</x:f>
        <x:v>22.520446973684773</x:v>
      </x:c>
      <x:c r="AG119" s="48" t="n">
        <x:f>(Z119/AA119)^4</x:f>
        <x:v>0.9948189640146042</x:v>
      </x:c>
      <x:c r="AH119" s="48" t="n">
        <x:f>10*LOG10(AG119)</x:f>
        <x:v>-0.0225594446322281</x:v>
      </x:c>
      <x:c r="AI119" s="48" t="n">
        <x:f>AC119-F119</x:f>
        <x:v>-260.6347630949373</x:v>
      </x:c>
      <x:c r="AJ119" s="48" t="n">
        <x:f>AD119-G119</x:f>
        <x:v>-3.09500700187053</x:v>
      </x:c>
      <x:c r="AK119" s="48" t="n">
        <x:f>Y119-X119</x:f>
        <x:v>465.26035684053835</x:v>
      </x:c>
      <x:c r="AL119" s="48" t="n">
        <x:f>1000*(AA120-AA118)/(A120-A118)*Inputs!$C$11</x:f>
        <x:v>-52.11369318749348</x:v>
      </x:c>
      <x:c r="AM119" s="48" t="n">
        <x:f>-2*AL119/Inputs!$C$13</x:f>
        <x:v>20.845477274997393</x:v>
      </x:c>
      <x:c r="AN119" s="48" t="n">
        <x:f>-2*AL119/Inputs!$C$14</x:f>
        <x:v>3.1299515427924014</x:v>
      </x:c>
      <x:c r="AO119" s="48" t="n">
        <x:f>ABS(AM119)</x:f>
        <x:v>20.845477274997393</x:v>
      </x:c>
      <x:c r="AP119" s="48" t="n">
        <x:f>ABS(AN119)</x:f>
        <x:v>3.1299515427924014</x:v>
      </x:c>
      <x:c r="AQ119" s="48" t="n">
        <x:f>IF(OR(Inputs!$C$27=TRUE,Inputs!$C$27="TRUE",Inputs!$C$27=1),Inputs!$C$46/Inputs!$C$12,0)</x:f>
        <x:v>42.13483146067416</x:v>
      </x:c>
      <x:c r="AR119" s="48" t="n">
        <x:f>AC119-AQ119</x:f>
        <x:v>249.90756887486793</x:v>
      </x:c>
      <x:c r="AS119" s="48" t="n">
        <x:f>AC119+AQ119</x:f>
        <x:v>334.17723179621623</x:v>
      </x:c>
    </x:row>
    <x:row r="120">
      <x:c r="A120" s="48" t="n">
        <x:f>Inputs!$C$7+118*(Inputs!$C$8-Inputs!$C$7)/240</x:f>
        <x:v>-1</x:v>
      </x:c>
      <x:c r="B120" s="48" t="n">
        <x:f>Inputs!$C$5+Inputs!$C$9*(A120/Inputs!$C$10)^2</x:f>
        <x:v>400.00111111111113</x:v>
      </x:c>
      <x:c r="C120" s="48" t="n">
        <x:f>B120</x:f>
        <x:v>400.00111111111113</x:v>
      </x:c>
      <x:c r="D120" s="48" t="n">
        <x:f>SQRT((Inputs!$C$52+B120)^2+Inputs!$C$52^2-2*(Inputs!$C$52+B120)*Inputs!$C$52*COS(SQRT(A120^2+Inputs!$C$6^2)/Inputs!$C$52))</x:f>
        <x:v>400.98292113714916</x:v>
      </x:c>
      <x:c r="E120" s="48" t="n">
        <x:f>(D120-C120)*1000</x:f>
        <x:v>981.8100260380334</x:v>
      </x:c>
      <x:c r="F120" s="48" t="n">
        <x:f>E120/Inputs!$C$12</x:f>
        <x:v>551.5786663135019</x:v>
      </x:c>
      <x:c r="G120" s="48" t="n">
        <x:f>2*E120/Inputs!$C$21*1000000</x:f>
        <x:v>6.549931459837014</x:v>
      </x:c>
      <x:c r="H120" s="48" t="n">
        <x:f>SQRT(A120^2+Inputs!$C$6^2)</x:f>
        <x:v>25.019992006393608</x:v>
      </x:c>
      <x:c r="I120" s="48" t="n">
        <x:f>DEGREES(ATAN(H120/B120))</x:f>
        <x:v>3.5791769511981175</x:v>
      </x:c>
      <x:c r="J120" s="48" t="n">
        <x:f>DEGREES((2*PI()/Inputs!$C$13)*Inputs!$C$15*SIN(RADIANS(I120)))</x:f>
        <x:v>22.474008639448687</x:v>
      </x:c>
      <x:c r="K120" s="48" t="n">
        <x:f>(C120/D120)^4</x:f>
        <x:v>0.9902418791229507</x:v>
      </x:c>
      <x:c r="L120" s="48" t="n">
        <x:f>10*LOG10(K120)</x:f>
        <x:v>-0.042587105157445904</x:v>
      </x:c>
      <x:c r="M120" s="48" t="n">
        <x:f>2*(Inputs!$C$9/(Inputs!$C$10^2))*A120</x:f>
        <x:v>-0.0022222222222222222</x:v>
      </x:c>
      <x:c r="N120" s="48" t="n">
        <x:f>M120*Inputs!$C$11</x:f>
        <x:v>-0.008888888888888889</x:v>
      </x:c>
      <x:c r="O120" s="48" t="n">
        <x:f>1000*(D121-D119)/(A121-A119)*Inputs!$C$11</x:f>
        <x:v>-21.403007352773784</x:v>
      </x:c>
      <x:c r="P120" s="48" t="n">
        <x:f>-2*O120/Inputs!$C$13</x:f>
        <x:v>8.561202941109514</x:v>
      </x:c>
      <x:c r="Q120" s="48" t="n">
        <x:f>-2*O120/Inputs!$C$14</x:f>
        <x:v>1.2854659070735006</x:v>
      </x:c>
      <x:c r="R120" s="48" t="n">
        <x:f>F120-Inputs!$C$16/2</x:f>
        <x:v>536.5786663135019</x:v>
      </x:c>
      <x:c r="S120" s="48" t="n">
        <x:f>F120+Inputs!$C$16/2</x:f>
        <x:v>566.5786663135019</x:v>
      </x:c>
      <x:c r="T120" s="48" t="n">
        <x:f>F120-Inputs!$C$17/2</x:f>
        <x:v>401.5786663135019</x:v>
      </x:c>
      <x:c r="U120" s="48" t="n">
        <x:f>F120+Inputs!$C$17/2</x:f>
        <x:v>701.5786663135019</x:v>
      </x:c>
      <x:c r="V120" s="48" t="n">
        <x:f>ABS(P120)</x:f>
        <x:v>8.561202941109514</x:v>
      </x:c>
      <x:c r="W120" s="48" t="n">
        <x:f>ABS(Q120)</x:f>
        <x:v>1.2854659070735006</x:v>
      </x:c>
      <x:c r="X120" s="48" t="n">
        <x: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(0.45*SIN(2*PI()*(((A120)/Inputs!$C$49)+Inputs!$C$47*0.137))+0.35*COS(2*PI()*(((0)/Inputs!$C$50)+Inputs!$C$47*0.173))+0.20*SIN(2*PI()*(((A120)+(0))/(0.5*(Inputs!$C$49+Inputs!$C$50))+Inputs!$C$47*0.097)))+0.30*(2*((SIN(((A120)*12.9898+(0)*78.233+Inputs!$C$47*37.719))*43758.5453)-INT((SIN(((A120)*12.9898+(0)*78.233+Inputs!$C$47*37.719))*43758.5453)))-1)))</x:f>
        <x:v>-38.26579288799343</x:v>
      </x:c>
      <x:c r="Y120" s="48" t="n">
        <x: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(0.45*SIN(2*PI()*(((A120)/Inputs!$C$49)+Inputs!$C$47*0.137))+0.35*COS(2*PI()*(((Inputs!$C$6)/Inputs!$C$50)+Inputs!$C$47*0.173))+0.20*SIN(2*PI()*(((A120)+(Inputs!$C$6))/(0.5*(Inputs!$C$49+Inputs!$C$50))+Inputs!$C$47*0.097)))+0.30*(2*((SIN(((A120)*12.9898+(Inputs!$C$6)*78.233+Inputs!$C$47*37.719))*43758.5453)-INT((SIN(((A120)*12.9898+(Inputs!$C$6)*78.233+Inputs!$C$47*37.719))*43758.5453)))-1)))</x:f>
        <x:v>440.9944102420088</x:v>
      </x:c>
      <x:c r="Z120" s="48" t="n">
        <x:f>B120-X120/1000</x:f>
        <x:v>400.03937690399914</x:v>
      </x:c>
      <x:c r="AA120" s="48" t="n">
        <x:f>SQRT((Inputs!$C$52+B120)^2+(Inputs!$C$52+Y120/1000)^2-2*(Inputs!$C$52+B120)*(Inputs!$C$52+Y120/1000)*COS(SQRT(A120^2+Inputs!$C$6^2)/Inputs!$C$52))</x:f>
        <x:v>400.54328506172504</x:v>
      </x:c>
      <x:c r="AB120" s="48" t="n">
        <x:f>(AA120-Z120)*1000</x:f>
        <x:v>503.9081577259026</x:v>
      </x:c>
      <x:c r="AC120" s="48" t="n">
        <x:f>AB120/Inputs!$C$12</x:f>
        <x:v>283.0944706325295</x:v>
      </x:c>
      <x:c r="AD120" s="48" t="n">
        <x:f>2*AB120/Inputs!$C$21*1000000</x:f>
        <x:v>3.3617133738961678</x:v>
      </x:c>
      <x:c r="AE120" s="48" t="n">
        <x:f>DEGREES(ATAN(H120/(B120-Y120/1000)))</x:f>
        <x:v>3.583117002109058</x:v>
      </x:c>
      <x:c r="AF120" s="48" t="n">
        <x:f>DEGREES((2*PI()/Inputs!$C$13)*Inputs!$C$15*SIN(RADIANS(AE120)))</x:f>
        <x:v>22.498716369136744</x:v>
      </x:c>
      <x:c r="AG120" s="48" t="n">
        <x:f>(Z120/AA120)^4</x:f>
        <x:v>0.9949772416369113</x:v>
      </x:c>
      <x:c r="AH120" s="48" t="n">
        <x:f>10*LOG10(AG120)</x:f>
        <x:v>-0.0218685286688098</x:v>
      </x:c>
      <x:c r="AI120" s="48" t="n">
        <x:f>AC120-F120</x:f>
        <x:v>-268.4841956809724</x:v>
      </x:c>
      <x:c r="AJ120" s="48" t="n">
        <x:f>AD120-G120</x:f>
        <x:v>-3.188218085940846</x:v>
      </x:c>
      <x:c r="AK120" s="48" t="n">
        <x:f>Y120-X120</x:f>
        <x:v>479.26020313000225</x:v>
      </x:c>
      <x:c r="AL120" s="48" t="n">
        <x:f>1000*(AA121-AA119)/(A121-A119)*Inputs!$C$11</x:f>
        <x:v>-193.39645675700012</x:v>
      </x:c>
      <x:c r="AM120" s="48" t="n">
        <x:f>-2*AL120/Inputs!$C$13</x:f>
        <x:v>77.35858270280005</x:v>
      </x:c>
      <x:c r="AN120" s="48" t="n">
        <x:f>-2*AL120/Inputs!$C$14</x:f>
        <x:v>11.615402808228236</x:v>
      </x:c>
      <x:c r="AO120" s="48" t="n">
        <x:f>ABS(AM120)</x:f>
        <x:v>77.35858270280005</x:v>
      </x:c>
      <x:c r="AP120" s="48" t="n">
        <x:f>ABS(AN120)</x:f>
        <x:v>11.615402808228236</x:v>
      </x:c>
      <x:c r="AQ120" s="48" t="n">
        <x:f>IF(OR(Inputs!$C$27=TRUE,Inputs!$C$27="TRUE",Inputs!$C$27=1),Inputs!$C$46/Inputs!$C$12,0)</x:f>
        <x:v>42.13483146067416</x:v>
      </x:c>
      <x:c r="AR120" s="48" t="n">
        <x:f>AC120-AQ120</x:f>
        <x:v>240.95963917185537</x:v>
      </x:c>
      <x:c r="AS120" s="48" t="n">
        <x:f>AC120+AQ120</x:f>
        <x:v>325.22930209320367</x:v>
      </x:c>
    </x:row>
    <x:row r="121">
      <x:c r="A121" s="48" t="n">
        <x:f>Inputs!$C$7+119*(Inputs!$C$8-Inputs!$C$7)/240</x:f>
        <x:v>-0.5</x:v>
      </x:c>
      <x:c r="B121" s="48" t="n">
        <x:f>Inputs!$C$5+Inputs!$C$9*(A121/Inputs!$C$10)^2</x:f>
        <x:v>400.0002777777778</x:v>
      </x:c>
      <x:c r="C121" s="48" t="n">
        <x:f>B121</x:f>
        <x:v>400.0002777777778</x:v>
      </x:c>
      <x:c r="D121" s="48" t="n">
        <x:f>SQRT((Inputs!$C$52+B121)^2+Inputs!$C$52^2-2*(Inputs!$C$52+B121)*Inputs!$C$52*COS(SQRT(A121^2+Inputs!$C$6^2)/Inputs!$C$52))</x:f>
        <x:v>400.98091459906806</x:v>
      </x:c>
      <x:c r="E121" s="48" t="n">
        <x:f>(D121-C121)*1000</x:f>
        <x:v>980.6368212902612</x:v>
      </x:c>
      <x:c r="F121" s="48" t="n">
        <x:f>E121/Inputs!$C$12</x:f>
        <x:v>550.9195625226187</x:v>
      </x:c>
      <x:c r="G121" s="48" t="n">
        <x:f>2*E121/Inputs!$C$21*1000000</x:f>
        <x:v>6.542104680233558</x:v>
      </x:c>
      <x:c r="H121" s="48" t="n">
        <x:f>SQRT(A121^2+Inputs!$C$6^2)</x:f>
        <x:v>25.004999500099974</x:v>
      </x:c>
      <x:c r="I121" s="48" t="n">
        <x:f>DEGREES(ATAN(H121/B121))</x:f>
        <x:v>3.5770452359901275</x:v>
      </x:c>
      <x:c r="J121" s="48" t="n">
        <x:f>DEGREES((2*PI()/Inputs!$C$13)*Inputs!$C$15*SIN(RADIANS(I121)))</x:f>
        <x:v>22.46064078737939</x:v>
      </x:c>
      <x:c r="K121" s="48" t="n">
        <x:f>(C121/D121)^4</x:f>
        <x:v>0.9902534481132983</x:v>
      </x:c>
      <x:c r="L121" s="48" t="n">
        <x:f>10*LOG10(K121)</x:f>
        <x:v>-0.042536366853748696</x:v>
      </x:c>
      <x:c r="M121" s="48" t="n">
        <x:f>2*(Inputs!$C$9/(Inputs!$C$10^2))*A121</x:f>
        <x:v>-0.0011111111111111111</x:v>
      </x:c>
      <x:c r="N121" s="48" t="n">
        <x:f>M121*Inputs!$C$11</x:f>
        <x:v>-0.0044444444444444444</x:v>
      </x:c>
      <x:c r="O121" s="48" t="n">
        <x:f>1000*(D122-D120)/(A122-A120)*Inputs!$C$11</x:f>
        <x:v>-10.701542982587853</x:v>
      </x:c>
      <x:c r="P121" s="48" t="n">
        <x:f>-2*O121/Inputs!$C$13</x:f>
        <x:v>4.280617193035141</x:v>
      </x:c>
      <x:c r="Q121" s="48" t="n">
        <x:f>-2*O121/Inputs!$C$14</x:f>
        <x:v>0.6427353142695408</x:v>
      </x:c>
      <x:c r="R121" s="48" t="n">
        <x:f>F121-Inputs!$C$16/2</x:f>
        <x:v>535.9195625226187</x:v>
      </x:c>
      <x:c r="S121" s="48" t="n">
        <x:f>F121+Inputs!$C$16/2</x:f>
        <x:v>565.9195625226187</x:v>
      </x:c>
      <x:c r="T121" s="48" t="n">
        <x:f>F121-Inputs!$C$17/2</x:f>
        <x:v>400.91956252261866</x:v>
      </x:c>
      <x:c r="U121" s="48" t="n">
        <x:f>F121+Inputs!$C$17/2</x:f>
        <x:v>700.9195625226187</x:v>
      </x:c>
      <x:c r="V121" s="48" t="n">
        <x:f>ABS(P121)</x:f>
        <x:v>4.280617193035141</x:v>
      </x:c>
      <x:c r="W121" s="48" t="n">
        <x:f>ABS(Q121)</x:f>
        <x:v>0.6427353142695408</x:v>
      </x:c>
      <x:c r="X121" s="48" t="n">
        <x: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(0.45*SIN(2*PI()*(((A121)/Inputs!$C$49)+Inputs!$C$47*0.137))+0.35*COS(2*PI()*(((0)/Inputs!$C$50)+Inputs!$C$47*0.173))+0.20*SIN(2*PI()*(((A121)+(0))/(0.5*(Inputs!$C$49+Inputs!$C$50))+Inputs!$C$47*0.097)))+0.30*(2*((SIN(((A121)*12.9898+(0)*78.233+Inputs!$C$47*37.719))*43758.5453)-INT((SIN(((A121)*12.9898+(0)*78.233+Inputs!$C$47*37.719))*43758.5453)))-1)))</x:f>
        <x:v>-15.949828195457984</x:v>
      </x:c>
      <x:c r="Y121" s="48" t="n">
        <x: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(0.45*SIN(2*PI()*(((A121)/Inputs!$C$49)+Inputs!$C$47*0.137))+0.35*COS(2*PI()*(((Inputs!$C$6)/Inputs!$C$50)+Inputs!$C$47*0.173))+0.20*SIN(2*PI()*(((A121)+(Inputs!$C$6))/(0.5*(Inputs!$C$49+Inputs!$C$50))+Inputs!$C$47*0.097)))+0.30*(2*((SIN(((A121)*12.9898+(Inputs!$C$6)*78.233+Inputs!$C$47*37.719))*43758.5453)-INT((SIN(((A121)*12.9898+(Inputs!$C$6)*78.233+Inputs!$C$47*37.719))*43758.5453)))-1)))</x:f>
        <x:v>474.23278667183286</x:v>
      </x:c>
      <x:c r="Z121" s="48" t="n">
        <x:f>B121-X121/1000</x:f>
        <x:v>400.01622760597326</x:v>
      </x:c>
      <x:c r="AA121" s="48" t="n">
        <x:f>SQRT((Inputs!$C$52+B121)^2+(Inputs!$C$52+Y121/1000)^2-2*(Inputs!$C$52+B121)*(Inputs!$C$52+Y121/1000)*COS(SQRT(A121^2+Inputs!$C$6^2)/Inputs!$C$52))</x:f>
        <x:v>400.5081409085256</x:v>
      </x:c>
      <x:c r="AB121" s="48" t="n">
        <x:f>(AA121-Z121)*1000</x:f>
        <x:v>491.9133025523479</x:v>
      </x:c>
      <x:c r="AC121" s="48" t="n">
        <x:f>AB121/Inputs!$C$12</x:f>
        <x:v>276.35578795075725</x:v>
      </x:c>
      <x:c r="AD121" s="48" t="n">
        <x:f>2*AB121/Inputs!$C$21*1000000</x:f>
        <x:v>3.281692313636175</x:v>
      </x:c>
      <x:c r="AE121" s="48" t="n">
        <x:f>DEGREES(ATAN(H121/(B121-Y121/1000)))</x:f>
        <x:v>3.5812801035288904</x:v>
      </x:c>
      <x:c r="AF121" s="48" t="n">
        <x:f>DEGREES((2*PI()/Inputs!$C$13)*Inputs!$C$15*SIN(RADIANS(AE121)))</x:f>
        <x:v>22.48719734502342</x:v>
      </x:c>
      <x:c r="AG121" s="48" t="n">
        <x:f>(Z121/AA121)^4</x:f>
        <x:v>0.9950961518590505</x:v>
      </x:c>
      <x:c r="AH121" s="48" t="n">
        <x:f>10*LOG10(AG121)</x:f>
        <x:v>-0.0213495321981548</x:v>
      </x:c>
      <x:c r="AI121" s="48" t="n">
        <x:f>AC121-F121</x:f>
        <x:v>-274.5637745718614</x:v>
      </x:c>
      <x:c r="AJ121" s="48" t="n">
        <x:f>AD121-G121</x:f>
        <x:v>-3.2604123665973828</x:v>
      </x:c>
      <x:c r="AK121" s="48" t="n">
        <x:f>Y121-X121</x:f>
        <x:v>490.18261486729085</x:v>
      </x:c>
      <x:c r="AL121" s="48" t="n">
        <x:f>1000*(AA122-AA120)/(A122-A120)*Inputs!$C$11</x:f>
        <x:v>-168.03873810113146</x:v>
      </x:c>
      <x:c r="AM121" s="48" t="n">
        <x:f>-2*AL121/Inputs!$C$13</x:f>
        <x:v>67.21549524045258</x:v>
      </x:c>
      <x:c r="AN121" s="48" t="n">
        <x:f>-2*AL121/Inputs!$C$14</x:f>
        <x:v>10.09241670277066</x:v>
      </x:c>
      <x:c r="AO121" s="48" t="n">
        <x:f>ABS(AM121)</x:f>
        <x:v>67.21549524045258</x:v>
      </x:c>
      <x:c r="AP121" s="48" t="n">
        <x:f>ABS(AN121)</x:f>
        <x:v>10.09241670277066</x:v>
      </x:c>
      <x:c r="AQ121" s="48" t="n">
        <x:f>IF(OR(Inputs!$C$27=TRUE,Inputs!$C$27="TRUE",Inputs!$C$27=1),Inputs!$C$46/Inputs!$C$12,0)</x:f>
        <x:v>42.13483146067416</x:v>
      </x:c>
      <x:c r="AR121" s="48" t="n">
        <x:f>AC121-AQ121</x:f>
        <x:v>234.2209564900831</x:v>
      </x:c>
      <x:c r="AS121" s="48" t="n">
        <x:f>AC121+AQ121</x:f>
        <x:v>318.4906194114314</x:v>
      </x:c>
    </x:row>
    <x:row r="122">
      <x:c r="A122" s="48" t="n">
        <x:f>Inputs!$C$7+120*(Inputs!$C$8-Inputs!$C$7)/240</x:f>
        <x:v>0</x:v>
      </x:c>
      <x:c r="B122" s="48" t="n">
        <x:f>Inputs!$C$5+Inputs!$C$9*(A122/Inputs!$C$10)^2</x:f>
        <x:v>400</x:v>
      </x:c>
      <x:c r="C122" s="48" t="n">
        <x:f>B122</x:f>
        <x:v>400</x:v>
      </x:c>
      <x:c r="D122" s="48" t="n">
        <x:f>SQRT((Inputs!$C$52+B122)^2+Inputs!$C$52^2-2*(Inputs!$C$52+B122)*Inputs!$C$52*COS(SQRT(A122^2+Inputs!$C$6^2)/Inputs!$C$52))</x:f>
        <x:v>400.9802457514035</x:v>
      </x:c>
      <x:c r="E122" s="48" t="n">
        <x:f>(D122-C122)*1000</x:f>
        <x:v>980.2457514035154</x:v>
      </x:c>
      <x:c r="F122" s="48" t="n">
        <x:f>E122/Inputs!$C$12</x:f>
        <x:v>550.6998603390537</x:v>
      </x:c>
      <x:c r="G122" s="48" t="n">
        <x:f>2*E122/Inputs!$C$21*1000000</x:f>
        <x:v>6.5394957427749265</x:v>
      </x:c>
      <x:c r="H122" s="48" t="n">
        <x:f>SQRT(A122^2+Inputs!$C$6^2)</x:f>
        <x:v>25</x:v>
      </x:c>
      <x:c r="I122" s="48" t="n">
        <x:f>DEGREES(ATAN(H122/B122))</x:f>
        <x:v>3.5763343749973515</x:v>
      </x:c>
      <x:c r="J122" s="48" t="n">
        <x:f>DEGREES((2*PI()/Inputs!$C$13)*Inputs!$C$15*SIN(RADIANS(I122)))</x:f>
        <x:v>22.456183015864994</x:v>
      </x:c>
      <x:c r="K122" s="48" t="n">
        <x:f>(C122/D122)^4</x:f>
        <x:v>0.9902573045078467</x:v>
      </x:c>
      <x:c r="L122" s="48" t="n">
        <x:f>10*LOG10(K122)</x:f>
        <x:v>-0.042519453934996</x:v>
      </x:c>
      <x:c r="M122" s="48" t="n">
        <x:f>2*(Inputs!$C$9/(Inputs!$C$10^2))*A122</x:f>
        <x:v>0</x:v>
      </x:c>
      <x:c r="N122" s="48" t="n">
        <x:f>M122*Inputs!$C$11</x:f>
        <x:v>0</x:v>
      </x:c>
      <x:c r="O122" s="48" t="n">
        <x:f>1000*(D123-D121)/(A123-A121)*Inputs!$C$11</x:f>
        <x:v>0</x:v>
      </x:c>
      <x:c r="P122" s="48" t="n">
        <x:f>-2*O122/Inputs!$C$13</x:f>
        <x:v>0</x:v>
      </x:c>
      <x:c r="Q122" s="48" t="n">
        <x:f>-2*O122/Inputs!$C$14</x:f>
        <x:v>0</x:v>
      </x:c>
      <x:c r="R122" s="48" t="n">
        <x:f>F122-Inputs!$C$16/2</x:f>
        <x:v>535.6998603390537</x:v>
      </x:c>
      <x:c r="S122" s="48" t="n">
        <x:f>F122+Inputs!$C$16/2</x:f>
        <x:v>565.6998603390537</x:v>
      </x:c>
      <x:c r="T122" s="48" t="n">
        <x:f>F122-Inputs!$C$17/2</x:f>
        <x:v>400.69986033905366</x:v>
      </x:c>
      <x:c r="U122" s="48" t="n">
        <x:f>F122+Inputs!$C$17/2</x:f>
        <x:v>700.6998603390537</x:v>
      </x:c>
      <x:c r="V122" s="48" t="n">
        <x:f>ABS(P122)</x:f>
        <x:v>0</x:v>
      </x:c>
      <x:c r="W122" s="48" t="n">
        <x:f>ABS(Q122)</x:f>
        <x:v>0</x:v>
      </x:c>
      <x:c r="X122" s="48" t="n">
        <x: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(0.45*SIN(2*PI()*(((A122)/Inputs!$C$49)+Inputs!$C$47*0.137))+0.35*COS(2*PI()*(((0)/Inputs!$C$50)+Inputs!$C$47*0.173))+0.20*SIN(2*PI()*(((A122)+(0))/(0.5*(Inputs!$C$49+Inputs!$C$50))+Inputs!$C$47*0.097)))+0.30*(2*((SIN(((A122)*12.9898+(0)*78.233+Inputs!$C$47*37.719))*43758.5453)-INT((SIN(((A122)*12.9898+(0)*78.233+Inputs!$C$47*37.719))*43758.5453)))-1)))</x:f>
        <x:v>-4.948127387128106</x:v>
      </x:c>
      <x:c r="Y122" s="48" t="n">
        <x: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(0.45*SIN(2*PI()*(((A122)/Inputs!$C$49)+Inputs!$C$47*0.137))+0.35*COS(2*PI()*(((Inputs!$C$6)/Inputs!$C$50)+Inputs!$C$47*0.173))+0.20*SIN(2*PI()*(((A122)+(Inputs!$C$6))/(0.5*(Inputs!$C$49+Inputs!$C$50))+Inputs!$C$47*0.097)))+0.30*(2*((SIN(((A122)*12.9898+(Inputs!$C$6)*78.233+Inputs!$C$47*37.719))*43758.5453)-INT((SIN(((A122)*12.9898+(Inputs!$C$6)*78.233+Inputs!$C$47*37.719))*43758.5453)))-1)))</x:f>
        <x:v>480.44802858922253</x:v>
      </x:c>
      <x:c r="Z122" s="48" t="n">
        <x:f>B122-X122/1000</x:f>
        <x:v>400.00494812738714</x:v>
      </x:c>
      <x:c r="AA122" s="48" t="n">
        <x:f>SQRT((Inputs!$C$52+B122)^2+(Inputs!$C$52+Y122/1000)^2-2*(Inputs!$C$52+B122)*(Inputs!$C$52+Y122/1000)*COS(SQRT(A122^2+Inputs!$C$6^2)/Inputs!$C$52))</x:f>
        <x:v>400.50127537719976</x:v>
      </x:c>
      <x:c r="AB122" s="48" t="n">
        <x:f>(AA122-Z122)*1000</x:f>
        <x:v>496.327249812623</x:v>
      </x:c>
      <x:c r="AC122" s="48" t="n">
        <x:f>AB122/Inputs!$C$12</x:f>
        <x:v>278.8355336025972</x:v>
      </x:c>
      <x:c r="AD122" s="48" t="n">
        <x:f>2*AB122/Inputs!$C$21*1000000</x:f>
        <x:v>3.3111390001186956</x:v>
      </x:c>
      <x:c r="AE122" s="48" t="n">
        <x:f>DEGREES(ATAN(H122/(B122-Y122/1000)))</x:f>
        <x:v>3.5806239655136194</x:v>
      </x:c>
      <x:c r="AF122" s="48" t="n">
        <x:f>DEGREES((2*PI()/Inputs!$C$13)*Inputs!$C$15*SIN(RADIANS(AE122)))</x:f>
        <x:v>22.4830827575369</x:v>
      </x:c>
      <x:c r="AG122" s="48" t="n">
        <x:f>(Z122/AA122)^4</x:f>
        <x:v>0.9950521466898589</x:v>
      </x:c>
      <x:c r="AH122" s="48" t="n">
        <x:f>10*LOG10(AG122)</x:f>
        <x:v>-0.021541590269125898</x:v>
      </x:c>
      <x:c r="AI122" s="48" t="n">
        <x:f>AC122-F122</x:f>
        <x:v>-271.86432673645646</x:v>
      </x:c>
      <x:c r="AJ122" s="48" t="n">
        <x:f>AD122-G122</x:f>
        <x:v>-3.228356742656231</x:v>
      </x:c>
      <x:c r="AK122" s="48" t="n">
        <x:f>Y122-X122</x:f>
        <x:v>485.39615597635066</x:v>
      </x:c>
      <x:c r="AL122" s="48" t="n">
        <x:f>1000*(AA123-AA121)/(A123-A121)*Inputs!$C$11</x:f>
        <x:v>-33.94468967871944</x:v>
      </x:c>
      <x:c r="AM122" s="48" t="n">
        <x:f>-2*AL122/Inputs!$C$13</x:f>
        <x:v>13.577875871487777</x:v>
      </x:c>
      <x:c r="AN122" s="48" t="n">
        <x:f>-2*AL122/Inputs!$C$14</x:f>
        <x:v>2.0387201008239906</x:v>
      </x:c>
      <x:c r="AO122" s="48" t="n">
        <x:f>ABS(AM122)</x:f>
        <x:v>13.577875871487777</x:v>
      </x:c>
      <x:c r="AP122" s="48" t="n">
        <x:f>ABS(AN122)</x:f>
        <x:v>2.0387201008239906</x:v>
      </x:c>
      <x:c r="AQ122" s="48" t="n">
        <x:f>IF(OR(Inputs!$C$27=TRUE,Inputs!$C$27="TRUE",Inputs!$C$27=1),Inputs!$C$46/Inputs!$C$12,0)</x:f>
        <x:v>42.13483146067416</x:v>
      </x:c>
      <x:c r="AR122" s="48" t="n">
        <x:f>AC122-AQ122</x:f>
        <x:v>236.70070214192305</x:v>
      </x:c>
      <x:c r="AS122" s="48" t="n">
        <x:f>AC122+AQ122</x:f>
        <x:v>320.97036506327134</x:v>
      </x:c>
    </x:row>
    <x:row r="123">
      <x:c r="A123" s="48" t="n">
        <x:f>Inputs!$C$7+121*(Inputs!$C$8-Inputs!$C$7)/240</x:f>
        <x:v>0.5</x:v>
      </x:c>
      <x:c r="B123" s="48" t="n">
        <x:f>Inputs!$C$5+Inputs!$C$9*(A123/Inputs!$C$10)^2</x:f>
        <x:v>400.0002777777778</x:v>
      </x:c>
      <x:c r="C123" s="48" t="n">
        <x:f>B123</x:f>
        <x:v>400.0002777777778</x:v>
      </x:c>
      <x:c r="D123" s="48" t="n">
        <x:f>SQRT((Inputs!$C$52+B123)^2+Inputs!$C$52^2-2*(Inputs!$C$52+B123)*Inputs!$C$52*COS(SQRT(A123^2+Inputs!$C$6^2)/Inputs!$C$52))</x:f>
        <x:v>400.98091459906806</x:v>
      </x:c>
      <x:c r="E123" s="48" t="n">
        <x:f>(D123-C123)*1000</x:f>
        <x:v>980.6368212902612</x:v>
      </x:c>
      <x:c r="F123" s="48" t="n">
        <x:f>E123/Inputs!$C$12</x:f>
        <x:v>550.9195625226187</x:v>
      </x:c>
      <x:c r="G123" s="48" t="n">
        <x:f>2*E123/Inputs!$C$21*1000000</x:f>
        <x:v>6.542104680233558</x:v>
      </x:c>
      <x:c r="H123" s="48" t="n">
        <x:f>SQRT(A123^2+Inputs!$C$6^2)</x:f>
        <x:v>25.004999500099974</x:v>
      </x:c>
      <x:c r="I123" s="48" t="n">
        <x:f>DEGREES(ATAN(H123/B123))</x:f>
        <x:v>3.5770452359901275</x:v>
      </x:c>
      <x:c r="J123" s="48" t="n">
        <x:f>DEGREES((2*PI()/Inputs!$C$13)*Inputs!$C$15*SIN(RADIANS(I123)))</x:f>
        <x:v>22.46064078737939</x:v>
      </x:c>
      <x:c r="K123" s="48" t="n">
        <x:f>(C123/D123)^4</x:f>
        <x:v>0.9902534481132983</x:v>
      </x:c>
      <x:c r="L123" s="48" t="n">
        <x:f>10*LOG10(K123)</x:f>
        <x:v>-0.042536366853748696</x:v>
      </x:c>
      <x:c r="M123" s="48" t="n">
        <x:f>2*(Inputs!$C$9/(Inputs!$C$10^2))*A123</x:f>
        <x:v>0.0011111111111111111</x:v>
      </x:c>
      <x:c r="N123" s="48" t="n">
        <x:f>M123*Inputs!$C$11</x:f>
        <x:v>0.0044444444444444444</x:v>
      </x:c>
      <x:c r="O123" s="48" t="n">
        <x:f>1000*(D124-D122)/(A124-A122)*Inputs!$C$11</x:f>
        <x:v>10.701542982587853</x:v>
      </x:c>
      <x:c r="P123" s="48" t="n">
        <x:f>-2*O123/Inputs!$C$13</x:f>
        <x:v>-4.280617193035141</x:v>
      </x:c>
      <x:c r="Q123" s="48" t="n">
        <x:f>-2*O123/Inputs!$C$14</x:f>
        <x:v>-0.6427353142695408</x:v>
      </x:c>
      <x:c r="R123" s="48" t="n">
        <x:f>F123-Inputs!$C$16/2</x:f>
        <x:v>535.9195625226187</x:v>
      </x:c>
      <x:c r="S123" s="48" t="n">
        <x:f>F123+Inputs!$C$16/2</x:f>
        <x:v>565.9195625226187</x:v>
      </x:c>
      <x:c r="T123" s="48" t="n">
        <x:f>F123-Inputs!$C$17/2</x:f>
        <x:v>400.91956252261866</x:v>
      </x:c>
      <x:c r="U123" s="48" t="n">
        <x:f>F123+Inputs!$C$17/2</x:f>
        <x:v>700.9195625226187</x:v>
      </x:c>
      <x:c r="V123" s="48" t="n">
        <x:f>ABS(P123)</x:f>
        <x:v>4.280617193035141</x:v>
      </x:c>
      <x:c r="W123" s="48" t="n">
        <x:f>ABS(Q123)</x:f>
        <x:v>0.6427353142695408</x:v>
      </x:c>
      <x:c r="X123" s="48" t="n">
        <x: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(0.45*SIN(2*PI()*(((A123)/Inputs!$C$49)+Inputs!$C$47*0.137))+0.35*COS(2*PI()*(((0)/Inputs!$C$50)+Inputs!$C$47*0.173))+0.20*SIN(2*PI()*(((A123)+(0))/(0.5*(Inputs!$C$49+Inputs!$C$50))+Inputs!$C$47*0.097)))+0.30*(2*((SIN(((A123)*12.9898+(0)*78.233+Inputs!$C$47*37.719))*43758.5453)-INT((SIN(((A123)*12.9898+(0)*78.233+Inputs!$C$47*37.719))*43758.5453)))-1)))</x:f>
        <x:v>2.259569132321303</x:v>
      </x:c>
      <x:c r="Y123" s="48" t="n">
        <x: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(0.45*SIN(2*PI()*(((A123)/Inputs!$C$49)+Inputs!$C$47*0.137))+0.35*COS(2*PI()*(((Inputs!$C$6)/Inputs!$C$50)+Inputs!$C$47*0.173))+0.20*SIN(2*PI()*(((A123)+(Inputs!$C$6))/(0.5*(Inputs!$C$49+Inputs!$C$50))+Inputs!$C$47*0.097)))+0.30*(2*((SIN(((A123)*12.9898+(Inputs!$C$6)*78.233+Inputs!$C$47*37.719))*43758.5453)-INT((SIN(((A123)*12.9898+(Inputs!$C$6)*78.233+Inputs!$C$47*37.719))*43758.5453)))-1)))</x:f>
        <x:v>482.7451811280071</x:v>
      </x:c>
      <x:c r="Z123" s="48" t="n">
        <x:f>B123-X123/1000</x:f>
        <x:v>399.9980182086455</x:v>
      </x:c>
      <x:c r="AA123" s="48" t="n">
        <x:f>SQRT((Inputs!$C$52+B123)^2+(Inputs!$C$52+Y123/1000)^2-2*(Inputs!$C$52+B123)*(Inputs!$C$52+Y123/1000)*COS(SQRT(A123^2+Inputs!$C$6^2)/Inputs!$C$52))</x:f>
        <x:v>400.4996547361059</x:v>
      </x:c>
      <x:c r="AB123" s="48" t="n">
        <x:f>(AA123-Z123)*1000</x:f>
        <x:v>501.6365274604482</x:v>
      </x:c>
      <x:c r="AC123" s="48" t="n">
        <x:f>AB123/Inputs!$C$12</x:f>
        <x:v>281.8182738541844</x:v>
      </x:c>
      <x:c r="AD123" s="48" t="n">
        <x:f>2*AB123/Inputs!$C$21*1000000</x:f>
        <x:v>3.346558688013747</x:v>
      </x:c>
      <x:c r="AE123" s="48" t="n">
        <x:f>DEGREES(ATAN(H123/(B123-Y123/1000)))</x:f>
        <x:v>3.581356210142889</x:v>
      </x:c>
      <x:c r="AF123" s="48" t="n">
        <x:f>DEGREES((2*PI()/Inputs!$C$13)*Inputs!$C$15*SIN(RADIANS(AE123)))</x:f>
        <x:v>22.48767460314455</x:v>
      </x:c>
      <x:c r="AG123" s="48" t="n">
        <x:f>(Z123/AA123)^4</x:f>
        <x:v>0.9949992981164953</x:v>
      </x:c>
      <x:c r="AH123" s="48" t="n">
        <x:f>10*LOG10(AG123)</x:f>
        <x:v>-0.0217722561029517</x:v>
      </x:c>
      <x:c r="AI123" s="48" t="n">
        <x:f>AC123-F123</x:f>
        <x:v>-269.1012886684343</x:v>
      </x:c>
      <x:c r="AJ123" s="48" t="n">
        <x:f>AD123-G123</x:f>
        <x:v>-3.195545992219811</x:v>
      </x:c>
      <x:c r="AK123" s="48" t="n">
        <x:f>Y123-X123</x:f>
        <x:v>480.4856119956858</x:v>
      </x:c>
      <x:c r="AL123" s="48" t="n">
        <x:f>1000*(AA124-AA122)/(A124-A122)*Inputs!$C$11</x:f>
        <x:v>-57.6121768331177</x:v>
      </x:c>
      <x:c r="AM123" s="48" t="n">
        <x:f>-2*AL123/Inputs!$C$13</x:f>
        <x:v>23.04487073324708</x:v>
      </x:c>
      <x:c r="AN123" s="48" t="n">
        <x:f>-2*AL123/Inputs!$C$14</x:f>
        <x:v>3.46019080078785</x:v>
      </x:c>
      <x:c r="AO123" s="48" t="n">
        <x:f>ABS(AM123)</x:f>
        <x:v>23.04487073324708</x:v>
      </x:c>
      <x:c r="AP123" s="48" t="n">
        <x:f>ABS(AN123)</x:f>
        <x:v>3.46019080078785</x:v>
      </x:c>
      <x:c r="AQ123" s="48" t="n">
        <x:f>IF(OR(Inputs!$C$27=TRUE,Inputs!$C$27="TRUE",Inputs!$C$27=1),Inputs!$C$46/Inputs!$C$12,0)</x:f>
        <x:v>42.13483146067416</x:v>
      </x:c>
      <x:c r="AR123" s="48" t="n">
        <x:f>AC123-AQ123</x:f>
        <x:v>239.68344239351023</x:v>
      </x:c>
      <x:c r="AS123" s="48" t="n">
        <x:f>AC123+AQ123</x:f>
        <x:v>323.95310531485853</x:v>
      </x:c>
    </x:row>
    <x:row r="124">
      <x:c r="A124" s="48" t="n">
        <x:f>Inputs!$C$7+122*(Inputs!$C$8-Inputs!$C$7)/240</x:f>
        <x:v>1</x:v>
      </x:c>
      <x:c r="B124" s="48" t="n">
        <x:f>Inputs!$C$5+Inputs!$C$9*(A124/Inputs!$C$10)^2</x:f>
        <x:v>400.00111111111113</x:v>
      </x:c>
      <x:c r="C124" s="48" t="n">
        <x:f>B124</x:f>
        <x:v>400.00111111111113</x:v>
      </x:c>
      <x:c r="D124" s="48" t="n">
        <x:f>SQRT((Inputs!$C$52+B124)^2+Inputs!$C$52^2-2*(Inputs!$C$52+B124)*Inputs!$C$52*COS(SQRT(A124^2+Inputs!$C$6^2)/Inputs!$C$52))</x:f>
        <x:v>400.98292113714916</x:v>
      </x:c>
      <x:c r="E124" s="48" t="n">
        <x:f>(D124-C124)*1000</x:f>
        <x:v>981.8100260380334</x:v>
      </x:c>
      <x:c r="F124" s="48" t="n">
        <x:f>E124/Inputs!$C$12</x:f>
        <x:v>551.5786663135019</x:v>
      </x:c>
      <x:c r="G124" s="48" t="n">
        <x:f>2*E124/Inputs!$C$21*1000000</x:f>
        <x:v>6.549931459837014</x:v>
      </x:c>
      <x:c r="H124" s="48" t="n">
        <x:f>SQRT(A124^2+Inputs!$C$6^2)</x:f>
        <x:v>25.019992006393608</x:v>
      </x:c>
      <x:c r="I124" s="48" t="n">
        <x:f>DEGREES(ATAN(H124/B124))</x:f>
        <x:v>3.5791769511981175</x:v>
      </x:c>
      <x:c r="J124" s="48" t="n">
        <x:f>DEGREES((2*PI()/Inputs!$C$13)*Inputs!$C$15*SIN(RADIANS(I124)))</x:f>
        <x:v>22.474008639448687</x:v>
      </x:c>
      <x:c r="K124" s="48" t="n">
        <x:f>(C124/D124)^4</x:f>
        <x:v>0.9902418791229507</x:v>
      </x:c>
      <x:c r="L124" s="48" t="n">
        <x:f>10*LOG10(K124)</x:f>
        <x:v>-0.042587105157445904</x:v>
      </x:c>
      <x:c r="M124" s="48" t="n">
        <x:f>2*(Inputs!$C$9/(Inputs!$C$10^2))*A124</x:f>
        <x:v>0.0022222222222222222</x:v>
      </x:c>
      <x:c r="N124" s="48" t="n">
        <x:f>M124*Inputs!$C$11</x:f>
        <x:v>0.008888888888888889</x:v>
      </x:c>
      <x:c r="O124" s="48" t="n">
        <x:f>1000*(D125-D123)/(A125-A123)*Inputs!$C$11</x:f>
        <x:v>21.403007352773784</x:v>
      </x:c>
      <x:c r="P124" s="48" t="n">
        <x:f>-2*O124/Inputs!$C$13</x:f>
        <x:v>-8.561202941109514</x:v>
      </x:c>
      <x:c r="Q124" s="48" t="n">
        <x:f>-2*O124/Inputs!$C$14</x:f>
        <x:v>-1.2854659070735006</x:v>
      </x:c>
      <x:c r="R124" s="48" t="n">
        <x:f>F124-Inputs!$C$16/2</x:f>
        <x:v>536.5786663135019</x:v>
      </x:c>
      <x:c r="S124" s="48" t="n">
        <x:f>F124+Inputs!$C$16/2</x:f>
        <x:v>566.5786663135019</x:v>
      </x:c>
      <x:c r="T124" s="48" t="n">
        <x:f>F124-Inputs!$C$17/2</x:f>
        <x:v>401.5786663135019</x:v>
      </x:c>
      <x:c r="U124" s="48" t="n">
        <x:f>F124+Inputs!$C$17/2</x:f>
        <x:v>701.5786663135019</x:v>
      </x:c>
      <x:c r="V124" s="48" t="n">
        <x:f>ABS(P124)</x:f>
        <x:v>8.561202941109514</x:v>
      </x:c>
      <x:c r="W124" s="48" t="n">
        <x:f>ABS(Q124)</x:f>
        <x:v>1.2854659070735006</x:v>
      </x:c>
      <x:c r="X124" s="48" t="n">
        <x: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(0.45*SIN(2*PI()*(((A124)/Inputs!$C$49)+Inputs!$C$47*0.137))+0.35*COS(2*PI()*(((0)/Inputs!$C$50)+Inputs!$C$47*0.173))+0.20*SIN(2*PI()*(((A124)+(0))/(0.5*(Inputs!$C$49+Inputs!$C$50))+Inputs!$C$47*0.097)))+0.30*(2*((SIN(((A124)*12.9898+(0)*78.233+Inputs!$C$47*37.719))*43758.5453)-INT((SIN(((A124)*12.9898+(0)*78.233+Inputs!$C$47*37.719))*43758.5453)))-1)))</x:f>
        <x:v>43.07644622126787</x:v>
      </x:c>
      <x:c r="Y124" s="48" t="n">
        <x: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(0.45*SIN(2*PI()*(((A124)/Inputs!$C$49)+Inputs!$C$47*0.137))+0.35*COS(2*PI()*(((Inputs!$C$6)/Inputs!$C$50)+Inputs!$C$47*0.173))+0.20*SIN(2*PI()*(((A124)+(Inputs!$C$6))/(0.5*(Inputs!$C$49+Inputs!$C$50))+Inputs!$C$47*0.097)))+0.30*(2*((SIN(((A124)*12.9898+(Inputs!$C$6)*78.233+Inputs!$C$47*37.719))*43758.5453)-INT((SIN(((A124)*12.9898+(Inputs!$C$6)*78.233+Inputs!$C$47*37.719))*43758.5453)))-1)))</x:f>
        <x:v>497.58165314697214</x:v>
      </x:c>
      <x:c r="Z124" s="48" t="n">
        <x:f>B124-X124/1000</x:f>
        <x:v>399.95803466488985</x:v>
      </x:c>
      <x:c r="AA124" s="48" t="n">
        <x:f>SQRT((Inputs!$C$52+B124)^2+(Inputs!$C$52+Y124/1000)^2-2*(Inputs!$C$52+B124)*(Inputs!$C$52+Y124/1000)*COS(SQRT(A124^2+Inputs!$C$6^2)/Inputs!$C$52))</x:f>
        <x:v>400.4868723329915</x:v>
      </x:c>
      <x:c r="AB124" s="48" t="n">
        <x:f>(AA124-Z124)*1000</x:f>
        <x:v>528.8376681016302</x:v>
      </x:c>
      <x:c r="AC124" s="48" t="n">
        <x:f>AB124/Inputs!$C$12</x:f>
        <x:v>297.0998135402417</x:v>
      </x:c>
      <x:c r="AD124" s="48" t="n">
        <x:f>2*AB124/Inputs!$C$21*1000000</x:f>
        <x:v>3.528025165340418</x:v>
      </x:c>
      <x:c r="AE124" s="48" t="n">
        <x:f>DEGREES(ATAN(H124/(B124-Y124/1000)))</x:f>
        <x:v>3.583623206316691</x:v>
      </x:c>
      <x:c r="AF124" s="48" t="n">
        <x:f>DEGREES((2*PI()/Inputs!$C$13)*Inputs!$C$15*SIN(RADIANS(AE124)))</x:f>
        <x:v>22.50189072567005</x:v>
      </x:c>
      <x:c r="AG124" s="48" t="n">
        <x:f>(Z124/AA124)^4</x:f>
        <x:v>0.9947285053112407</x:v>
      </x:c>
      <x:c r="AH124" s="48" t="n">
        <x:f>10*LOG10(AG124)</x:f>
        <x:v>-0.022954365752167902</x:v>
      </x:c>
      <x:c r="AI124" s="48" t="n">
        <x:f>AC124-F124</x:f>
        <x:v>-254.4788527732602</x:v>
      </x:c>
      <x:c r="AJ124" s="48" t="n">
        <x:f>AD124-G124</x:f>
        <x:v>-3.0219062944965955</x:v>
      </x:c>
      <x:c r="AK124" s="48" t="n">
        <x:f>Y124-X124</x:f>
        <x:v>454.5052069257043</x:v>
      </x:c>
      <x:c r="AL124" s="48" t="n">
        <x:f>1000*(AA125-AA123)/(A125-A123)*Inputs!$C$11</x:f>
        <x:v>-114.63205463314807</x:v>
      </x:c>
      <x:c r="AM124" s="48" t="n">
        <x:f>-2*AL124/Inputs!$C$13</x:f>
        <x:v>45.85282185325923</x:v>
      </x:c>
      <x:c r="AN124" s="48" t="n">
        <x:f>-2*AL124/Inputs!$C$14</x:f>
        <x:v>6.88480808607496</x:v>
      </x:c>
      <x:c r="AO124" s="48" t="n">
        <x:f>ABS(AM124)</x:f>
        <x:v>45.85282185325923</x:v>
      </x:c>
      <x:c r="AP124" s="48" t="n">
        <x:f>ABS(AN124)</x:f>
        <x:v>6.88480808607496</x:v>
      </x:c>
      <x:c r="AQ124" s="48" t="n">
        <x:f>IF(OR(Inputs!$C$27=TRUE,Inputs!$C$27="TRUE",Inputs!$C$27=1),Inputs!$C$46/Inputs!$C$12,0)</x:f>
        <x:v>42.13483146067416</x:v>
      </x:c>
      <x:c r="AR124" s="48" t="n">
        <x:f>AC124-AQ124</x:f>
        <x:v>254.96498207956756</x:v>
      </x:c>
      <x:c r="AS124" s="48" t="n">
        <x:f>AC124+AQ124</x:f>
        <x:v>339.23464500091586</x:v>
      </x:c>
    </x:row>
    <x:row r="125">
      <x:c r="A125" s="48" t="n">
        <x:f>Inputs!$C$7+123*(Inputs!$C$8-Inputs!$C$7)/240</x:f>
        <x:v>1.5</x:v>
      </x:c>
      <x:c r="B125" s="48" t="n">
        <x:f>Inputs!$C$5+Inputs!$C$9*(A125/Inputs!$C$10)^2</x:f>
        <x:v>400.0025</x:v>
      </x:c>
      <x:c r="C125" s="48" t="n">
        <x:f>B125</x:f>
        <x:v>400.0025</x:v>
      </x:c>
      <x:c r="D125" s="48" t="n">
        <x:f>SQRT((Inputs!$C$52+B125)^2+Inputs!$C$52^2-2*(Inputs!$C$52+B125)*Inputs!$C$52*COS(SQRT(A125^2+Inputs!$C$6^2)/Inputs!$C$52))</x:f>
        <x:v>400.98626535090625</x:v>
      </x:c>
      <x:c r="E125" s="48" t="n">
        <x:f>(D125-C125)*1000</x:f>
        <x:v>983.7653509062534</x:v>
      </x:c>
      <x:c r="F125" s="48" t="n">
        <x:f>E125/Inputs!$C$12</x:f>
        <x:v>552.6771634304794</x:v>
      </x:c>
      <x:c r="G125" s="48" t="n">
        <x:f>2*E125/Inputs!$C$21*1000000</x:f>
        <x:v>6.562975983246739</x:v>
      </x:c>
      <x:c r="H125" s="48" t="n">
        <x:f>SQRT(A125^2+Inputs!$C$6^2)</x:f>
        <x:v>25.04495957273639</x:v>
      </x:c>
      <x:c r="I125" s="48" t="n">
        <x:f>DEGREES(ATAN(H125/B125))</x:f>
        <x:v>3.582726922473895</x:v>
      </x:c>
      <x:c r="J125" s="48" t="n">
        <x:f>DEGREES((2*PI()/Inputs!$C$13)*Inputs!$C$15*SIN(RADIANS(I125)))</x:f>
        <x:v>22.49627021711709</x:v>
      </x:c>
      <x:c r="K125" s="48" t="n">
        <x:f>(C125/D125)^4</x:f>
        <x:v>0.9902225981167069</x:v>
      </x:c>
      <x:c r="L125" s="48" t="n">
        <x:f>10*LOG10(K125)</x:f>
        <x:v>-0.0426716674882904</x:v>
      </x:c>
      <x:c r="M125" s="48" t="n">
        <x:f>2*(Inputs!$C$9/(Inputs!$C$10^2))*A125</x:f>
        <x:v>0.003333333333333333</x:v>
      </x:c>
      <x:c r="N125" s="48" t="n">
        <x:f>M125*Inputs!$C$11</x:f>
        <x:v>0.013333333333333332</x:v>
      </x:c>
      <x:c r="O125" s="48" t="n">
        <x:f>1000*(D126-D124)/(A126-A124)*Inputs!$C$11</x:f>
        <x:v>32.10431447382689</x:v>
      </x:c>
      <x:c r="P125" s="48" t="n">
        <x:f>-2*O125/Inputs!$C$13</x:f>
        <x:v>-12.841725789530756</x:v>
      </x:c>
      <x:c r="Q125" s="48" t="n">
        <x:f>-2*O125/Inputs!$C$14</x:f>
        <x:v>-1.9281870554850986</x:v>
      </x:c>
      <x:c r="R125" s="48" t="n">
        <x:f>F125-Inputs!$C$16/2</x:f>
        <x:v>537.6771634304794</x:v>
      </x:c>
      <x:c r="S125" s="48" t="n">
        <x:f>F125+Inputs!$C$16/2</x:f>
        <x:v>567.6771634304794</x:v>
      </x:c>
      <x:c r="T125" s="48" t="n">
        <x:f>F125-Inputs!$C$17/2</x:f>
        <x:v>402.67716343047937</x:v>
      </x:c>
      <x:c r="U125" s="48" t="n">
        <x:f>F125+Inputs!$C$17/2</x:f>
        <x:v>702.6771634304794</x:v>
      </x:c>
      <x:c r="V125" s="48" t="n">
        <x:f>ABS(P125)</x:f>
        <x:v>12.841725789530756</x:v>
      </x:c>
      <x:c r="W125" s="48" t="n">
        <x:f>ABS(Q125)</x:f>
        <x:v>1.9281870554850986</x:v>
      </x:c>
      <x:c r="X125" s="48" t="n">
        <x: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(0.45*SIN(2*PI()*(((A125)/Inputs!$C$49)+Inputs!$C$47*0.137))+0.35*COS(2*PI()*(((0)/Inputs!$C$50)+Inputs!$C$47*0.173))+0.20*SIN(2*PI()*(((A125)+(0))/(0.5*(Inputs!$C$49+Inputs!$C$50))+Inputs!$C$47*0.097)))+0.30*(2*((SIN(((A125)*12.9898+(0)*78.233+Inputs!$C$47*37.719))*43758.5453)-INT((SIN(((A125)*12.9898+(0)*78.233+Inputs!$C$47*37.719))*43758.5453)))-1)))</x:f>
        <x:v>46.8149548284789</x:v>
      </x:c>
      <x:c r="Y125" s="48" t="n">
        <x: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(0.45*SIN(2*PI()*(((A125)/Inputs!$C$49)+Inputs!$C$47*0.137))+0.35*COS(2*PI()*(((Inputs!$C$6)/Inputs!$C$50)+Inputs!$C$47*0.173))+0.20*SIN(2*PI()*(((A125)+(Inputs!$C$6))/(0.5*(Inputs!$C$49+Inputs!$C$50))+Inputs!$C$47*0.097)))+0.30*(2*((SIN(((A125)*12.9898+(Inputs!$C$6)*78.233+Inputs!$C$47*37.719))*43758.5453)-INT((SIN(((A125)*12.9898+(Inputs!$C$6)*78.233+Inputs!$C$47*37.719))*43758.5453)))-1)))</x:f>
        <x:v>516.864115303311</x:v>
      </x:c>
      <x:c r="Z125" s="48" t="n">
        <x:f>B125-X125/1000</x:f>
        <x:v>399.9556850451715</x:v>
      </x:c>
      <x:c r="AA125" s="48" t="n">
        <x:f>SQRT((Inputs!$C$52+B125)^2+(Inputs!$C$52+Y125/1000)^2-2*(Inputs!$C$52+B125)*(Inputs!$C$52+Y125/1000)*COS(SQRT(A125^2+Inputs!$C$6^2)/Inputs!$C$52))</x:f>
        <x:v>400.47099672244764</x:v>
      </x:c>
      <x:c r="AB125" s="48" t="n">
        <x:f>(AA125-Z125)*1000</x:f>
        <x:v>515.311677276145</x:v>
      </x:c>
      <x:c r="AC125" s="48" t="n">
        <x:f>AB125/Inputs!$C$12</x:f>
        <x:v>289.5009422899691</x:v>
      </x:c>
      <x:c r="AD125" s="48" t="n">
        <x:f>2*AB125/Inputs!$C$21*1000000</x:f>
        <x:v>3.437789467513189</x:v>
      </x:c>
      <x:c r="AE125" s="48" t="n">
        <x:f>DEGREES(ATAN(H125/(B125-Y125/1000)))</x:f>
        <x:v>3.5873502435956905</x:v>
      </x:c>
      <x:c r="AF125" s="48" t="n">
        <x:f>DEGREES((2*PI()/Inputs!$C$13)*Inputs!$C$15*SIN(RADIANS(AE125)))</x:f>
        <x:v>22.52526255383323</x:v>
      </x:c>
      <x:c r="AG125" s="48" t="n">
        <x:f>(Z125/AA125)^4</x:f>
        <x:v>0.9948628698942851</x:v>
      </x:c>
      <x:c r="AH125" s="48" t="n">
        <x:f>10*LOG10(AG125)</x:f>
        <x:v>-0.022367774979858302</x:v>
      </x:c>
      <x:c r="AI125" s="48" t="n">
        <x:f>AC125-F125</x:f>
        <x:v>-263.1762211405103</x:v>
      </x:c>
      <x:c r="AJ125" s="48" t="n">
        <x:f>AD125-G125</x:f>
        <x:v>-3.12518651573355</x:v>
      </x:c>
      <x:c r="AK125" s="48" t="n">
        <x:f>Y125-X125</x:f>
        <x:v>470.0491604748321</x:v>
      </x:c>
      <x:c r="AL125" s="48" t="n">
        <x:f>1000*(AA126-AA124)/(A126-A124)*Inputs!$C$11</x:f>
        <x:v>-115.1080303402523</x:v>
      </x:c>
      <x:c r="AM125" s="48" t="n">
        <x:f>-2*AL125/Inputs!$C$13</x:f>
        <x:v>46.04321213610092</x:v>
      </x:c>
      <x:c r="AN125" s="48" t="n">
        <x:f>-2*AL125/Inputs!$C$14</x:f>
        <x:v>6.91339521563077</x:v>
      </x:c>
      <x:c r="AO125" s="48" t="n">
        <x:f>ABS(AM125)</x:f>
        <x:v>46.04321213610092</x:v>
      </x:c>
      <x:c r="AP125" s="48" t="n">
        <x:f>ABS(AN125)</x:f>
        <x:v>6.91339521563077</x:v>
      </x:c>
      <x:c r="AQ125" s="48" t="n">
        <x:f>IF(OR(Inputs!$C$27=TRUE,Inputs!$C$27="TRUE",Inputs!$C$27=1),Inputs!$C$46/Inputs!$C$12,0)</x:f>
        <x:v>42.13483146067416</x:v>
      </x:c>
      <x:c r="AR125" s="48" t="n">
        <x:f>AC125-AQ125</x:f>
        <x:v>247.36611082929494</x:v>
      </x:c>
      <x:c r="AS125" s="48" t="n">
        <x:f>AC125+AQ125</x:f>
        <x:v>331.63577375064324</x:v>
      </x:c>
    </x:row>
    <x:row r="126">
      <x:c r="A126" s="48" t="n">
        <x:f>Inputs!$C$7+124*(Inputs!$C$8-Inputs!$C$7)/240</x:f>
        <x:v>2</x:v>
      </x:c>
      <x:c r="B126" s="48" t="n">
        <x:f>Inputs!$C$5+Inputs!$C$9*(A126/Inputs!$C$10)^2</x:f>
        <x:v>400.00444444444446</x:v>
      </x:c>
      <x:c r="C126" s="48" t="n">
        <x:f>B126</x:f>
        <x:v>400.00444444444446</x:v>
      </x:c>
      <x:c r="D126" s="48" t="n">
        <x:f>SQRT((Inputs!$C$52+B126)^2+Inputs!$C$52^2-2*(Inputs!$C$52+B126)*Inputs!$C$52*COS(SQRT(A126^2+Inputs!$C$6^2)/Inputs!$C$52))</x:f>
        <x:v>400.9909472157676</x:v>
      </x:c>
      <x:c r="E126" s="48" t="n">
        <x:f>(D126-C126)*1000</x:f>
        <x:v>986.5027713231598</x:v>
      </x:c>
      <x:c r="F126" s="48" t="n">
        <x:f>E126/Inputs!$C$12</x:f>
        <x:v>554.2150400691909</x:v>
      </x:c>
      <x:c r="G126" s="48" t="n">
        <x:f>2*E126/Inputs!$C$21*1000000</x:f>
        <x:v>6.581238086537586</x:v>
      </x:c>
      <x:c r="H126" s="48" t="n">
        <x:f>SQRT(A126^2+Inputs!$C$6^2)</x:f>
        <x:v>25.079872407968907</x:v>
      </x:c>
      <x:c r="I126" s="48" t="n">
        <x:f>DEGREES(ATAN(H126/B126))</x:f>
        <x:v>3.5876908367118427</x:v>
      </x:c>
      <x:c r="J126" s="48" t="n">
        <x:f>DEGREES((2*PI()/Inputs!$C$13)*Inputs!$C$15*SIN(RADIANS(I126)))</x:f>
        <x:v>22.52739836989279</x:v>
      </x:c>
      <x:c r="K126" s="48" t="n">
        <x:f>(C126/D126)^4</x:f>
        <x:v>0.9901956060610456</x:v>
      </x:c>
      <x:c r="L126" s="48" t="n">
        <x:f>10*LOG10(K126)</x:f>
        <x:v>-0.042790051583174</x:v>
      </x:c>
      <x:c r="M126" s="48" t="n">
        <x:f>2*(Inputs!$C$9/(Inputs!$C$10^2))*A126</x:f>
        <x:v>0.0044444444444444444</x:v>
      </x:c>
      <x:c r="N126" s="48" t="n">
        <x:f>M126*Inputs!$C$11</x:f>
        <x:v>0.017777777777777778</x:v>
      </x:c>
      <x:c r="O126" s="48" t="n">
        <x:f>1000*(D127-D125)/(A127-A125)*Inputs!$C$11</x:f>
        <x:v>42.805385754263625</x:v>
      </x:c>
      <x:c r="P126" s="48" t="n">
        <x:f>-2*O126/Inputs!$C$13</x:f>
        <x:v>-17.12215430170545</x:v>
      </x:c>
      <x:c r="Q126" s="48" t="n">
        <x:f>-2*O126/Inputs!$C$14</x:f>
        <x:v>-2.570894039295113</x:v>
      </x:c>
      <x:c r="R126" s="48" t="n">
        <x:f>F126-Inputs!$C$16/2</x:f>
        <x:v>539.2150400691909</x:v>
      </x:c>
      <x:c r="S126" s="48" t="n">
        <x:f>F126+Inputs!$C$16/2</x:f>
        <x:v>569.2150400691909</x:v>
      </x:c>
      <x:c r="T126" s="48" t="n">
        <x:f>F126-Inputs!$C$17/2</x:f>
        <x:v>404.2150400691909</x:v>
      </x:c>
      <x:c r="U126" s="48" t="n">
        <x:f>F126+Inputs!$C$17/2</x:f>
        <x:v>704.2150400691909</x:v>
      </x:c>
      <x:c r="V126" s="48" t="n">
        <x:f>ABS(P126)</x:f>
        <x:v>17.12215430170545</x:v>
      </x:c>
      <x:c r="W126" s="48" t="n">
        <x:f>ABS(Q126)</x:f>
        <x:v>2.570894039295113</x:v>
      </x:c>
      <x:c r="X126" s="48" t="n">
        <x: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(0.45*SIN(2*PI()*(((A126)/Inputs!$C$49)+Inputs!$C$47*0.137))+0.35*COS(2*PI()*(((0)/Inputs!$C$50)+Inputs!$C$47*0.173))+0.20*SIN(2*PI()*(((A126)+(0))/(0.5*(Inputs!$C$49+Inputs!$C$50))+Inputs!$C$47*0.097)))+0.30*(2*((SIN(((A126)*12.9898+(0)*78.233+Inputs!$C$47*37.719))*43758.5453)-INT((SIN(((A126)*12.9898+(0)*78.233+Inputs!$C$47*37.719))*43758.5453)))-1)))</x:f>
        <x:v>65.55817790320465</x:v>
      </x:c>
      <x:c r="Y126" s="48" t="n">
        <x: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(0.45*SIN(2*PI()*(((A126)/Inputs!$C$49)+Inputs!$C$47*0.137))+0.35*COS(2*PI()*(((Inputs!$C$6)/Inputs!$C$50)+Inputs!$C$47*0.173))+0.20*SIN(2*PI()*(((A126)+(Inputs!$C$6))/(0.5*(Inputs!$C$49+Inputs!$C$50))+Inputs!$C$47*0.097)))+0.30*(2*((SIN(((A126)*12.9898+(Inputs!$C$6)*78.233+Inputs!$C$47*37.719))*43758.5453)-INT((SIN(((A126)*12.9898+(Inputs!$C$6)*78.233+Inputs!$C$47*37.719))*43758.5453)))-1)))</x:f>
        <x:v>534.5064840723982</x:v>
      </x:c>
      <x:c r="Z126" s="48" t="n">
        <x:f>B126-X126/1000</x:f>
        <x:v>399.93888626654126</x:v>
      </x:c>
      <x:c r="AA126" s="48" t="n">
        <x:f>SQRT((Inputs!$C$52+B126)^2+(Inputs!$C$52+Y126/1000)^2-2*(Inputs!$C$52+B126)*(Inputs!$C$52+Y126/1000)*COS(SQRT(A126^2+Inputs!$C$6^2)/Inputs!$C$52))</x:f>
        <x:v>400.4580953254064</x:v>
      </x:c>
      <x:c r="AB126" s="48" t="n">
        <x:f>(AA126-Z126)*1000</x:f>
        <x:v>519.2090588651581</x:v>
      </x:c>
      <x:c r="AC126" s="48" t="n">
        <x:f>AB126/Inputs!$C$12</x:f>
        <x:v>291.6904825085158</x:v>
      </x:c>
      <x:c r="AD126" s="48" t="n">
        <x:f>2*AB126/Inputs!$C$21*1000000</x:f>
        <x:v>3.4637899987808107</x:v>
      </x:c>
      <x:c r="AE126" s="48" t="n">
        <x:f>DEGREES(ATAN(H126/(B126-Y126/1000)))</x:f>
        <x:v>3.5924787447746764</x:v>
      </x:c>
      <x:c r="AF126" s="48" t="n">
        <x:f>DEGREES((2*PI()/Inputs!$C$13)*Inputs!$C$15*SIN(RADIANS(AE126)))</x:f>
        <x:v>22.55742264736752</x:v>
      </x:c>
      <x:c r="AG126" s="48" t="n">
        <x:f>(Z126/AA126)^4</x:f>
        <x:v>0.9948239261369038</x:v>
      </x:c>
      <x:c r="AH126" s="48" t="n">
        <x:f>10*LOG10(AG126)</x:f>
        <x:v>-0.022537782228950403</x:v>
      </x:c>
      <x:c r="AI126" s="48" t="n">
        <x:f>AC126-F126</x:f>
        <x:v>-262.5245575606751</x:v>
      </x:c>
      <x:c r="AJ126" s="48" t="n">
        <x:f>AD126-G126</x:f>
        <x:v>-3.117448087756775</x:v>
      </x:c>
      <x:c r="AK126" s="48" t="n">
        <x:f>Y126-X126</x:f>
        <x:v>468.94830616919353</x:v>
      </x:c>
      <x:c r="AL126" s="48" t="n">
        <x:f>1000*(AA127-AA125)/(A127-A125)*Inputs!$C$11</x:f>
        <x:v>-88.2120182025119</x:v>
      </x:c>
      <x:c r="AM126" s="48" t="n">
        <x:f>-2*AL126/Inputs!$C$13</x:f>
        <x:v>35.28480728100476</x:v>
      </x:c>
      <x:c r="AN126" s="48" t="n">
        <x:f>-2*AL126/Inputs!$C$14</x:f>
        <x:v>5.2980191112619766</x:v>
      </x:c>
      <x:c r="AO126" s="48" t="n">
        <x:f>ABS(AM126)</x:f>
        <x:v>35.28480728100476</x:v>
      </x:c>
      <x:c r="AP126" s="48" t="n">
        <x:f>ABS(AN126)</x:f>
        <x:v>5.2980191112619766</x:v>
      </x:c>
      <x:c r="AQ126" s="48" t="n">
        <x:f>IF(OR(Inputs!$C$27=TRUE,Inputs!$C$27="TRUE",Inputs!$C$27=1),Inputs!$C$46/Inputs!$C$12,0)</x:f>
        <x:v>42.13483146067416</x:v>
      </x:c>
      <x:c r="AR126" s="48" t="n">
        <x:f>AC126-AQ126</x:f>
        <x:v>249.55565104784165</x:v>
      </x:c>
      <x:c r="AS126" s="48" t="n">
        <x:f>AC126+AQ126</x:f>
        <x:v>333.82531396918995</x:v>
      </x:c>
    </x:row>
    <x:row r="127">
      <x:c r="A127" s="48" t="n">
        <x:f>Inputs!$C$7+125*(Inputs!$C$8-Inputs!$C$7)/240</x:f>
        <x:v>2.5</x:v>
      </x:c>
      <x:c r="B127" s="48" t="n">
        <x:f>Inputs!$C$5+Inputs!$C$9*(A127/Inputs!$C$10)^2</x:f>
        <x:v>400.00694444444446</x:v>
      </x:c>
      <x:c r="C127" s="48" t="n">
        <x:f>B127</x:f>
        <x:v>400.00694444444446</x:v>
      </x:c>
      <x:c r="D127" s="48" t="n">
        <x:f>SQRT((Inputs!$C$52+B127)^2+Inputs!$C$52^2-2*(Inputs!$C$52+B127)*Inputs!$C$52*COS(SQRT(A127^2+Inputs!$C$6^2)/Inputs!$C$52))</x:f>
        <x:v>400.9969666973448</x:v>
      </x:c>
      <x:c r="E127" s="48" t="n">
        <x:f>(D127-C127)*1000</x:f>
        <x:v>990.02225290036</x:v>
      </x:c>
      <x:c r="F127" s="48" t="n">
        <x:f>E127/Inputs!$C$12</x:f>
        <x:v>556.1922769103146</x:v>
      </x:c>
      <x:c r="G127" s="48" t="n">
        <x:f>2*E127/Inputs!$C$21*1000000</x:f>
        <x:v>6.604717540294893</x:v>
      </x:c>
      <x:c r="H127" s="48" t="n">
        <x:f>SQRT(A127^2+Inputs!$C$6^2)</x:f>
        <x:v>25.124689052802225</x:v>
      </x:c>
      <x:c r="I127" s="48" t="n">
        <x:f>DEGREES(ATAN(H127/B127))</x:f>
        <x:v>3.594062691308639</x:v>
      </x:c>
      <x:c r="J127" s="48" t="n">
        <x:f>DEGREES((2*PI()/Inputs!$C$13)*Inputs!$C$15*SIN(RADIANS(I127)))</x:f>
        <x:v>22.567355311830532</x:v>
      </x:c>
      <x:c r="K127" s="48" t="n">
        <x:f>(C127/D127)^4</x:f>
        <x:v>0.9901609043087782</x:v>
      </x:c>
      <x:c r="L127" s="48" t="n">
        <x:f>10*LOG10(K127)</x:f>
        <x:v>-0.0429422542744039</x:v>
      </x:c>
      <x:c r="M127" s="48" t="n">
        <x:f>2*(Inputs!$C$9/(Inputs!$C$10^2))*A127</x:f>
        <x:v>0.005555555555555556</x:v>
      </x:c>
      <x:c r="N127" s="48" t="n">
        <x:f>M127*Inputs!$C$11</x:f>
        <x:v>0.022222222222222223</x:v>
      </x:c>
      <x:c r="O127" s="48" t="n">
        <x:f>1000*(D128-D126)/(A128-A126)*Inputs!$C$11</x:f>
        <x:v>53.506142605556306</x:v>
      </x:c>
      <x:c r="P127" s="48" t="n">
        <x:f>-2*O127/Inputs!$C$13</x:f>
        <x:v>-21.402457042222522</x:v>
      </x:c>
      <x:c r="Q127" s="48" t="n">
        <x:f>-2*O127/Inputs!$C$14</x:f>
        <x:v>-3.2135821384718506</x:v>
      </x:c>
      <x:c r="R127" s="48" t="n">
        <x:f>F127-Inputs!$C$16/2</x:f>
        <x:v>541.1922769103146</x:v>
      </x:c>
      <x:c r="S127" s="48" t="n">
        <x:f>F127+Inputs!$C$16/2</x:f>
        <x:v>571.1922769103146</x:v>
      </x:c>
      <x:c r="T127" s="48" t="n">
        <x:f>F127-Inputs!$C$17/2</x:f>
        <x:v>406.1922769103146</x:v>
      </x:c>
      <x:c r="U127" s="48" t="n">
        <x:f>F127+Inputs!$C$17/2</x:f>
        <x:v>706.1922769103146</x:v>
      </x:c>
      <x:c r="V127" s="48" t="n">
        <x:f>ABS(P127)</x:f>
        <x:v>21.402457042222522</x:v>
      </x:c>
      <x:c r="W127" s="48" t="n">
        <x:f>ABS(Q127)</x:f>
        <x:v>3.2135821384718506</x:v>
      </x:c>
      <x:c r="X127" s="48" t="n">
        <x: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(0.45*SIN(2*PI()*(((A127)/Inputs!$C$49)+Inputs!$C$47*0.137))+0.35*COS(2*PI()*(((0)/Inputs!$C$50)+Inputs!$C$47*0.173))+0.20*SIN(2*PI()*(((A127)+(0))/(0.5*(Inputs!$C$49+Inputs!$C$50))+Inputs!$C$47*0.097)))+0.30*(2*((SIN(((A127)*12.9898+(0)*78.233+Inputs!$C$47*37.719))*43758.5453)-INT((SIN(((A127)*12.9898+(0)*78.233+Inputs!$C$47*37.719))*43758.5453)))-1)))</x:f>
        <x:v>70.90088362648228</x:v>
      </x:c>
      <x:c r="Y127" s="48" t="n">
        <x: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(0.45*SIN(2*PI()*(((A127)/Inputs!$C$49)+Inputs!$C$47*0.137))+0.35*COS(2*PI()*(((Inputs!$C$6)/Inputs!$C$50)+Inputs!$C$47*0.173))+0.20*SIN(2*PI()*(((A127)+(Inputs!$C$6))/(0.5*(Inputs!$C$49+Inputs!$C$50))+Inputs!$C$47*0.097)))+0.30*(2*((SIN(((A127)*12.9898+(Inputs!$C$6)*78.233+Inputs!$C$47*37.719))*43758.5453)-INT((SIN(((A127)*12.9898+(Inputs!$C$6)*78.233+Inputs!$C$47*37.719))*43758.5453)))-1)))</x:f>
        <x:v>549.7308148691991</x:v>
      </x:c>
      <x:c r="Z127" s="48" t="n">
        <x:f>B127-X127/1000</x:f>
        <x:v>399.93604356081795</x:v>
      </x:c>
      <x:c r="AA127" s="48" t="n">
        <x:f>SQRT((Inputs!$C$52+B127)^2+(Inputs!$C$52+Y127/1000)^2-2*(Inputs!$C$52+B127)*(Inputs!$C$52+Y127/1000)*COS(SQRT(A127^2+Inputs!$C$6^2)/Inputs!$C$52))</x:f>
        <x:v>400.448943717897</x:v>
      </x:c>
      <x:c r="AB127" s="48" t="n">
        <x:f>(AA127-Z127)*1000</x:f>
        <x:v>512.9001570790592</x:v>
      </x:c>
      <x:c r="AC127" s="48" t="n">
        <x:f>AB127/Inputs!$C$12</x:f>
        <x:v>288.1461556623928</x:v>
      </x:c>
      <x:c r="AD127" s="48" t="n">
        <x:f>2*AB127/Inputs!$C$21*1000000</x:f>
        <x:v>3.4217015364613292</x:v>
      </x:c>
      <x:c r="AE127" s="48" t="n">
        <x:f>DEGREES(ATAN(H127/(B127-Y127/1000)))</x:f>
        <x:v>3.5989958292968733</x:v>
      </x:c>
      <x:c r="AF127" s="48" t="n">
        <x:f>DEGREES((2*PI()/Inputs!$C$13)*Inputs!$C$15*SIN(RADIANS(AE127)))</x:f>
        <x:v>22.598290086614817</x:v>
      </x:c>
      <x:c r="AG127" s="48" t="n">
        <x:f>(Z127/AA127)^4</x:f>
        <x:v>0.9948865830456775</x:v>
      </x:c>
      <x:c r="AH127" s="48" t="n">
        <x:f>10*LOG10(AG127)</x:f>
        <x:v>-0.022264259526859696</x:v>
      </x:c>
      <x:c r="AI127" s="48" t="n">
        <x:f>AC127-F127</x:f>
        <x:v>-268.0461212479218</x:v>
      </x:c>
      <x:c r="AJ127" s="48" t="n">
        <x:f>AD127-G127</x:f>
        <x:v>-3.183016003833564</x:v>
      </x:c>
      <x:c r="AK127" s="48" t="n">
        <x:f>Y127-X127</x:f>
        <x:v>478.82993124271684</x:v>
      </x:c>
      <x:c r="AL127" s="48" t="n">
        <x:f>1000*(AA128-AA126)/(A128-A126)*Inputs!$C$11</x:f>
        <x:v>44.24114223934339</x:v>
      </x:c>
      <x:c r="AM127" s="48" t="n">
        <x:f>-2*AL127/Inputs!$C$13</x:f>
        <x:v>-17.696456895737356</x:v>
      </x:c>
      <x:c r="AN127" s="48" t="n">
        <x:f>-2*AL127/Inputs!$C$14</x:f>
        <x:v>-2.657125660020624</x:v>
      </x:c>
      <x:c r="AO127" s="48" t="n">
        <x:f>ABS(AM127)</x:f>
        <x:v>17.696456895737356</x:v>
      </x:c>
      <x:c r="AP127" s="48" t="n">
        <x:f>ABS(AN127)</x:f>
        <x:v>2.657125660020624</x:v>
      </x:c>
      <x:c r="AQ127" s="48" t="n">
        <x:f>IF(OR(Inputs!$C$27=TRUE,Inputs!$C$27="TRUE",Inputs!$C$27=1),Inputs!$C$46/Inputs!$C$12,0)</x:f>
        <x:v>42.13483146067416</x:v>
      </x:c>
      <x:c r="AR127" s="48" t="n">
        <x:f>AC127-AQ127</x:f>
        <x:v>246.01132420171865</x:v>
      </x:c>
      <x:c r="AS127" s="48" t="n">
        <x:f>AC127+AQ127</x:f>
        <x:v>330.28098712306695</x:v>
      </x:c>
    </x:row>
    <x:row r="128">
      <x:c r="A128" s="48" t="n">
        <x:f>Inputs!$C$7+126*(Inputs!$C$8-Inputs!$C$7)/240</x:f>
        <x:v>3</x:v>
      </x:c>
      <x:c r="B128" s="48" t="n">
        <x:f>Inputs!$C$5+Inputs!$C$9*(A128/Inputs!$C$10)^2</x:f>
        <x:v>400.01</x:v>
      </x:c>
      <x:c r="C128" s="48" t="n">
        <x:f>B128</x:f>
        <x:v>400.01</x:v>
      </x:c>
      <x:c r="D128" s="48" t="n">
        <x:f>SQRT((Inputs!$C$52+B128)^2+Inputs!$C$52^2-2*(Inputs!$C$52+B128)*Inputs!$C$52*COS(SQRT(A128^2+Inputs!$C$6^2)/Inputs!$C$52))</x:f>
        <x:v>401.004323751419</x:v>
      </x:c>
      <x:c r="E128" s="48" t="n">
        <x:f>(D128-C128)*1000</x:f>
        <x:v>994.3237514190173</x:v>
      </x:c>
      <x:c r="F128" s="48" t="n">
        <x:f>E128/Inputs!$C$12</x:f>
        <x:v>558.6088491118074</x:v>
      </x:c>
      <x:c r="G128" s="48" t="n">
        <x:f>2*E128/Inputs!$C$21*1000000</x:f>
        <x:v>6.633414049522335</x:v>
      </x:c>
      <x:c r="H128" s="48" t="n">
        <x:f>SQRT(A128^2+Inputs!$C$6^2)</x:f>
        <x:v>25.179356624028344</x:v>
      </x:c>
      <x:c r="I128" s="48" t="n">
        <x:f>DEGREES(ATAN(H128/B128))</x:f>
        <x:v>3.601834829314978</x:v>
      </x:c>
      <x:c r="J128" s="48" t="n">
        <x:f>DEGREES((2*PI()/Inputs!$C$13)*Inputs!$C$15*SIN(RADIANS(I128)))</x:f>
        <x:v>22.616092842548554</x:v>
      </x:c>
      <x:c r="K128" s="48" t="n">
        <x:f>(C128/D128)^4</x:f>
        <x:v>0.9901184945990438</x:v>
      </x:c>
      <x:c r="L128" s="48" t="n">
        <x:f>10*LOG10(K128)</x:f>
        <x:v>-0.043128271489245</x:v>
      </x:c>
      <x:c r="M128" s="48" t="n">
        <x:f>2*(Inputs!$C$9/(Inputs!$C$10^2))*A128</x:f>
        <x:v>0.006666666666666666</x:v>
      </x:c>
      <x:c r="N128" s="48" t="n">
        <x:f>M128*Inputs!$C$11</x:f>
        <x:v>0.026666666666666665</x:v>
      </x:c>
      <x:c r="O128" s="48" t="n">
        <x:f>1000*(D129-D127)/(A129-A127)*Inputs!$C$11</x:f>
        <x:v>64.20650642598957</x:v>
      </x:c>
      <x:c r="P128" s="48" t="n">
        <x:f>-2*O128/Inputs!$C$13</x:f>
        <x:v>-25.68260257039583</x:v>
      </x:c>
      <x:c r="Q128" s="48" t="n">
        <x:f>-2*O128/Inputs!$C$14</x:f>
        <x:v>-3.8562466321915663</x:v>
      </x:c>
      <x:c r="R128" s="48" t="n">
        <x:f>F128-Inputs!$C$16/2</x:f>
        <x:v>543.6088491118074</x:v>
      </x:c>
      <x:c r="S128" s="48" t="n">
        <x:f>F128+Inputs!$C$16/2</x:f>
        <x:v>573.6088491118074</x:v>
      </x:c>
      <x:c r="T128" s="48" t="n">
        <x:f>F128-Inputs!$C$17/2</x:f>
        <x:v>408.60884911180744</x:v>
      </x:c>
      <x:c r="U128" s="48" t="n">
        <x:f>F128+Inputs!$C$17/2</x:f>
        <x:v>708.6088491118074</x:v>
      </x:c>
      <x:c r="V128" s="48" t="n">
        <x:f>ABS(P128)</x:f>
        <x:v>25.68260257039583</x:v>
      </x:c>
      <x:c r="W128" s="48" t="n">
        <x:f>ABS(Q128)</x:f>
        <x:v>3.8562466321915663</x:v>
      </x:c>
      <x:c r="X128" s="48" t="n">
        <x: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(0.45*SIN(2*PI()*(((A128)/Inputs!$C$49)+Inputs!$C$47*0.137))+0.35*COS(2*PI()*(((0)/Inputs!$C$50)+Inputs!$C$47*0.173))+0.20*SIN(2*PI()*(((A128)+(0))/(0.5*(Inputs!$C$49+Inputs!$C$50))+Inputs!$C$47*0.097)))+0.30*(2*((SIN(((A128)*12.9898+(0)*78.233+Inputs!$C$47*37.719))*43758.5453)-INT((SIN(((A128)*12.9898+(0)*78.233+Inputs!$C$47*37.719))*43758.5453)))-1)))</x:f>
        <x:v>82.12086586426281</x:v>
      </x:c>
      <x:c r="Y128" s="48" t="n">
        <x: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(0.45*SIN(2*PI()*(((A128)/Inputs!$C$49)+Inputs!$C$47*0.137))+0.35*COS(2*PI()*(((Inputs!$C$6)/Inputs!$C$50)+Inputs!$C$47*0.173))+0.20*SIN(2*PI()*(((A128)+(Inputs!$C$6))/(0.5*(Inputs!$C$49+Inputs!$C$50))+Inputs!$C$47*0.097)))+0.30*(2*((SIN(((A128)*12.9898+(Inputs!$C$6)*78.233+Inputs!$C$47*37.719))*43758.5453)-INT((SIN(((A128)*12.9898+(Inputs!$C$6)*78.233+Inputs!$C$47*37.719))*43758.5453)))-1)))</x:f>
        <x:v>536.8431041026216</x:v>
      </x:c>
      <x:c r="Z128" s="48" t="n">
        <x:f>B128-X128/1000</x:f>
        <x:v>399.9278791341357</x:v>
      </x:c>
      <x:c r="AA128" s="48" t="n">
        <x:f>SQRT((Inputs!$C$52+B128)^2+(Inputs!$C$52+Y128/1000)^2-2*(Inputs!$C$52+B128)*(Inputs!$C$52+Y128/1000)*COS(SQRT(A128^2+Inputs!$C$6^2)/Inputs!$C$52))</x:f>
        <x:v>400.46915561096625</x:v>
      </x:c>
      <x:c r="AB128" s="48" t="n">
        <x:f>(AA128-Z128)*1000</x:f>
        <x:v>541.2764768305465</x:v>
      </x:c>
      <x:c r="AC128" s="48" t="n">
        <x:f>AB128/Inputs!$C$12</x:f>
        <x:v>304.08790833176766</x:v>
      </x:c>
      <x:c r="AD128" s="48" t="n">
        <x:f>2*AB128/Inputs!$C$21*1000000</x:f>
        <x:v>3.611007964920495</x:v>
      </x:c>
      <x:c r="AE128" s="48" t="n">
        <x:f>DEGREES(ATAN(H128/(B128-Y128/1000)))</x:f>
        <x:v>3.606662487132426</x:v>
      </x:c>
      <x:c r="AF128" s="48" t="n">
        <x:f>DEGREES((2*PI()/Inputs!$C$13)*Inputs!$C$15*SIN(RADIANS(AE128)))</x:f>
        <x:v>22.646365914506866</x:v>
      </x:c>
      <x:c r="AG128" s="48" t="n">
        <x:f>(Z128/AA128)^4</x:f>
        <x:v>0.9946045275245149</x:v>
      </x:c>
      <x:c r="AH128" s="48" t="n">
        <x:f>10*LOG10(AG128)</x:f>
        <x:v>-0.023495681538258803</x:v>
      </x:c>
      <x:c r="AI128" s="48" t="n">
        <x:f>AC128-F128</x:f>
        <x:v>-254.52094078003978</x:v>
      </x:c>
      <x:c r="AJ128" s="48" t="n">
        <x:f>AD128-G128</x:f>
        <x:v>-3.02240608460184</x:v>
      </x:c>
      <x:c r="AK128" s="48" t="n">
        <x:f>Y128-X128</x:f>
        <x:v>454.72223823835884</x:v>
      </x:c>
      <x:c r="AL128" s="48" t="n">
        <x:f>1000*(AA129-AA127)/(A129-A127)*Inputs!$C$11</x:f>
        <x:v>11.68387457710196</x:v>
      </x:c>
      <x:c r="AM128" s="48" t="n">
        <x:f>-2*AL128/Inputs!$C$13</x:f>
        <x:v>-4.673549830840784</x:v>
      </x:c>
      <x:c r="AN128" s="48" t="n">
        <x:f>-2*AL128/Inputs!$C$14</x:f>
        <x:v>-0.7017342088349526</x:v>
      </x:c>
      <x:c r="AO128" s="48" t="n">
        <x:f>ABS(AM128)</x:f>
        <x:v>4.673549830840784</x:v>
      </x:c>
      <x:c r="AP128" s="48" t="n">
        <x:f>ABS(AN128)</x:f>
        <x:v>0.7017342088349526</x:v>
      </x:c>
      <x:c r="AQ128" s="48" t="n">
        <x:f>IF(OR(Inputs!$C$27=TRUE,Inputs!$C$27="TRUE",Inputs!$C$27=1),Inputs!$C$46/Inputs!$C$12,0)</x:f>
        <x:v>42.13483146067416</x:v>
      </x:c>
      <x:c r="AR128" s="48" t="n">
        <x:f>AC128-AQ128</x:f>
        <x:v>261.9530768710935</x:v>
      </x:c>
      <x:c r="AS128" s="48" t="n">
        <x:f>AC128+AQ128</x:f>
        <x:v>346.2227397924418</x:v>
      </x:c>
    </x:row>
    <x:row r="129">
      <x:c r="A129" s="48" t="n">
        <x:f>Inputs!$C$7+127*(Inputs!$C$8-Inputs!$C$7)/240</x:f>
        <x:v>3.5</x:v>
      </x:c>
      <x:c r="B129" s="48" t="n">
        <x:f>Inputs!$C$5+Inputs!$C$9*(A129/Inputs!$C$10)^2</x:f>
        <x:v>400.0136111111111</x:v>
      </x:c>
      <x:c r="C129" s="48" t="n">
        <x:f>B129</x:f>
        <x:v>400.0136111111111</x:v>
      </x:c>
      <x:c r="D129" s="48" t="n">
        <x:f>SQRT((Inputs!$C$52+B129)^2+Inputs!$C$52^2-2*(Inputs!$C$52+B129)*Inputs!$C$52*COS(SQRT(A129^2+Inputs!$C$6^2)/Inputs!$C$52))</x:f>
        <x:v>401.0130183239513</x:v>
      </x:c>
      <x:c r="E129" s="48" t="n">
        <x:f>(D129-C129)*1000</x:f>
        <x:v>999.4072128401967</x:v>
      </x:c>
      <x:c r="F129" s="48" t="n">
        <x:f>E129/Inputs!$C$12</x:f>
        <x:v>561.4647263147173</x:v>
      </x:c>
      <x:c r="G129" s="48" t="n">
        <x:f>2*E129/Inputs!$C$21*1000000</x:f>
        <x:v>6.667327253710944</x:v>
      </x:c>
      <x:c r="H129" s="48" t="n">
        <x:f>SQRT(A129^2+Inputs!$C$6^2)</x:f>
        <x:v>25.243811122728676</x:v>
      </x:c>
      <x:c r="I129" s="48" t="n">
        <x:f>DEGREES(ATAN(H129/B129))</x:f>
        <x:v>3.6109979838002473</x:v>
      </x:c>
      <x:c r="J129" s="48" t="n">
        <x:f>DEGREES((2*PI()/Inputs!$C$13)*Inputs!$C$15*SIN(RADIANS(I129)))</x:f>
        <x:v>22.673552626173688</x:v>
      </x:c>
      <x:c r="K129" s="48" t="n">
        <x:f>(C129/D129)^4</x:f>
        <x:v>0.9900683790570275</x:v>
      </x:c>
      <x:c r="L129" s="48" t="n">
        <x:f>10*LOG10(K129)</x:f>
        <x:v>-0.0433480982505418</x:v>
      </x:c>
      <x:c r="M129" s="48" t="n">
        <x:f>2*(Inputs!$C$9/(Inputs!$C$10^2))*A129</x:f>
        <x:v>0.0077777777777777776</x:v>
      </x:c>
      <x:c r="N129" s="48" t="n">
        <x:f>M129*Inputs!$C$11</x:f>
        <x:v>0.03111111111111111</x:v>
      </x:c>
      <x:c r="O129" s="48" t="n">
        <x:f>1000*(D130-D128)/(A130-A128)*Inputs!$C$11</x:f>
        <x:v>74.90639867137361</x:v>
      </x:c>
      <x:c r="P129" s="48" t="n">
        <x:f>-2*O129/Inputs!$C$13</x:f>
        <x:v>-29.962559468549443</x:v>
      </x:c>
      <x:c r="Q129" s="48" t="n">
        <x:f>-2*O129/Inputs!$C$14</x:f>
        <x:v>-4.498882803085502</x:v>
      </x:c>
      <x:c r="R129" s="48" t="n">
        <x:f>F129-Inputs!$C$16/2</x:f>
        <x:v>546.4647263147173</x:v>
      </x:c>
      <x:c r="S129" s="48" t="n">
        <x:f>F129+Inputs!$C$16/2</x:f>
        <x:v>576.4647263147173</x:v>
      </x:c>
      <x:c r="T129" s="48" t="n">
        <x:f>F129-Inputs!$C$17/2</x:f>
        <x:v>411.46472631471727</x:v>
      </x:c>
      <x:c r="U129" s="48" t="n">
        <x:f>F129+Inputs!$C$17/2</x:f>
        <x:v>711.4647263147173</x:v>
      </x:c>
      <x:c r="V129" s="48" t="n">
        <x:f>ABS(P129)</x:f>
        <x:v>29.962559468549443</x:v>
      </x:c>
      <x:c r="W129" s="48" t="n">
        <x:f>ABS(Q129)</x:f>
        <x:v>4.498882803085502</x:v>
      </x:c>
      <x:c r="X129" s="48" t="n">
        <x: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(0.45*SIN(2*PI()*(((A129)/Inputs!$C$49)+Inputs!$C$47*0.137))+0.35*COS(2*PI()*(((0)/Inputs!$C$50)+Inputs!$C$47*0.173))+0.20*SIN(2*PI()*(((A129)+(0))/(0.5*(Inputs!$C$49+Inputs!$C$50))+Inputs!$C$47*0.097)))+0.30*(2*((SIN(((A129)*12.9898+(0)*78.233+Inputs!$C$47*37.719))*43758.5453)-INT((SIN(((A129)*12.9898+(0)*78.233+Inputs!$C$47*37.719))*43758.5453)))-1)))</x:f>
        <x:v>98.61636326587373</x:v>
      </x:c>
      <x:c r="Y129" s="48" t="n">
        <x: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(0.45*SIN(2*PI()*(((A129)/Inputs!$C$49)+Inputs!$C$47*0.137))+0.35*COS(2*PI()*(((Inputs!$C$6)/Inputs!$C$50)+Inputs!$C$47*0.173))+0.20*SIN(2*PI()*(((A129)+(Inputs!$C$6))/(0.5*(Inputs!$C$49+Inputs!$C$50))+Inputs!$C$47*0.097)))+0.30*(2*((SIN(((A129)*12.9898+(Inputs!$C$6)*78.233+Inputs!$C$47*37.719))*43758.5453)-INT((SIN(((A129)*12.9898+(Inputs!$C$6)*78.233+Inputs!$C$47*37.719))*43758.5453)))-1)))</x:f>
        <x:v>562.919019674553</x:v>
      </x:c>
      <x:c r="Z129" s="48" t="n">
        <x:f>B129-X129/1000</x:f>
        <x:v>399.91499474784524</x:v>
      </x:c>
      <x:c r="AA129" s="48" t="n">
        <x:f>SQRT((Inputs!$C$52+B129)^2+(Inputs!$C$52+Y129/1000)^2-2*(Inputs!$C$52+B129)*(Inputs!$C$52+Y129/1000)*COS(SQRT(A129^2+Inputs!$C$6^2)/Inputs!$C$52))</x:f>
        <x:v>400.4518646865413</x:v>
      </x:c>
      <x:c r="AB129" s="48" t="n">
        <x:f>(AA129-Z129)*1000</x:f>
        <x:v>536.8699386960429</x:v>
      </x:c>
      <x:c r="AC129" s="48" t="n">
        <x:f>AB129/Inputs!$C$12</x:f>
        <x:v>301.61232511013645</x:v>
      </x:c>
      <x:c r="AD129" s="48" t="n">
        <x:f>2*AB129/Inputs!$C$21*1000000</x:f>
        <x:v>3.5816107068046583</x:v>
      </x:c>
      <x:c r="AE129" s="48" t="n">
        <x:f>DEGREES(ATAN(H129/(B129-Y129/1000)))</x:f>
        <x:v>3.616073227962962</x:v>
      </x:c>
      <x:c r="AF129" s="48" t="n">
        <x:f>DEGREES((2*PI()/Inputs!$C$13)*Inputs!$C$15*SIN(RADIANS(AE129)))</x:f>
        <x:v>22.705377926737395</x:v>
      </x:c>
      <x:c r="AG129" s="48" t="n">
        <x:f>(Z129/AA129)^4</x:f>
        <x:v>0.9946481331694348</x:v>
      </x:c>
      <x:c r="AH129" s="48" t="n">
        <x:f>10*LOG10(AG129)</x:f>
        <x:v>-0.0233052814815362</x:v>
      </x:c>
      <x:c r="AI129" s="48" t="n">
        <x:f>AC129-F129</x:f>
        <x:v>-259.8524012045808</x:v>
      </x:c>
      <x:c r="AJ129" s="48" t="n">
        <x:f>AD129-G129</x:f>
        <x:v>-3.0857165469062857</x:v>
      </x:c>
      <x:c r="AK129" s="48" t="n">
        <x:f>Y129-X129</x:f>
        <x:v>464.30265640867935</x:v>
      </x:c>
      <x:c r="AL129" s="48" t="n">
        <x:f>1000*(AA130-AA128)/(A130-A128)*Inputs!$C$11</x:f>
        <x:v>-24.01308093726584</x:v>
      </x:c>
      <x:c r="AM129" s="48" t="n">
        <x:f>-2*AL129/Inputs!$C$13</x:f>
        <x:v>9.605232374906336</x:v>
      </x:c>
      <x:c r="AN129" s="48" t="n">
        <x:f>-2*AL129/Inputs!$C$14</x:f>
        <x:v>1.4422270833192699</x:v>
      </x:c>
      <x:c r="AO129" s="48" t="n">
        <x:f>ABS(AM129)</x:f>
        <x:v>9.605232374906336</x:v>
      </x:c>
      <x:c r="AP129" s="48" t="n">
        <x:f>ABS(AN129)</x:f>
        <x:v>1.4422270833192699</x:v>
      </x:c>
      <x:c r="AQ129" s="48" t="n">
        <x:f>IF(OR(Inputs!$C$27=TRUE,Inputs!$C$27="TRUE",Inputs!$C$27=1),Inputs!$C$46/Inputs!$C$12,0)</x:f>
        <x:v>42.13483146067416</x:v>
      </x:c>
      <x:c r="AR129" s="48" t="n">
        <x:f>AC129-AQ129</x:f>
        <x:v>259.4774936494623</x:v>
      </x:c>
      <x:c r="AS129" s="48" t="n">
        <x:f>AC129+AQ129</x:f>
        <x:v>343.7471565708106</x:v>
      </x:c>
    </x:row>
    <x:row r="130">
      <x:c r="A130" s="48" t="n">
        <x:f>Inputs!$C$7+128*(Inputs!$C$8-Inputs!$C$7)/240</x:f>
        <x:v>4</x:v>
      </x:c>
      <x:c r="B130" s="48" t="n">
        <x:f>Inputs!$C$5+Inputs!$C$9*(A130/Inputs!$C$10)^2</x:f>
        <x:v>400.0177777777778</x:v>
      </x:c>
      <x:c r="C130" s="48" t="n">
        <x:f>B130</x:f>
        <x:v>400.0177777777778</x:v>
      </x:c>
      <x:c r="D130" s="48" t="n">
        <x:f>SQRT((Inputs!$C$52+B130)^2+Inputs!$C$52^2-2*(Inputs!$C$52+B130)*Inputs!$C$52*COS(SQRT(A130^2+Inputs!$C$6^2)/Inputs!$C$52))</x:f>
        <x:v>401.02305035108685</x:v>
      </x:c>
      <x:c r="E130" s="48" t="n">
        <x:f>(D130-C130)*1000</x:f>
        <x:v>1005.272573309071</x:v>
      </x:c>
      <x:c r="F130" s="48" t="n">
        <x:f>E130/Inputs!$C$12</x:f>
        <x:v>564.7598726455456</x:v>
      </x:c>
      <x:c r="G130" s="48" t="n">
        <x:f>2*E130/Inputs!$C$21*1000000</x:f>
        <x:v>6.706456726867165</x:v>
      </x:c>
      <x:c r="H130" s="48" t="n">
        <x:f>SQRT(A130^2+Inputs!$C$6^2)</x:f>
        <x:v>25.317977802344327</x:v>
      </x:c>
      <x:c r="I130" s="48" t="n">
        <x:f>DEGREES(ATAN(H130/B130))</x:f>
        <x:v>3.62154133083556</x:v>
      </x:c>
      <x:c r="J130" s="48" t="n">
        <x:f>DEGREES((2*PI()/Inputs!$C$13)*Inputs!$C$15*SIN(RADIANS(I130)))</x:f>
        <x:v>22.739666524476903</x:v>
      </x:c>
      <x:c r="K130" s="48" t="n">
        <x:f>(C130/D130)^4</x:f>
        <x:v>0.9900105601936992</x:v>
      </x:c>
      <x:c r="L130" s="48" t="n">
        <x:f>10*LOG10(K130)</x:f>
        <x:v>-0.0436017286771152</x:v>
      </x:c>
      <x:c r="M130" s="48" t="n">
        <x:f>2*(Inputs!$C$9/(Inputs!$C$10^2))*A130</x:f>
        <x:v>0.008888888888888889</x:v>
      </x:c>
      <x:c r="N130" s="48" t="n">
        <x:f>M130*Inputs!$C$11</x:f>
        <x:v>0.035555555555555556</x:v>
      </x:c>
      <x:c r="O130" s="48" t="n">
        <x:f>1000*(D131-D129)/(A131-A129)*Inputs!$C$11</x:f>
        <x:v>85.60574078887839</x:v>
      </x:c>
      <x:c r="P130" s="48" t="n">
        <x:f>-2*O130/Inputs!$C$13</x:f>
        <x:v>-34.24229631555136</x:v>
      </x:c>
      <x:c r="Q130" s="48" t="n">
        <x:f>-2*O130/Inputs!$C$14</x:f>
        <x:v>-5.14148593326597</x:v>
      </x:c>
      <x:c r="R130" s="48" t="n">
        <x:f>F130-Inputs!$C$16/2</x:f>
        <x:v>549.7598726455456</x:v>
      </x:c>
      <x:c r="S130" s="48" t="n">
        <x:f>F130+Inputs!$C$16/2</x:f>
        <x:v>579.7598726455456</x:v>
      </x:c>
      <x:c r="T130" s="48" t="n">
        <x:f>F130-Inputs!$C$17/2</x:f>
        <x:v>414.75987264554556</x:v>
      </x:c>
      <x:c r="U130" s="48" t="n">
        <x:f>F130+Inputs!$C$17/2</x:f>
        <x:v>714.7598726455456</x:v>
      </x:c>
      <x:c r="V130" s="48" t="n">
        <x:f>ABS(P130)</x:f>
        <x:v>34.24229631555136</x:v>
      </x:c>
      <x:c r="W130" s="48" t="n">
        <x:f>ABS(Q130)</x:f>
        <x:v>5.14148593326597</x:v>
      </x:c>
      <x:c r="X130" s="48" t="n">
        <x: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(0.45*SIN(2*PI()*(((A130)/Inputs!$C$49)+Inputs!$C$47*0.137))+0.35*COS(2*PI()*(((0)/Inputs!$C$50)+Inputs!$C$47*0.173))+0.20*SIN(2*PI()*(((A130)+(0))/(0.5*(Inputs!$C$49+Inputs!$C$50))+Inputs!$C$47*0.097)))+0.30*(2*((SIN(((A130)*12.9898+(0)*78.233+Inputs!$C$47*37.719))*43758.5453)-INT((SIN(((A130)*12.9898+(0)*78.233+Inputs!$C$47*37.719))*43758.5453)))-1)))</x:f>
        <x:v>96.36311355528144</x:v>
      </x:c>
      <x:c r="Y130" s="48" t="n">
        <x: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(0.45*SIN(2*PI()*(((A130)/Inputs!$C$49)+Inputs!$C$47*0.137))+0.35*COS(2*PI()*(((Inputs!$C$6)/Inputs!$C$50)+Inputs!$C$47*0.173))+0.20*SIN(2*PI()*(((A130)+(Inputs!$C$6))/(0.5*(Inputs!$C$49+Inputs!$C$50))+Inputs!$C$47*0.097)))+0.30*(2*((SIN(((A130)*12.9898+(Inputs!$C$6)*78.233+Inputs!$C$47*37.719))*43758.5453)-INT((SIN(((A130)*12.9898+(Inputs!$C$6)*78.233+Inputs!$C$47*37.719))*43758.5453)))-1)))</x:f>
        <x:v>561.6697690573507</x:v>
      </x:c>
      <x:c r="Z130" s="48" t="n">
        <x:f>B130-X130/1000</x:f>
        <x:v>399.9214146642225</x:v>
      </x:c>
      <x:c r="AA130" s="48" t="n">
        <x:f>SQRT((Inputs!$C$52+B130)^2+(Inputs!$C$52+Y130/1000)^2-2*(Inputs!$C$52+B130)*(Inputs!$C$52+Y130/1000)*COS(SQRT(A130^2+Inputs!$C$6^2)/Inputs!$C$52))</x:f>
        <x:v>400.46315234073194</x:v>
      </x:c>
      <x:c r="AB130" s="48" t="n">
        <x:f>(AA130-Z130)*1000</x:f>
        <x:v>541.7376765094559</x:v>
      </x:c>
      <x:c r="AC130" s="48" t="n">
        <x:f>AB130/Inputs!$C$12</x:f>
        <x:v>304.3470092749752</x:v>
      </x:c>
      <x:c r="AD130" s="48" t="n">
        <x:f>2*AB130/Inputs!$C$21*1000000</x:f>
        <x:v>3.6140847579925173</x:v>
      </x:c>
      <x:c r="AE130" s="48" t="n">
        <x:f>DEGREES(ATAN(H130/(B130-Y130/1000)))</x:f>
        <x:v>3.626619949886558</x:v>
      </x:c>
      <x:c r="AF130" s="48" t="n">
        <x:f>DEGREES((2*PI()/Inputs!$C$13)*Inputs!$C$15*SIN(RADIANS(AE130)))</x:f>
        <x:v>22.771512617245605</x:v>
      </x:c>
      <x:c r="AG130" s="48" t="n">
        <x:f>(Z130/AA130)^4</x:f>
        <x:v>0.9945998588053261</x:v>
      </x:c>
      <x:c r="AH130" s="48" t="n">
        <x:f>10*LOG10(AG130)</x:f>
        <x:v>-0.0235160675679216</x:v>
      </x:c>
      <x:c r="AI130" s="48" t="n">
        <x:f>AC130-F130</x:f>
        <x:v>-260.41286337057034</x:v>
      </x:c>
      <x:c r="AJ130" s="48" t="n">
        <x:f>AD130-G130</x:f>
        <x:v>-3.0923719688746476</x:v>
      </x:c>
      <x:c r="AK130" s="48" t="n">
        <x:f>Y130-X130</x:f>
        <x:v>465.30665550206925</x:v>
      </x:c>
      <x:c r="AL130" s="48" t="n">
        <x:f>1000*(AA131-AA129)/(A131-A129)*Inputs!$C$11</x:f>
        <x:v>62.86816085889768</x:v>
      </x:c>
      <x:c r="AM130" s="48" t="n">
        <x:f>-2*AL130/Inputs!$C$13</x:f>
        <x:v>-25.147264343559073</x:v>
      </x:c>
      <x:c r="AN130" s="48" t="n">
        <x:f>-2*AL130/Inputs!$C$14</x:f>
        <x:v>-3.7758655170509123</x:v>
      </x:c>
      <x:c r="AO130" s="48" t="n">
        <x:f>ABS(AM130)</x:f>
        <x:v>25.147264343559073</x:v>
      </x:c>
      <x:c r="AP130" s="48" t="n">
        <x:f>ABS(AN130)</x:f>
        <x:v>3.7758655170509123</x:v>
      </x:c>
      <x:c r="AQ130" s="48" t="n">
        <x:f>IF(OR(Inputs!$C$27=TRUE,Inputs!$C$27="TRUE",Inputs!$C$27=1),Inputs!$C$46/Inputs!$C$12,0)</x:f>
        <x:v>42.13483146067416</x:v>
      </x:c>
      <x:c r="AR130" s="48" t="n">
        <x:f>AC130-AQ130</x:f>
        <x:v>262.21217781430107</x:v>
      </x:c>
      <x:c r="AS130" s="48" t="n">
        <x:f>AC130+AQ130</x:f>
        <x:v>346.48184073564937</x:v>
      </x:c>
    </x:row>
    <x:row r="131">
      <x:c r="A131" s="48" t="n">
        <x:f>Inputs!$C$7+129*(Inputs!$C$8-Inputs!$C$7)/240</x:f>
        <x:v>4.5</x:v>
      </x:c>
      <x:c r="B131" s="48" t="n">
        <x:f>Inputs!$C$5+Inputs!$C$9*(A131/Inputs!$C$10)^2</x:f>
        <x:v>400.0225</x:v>
      </x:c>
      <x:c r="C131" s="48" t="n">
        <x:f>B131</x:f>
        <x:v>400.0225</x:v>
      </x:c>
      <x:c r="D131" s="48" t="n">
        <x:f>SQRT((Inputs!$C$52+B131)^2+Inputs!$C$52^2-2*(Inputs!$C$52+B131)*Inputs!$C$52*COS(SQRT(A131^2+Inputs!$C$6^2)/Inputs!$C$52))</x:f>
        <x:v>401.03441975914853</x:v>
      </x:c>
      <x:c r="E131" s="48" t="n">
        <x:f>(D131-C131)*1000</x:f>
        <x:v>1011.9197591485545</x:v>
      </x:c>
      <x:c r="F131" s="48" t="n">
        <x:f>E131/Inputs!$C$12</x:f>
        <x:v>568.494246712671</x:v>
      </x:c>
      <x:c r="G131" s="48" t="n">
        <x:f>2*E131/Inputs!$C$21*1000000</x:f>
        <x:v>6.75080197747039</x:v>
      </x:c>
      <x:c r="H131" s="48" t="n">
        <x:f>SQRT(A131^2+Inputs!$C$6^2)</x:f>
        <x:v>25.401771591761076</x:v>
      </x:c>
      <x:c r="I131" s="48" t="n">
        <x:f>DEGREES(ATAN(H131/B131))</x:f>
        <x:v>3.6334525503982564</x:v>
      </x:c>
      <x:c r="J131" s="48" t="n">
        <x:f>DEGREES((2*PI()/Inputs!$C$13)*Inputs!$C$15*SIN(RADIANS(I131)))</x:f>
        <x:v>22.814356979819124</x:v>
      </x:c>
      <x:c r="K131" s="48" t="n">
        <x:f>(C131/D131)^4</x:f>
        <x:v>0.989945040905614</x:v>
      </x:c>
      <x:c r="L131" s="48" t="n">
        <x:f>10*LOG10(K131)</x:f>
        <x:v>-0.0438891559837498</x:v>
      </x:c>
      <x:c r="M131" s="48" t="n">
        <x:f>2*(Inputs!$C$9/(Inputs!$C$10^2))*A131</x:f>
        <x:v>0.01</x:v>
      </x:c>
      <x:c r="N131" s="48" t="n">
        <x:f>M131*Inputs!$C$11</x:f>
        <x:v>0.04</x:v>
      </x:c>
      <x:c r="O131" s="48" t="n">
        <x:f>1000*(D132-D130)/(A132-A130)*Inputs!$C$11</x:f>
        <x:v>96.30445428069834</x:v>
      </x:c>
      <x:c r="P131" s="48" t="n">
        <x:f>-2*O131/Inputs!$C$13</x:f>
        <x:v>-38.521781712279335</x:v>
      </x:c>
      <x:c r="Q131" s="48" t="n">
        <x:f>-2*O131/Inputs!$C$14</x:f>
        <x:v>-5.784051308150051</x:v>
      </x:c>
      <x:c r="R131" s="48" t="n">
        <x:f>F131-Inputs!$C$16/2</x:f>
        <x:v>553.494246712671</x:v>
      </x:c>
      <x:c r="S131" s="48" t="n">
        <x:f>F131+Inputs!$C$16/2</x:f>
        <x:v>583.494246712671</x:v>
      </x:c>
      <x:c r="T131" s="48" t="n">
        <x:f>F131-Inputs!$C$17/2</x:f>
        <x:v>418.49424671267104</x:v>
      </x:c>
      <x:c r="U131" s="48" t="n">
        <x:f>F131+Inputs!$C$17/2</x:f>
        <x:v>718.494246712671</x:v>
      </x:c>
      <x:c r="V131" s="48" t="n">
        <x:f>ABS(P131)</x:f>
        <x:v>38.521781712279335</x:v>
      </x:c>
      <x:c r="W131" s="48" t="n">
        <x:f>ABS(Q131)</x:f>
        <x:v>5.784051308150051</x:v>
      </x:c>
      <x:c r="X131" s="48" t="n">
        <x: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(0.45*SIN(2*PI()*(((A131)/Inputs!$C$49)+Inputs!$C$47*0.137))+0.35*COS(2*PI()*(((0)/Inputs!$C$50)+Inputs!$C$47*0.173))+0.20*SIN(2*PI()*(((A131)+(0))/(0.5*(Inputs!$C$49+Inputs!$C$50))+Inputs!$C$47*0.097)))+0.30*(2*((SIN(((A131)*12.9898+(0)*78.233+Inputs!$C$47*37.719))*43758.5453)-INT((SIN(((A131)*12.9898+(0)*78.233+Inputs!$C$47*37.719))*43758.5453)))-1)))</x:f>
        <x:v>82.51998590748882</x:v>
      </x:c>
      <x:c r="Y131" s="48" t="n">
        <x: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(0.45*SIN(2*PI()*(((A131)/Inputs!$C$49)+Inputs!$C$47*0.137))+0.35*COS(2*PI()*(((Inputs!$C$6)/Inputs!$C$50)+Inputs!$C$47*0.173))+0.20*SIN(2*PI()*(((A131)+(Inputs!$C$6))/(0.5*(Inputs!$C$49+Inputs!$C$50))+Inputs!$C$47*0.097)))+0.30*(2*((SIN(((A131)*12.9898+(Inputs!$C$6)*78.233+Inputs!$C$47*37.719))*43758.5453)-INT((SIN(((A131)*12.9898+(Inputs!$C$6)*78.233+Inputs!$C$47*37.719))*43758.5453)))-1)))</x:f>
        <x:v>568.6436382247327</x:v>
      </x:c>
      <x:c r="Z131" s="48" t="n">
        <x:f>B131-X131/1000</x:f>
        <x:v>399.9399800140925</x:v>
      </x:c>
      <x:c r="AA131" s="48" t="n">
        <x:f>SQRT((Inputs!$C$52+B131)^2+(Inputs!$C$52+Y131/1000)^2-2*(Inputs!$C$52+B131)*(Inputs!$C$52+Y131/1000)*COS(SQRT(A131^2+Inputs!$C$6^2)/Inputs!$C$52))</x:f>
        <x:v>400.467581726756</x:v>
      </x:c>
      <x:c r="AB131" s="48" t="n">
        <x:f>(AA131-Z131)*1000</x:f>
        <x:v>527.6017126635111</x:v>
      </x:c>
      <x:c r="AC131" s="48" t="n">
        <x:f>AB131/Inputs!$C$12</x:f>
        <x:v>296.4054565525343</x:v>
      </x:c>
      <x:c r="AD131" s="48" t="n">
        <x:f>2*AB131/Inputs!$C$21*1000000</x:f>
        <x:v>3.5197797581919894</x:v>
      </x:c>
      <x:c r="AE131" s="48" t="n">
        <x:f>DEGREES(ATAN(H131/(B131-Y131/1000)))</x:f>
        <x:v>3.6386110760189014</x:v>
      </x:c>
      <x:c r="AF131" s="48" t="n">
        <x:f>DEGREES((2*PI()/Inputs!$C$13)*Inputs!$C$15*SIN(RADIANS(AE131)))</x:f>
        <x:v>22.84670370831276</x:v>
      </x:c>
      <x:c r="AG131" s="48" t="n">
        <x:f>(Z131/AA131)^4</x:f>
        <x:v>0.994740548223325</x:v>
      </x:c>
      <x:c r="AH131" s="48" t="n">
        <x:f>10*LOG10(AG131)</x:f>
        <x:v>-0.0229017871985579</x:v>
      </x:c>
      <x:c r="AI131" s="48" t="n">
        <x:f>AC131-F131</x:f>
        <x:v>-272.08879016013674</x:v>
      </x:c>
      <x:c r="AJ131" s="48" t="n">
        <x:f>AD131-G131</x:f>
        <x:v>-3.2310222192784006</x:v>
      </x:c>
      <x:c r="AK131" s="48" t="n">
        <x:f>Y131-X131</x:f>
        <x:v>486.1236523172439</x:v>
      </x:c>
      <x:c r="AL131" s="48" t="n">
        <x:f>1000*(AA132-AA130)/(A132-A130)*Inputs!$C$11</x:f>
        <x:v>147.65893651724582</x:v>
      </x:c>
      <x:c r="AM131" s="48" t="n">
        <x:f>-2*AL131/Inputs!$C$13</x:f>
        <x:v>-59.06357460689833</x:v>
      </x:c>
      <x:c r="AN131" s="48" t="n">
        <x:f>-2*AL131/Inputs!$C$14</x:f>
        <x:v>-8.86840459563038</x:v>
      </x:c>
      <x:c r="AO131" s="48" t="n">
        <x:f>ABS(AM131)</x:f>
        <x:v>59.06357460689833</x:v>
      </x:c>
      <x:c r="AP131" s="48" t="n">
        <x:f>ABS(AN131)</x:f>
        <x:v>8.86840459563038</x:v>
      </x:c>
      <x:c r="AQ131" s="48" t="n">
        <x:f>IF(OR(Inputs!$C$27=TRUE,Inputs!$C$27="TRUE",Inputs!$C$27=1),Inputs!$C$46/Inputs!$C$12,0)</x:f>
        <x:v>42.13483146067416</x:v>
      </x:c>
      <x:c r="AR131" s="48" t="n">
        <x:f>AC131-AQ131</x:f>
        <x:v>254.27062509186015</x:v>
      </x:c>
      <x:c r="AS131" s="48" t="n">
        <x:f>AC131+AQ131</x:f>
        <x:v>338.54028801320845</x:v>
      </x:c>
    </x:row>
    <x:row r="132">
      <x:c r="A132" s="48" t="n">
        <x:f>Inputs!$C$7+130*(Inputs!$C$8-Inputs!$C$7)/240</x:f>
        <x:v>5</x:v>
      </x:c>
      <x:c r="B132" s="48" t="n">
        <x:f>Inputs!$C$5+Inputs!$C$9*(A132/Inputs!$C$10)^2</x:f>
        <x:v>400.02777777777777</x:v>
      </x:c>
      <x:c r="C132" s="48" t="n">
        <x:f>B132</x:f>
        <x:v>400.02777777777777</x:v>
      </x:c>
      <x:c r="D132" s="48" t="n">
        <x:f>SQRT((Inputs!$C$52+B132)^2+Inputs!$C$52^2-2*(Inputs!$C$52+B132)*Inputs!$C$52*COS(SQRT(A132^2+Inputs!$C$6^2)/Inputs!$C$52))</x:f>
        <x:v>401.047126464657</x:v>
      </x:c>
      <x:c r="E132" s="48" t="n">
        <x:f>(D132-C132)*1000</x:f>
        <x:v>1019.3486868792547</x:v>
      </x:c>
      <x:c r="F132" s="48" t="n">
        <x:f>E132/Inputs!$C$12</x:f>
        <x:v>572.6678016175588</x:v>
      </x:c>
      <x:c r="G132" s="48" t="n">
        <x:f>2*E132/Inputs!$C$21*1000000</x:f>
        <x:v>6.80036244860606</x:v>
      </x:c>
      <x:c r="H132" s="48" t="n">
        <x:f>SQRT(A132^2+Inputs!$C$6^2)</x:f>
        <x:v>25.495097567963924</x:v>
      </x:c>
      <x:c r="I132" s="48" t="n">
        <x:f>DEGREES(ATAN(H132/B132))</x:f>
        <x:v>3.646717894415093</x:v>
      </x:c>
      <x:c r="J132" s="48" t="n">
        <x:f>DEGREES((2*PI()/Inputs!$C$13)*Inputs!$C$15*SIN(RADIANS(I132)))</x:f>
        <x:v>22.897537442986597</x:v>
      </x:c>
      <x:c r="K132" s="48" t="n">
        <x:f>(C132/D132)^4</x:f>
        <x:v>0.9898718244744187</x:v>
      </x:c>
      <x:c r="L132" s="48" t="n">
        <x:f>10*LOG10(K132)</x:f>
        <x:v>-0.044210372482339</x:v>
      </x:c>
      <x:c r="M132" s="48" t="n">
        <x:f>2*(Inputs!$C$9/(Inputs!$C$10^2))*A132</x:f>
        <x:v>0.011111111111111112</x:v>
      </x:c>
      <x:c r="N132" s="48" t="n">
        <x:f>M132*Inputs!$C$11</x:f>
        <x:v>0.044444444444444446</x:v>
      </x:c>
      <x:c r="O132" s="48" t="n">
        <x:f>1000*(D133-D131)/(A133-A131)*Inputs!$C$11</x:f>
        <x:v>107.00246068472552</x:v>
      </x:c>
      <x:c r="P132" s="48" t="n">
        <x:f>-2*O132/Inputs!$C$13</x:f>
        <x:v>-42.80098427389021</x:v>
      </x:c>
      <x:c r="Q132" s="48" t="n">
        <x:f>-2*O132/Inputs!$C$14</x:f>
        <x:v>-6.426574215298831</x:v>
      </x:c>
      <x:c r="R132" s="48" t="n">
        <x:f>F132-Inputs!$C$16/2</x:f>
        <x:v>557.6678016175588</x:v>
      </x:c>
      <x:c r="S132" s="48" t="n">
        <x:f>F132+Inputs!$C$16/2</x:f>
        <x:v>587.6678016175588</x:v>
      </x:c>
      <x:c r="T132" s="48" t="n">
        <x:f>F132-Inputs!$C$17/2</x:f>
        <x:v>422.6678016175588</x:v>
      </x:c>
      <x:c r="U132" s="48" t="n">
        <x:f>F132+Inputs!$C$17/2</x:f>
        <x:v>722.6678016175588</x:v>
      </x:c>
      <x:c r="V132" s="48" t="n">
        <x:f>ABS(P132)</x:f>
        <x:v>42.80098427389021</x:v>
      </x:c>
      <x:c r="W132" s="48" t="n">
        <x:f>ABS(Q132)</x:f>
        <x:v>6.426574215298831</x:v>
      </x:c>
      <x:c r="X132" s="48" t="n">
        <x: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(0.45*SIN(2*PI()*(((A132)/Inputs!$C$49)+Inputs!$C$47*0.137))+0.35*COS(2*PI()*(((0)/Inputs!$C$50)+Inputs!$C$47*0.173))+0.20*SIN(2*PI()*(((A132)+(0))/(0.5*(Inputs!$C$49+Inputs!$C$50))+Inputs!$C$47*0.097)))+0.30*(2*((SIN(((A132)*12.9898+(0)*78.233+Inputs!$C$47*37.719))*43758.5453)-INT((SIN(((A132)*12.9898+(0)*78.233+Inputs!$C$47*37.719))*43758.5453)))-1)))</x:f>
        <x:v>98.94976350623145</x:v>
      </x:c>
      <x:c r="Y132" s="48" t="n">
        <x: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(0.45*SIN(2*PI()*(((A132)/Inputs!$C$49)+Inputs!$C$47*0.137))+0.35*COS(2*PI()*(((Inputs!$C$6)/Inputs!$C$50)+Inputs!$C$47*0.173))+0.20*SIN(2*PI()*(((A132)+(Inputs!$C$6))/(0.5*(Inputs!$C$49+Inputs!$C$50))+Inputs!$C$47*0.097)))+0.30*(2*((SIN(((A132)*12.9898+(Inputs!$C$6)*78.233+Inputs!$C$47*37.719))*43758.5453)-INT((SIN(((A132)*12.9898+(Inputs!$C$6)*78.233+Inputs!$C$47*37.719))*43758.5453)))-1)))</x:f>
        <x:v>548.8146920903409</x:v>
      </x:c>
      <x:c r="Z132" s="48" t="n">
        <x:f>B132-X132/1000</x:f>
        <x:v>399.9288280142715</x:v>
      </x:c>
      <x:c r="AA132" s="48" t="n">
        <x:f>SQRT((Inputs!$C$52+B132)^2+(Inputs!$C$52+Y132/1000)^2-2*(Inputs!$C$52+B132)*(Inputs!$C$52+Y132/1000)*COS(SQRT(A132^2+Inputs!$C$6^2)/Inputs!$C$52))</x:f>
        <x:v>400.50006707486125</x:v>
      </x:c>
      <x:c r="AB132" s="48" t="n">
        <x:f>(AA132-Z132)*1000</x:f>
        <x:v>571.2390605897326</x:v>
      </x:c>
      <x:c r="AC132" s="48" t="n">
        <x:f>AB132/Inputs!$C$12</x:f>
        <x:v>320.9208205560296</x:v>
      </x:c>
      <x:c r="AD132" s="48" t="n">
        <x:f>2*AB132/Inputs!$C$21*1000000</x:f>
        <x:v>3.8108968077491303</x:v>
      </x:c>
      <x:c r="AE132" s="48" t="n">
        <x:f>DEGREES(ATAN(H132/(B132-Y132/1000)))</x:f>
        <x:v>3.6517143042935203</x:v>
      </x:c>
      <x:c r="AF132" s="48" t="n">
        <x:f>DEGREES((2*PI()/Inputs!$C$13)*Inputs!$C$15*SIN(RADIANS(AE132)))</x:f>
        <x:v>22.928867159679463</x:v>
      </x:c>
      <x:c r="AG132" s="48" t="n">
        <x:f>(Z132/AA132)^4</x:f>
        <x:v>0.9943069365595573</x:v>
      </x:c>
      <x:c r="AH132" s="48" t="n">
        <x:f>10*LOG10(AG132)</x:f>
        <x:v>-0.024795308165624603</x:v>
      </x:c>
      <x:c r="AI132" s="48" t="n">
        <x:f>AC132-F132</x:f>
        <x:v>-251.7469810615292</x:v>
      </x:c>
      <x:c r="AJ132" s="48" t="n">
        <x:f>AD132-G132</x:f>
        <x:v>-2.9894656408569293</x:v>
      </x:c>
      <x:c r="AK132" s="48" t="n">
        <x:f>Y132-X132</x:f>
        <x:v>449.8649285841095</x:v>
      </x:c>
      <x:c r="AL132" s="48" t="n">
        <x:f>1000*(AA133-AA131)/(A133-A131)*Inputs!$C$11</x:f>
        <x:v>223.22699008077507</x:v>
      </x:c>
      <x:c r="AM132" s="48" t="n">
        <x:f>-2*AL132/Inputs!$C$13</x:f>
        <x:v>-89.29079603231003</x:v>
      </x:c>
      <x:c r="AN132" s="48" t="n">
        <x:f>-2*AL132/Inputs!$C$14</x:f>
        <x:v>-13.407026431277783</x:v>
      </x:c>
      <x:c r="AO132" s="48" t="n">
        <x:f>ABS(AM132)</x:f>
        <x:v>89.29079603231003</x:v>
      </x:c>
      <x:c r="AP132" s="48" t="n">
        <x:f>ABS(AN132)</x:f>
        <x:v>13.407026431277783</x:v>
      </x:c>
      <x:c r="AQ132" s="48" t="n">
        <x:f>IF(OR(Inputs!$C$27=TRUE,Inputs!$C$27="TRUE",Inputs!$C$27=1),Inputs!$C$46/Inputs!$C$12,0)</x:f>
        <x:v>42.13483146067416</x:v>
      </x:c>
      <x:c r="AR132" s="48" t="n">
        <x:f>AC132-AQ132</x:f>
        <x:v>278.78598909535543</x:v>
      </x:c>
      <x:c r="AS132" s="48" t="n">
        <x:f>AC132+AQ132</x:f>
        <x:v>363.05565201670373</x:v>
      </x:c>
    </x:row>
    <x:row r="133">
      <x:c r="A133" s="48" t="n">
        <x:f>Inputs!$C$7+131*(Inputs!$C$8-Inputs!$C$7)/240</x:f>
        <x:v>5.5</x:v>
      </x:c>
      <x:c r="B133" s="48" t="n">
        <x:f>Inputs!$C$5+Inputs!$C$9*(A133/Inputs!$C$10)^2</x:f>
        <x:v>400.0336111111111</x:v>
      </x:c>
      <x:c r="C133" s="48" t="n">
        <x:f>B133</x:f>
        <x:v>400.0336111111111</x:v>
      </x:c>
      <x:c r="D133" s="48" t="n">
        <x:f>SQRT((Inputs!$C$52+B133)^2+Inputs!$C$52^2-2*(Inputs!$C$52+B133)*Inputs!$C$52*COS(SQRT(A133^2+Inputs!$C$6^2)/Inputs!$C$52))</x:f>
        <x:v>401.0611703743197</x:v>
      </x:c>
      <x:c r="E133" s="48" t="n">
        <x:f>(D133-C133)*1000</x:f>
        <x:v>1027.559263208616</x:v>
      </x:c>
      <x:c r="F133" s="48" t="n">
        <x:f>E133/Inputs!$C$12</x:f>
        <x:v>577.2804849486606</x:v>
      </x:c>
      <x:c r="G133" s="48" t="n">
        <x:f>2*E133/Inputs!$C$21*1000000</x:f>
        <x:v>6.855137517893235</x:v>
      </x:c>
      <x:c r="H133" s="48" t="n">
        <x:f>SQRT(A133^2+Inputs!$C$6^2)</x:f>
        <x:v>25.59785147234041</x:v>
      </x:c>
      <x:c r="I133" s="48" t="n">
        <x:f>DEGREES(ATAN(H133/B133))</x:f>
        <x:v>3.6613222610928524</x:v>
      </x:c>
      <x:c r="J133" s="48" t="n">
        <x:f>DEGREES((2*PI()/Inputs!$C$13)*Inputs!$C$15*SIN(RADIANS(I133)))</x:f>
        <x:v>22.989112840565028</x:v>
      </x:c>
      <x:c r="K133" s="48" t="n">
        <x:f>(C133/D133)^4</x:f>
        <x:v>0.9897909145666158</x:v>
      </x:c>
      <x:c r="L133" s="48" t="n">
        <x:f>10*LOG10(K133)</x:f>
        <x:v>-0.0445653695817608</x:v>
      </x:c>
      <x:c r="M133" s="48" t="n">
        <x:f>2*(Inputs!$C$9/(Inputs!$C$10^2))*A133</x:f>
        <x:v>0.012222222222222223</x:v>
      </x:c>
      <x:c r="N133" s="48" t="n">
        <x:f>M133*Inputs!$C$11</x:f>
        <x:v>0.04888888888888889</x:v>
      </x:c>
      <x:c r="O133" s="48" t="n">
        <x:f>1000*(D134-D132)/(A134-A132)*Inputs!$C$11</x:f>
        <x:v>117.69968152384536</x:v>
      </x:c>
      <x:c r="P133" s="48" t="n">
        <x:f>-2*O133/Inputs!$C$13</x:f>
        <x:v>-47.07987260953814</x:v>
      </x:c>
      <x:c r="Q133" s="48" t="n">
        <x:f>-2*O133/Inputs!$C$14</x:f>
        <x:v>-7.069049941372094</x:v>
      </x:c>
      <x:c r="R133" s="48" t="n">
        <x:f>F133-Inputs!$C$16/2</x:f>
        <x:v>562.2804849486606</x:v>
      </x:c>
      <x:c r="S133" s="48" t="n">
        <x:f>F133+Inputs!$C$16/2</x:f>
        <x:v>592.2804849486606</x:v>
      </x:c>
      <x:c r="T133" s="48" t="n">
        <x:f>F133-Inputs!$C$17/2</x:f>
        <x:v>427.2804849486606</x:v>
      </x:c>
      <x:c r="U133" s="48" t="n">
        <x:f>F133+Inputs!$C$17/2</x:f>
        <x:v>727.2804849486606</x:v>
      </x:c>
      <x:c r="V133" s="48" t="n">
        <x:f>ABS(P133)</x:f>
        <x:v>47.07987260953814</x:v>
      </x:c>
      <x:c r="W133" s="48" t="n">
        <x:f>ABS(Q133)</x:f>
        <x:v>7.069049941372094</x:v>
      </x:c>
      <x:c r="X133" s="48" t="n">
        <x: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(0.45*SIN(2*PI()*(((A133)/Inputs!$C$49)+Inputs!$C$47*0.137))+0.35*COS(2*PI()*(((0)/Inputs!$C$50)+Inputs!$C$47*0.173))+0.20*SIN(2*PI()*(((A133)+(0))/(0.5*(Inputs!$C$49+Inputs!$C$50))+Inputs!$C$47*0.097)))+0.30*(2*((SIN(((A133)*12.9898+(0)*78.233+Inputs!$C$47*37.719))*43758.5453)-INT((SIN(((A133)*12.9898+(0)*78.233+Inputs!$C$47*37.719))*43758.5453)))-1)))</x:f>
        <x:v>97.11441747768895</x:v>
      </x:c>
      <x:c r="Y133" s="48" t="n">
        <x: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(0.45*SIN(2*PI()*(((A133)/Inputs!$C$49)+Inputs!$C$47*0.137))+0.35*COS(2*PI()*(((Inputs!$C$6)/Inputs!$C$50)+Inputs!$C$47*0.173))+0.20*SIN(2*PI()*(((A133)+(Inputs!$C$6))/(0.5*(Inputs!$C$49+Inputs!$C$50))+Inputs!$C$47*0.097)))+0.30*(2*((SIN(((A133)*12.9898+(Inputs!$C$6)*78.233+Inputs!$C$47*37.719))*43758.5453)-INT((SIN(((A133)*12.9898+(Inputs!$C$6)*78.233+Inputs!$C$47*37.719))*43758.5453)))-1)))</x:f>
        <x:v>539.5212853164131</x:v>
      </x:c>
      <x:c r="Z133" s="48" t="n">
        <x:f>B133-X133/1000</x:f>
        <x:v>399.9364966936334</x:v>
      </x:c>
      <x:c r="AA133" s="48" t="n">
        <x:f>SQRT((Inputs!$C$52+B133)^2+(Inputs!$C$52+Y133/1000)^2-2*(Inputs!$C$52+B133)*(Inputs!$C$52+Y133/1000)*COS(SQRT(A133^2+Inputs!$C$6^2)/Inputs!$C$52))</x:f>
        <x:v>400.5233884742762</x:v>
      </x:c>
      <x:c r="AB133" s="48" t="n">
        <x:f>(AA133-Z133)*1000</x:f>
        <x:v>586.8917806428158</x:v>
      </x:c>
      <x:c r="AC133" s="48" t="n">
        <x:f>AB133/Inputs!$C$12</x:f>
        <x:v>329.7144835071999</x:v>
      </x:c>
      <x:c r="AD133" s="48" t="n">
        <x:f>2*AB133/Inputs!$C$21*1000000</x:f>
        <x:v>3.9153205157870636</x:v>
      </x:c>
      <x:c r="AE133" s="48" t="n">
        <x:f>DEGREES(ATAN(H133/(B133-Y133/1000)))</x:f>
        <x:v>3.6662534410783953</x:v>
      </x:c>
      <x:c r="AF133" s="48" t="n">
        <x:f>DEGREES((2*PI()/Inputs!$C$13)*Inputs!$C$15*SIN(RADIANS(AE133)))</x:f>
        <x:v>23.020033034221512</x:v>
      </x:c>
      <x:c r="AG133" s="48" t="n">
        <x:f>(Z133/AA133)^4</x:f>
        <x:v>0.9941516217259596</x:v>
      </x:c>
      <x:c r="AH133" s="48" t="n">
        <x:f>10*LOG10(AG133)</x:f>
        <x:v>-0.0254737470000201</x:v>
      </x:c>
      <x:c r="AI133" s="48" t="n">
        <x:f>AC133-F133</x:f>
        <x:v>-247.56600144146074</x:v>
      </x:c>
      <x:c r="AJ133" s="48" t="n">
        <x:f>AD133-G133</x:f>
        <x:v>-2.9398170021061714</x:v>
      </x:c>
      <x:c r="AK133" s="48" t="n">
        <x:f>Y133-X133</x:f>
        <x:v>442.40686783872417</x:v>
      </x:c>
      <x:c r="AL133" s="48" t="n">
        <x:f>1000*(AA134-AA132)/(A134-A132)*Inputs!$C$11</x:f>
        <x:v>178.11125931257266</x:v>
      </x:c>
      <x:c r="AM133" s="48" t="n">
        <x:f>-2*AL133/Inputs!$C$13</x:f>
        <x:v>-71.24450372502906</x:v>
      </x:c>
      <x:c r="AN133" s="48" t="n">
        <x:f>-2*AL133/Inputs!$C$14</x:f>
        <x:v>-10.697372931686047</x:v>
      </x:c>
      <x:c r="AO133" s="48" t="n">
        <x:f>ABS(AM133)</x:f>
        <x:v>71.24450372502906</x:v>
      </x:c>
      <x:c r="AP133" s="48" t="n">
        <x:f>ABS(AN133)</x:f>
        <x:v>10.697372931686047</x:v>
      </x:c>
      <x:c r="AQ133" s="48" t="n">
        <x:f>IF(OR(Inputs!$C$27=TRUE,Inputs!$C$27="TRUE",Inputs!$C$27=1),Inputs!$C$46/Inputs!$C$12,0)</x:f>
        <x:v>42.13483146067416</x:v>
      </x:c>
      <x:c r="AR133" s="48" t="n">
        <x:f>AC133-AQ133</x:f>
        <x:v>287.5796520465257</x:v>
      </x:c>
      <x:c r="AS133" s="48" t="n">
        <x:f>AC133+AQ133</x:f>
        <x:v>371.849314967874</x:v>
      </x:c>
    </x:row>
    <x:row r="134">
      <x:c r="A134" s="48" t="n">
        <x:f>Inputs!$C$7+132*(Inputs!$C$8-Inputs!$C$7)/240</x:f>
        <x:v>6</x:v>
      </x:c>
      <x:c r="B134" s="48" t="n">
        <x:f>Inputs!$C$5+Inputs!$C$9*(A134/Inputs!$C$10)^2</x:f>
        <x:v>400.04</x:v>
      </x:c>
      <x:c r="C134" s="48" t="n">
        <x:f>B134</x:f>
        <x:v>400.04</x:v>
      </x:c>
      <x:c r="D134" s="48" t="n">
        <x:f>SQRT((Inputs!$C$52+B134)^2+Inputs!$C$52^2-2*(Inputs!$C$52+B134)*Inputs!$C$52*COS(SQRT(A134^2+Inputs!$C$6^2)/Inputs!$C$52))</x:f>
        <x:v>401.076551385038</x:v>
      </x:c>
      <x:c r="E134" s="48" t="n">
        <x:f>(D134-C134)*1000</x:f>
        <x:v>1036.551385037967</x:v>
      </x:c>
      <x:c r="F134" s="48" t="n">
        <x:f>E134/Inputs!$C$12</x:f>
        <x:v>582.3322387853748</x:v>
      </x:c>
      <x:c r="G134" s="48" t="n">
        <x:f>2*E134/Inputs!$C$21*1000000</x:f>
        <x:v>6.915126497531617</x:v>
      </x:c>
      <x:c r="H134" s="48" t="n">
        <x:f>SQRT(A134^2+Inputs!$C$6^2)</x:f>
        <x:v>25.709920264364882</x:v>
      </x:c>
      <x:c r="I134" s="48" t="n">
        <x:f>DEGREES(ATAN(H134/B134))</x:f>
        <x:v>3.6772492746351846</x:v>
      </x:c>
      <x:c r="J134" s="48" t="n">
        <x:f>DEGREES((2*PI()/Inputs!$C$13)*Inputs!$C$15*SIN(RADIANS(I134)))</x:f>
        <x:v>23.0889800761876</x:v>
      </x:c>
      <x:c r="K134" s="48" t="n">
        <x:f>(C134/D134)^4</x:f>
        <x:v>0.9897023152331168</x:v>
      </x:c>
      <x:c r="L134" s="48" t="n">
        <x:f>10*LOG10(K134)</x:f>
        <x:v>-0.0449541377885459</x:v>
      </x:c>
      <x:c r="M134" s="48" t="n">
        <x:f>2*(Inputs!$C$9/(Inputs!$C$10^2))*A134</x:f>
        <x:v>0.013333333333333332</x:v>
      </x:c>
      <x:c r="N134" s="48" t="n">
        <x:f>M134*Inputs!$C$11</x:f>
        <x:v>0.05333333333333333</x:v>
      </x:c>
      <x:c r="O134" s="48" t="n">
        <x:f>1000*(D135-D133)/(A135-A133)*Inputs!$C$11</x:f>
        <x:v>128.3960383966587</x:v>
      </x:c>
      <x:c r="P134" s="48" t="n">
        <x:f>-2*O134/Inputs!$C$13</x:f>
        <x:v>-51.35841535866348</x:v>
      </x:c>
      <x:c r="Q134" s="48" t="n">
        <x:f>-2*O134/Inputs!$C$14</x:f>
        <x:v>-7.711473777577099</x:v>
      </x:c>
      <x:c r="R134" s="48" t="n">
        <x:f>F134-Inputs!$C$16/2</x:f>
        <x:v>567.3322387853748</x:v>
      </x:c>
      <x:c r="S134" s="48" t="n">
        <x:f>F134+Inputs!$C$16/2</x:f>
        <x:v>597.3322387853748</x:v>
      </x:c>
      <x:c r="T134" s="48" t="n">
        <x:f>F134-Inputs!$C$17/2</x:f>
        <x:v>432.3322387853748</x:v>
      </x:c>
      <x:c r="U134" s="48" t="n">
        <x:f>F134+Inputs!$C$17/2</x:f>
        <x:v>732.3322387853748</x:v>
      </x:c>
      <x:c r="V134" s="48" t="n">
        <x:f>ABS(P134)</x:f>
        <x:v>51.35841535866348</x:v>
      </x:c>
      <x:c r="W134" s="48" t="n">
        <x:f>ABS(Q134)</x:f>
        <x:v>7.711473777577099</x:v>
      </x:c>
      <x:c r="X134" s="48" t="n">
        <x: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(0.45*SIN(2*PI()*(((A134)/Inputs!$C$49)+Inputs!$C$47*0.137))+0.35*COS(2*PI()*(((0)/Inputs!$C$50)+Inputs!$C$47*0.173))+0.20*SIN(2*PI()*(((A134)+(0))/(0.5*(Inputs!$C$49+Inputs!$C$50))+Inputs!$C$47*0.097)))+0.30*(2*((SIN(((A134)*12.9898+(0)*78.233+Inputs!$C$47*37.719))*43758.5453)-INT((SIN(((A134)*12.9898+(0)*78.233+Inputs!$C$47*37.719))*43758.5453)))-1)))</x:f>
        <x:v>70.34255347941284</x:v>
      </x:c>
      <x:c r="Y134" s="48" t="n">
        <x: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(0.45*SIN(2*PI()*(((A134)/Inputs!$C$49)+Inputs!$C$47*0.137))+0.35*COS(2*PI()*(((Inputs!$C$6)/Inputs!$C$50)+Inputs!$C$47*0.173))+0.20*SIN(2*PI()*(((A134)+(Inputs!$C$6))/(0.5*(Inputs!$C$49+Inputs!$C$50))+Inputs!$C$47*0.097)))+0.30*(2*((SIN(((A134)*12.9898+(Inputs!$C$6)*78.233+Inputs!$C$47*37.719))*43758.5453)-INT((SIN(((A134)*12.9898+(Inputs!$C$6)*78.233+Inputs!$C$47*37.719))*43758.5453)))-1)))</x:f>
        <x:v>533.6920620973987</x:v>
      </x:c>
      <x:c r="Z134" s="48" t="n">
        <x:f>B134-X134/1000</x:f>
        <x:v>399.9696574465206</x:v>
      </x:c>
      <x:c r="AA134" s="48" t="n">
        <x:f>SQRT((Inputs!$C$52+B134)^2+(Inputs!$C$52+Y134/1000)^2-2*(Inputs!$C$52+B134)*(Inputs!$C$52+Y134/1000)*COS(SQRT(A134^2+Inputs!$C$6^2)/Inputs!$C$52))</x:f>
        <x:v>400.5445948896894</x:v>
      </x:c>
      <x:c r="AB134" s="48" t="n">
        <x:f>(AA134-Z134)*1000</x:f>
        <x:v>574.9374431687784</x:v>
      </x:c>
      <x:c r="AC134" s="48" t="n">
        <x:f>AB134/Inputs!$C$12</x:f>
        <x:v>322.9985635779654</x:v>
      </x:c>
      <x:c r="AD134" s="48" t="n">
        <x:f>2*AB134/Inputs!$C$21*1000000</x:f>
        <x:v>3.83556976052265</x:v>
      </x:c>
      <x:c r="AE134" s="48" t="n">
        <x:f>DEGREES(ATAN(H134/(B134-Y134/1000)))</x:f>
        <x:v>3.6821481290433065</x:v>
      </x:c>
      <x:c r="AF134" s="48" t="n">
        <x:f>DEGREES((2*PI()/Inputs!$C$13)*Inputs!$C$15*SIN(RADIANS(AE134)))</x:f>
        <x:v>23.11969702997064</x:v>
      </x:c>
      <x:c r="AG134" s="48" t="n">
        <x:f>(Z134/AA134)^4</x:f>
        <x:v>0.9942707928554027</x:v>
      </x:c>
      <x:c r="AH134" s="48" t="n">
        <x:f>10*LOG10(AG134)</x:f>
        <x:v>-0.0249531799052044</x:v>
      </x:c>
      <x:c r="AI134" s="48" t="n">
        <x:f>AC134-F134</x:f>
        <x:v>-259.3336752074094</x:v>
      </x:c>
      <x:c r="AJ134" s="48" t="n">
        <x:f>AD134-G134</x:f>
        <x:v>-3.0795567370089665</x:v>
      </x:c>
      <x:c r="AK134" s="48" t="n">
        <x:f>Y134-X134</x:f>
        <x:v>463.3495086179858</x:v>
      </x:c>
      <x:c r="AL134" s="48" t="n">
        <x:f>1000*(AA135-AA133)/(A135-A133)*Inputs!$C$11</x:f>
        <x:v>188.70375494384461</x:v>
      </x:c>
      <x:c r="AM134" s="48" t="n">
        <x:f>-2*AL134/Inputs!$C$13</x:f>
        <x:v>-75.48150197753785</x:v>
      </x:c>
      <x:c r="AN134" s="48" t="n">
        <x:f>-2*AL134/Inputs!$C$14</x:f>
        <x:v>-11.333558855486164</x:v>
      </x:c>
      <x:c r="AO134" s="48" t="n">
        <x:f>ABS(AM134)</x:f>
        <x:v>75.48150197753785</x:v>
      </x:c>
      <x:c r="AP134" s="48" t="n">
        <x:f>ABS(AN134)</x:f>
        <x:v>11.333558855486164</x:v>
      </x:c>
      <x:c r="AQ134" s="48" t="n">
        <x:f>IF(OR(Inputs!$C$27=TRUE,Inputs!$C$27="TRUE",Inputs!$C$27=1),Inputs!$C$46/Inputs!$C$12,0)</x:f>
        <x:v>42.13483146067416</x:v>
      </x:c>
      <x:c r="AR134" s="48" t="n">
        <x:f>AC134-AQ134</x:f>
        <x:v>280.86373211729125</x:v>
      </x:c>
      <x:c r="AS134" s="48" t="n">
        <x:f>AC134+AQ134</x:f>
        <x:v>365.13339503863955</x:v>
      </x:c>
    </x:row>
    <x:row r="135">
      <x:c r="A135" s="48" t="n">
        <x:f>Inputs!$C$7+133*(Inputs!$C$8-Inputs!$C$7)/240</x:f>
        <x:v>6.5</x:v>
      </x:c>
      <x:c r="B135" s="48" t="n">
        <x:f>Inputs!$C$5+Inputs!$C$9*(A135/Inputs!$C$10)^2</x:f>
        <x:v>400.0469444444444</x:v>
      </x:c>
      <x:c r="C135" s="48" t="n">
        <x:f>B135</x:f>
        <x:v>400.0469444444444</x:v>
      </x:c>
      <x:c r="D135" s="48" t="n">
        <x:f>SQRT((Inputs!$C$52+B135)^2+Inputs!$C$52^2-2*(Inputs!$C$52+B135)*Inputs!$C$52*COS(SQRT(A135^2+Inputs!$C$6^2)/Inputs!$C$52))</x:f>
        <x:v>401.0932693839189</x:v>
      </x:c>
      <x:c r="E135" s="48" t="n">
        <x:f>(D135-C135)*1000</x:f>
        <x:v>1046.3249394744594</x:v>
      </x:c>
      <x:c r="F135" s="48" t="n">
        <x:f>E135/Inputs!$C$12</x:f>
        <x:v>587.8229997047524</x:v>
      </x:c>
      <x:c r="G135" s="48" t="n">
        <x:f>2*E135/Inputs!$C$21*1000000</x:f>
        <x:v>6.980328634381184</x:v>
      </x:c>
      <x:c r="H135" s="48" t="n">
        <x:f>SQRT(A135^2+Inputs!$C$6^2)</x:f>
        <x:v>25.83118270617898</x:v>
      </x:c>
      <x:c r="I135" s="48" t="n">
        <x:f>DEGREES(ATAN(H135/B135))</x:f>
        <x:v>3.694481369413298</x:v>
      </x:c>
      <x:c r="J135" s="48" t="n">
        <x:f>DEGREES((2*PI()/Inputs!$C$13)*Inputs!$C$15*SIN(RADIANS(I135)))</x:f>
        <x:v>23.19702855979598</x:v>
      </x:c>
      <x:c r="K135" s="48" t="n">
        <x:f>(C135/D135)^4</x:f>
        <x:v>0.9896060309087035</x:v>
      </x:c>
      <x:c r="L135" s="48" t="n">
        <x:f>10*LOG10(K135)</x:f>
        <x:v>-0.0453766667078119</x:v>
      </x:c>
      <x:c r="M135" s="48" t="n">
        <x:f>2*(Inputs!$C$9/(Inputs!$C$10^2))*A135</x:f>
        <x:v>0.014444444444444444</x:v>
      </x:c>
      <x:c r="N135" s="48" t="n">
        <x:f>M135*Inputs!$C$11</x:f>
        <x:v>0.057777777777777775</x:v>
      </x:c>
      <x:c r="O135" s="48" t="n">
        <x:f>1000*(D136-D134)/(A136-A134)*Inputs!$C$11</x:f>
        <x:v>139.0914529733891</x:v>
      </x:c>
      <x:c r="P135" s="48" t="n">
        <x:f>-2*O135/Inputs!$C$13</x:f>
        <x:v>-55.63658118935564</x:v>
      </x:c>
      <x:c r="Q135" s="48" t="n">
        <x:f>-2*O135/Inputs!$C$14</x:f>
        <x:v>-8.353841019422768</x:v>
      </x:c>
      <x:c r="R135" s="48" t="n">
        <x:f>F135-Inputs!$C$16/2</x:f>
        <x:v>572.8229997047524</x:v>
      </x:c>
      <x:c r="S135" s="48" t="n">
        <x:f>F135+Inputs!$C$16/2</x:f>
        <x:v>602.8229997047524</x:v>
      </x:c>
      <x:c r="T135" s="48" t="n">
        <x:f>F135-Inputs!$C$17/2</x:f>
        <x:v>437.8229997047524</x:v>
      </x:c>
      <x:c r="U135" s="48" t="n">
        <x:f>F135+Inputs!$C$17/2</x:f>
        <x:v>737.8229997047524</x:v>
      </x:c>
      <x:c r="V135" s="48" t="n">
        <x:f>ABS(P135)</x:f>
        <x:v>55.63658118935564</x:v>
      </x:c>
      <x:c r="W135" s="48" t="n">
        <x:f>ABS(Q135)</x:f>
        <x:v>8.353841019422768</x:v>
      </x:c>
      <x:c r="X135" s="48" t="n">
        <x: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(0.45*SIN(2*PI()*(((A135)/Inputs!$C$49)+Inputs!$C$47*0.137))+0.35*COS(2*PI()*(((0)/Inputs!$C$50)+Inputs!$C$47*0.173))+0.20*SIN(2*PI()*(((A135)+(0))/(0.5*(Inputs!$C$49+Inputs!$C$50))+Inputs!$C$47*0.097)))+0.30*(2*((SIN(((A135)*12.9898+(0)*78.233+Inputs!$C$47*37.719))*43758.5453)-INT((SIN(((A135)*12.9898+(0)*78.233+Inputs!$C$47*37.719))*43758.5453)))-1)))</x:f>
        <x:v>77.64795080795966</x:v>
      </x:c>
      <x:c r="Y135" s="48" t="n">
        <x: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(0.45*SIN(2*PI()*(((A135)/Inputs!$C$49)+Inputs!$C$47*0.137))+0.35*COS(2*PI()*(((Inputs!$C$6)/Inputs!$C$50)+Inputs!$C$47*0.173))+0.20*SIN(2*PI()*(((A135)+(Inputs!$C$6))/(0.5*(Inputs!$C$49+Inputs!$C$50))+Inputs!$C$47*0.097)))+0.30*(2*((SIN(((A135)*12.9898+(Inputs!$C$6)*78.233+Inputs!$C$47*37.719))*43758.5453)-INT((SIN(((A135)*12.9898+(Inputs!$C$6)*78.233+Inputs!$C$47*37.719))*43758.5453)))-1)))</x:f>
        <x:v>524.4263848132822</x:v>
      </x:c>
      <x:c r="Z135" s="48" t="n">
        <x:f>B135-X135/1000</x:f>
        <x:v>399.9692964936365</x:v>
      </x:c>
      <x:c r="AA135" s="48" t="n">
        <x:f>SQRT((Inputs!$C$52+B135)^2+(Inputs!$C$52+Y135/1000)^2-2*(Inputs!$C$52+B135)*(Inputs!$C$52+Y135/1000)*COS(SQRT(A135^2+Inputs!$C$6^2)/Inputs!$C$52))</x:f>
        <x:v>400.57056441301216</x:v>
      </x:c>
      <x:c r="AB135" s="48" t="n">
        <x:f>(AA135-Z135)*1000</x:f>
        <x:v>601.2679193756867</x:v>
      </x:c>
      <x:c r="AC135" s="48" t="n">
        <x:f>AB135/Inputs!$C$12</x:f>
        <x:v>337.790965941397</x:v>
      </x:c>
      <x:c r="AD135" s="48" t="n">
        <x:f>2*AB135/Inputs!$C$21*1000000</x:f>
        <x:v>4.0112277899645274</x:v>
      </x:c>
      <x:c r="AE135" s="48" t="n">
        <x:f>DEGREES(ATAN(H135/(B135-Y135/1000)))</x:f>
        <x:v>3.6993174097559924</x:v>
      </x:c>
      <x:c r="AF135" s="48" t="n">
        <x:f>DEGREES((2*PI()/Inputs!$C$13)*Inputs!$C$15*SIN(RADIANS(AE135)))</x:f>
        <x:v>23.22735106800616</x:v>
      </x:c>
      <x:c r="AG135" s="48" t="n">
        <x:f>(Z135/AA135)^4</x:f>
        <x:v>0.9940093901424104</x:v>
      </x:c>
      <x:c r="AH135" s="48" t="n">
        <x:f>10*LOG10(AG135)</x:f>
        <x:v>-0.0260951291881268</x:v>
      </x:c>
      <x:c r="AI135" s="48" t="n">
        <x:f>AC135-F135</x:f>
        <x:v>-250.0320337633554</x:v>
      </x:c>
      <x:c r="AJ135" s="48" t="n">
        <x:f>AD135-G135</x:f>
        <x:v>-2.9691008444166567</x:v>
      </x:c>
      <x:c r="AK135" s="48" t="n">
        <x:f>Y135-X135</x:f>
        <x:v>446.77843400532254</x:v>
      </x:c>
      <x:c r="AL135" s="48" t="n">
        <x:f>1000*(AA136-AA134)/(A136-A134)*Inputs!$C$11</x:f>
        <x:v>136.37350204294307</x:v>
      </x:c>
      <x:c r="AM135" s="48" t="n">
        <x:f>-2*AL135/Inputs!$C$13</x:f>
        <x:v>-54.54940081717723</x:v>
      </x:c>
      <x:c r="AN135" s="48" t="n">
        <x:f>-2*AL135/Inputs!$C$14</x:f>
        <x:v>-8.190600723299886</x:v>
      </x:c>
      <x:c r="AO135" s="48" t="n">
        <x:f>ABS(AM135)</x:f>
        <x:v>54.54940081717723</x:v>
      </x:c>
      <x:c r="AP135" s="48" t="n">
        <x:f>ABS(AN135)</x:f>
        <x:v>8.190600723299886</x:v>
      </x:c>
      <x:c r="AQ135" s="48" t="n">
        <x:f>IF(OR(Inputs!$C$27=TRUE,Inputs!$C$27="TRUE",Inputs!$C$27=1),Inputs!$C$46/Inputs!$C$12,0)</x:f>
        <x:v>42.13483146067416</x:v>
      </x:c>
      <x:c r="AR135" s="48" t="n">
        <x:f>AC135-AQ135</x:f>
        <x:v>295.65613448072287</x:v>
      </x:c>
      <x:c r="AS135" s="48" t="n">
        <x:f>AC135+AQ135</x:f>
        <x:v>379.92579740207117</x:v>
      </x:c>
    </x:row>
    <x:row r="136">
      <x:c r="A136" s="48" t="n">
        <x:f>Inputs!$C$7+134*(Inputs!$C$8-Inputs!$C$7)/240</x:f>
        <x:v>7</x:v>
      </x:c>
      <x:c r="B136" s="48" t="n">
        <x:f>Inputs!$C$5+Inputs!$C$9*(A136/Inputs!$C$10)^2</x:f>
        <x:v>400.05444444444447</x:v>
      </x:c>
      <x:c r="C136" s="48" t="n">
        <x:f>B136</x:f>
        <x:v>400.05444444444447</x:v>
      </x:c>
      <x:c r="D136" s="48" t="n">
        <x:f>SQRT((Inputs!$C$52+B136)^2+Inputs!$C$52^2-2*(Inputs!$C$52+B136)*Inputs!$C$52*COS(SQRT(A136^2+Inputs!$C$6^2)/Inputs!$C$52))</x:f>
        <x:v>401.11132424828133</x:v>
      </x:c>
      <x:c r="E136" s="48" t="n">
        <x:f>(D136-C136)*1000</x:f>
        <x:v>1056.879803836864</x:v>
      </x:c>
      <x:c r="F136" s="48" t="n">
        <x:f>E136/Inputs!$C$12</x:f>
        <x:v>593.7526987847551</x:v>
      </x:c>
      <x:c r="G136" s="48" t="n">
        <x:f>2*E136/Inputs!$C$21*1000000</x:f>
        <x:v>7.05074311000088</x:v>
      </x:c>
      <x:c r="H136" s="48" t="n">
        <x:f>SQRT(A136^2+Inputs!$C$6^2)</x:f>
        <x:v>25.96150997149434</x:v>
      </x:c>
      <x:c r="I136" s="48" t="n">
        <x:f>DEGREES(ATAN(H136/B136))</x:f>
        <x:v>3.7129998776451707</x:v>
      </x:c>
      <x:c r="J136" s="48" t="n">
        <x:f>DEGREES((2*PI()/Inputs!$C$13)*Inputs!$C$15*SIN(RADIANS(I136)))</x:f>
        <x:v>23.31314075897189</x:v>
      </x:c>
      <x:c r="K136" s="48" t="n">
        <x:f>(C136/D136)^4</x:f>
        <x:v>0.9895020664115125</x:v>
      </x:c>
      <x:c r="L136" s="48" t="n">
        <x:f>10*LOG10(K136)</x:f>
        <x:v>-0.045832945043963</x:v>
      </x:c>
      <x:c r="M136" s="48" t="n">
        <x:f>2*(Inputs!$C$9/(Inputs!$C$10^2))*A136</x:f>
        <x:v>0.015555555555555555</x:v>
      </x:c>
      <x:c r="N136" s="48" t="n">
        <x:f>M136*Inputs!$C$11</x:f>
        <x:v>0.06222222222222222</x:v>
      </x:c>
      <x:c r="O136" s="48" t="n">
        <x:f>1000*(D137-D135)/(A137-A135)*Inputs!$C$11</x:f>
        <x:v>149.78584691539254</x:v>
      </x:c>
      <x:c r="P136" s="48" t="n">
        <x:f>-2*O136/Inputs!$C$13</x:f>
        <x:v>-59.914338766157016</x:v>
      </x:c>
      <x:c r="Q136" s="48" t="n">
        <x:f>-2*O136/Inputs!$C$14</x:f>
        <x:v>-8.996146961885438</x:v>
      </x:c>
      <x:c r="R136" s="48" t="n">
        <x:f>F136-Inputs!$C$16/2</x:f>
        <x:v>578.7526987847551</x:v>
      </x:c>
      <x:c r="S136" s="48" t="n">
        <x:f>F136+Inputs!$C$16/2</x:f>
        <x:v>608.7526987847551</x:v>
      </x:c>
      <x:c r="T136" s="48" t="n">
        <x:f>F136-Inputs!$C$17/2</x:f>
        <x:v>443.7526987847551</x:v>
      </x:c>
      <x:c r="U136" s="48" t="n">
        <x:f>F136+Inputs!$C$17/2</x:f>
        <x:v>743.7526987847551</x:v>
      </x:c>
      <x:c r="V136" s="48" t="n">
        <x:f>ABS(P136)</x:f>
        <x:v>59.914338766157016</x:v>
      </x:c>
      <x:c r="W136" s="48" t="n">
        <x:f>ABS(Q136)</x:f>
        <x:v>8.996146961885438</x:v>
      </x:c>
      <x:c r="X136" s="48" t="n">
        <x: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(0.45*SIN(2*PI()*(((A136)/Inputs!$C$49)+Inputs!$C$47*0.137))+0.35*COS(2*PI()*(((0)/Inputs!$C$50)+Inputs!$C$47*0.173))+0.20*SIN(2*PI()*(((A136)+(0))/(0.5*(Inputs!$C$49+Inputs!$C$50))+Inputs!$C$47*0.097)))+0.30*(2*((SIN(((A136)*12.9898+(0)*78.233+Inputs!$C$47*37.719))*43758.5453)-INT((SIN(((A136)*12.9898+(0)*78.233+Inputs!$C$47*37.719))*43758.5453)))-1)))</x:f>
        <x:v>66.91550989906084</x:v>
      </x:c>
      <x:c r="Y136" s="48" t="n">
        <x: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(0.45*SIN(2*PI()*(((A136)/Inputs!$C$49)+Inputs!$C$47*0.137))+0.35*COS(2*PI()*(((Inputs!$C$6)/Inputs!$C$50)+Inputs!$C$47*0.173))+0.20*SIN(2*PI()*(((A136)+(Inputs!$C$6))/(0.5*(Inputs!$C$49+Inputs!$C$50))+Inputs!$C$47*0.097)))+0.30*(2*((SIN(((A136)*12.9898+(Inputs!$C$6)*78.233+Inputs!$C$47*37.719))*43758.5453)-INT((SIN(((A136)*12.9898+(Inputs!$C$6)*78.233+Inputs!$C$47*37.719))*43758.5453)))-1)))</x:f>
        <x:v>534.4078318791427</x:v>
      </x:c>
      <x:c r="Z136" s="48" t="n">
        <x:f>B136-X136/1000</x:f>
        <x:v>399.9875289345454</x:v>
      </x:c>
      <x:c r="AA136" s="48" t="n">
        <x:f>SQRT((Inputs!$C$52+B136)^2+(Inputs!$C$52+Y136/1000)^2-2*(Inputs!$C$52+B136)*(Inputs!$C$52+Y136/1000)*COS(SQRT(A136^2+Inputs!$C$6^2)/Inputs!$C$52))</x:f>
        <x:v>400.5786882652001</x:v>
      </x:c>
      <x:c r="AB136" s="48" t="n">
        <x:f>(AA136-Z136)*1000</x:f>
        <x:v>591.1593306547047</x:v>
      </x:c>
      <x:c r="AC136" s="48" t="n">
        <x:f>AB136/Inputs!$C$12</x:f>
        <x:v>332.11198351387907</x:v>
      </x:c>
      <x:c r="AD136" s="48" t="n">
        <x:f>2*AB136/Inputs!$C$21*1000000</x:f>
        <x:v>3.943790544955635</x:v>
      </x:c>
      <x:c r="AE136" s="48" t="n">
        <x:f>DEGREES(ATAN(H136/(B136-Y136/1000)))</x:f>
        <x:v>3.717952556476865</x:v>
      </x:c>
      <x:c r="AF136" s="48" t="n">
        <x:f>DEGREES((2*PI()/Inputs!$C$13)*Inputs!$C$15*SIN(RADIANS(AE136)))</x:f>
        <x:v>23.34419395123235</x:v>
      </x:c>
      <x:c r="AG136" s="48" t="n">
        <x:f>(Z136/AA136)^4</x:f>
        <x:v>0.9941100011752353</x:v>
      </x:c>
      <x:c r="AH136" s="48" t="n">
        <x:f>10*LOG10(AG136)</x:f>
        <x:v>-0.0256555699081102</x:v>
      </x:c>
      <x:c r="AI136" s="48" t="n">
        <x:f>AC136-F136</x:f>
        <x:v>-261.64071527087606</x:v>
      </x:c>
      <x:c r="AJ136" s="48" t="n">
        <x:f>AD136-G136</x:f>
        <x:v>-3.106952565045245</x:v>
      </x:c>
      <x:c r="AK136" s="48" t="n">
        <x:f>Y136-X136</x:f>
        <x:v>467.49232198008184</x:v>
      </x:c>
      <x:c r="AL136" s="48" t="n">
        <x:f>1000*(AA137-AA135)/(A137-A135)*Inputs!$C$11</x:f>
        <x:v>233.41861818516918</x:v>
      </x:c>
      <x:c r="AM136" s="48" t="n">
        <x:f>-2*AL136/Inputs!$C$13</x:f>
        <x:v>-93.36744727406767</x:v>
      </x:c>
      <x:c r="AN136" s="48" t="n">
        <x:f>-2*AL136/Inputs!$C$14</x:f>
        <x:v>-14.019136227337489</x:v>
      </x:c>
      <x:c r="AO136" s="48" t="n">
        <x:f>ABS(AM136)</x:f>
        <x:v>93.36744727406767</x:v>
      </x:c>
      <x:c r="AP136" s="48" t="n">
        <x:f>ABS(AN136)</x:f>
        <x:v>14.019136227337489</x:v>
      </x:c>
      <x:c r="AQ136" s="48" t="n">
        <x:f>IF(OR(Inputs!$C$27=TRUE,Inputs!$C$27="TRUE",Inputs!$C$27=1),Inputs!$C$46/Inputs!$C$12,0)</x:f>
        <x:v>42.13483146067416</x:v>
      </x:c>
      <x:c r="AR136" s="48" t="n">
        <x:f>AC136-AQ136</x:f>
        <x:v>289.9771520532049</x:v>
      </x:c>
      <x:c r="AS136" s="48" t="n">
        <x:f>AC136+AQ136</x:f>
        <x:v>374.2468149745532</x:v>
      </x:c>
    </x:row>
    <x:row r="137">
      <x:c r="A137" s="48" t="n">
        <x:f>Inputs!$C$7+135*(Inputs!$C$8-Inputs!$C$7)/240</x:f>
        <x:v>7.5</x:v>
      </x:c>
      <x:c r="B137" s="48" t="n">
        <x:f>Inputs!$C$5+Inputs!$C$9*(A137/Inputs!$C$10)^2</x:f>
        <x:v>400.0625</x:v>
      </x:c>
      <x:c r="C137" s="48" t="n">
        <x:f>B137</x:f>
        <x:v>400.0625</x:v>
      </x:c>
      <x:c r="D137" s="48" t="n">
        <x:f>SQRT((Inputs!$C$52+B137)^2+Inputs!$C$52^2-2*(Inputs!$C$52+B137)*Inputs!$C$52*COS(SQRT(A137^2+Inputs!$C$6^2)/Inputs!$C$52))</x:f>
        <x:v>401.1307158456477</x:v>
      </x:c>
      <x:c r="E137" s="48" t="n">
        <x:f>(D137-C137)*1000</x:f>
        <x:v>1068.2158456477282</x:v>
      </x:c>
      <x:c r="F137" s="48" t="n">
        <x:f>E137/Inputs!$C$12</x:f>
        <x:v>600.1212615998473</x:v>
      </x:c>
      <x:c r="G137" s="48" t="n">
        <x:f>2*E137/Inputs!$C$21*1000000</x:f>
        <x:v>7.126369040596266</x:v>
      </x:c>
      <x:c r="H137" s="48" t="n">
        <x:f>SQRT(A137^2+Inputs!$C$6^2)</x:f>
        <x:v>26.100766272276374</x:v>
      </x:c>
      <x:c r="I137" s="48" t="n">
        <x:f>DEGREES(ATAN(H137/B137))</x:f>
        <x:v>3.7327851196426796</x:v>
      </x:c>
      <x:c r="J137" s="48" t="n">
        <x:f>DEGREES((2*PI()/Inputs!$C$13)*Inputs!$C$15*SIN(RADIANS(I137)))</x:f>
        <x:v>23.437192766426364</x:v>
      </x:c>
      <x:c r="K137" s="48" t="n">
        <x:f>(C137/D137)^4</x:f>
        <x:v>0.9893904269426156</x:v>
      </x:c>
      <x:c r="L137" s="48" t="n">
        <x:f>10*LOG10(K137)</x:f>
        <x:v>-0.0463229606008344</x:v>
      </x:c>
      <x:c r="M137" s="48" t="n">
        <x:f>2*(Inputs!$C$9/(Inputs!$C$10^2))*A137</x:f>
        <x:v>0.016666666666666666</x:v>
      </x:c>
      <x:c r="N137" s="48" t="n">
        <x:f>M137*Inputs!$C$11</x:f>
        <x:v>0.06666666666666667</x:v>
      </x:c>
      <x:c r="O137" s="48" t="n">
        <x:f>1000*(D138-D136)/(A138-A136)*Inputs!$C$11</x:f>
        <x:v>160.4791419626963</x:v>
      </x:c>
      <x:c r="P137" s="48" t="n">
        <x:f>-2*O137/Inputs!$C$13</x:f>
        <x:v>-64.19165678507852</x:v>
      </x:c>
      <x:c r="Q137" s="48" t="n">
        <x:f>-2*O137/Inputs!$C$14</x:f>
        <x:v>-9.638386904666445</x:v>
      </x:c>
      <x:c r="R137" s="48" t="n">
        <x:f>F137-Inputs!$C$16/2</x:f>
        <x:v>585.1212615998473</x:v>
      </x:c>
      <x:c r="S137" s="48" t="n">
        <x:f>F137+Inputs!$C$16/2</x:f>
        <x:v>615.1212615998473</x:v>
      </x:c>
      <x:c r="T137" s="48" t="n">
        <x:f>F137-Inputs!$C$17/2</x:f>
        <x:v>450.12126159984734</x:v>
      </x:c>
      <x:c r="U137" s="48" t="n">
        <x:f>F137+Inputs!$C$17/2</x:f>
        <x:v>750.1212615998473</x:v>
      </x:c>
      <x:c r="V137" s="48" t="n">
        <x:f>ABS(P137)</x:f>
        <x:v>64.19165678507852</x:v>
      </x:c>
      <x:c r="W137" s="48" t="n">
        <x:f>ABS(Q137)</x:f>
        <x:v>9.638386904666445</x:v>
      </x:c>
      <x:c r="X137" s="48" t="n">
        <x: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(0.45*SIN(2*PI()*(((A137)/Inputs!$C$49)+Inputs!$C$47*0.137))+0.35*COS(2*PI()*(((0)/Inputs!$C$50)+Inputs!$C$47*0.173))+0.20*SIN(2*PI()*(((A137)+(0))/(0.5*(Inputs!$C$49+Inputs!$C$50))+Inputs!$C$47*0.097)))+0.30*(2*((SIN(((A137)*12.9898+(0)*78.233+Inputs!$C$47*37.719))*43758.5453)-INT((SIN(((A137)*12.9898+(0)*78.233+Inputs!$C$47*37.719))*43758.5453)))-1)))</x:f>
        <x:v>56.202037436945574</x:v>
      </x:c>
      <x:c r="Y137" s="48" t="n">
        <x: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(0.45*SIN(2*PI()*(((A137)/Inputs!$C$49)+Inputs!$C$47*0.137))+0.35*COS(2*PI()*(((Inputs!$C$6)/Inputs!$C$50)+Inputs!$C$47*0.173))+0.20*SIN(2*PI()*(((A137)+(Inputs!$C$6))/(0.5*(Inputs!$C$49+Inputs!$C$50))+Inputs!$C$47*0.097)))+0.30*(2*((SIN(((A137)*12.9898+(Inputs!$C$6)*78.233+Inputs!$C$47*37.719))*43758.5453)-INT((SIN(((A137)*12.9898+(Inputs!$C$6)*78.233+Inputs!$C$47*37.719))*43758.5453)))-1)))</x:f>
        <x:v>503.48380224840304</x:v>
      </x:c>
      <x:c r="Z137" s="48" t="n">
        <x:f>B137-X137/1000</x:f>
        <x:v>400.00629796256305</x:v>
      </x:c>
      <x:c r="AA137" s="48" t="n">
        <x:f>SQRT((Inputs!$C$52+B137)^2+(Inputs!$C$52+Y137/1000)^2-2*(Inputs!$C$52+B137)*(Inputs!$C$52+Y137/1000)*COS(SQRT(A137^2+Inputs!$C$6^2)/Inputs!$C$52))</x:f>
        <x:v>400.62891906755846</x:v>
      </x:c>
      <x:c r="AB137" s="48" t="n">
        <x:f>(AA137-Z137)*1000</x:f>
        <x:v>622.6211049954031</x:v>
      </x:c>
      <x:c r="AC137" s="48" t="n">
        <x:f>AB137/Inputs!$C$12</x:f>
        <x:v>349.7871376378669</x:v>
      </x:c>
      <x:c r="AD137" s="48" t="n">
        <x:f>2*AB137/Inputs!$C$21*1000000</x:f>
        <x:v>4.153680910781305</x:v>
      </x:c>
      <x:c r="AE137" s="48" t="n">
        <x:f>DEGREES(ATAN(H137/(B137-Y137/1000)))</x:f>
        <x:v>3.7374754739406755</x:v>
      </x:c>
      <x:c r="AF137" s="48" t="n">
        <x:f>DEGREES((2*PI()/Inputs!$C$13)*Inputs!$C$15*SIN(RADIANS(AE137)))</x:f>
        <x:v>23.466600532547403</x:v>
      </x:c>
      <x:c r="AG137" s="48" t="n">
        <x:f>(Z137/AA137)^4</x:f>
        <x:v>0.9937980395641197</x:v>
      </x:c>
      <x:c r="AH137" s="48" t="n">
        <x:f>10*LOG10(AG137)</x:f>
        <x:v>-0.027018643094684002</x:v>
      </x:c>
      <x:c r="AI137" s="48" t="n">
        <x:f>AC137-F137</x:f>
        <x:v>-250.33412396198042</x:v>
      </x:c>
      <x:c r="AJ137" s="48" t="n">
        <x:f>AD137-G137</x:f>
        <x:v>-2.9726881298149612</x:v>
      </x:c>
      <x:c r="AK137" s="48" t="n">
        <x:f>Y137-X137</x:f>
        <x:v>447.2817648114575</x:v>
      </x:c>
      <x:c r="AL137" s="48" t="n">
        <x:f>1000*(AA138-AA136)/(A138-A136)*Inputs!$C$11</x:f>
        <x:v>308.8566818282743</x:v>
      </x:c>
      <x:c r="AM137" s="48" t="n">
        <x:f>-2*AL137/Inputs!$C$13</x:f>
        <x:v>-123.54267273130972</x:v>
      </x:c>
      <x:c r="AN137" s="48" t="n">
        <x:f>-2*AL137/Inputs!$C$14</x:f>
        <x:v>-18.54995086055702</x:v>
      </x:c>
      <x:c r="AO137" s="48" t="n">
        <x:f>ABS(AM137)</x:f>
        <x:v>123.54267273130972</x:v>
      </x:c>
      <x:c r="AP137" s="48" t="n">
        <x:f>ABS(AN137)</x:f>
        <x:v>18.54995086055702</x:v>
      </x:c>
      <x:c r="AQ137" s="48" t="n">
        <x:f>IF(OR(Inputs!$C$27=TRUE,Inputs!$C$27="TRUE",Inputs!$C$27=1),Inputs!$C$46/Inputs!$C$12,0)</x:f>
        <x:v>42.13483146067416</x:v>
      </x:c>
      <x:c r="AR137" s="48" t="n">
        <x:f>AC137-AQ137</x:f>
        <x:v>307.65230617719277</x:v>
      </x:c>
      <x:c r="AS137" s="48" t="n">
        <x:f>AC137+AQ137</x:f>
        <x:v>391.92196909854107</x:v>
      </x:c>
    </x:row>
    <x:row r="138">
      <x:c r="A138" s="48" t="n">
        <x:f>Inputs!$C$7+136*(Inputs!$C$8-Inputs!$C$7)/240</x:f>
        <x:v>8</x:v>
      </x:c>
      <x:c r="B138" s="48" t="n">
        <x:f>Inputs!$C$5+Inputs!$C$9*(A138/Inputs!$C$10)^2</x:f>
        <x:v>400.0711111111111</x:v>
      </x:c>
      <x:c r="C138" s="48" t="n">
        <x:f>B138</x:f>
        <x:v>400.0711111111111</x:v>
      </x:c>
      <x:c r="D138" s="48" t="n">
        <x:f>SQRT((Inputs!$C$52+B138)^2+Inputs!$C$52^2-2*(Inputs!$C$52+B138)*Inputs!$C$52*COS(SQRT(A138^2+Inputs!$C$6^2)/Inputs!$C$52))</x:f>
        <x:v>401.151444033772</x:v>
      </x:c>
      <x:c r="E138" s="48" t="n">
        <x:f>(D138-C138)*1000</x:f>
        <x:v>1080.3329226608867</x:v>
      </x:c>
      <x:c r="F138" s="48" t="n">
        <x:f>E138/Inputs!$C$12</x:f>
        <x:v>606.9286082364532</x:v>
      </x:c>
      <x:c r="G138" s="48" t="n">
        <x:f>2*E138/Inputs!$C$21*1000000</x:f>
        <x:v>7.207205477203076</x:v>
      </x:c>
      <x:c r="H138" s="48" t="n">
        <x:f>SQRT(A138^2+Inputs!$C$6^2)</x:f>
        <x:v>26.248809496813376</x:v>
      </x:c>
      <x:c r="I138" s="48" t="n">
        <x:f>DEGREES(ATAN(H138/B138))</x:f>
        <x:v>3.75381649570681</x:v>
      </x:c>
      <x:c r="J138" s="48" t="n">
        <x:f>DEGREES((2*PI()/Inputs!$C$13)*Inputs!$C$15*SIN(RADIANS(I138)))</x:f>
        <x:v>23.56905487786457</x:v>
      </x:c>
      <x:c r="K138" s="48" t="n">
        <x:f>(C138/D138)^4</x:f>
        <x:v>0.989271118085209</x:v>
      </x:c>
      <x:c r="L138" s="48" t="n">
        <x:f>10*LOG10(K138)</x:f>
        <x:v>-0.0468467002834181</x:v>
      </x:c>
      <x:c r="M138" s="48" t="n">
        <x:f>2*(Inputs!$C$9/(Inputs!$C$10^2))*A138</x:f>
        <x:v>0.017777777777777778</x:v>
      </x:c>
      <x:c r="N138" s="48" t="n">
        <x:f>M138*Inputs!$C$11</x:f>
        <x:v>0.07111111111111111</x:v>
      </x:c>
      <x:c r="O138" s="48" t="n">
        <x:f>1000*(D139-D137)/(A139-A137)*Inputs!$C$11</x:f>
        <x:v>171.1712599292241</x:v>
      </x:c>
      <x:c r="P138" s="48" t="n">
        <x:f>-2*O138/Inputs!$C$13</x:f>
        <x:v>-68.46850397168964</x:v>
      </x:c>
      <x:c r="Q138" s="48" t="n">
        <x:f>-2*O138/Inputs!$C$14</x:f>
        <x:v>-10.280556151905353</x:v>
      </x:c>
      <x:c r="R138" s="48" t="n">
        <x:f>F138-Inputs!$C$16/2</x:f>
        <x:v>591.9286082364532</x:v>
      </x:c>
      <x:c r="S138" s="48" t="n">
        <x:f>F138+Inputs!$C$16/2</x:f>
        <x:v>621.9286082364532</x:v>
      </x:c>
      <x:c r="T138" s="48" t="n">
        <x:f>F138-Inputs!$C$17/2</x:f>
        <x:v>456.9286082364532</x:v>
      </x:c>
      <x:c r="U138" s="48" t="n">
        <x:f>F138+Inputs!$C$17/2</x:f>
        <x:v>756.9286082364532</x:v>
      </x:c>
      <x:c r="V138" s="48" t="n">
        <x:f>ABS(P138)</x:f>
        <x:v>68.46850397168964</x:v>
      </x:c>
      <x:c r="W138" s="48" t="n">
        <x:f>ABS(Q138)</x:f>
        <x:v>10.280556151905353</x:v>
      </x:c>
      <x:c r="X138" s="48" t="n">
        <x: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(0.45*SIN(2*PI()*(((A138)/Inputs!$C$49)+Inputs!$C$47*0.137))+0.35*COS(2*PI()*(((0)/Inputs!$C$50)+Inputs!$C$47*0.173))+0.20*SIN(2*PI()*(((A138)+(0))/(0.5*(Inputs!$C$49+Inputs!$C$50))+Inputs!$C$47*0.097)))+0.30*(2*((SIN(((A138)*12.9898+(0)*78.233+Inputs!$C$47*37.719))*43758.5453)-INT((SIN(((A138)*12.9898+(0)*78.233+Inputs!$C$47*37.719))*43758.5453)))-1)))</x:f>
        <x:v>45.99320506201067</x:v>
      </x:c>
      <x:c r="Y138" s="48" t="n">
        <x: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(0.45*SIN(2*PI()*(((A138)/Inputs!$C$49)+Inputs!$C$47*0.137))+0.35*COS(2*PI()*(((Inputs!$C$6)/Inputs!$C$50)+Inputs!$C$47*0.173))+0.20*SIN(2*PI()*(((A138)+(Inputs!$C$6))/(0.5*(Inputs!$C$49+Inputs!$C$50))+Inputs!$C$47*0.097)))+0.30*(2*((SIN(((A138)*12.9898+(Inputs!$C$6)*78.233+Inputs!$C$47*37.719))*43758.5453)-INT((SIN(((A138)*12.9898+(Inputs!$C$6)*78.233+Inputs!$C$47*37.719))*43758.5453)))-1)))</x:f>
        <x:v>497.2264534493298</x:v>
      </x:c>
      <x:c r="Z138" s="48" t="n">
        <x:f>B138-X138/1000</x:f>
        <x:v>400.0251179060491</x:v>
      </x:c>
      <x:c r="AA138" s="48" t="n">
        <x:f>SQRT((Inputs!$C$52+B138)^2+(Inputs!$C$52+Y138/1000)^2-2*(Inputs!$C$52+B138)*(Inputs!$C$52+Y138/1000)*COS(SQRT(A138^2+Inputs!$C$6^2)/Inputs!$C$52))</x:f>
        <x:v>400.6559024356572</x:v>
      </x:c>
      <x:c r="AB138" s="48" t="n">
        <x:f>(AA138-Z138)*1000</x:f>
        <x:v>630.7845296080927</x:v>
      </x:c>
      <x:c r="AC138" s="48" t="n">
        <x:f>AB138/Inputs!$C$12</x:f>
        <x:v>354.3733312405015</x:v>
      </x:c>
      <x:c r="AD138" s="48" t="n">
        <x:f>2*AB138/Inputs!$C$21*1000000</x:f>
        <x:v>4.208141417674308</x:v>
      </x:c>
      <x:c r="AE138" s="48" t="n">
        <x:f>DEGREES(ATAN(H138/(B138-Y138/1000)))</x:f>
        <x:v>3.7584743334978383</x:v>
      </x:c>
      <x:c r="AF138" s="48" t="n">
        <x:f>DEGREES((2*PI()/Inputs!$C$13)*Inputs!$C$15*SIN(RADIANS(AE138)))</x:f>
        <x:v>23.59825806948263</x:v>
      </x:c>
      <x:c r="AG138" s="48" t="n">
        <x:f>(Z138/AA138)^4</x:f>
        <x:v>0.993717337524663</x:v>
      </x:c>
      <x:c r="AH138" s="48" t="n">
        <x:f>10*LOG10(AG138)</x:f>
        <x:v>-0.0273713291753825</x:v>
      </x:c>
      <x:c r="AI138" s="48" t="n">
        <x:f>AC138-F138</x:f>
        <x:v>-252.55527699595171</x:v>
      </x:c>
      <x:c r="AJ138" s="48" t="n">
        <x:f>AD138-G138</x:f>
        <x:v>-2.9990640595287683</x:v>
      </x:c>
      <x:c r="AK138" s="48" t="n">
        <x:f>Y138-X138</x:f>
        <x:v>451.2332483873192</x:v>
      </x:c>
      <x:c r="AL138" s="48" t="n">
        <x:f>1000*(AA139-AA137)/(A139-A137)*Inputs!$C$11</x:f>
        <x:v>266.5280326054926</x:v>
      </x:c>
      <x:c r="AM138" s="48" t="n">
        <x:f>-2*AL138/Inputs!$C$13</x:f>
        <x:v>-106.61121304219705</x:v>
      </x:c>
      <x:c r="AN138" s="48" t="n">
        <x:f>-2*AL138/Inputs!$C$14</x:f>
        <x:v>-16.007689645975535</x:v>
      </x:c>
      <x:c r="AO138" s="48" t="n">
        <x:f>ABS(AM138)</x:f>
        <x:v>106.61121304219705</x:v>
      </x:c>
      <x:c r="AP138" s="48" t="n">
        <x:f>ABS(AN138)</x:f>
        <x:v>16.007689645975535</x:v>
      </x:c>
      <x:c r="AQ138" s="48" t="n">
        <x:f>IF(OR(Inputs!$C$27=TRUE,Inputs!$C$27="TRUE",Inputs!$C$27=1),Inputs!$C$46/Inputs!$C$12,0)</x:f>
        <x:v>42.13483146067416</x:v>
      </x:c>
      <x:c r="AR138" s="48" t="n">
        <x:f>AC138-AQ138</x:f>
        <x:v>312.23849977982735</x:v>
      </x:c>
      <x:c r="AS138" s="48" t="n">
        <x:f>AC138+AQ138</x:f>
        <x:v>396.50816270117565</x:v>
      </x:c>
    </x:row>
    <x:row r="139">
      <x:c r="A139" s="48" t="n">
        <x:f>Inputs!$C$7+137*(Inputs!$C$8-Inputs!$C$7)/240</x:f>
        <x:v>8.5</x:v>
      </x:c>
      <x:c r="B139" s="48" t="n">
        <x:f>Inputs!$C$5+Inputs!$C$9*(A139/Inputs!$C$10)^2</x:f>
        <x:v>400.0802777777778</x:v>
      </x:c>
      <x:c r="C139" s="48" t="n">
        <x:f>B139</x:f>
        <x:v>400.0802777777778</x:v>
      </x:c>
      <x:c r="D139" s="48" t="n">
        <x:f>SQRT((Inputs!$C$52+B139)^2+Inputs!$C$52^2-2*(Inputs!$C$52+B139)*Inputs!$C$52*COS(SQRT(A139^2+Inputs!$C$6^2)/Inputs!$C$52))</x:f>
        <x:v>401.17350866063003</x:v>
      </x:c>
      <x:c r="E139" s="48" t="n">
        <x:f>(D139-C139)*1000</x:f>
        <x:v>1093.2308828522537</x:v>
      </x:c>
      <x:c r="F139" s="48" t="n">
        <x:f>E139/Inputs!$C$12</x:f>
        <x:v>614.1746532877829</x:v>
      </x:c>
      <x:c r="G139" s="48" t="n">
        <x:f>2*E139/Inputs!$C$21*1000000</x:f>
        <x:v>7.29325140562578</x:v>
      </x:c>
      <x:c r="H139" s="48" t="n">
        <x:f>SQRT(A139^2+Inputs!$C$6^2)</x:f>
        <x:v>26.405491853021786</x:v>
      </x:c>
      <x:c r="I139" s="48" t="n">
        <x:f>DEGREES(ATAN(H139/B139))</x:f>
        <x:v>3.776072578786574</x:v>
      </x:c>
      <x:c r="J139" s="48" t="n">
        <x:f>DEGREES((2*PI()/Inputs!$C$13)*Inputs!$C$15*SIN(RADIANS(I139)))</x:f>
        <x:v>23.708592174666432</x:v>
      </x:c>
      <x:c r="K139" s="48" t="n">
        <x:f>(C139/D139)^4</x:f>
        <x:v>0.989144145804127</x:v>
      </x:c>
      <x:c r="L139" s="48" t="n">
        <x:f>10*LOG10(K139)</x:f>
        <x:v>-0.0474041500980325</x:v>
      </x:c>
      <x:c r="M139" s="48" t="n">
        <x:f>2*(Inputs!$C$9/(Inputs!$C$10^2))*A139</x:f>
        <x:v>0.01888888888888889</x:v>
      </x:c>
      <x:c r="N139" s="48" t="n">
        <x:f>M139*Inputs!$C$11</x:f>
        <x:v>0.07555555555555556</x:v>
      </x:c>
      <x:c r="O139" s="48" t="n">
        <x:f>1000*(D140-D138)/(A140-A138)*Inputs!$C$11</x:f>
        <x:v>181.8621226407231</x:v>
      </x:c>
      <x:c r="P139" s="48" t="n">
        <x:f>-2*O139/Inputs!$C$13</x:f>
        <x:v>-72.74484905628924</x:v>
      </x:c>
      <x:c r="Q139" s="48" t="n">
        <x:f>-2*O139/Inputs!$C$14</x:f>
        <x:v>-10.92265000845184</x:v>
      </x:c>
      <x:c r="R139" s="48" t="n">
        <x:f>F139-Inputs!$C$16/2</x:f>
        <x:v>599.1746532877829</x:v>
      </x:c>
      <x:c r="S139" s="48" t="n">
        <x:f>F139+Inputs!$C$16/2</x:f>
        <x:v>629.1746532877829</x:v>
      </x:c>
      <x:c r="T139" s="48" t="n">
        <x:f>F139-Inputs!$C$17/2</x:f>
        <x:v>464.1746532877829</x:v>
      </x:c>
      <x:c r="U139" s="48" t="n">
        <x:f>F139+Inputs!$C$17/2</x:f>
        <x:v>764.1746532877829</x:v>
      </x:c>
      <x:c r="V139" s="48" t="n">
        <x:f>ABS(P139)</x:f>
        <x:v>72.74484905628924</x:v>
      </x:c>
      <x:c r="W139" s="48" t="n">
        <x:f>ABS(Q139)</x:f>
        <x:v>10.92265000845184</x:v>
      </x:c>
      <x:c r="X139" s="48" t="n">
        <x: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(0.45*SIN(2*PI()*(((A139)/Inputs!$C$49)+Inputs!$C$47*0.137))+0.35*COS(2*PI()*(((0)/Inputs!$C$50)+Inputs!$C$47*0.173))+0.20*SIN(2*PI()*(((A139)+(0))/(0.5*(Inputs!$C$49+Inputs!$C$50))+Inputs!$C$47*0.097)))+0.30*(2*((SIN(((A139)*12.9898+(0)*78.233+Inputs!$C$47*37.719))*43758.5453)-INT((SIN(((A139)*12.9898+(0)*78.233+Inputs!$C$47*37.719))*43758.5453)))-1)))</x:f>
        <x:v>35.42120810065494</x:v>
      </x:c>
      <x:c r="Y139" s="48" t="n">
        <x: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(0.45*SIN(2*PI()*(((A139)/Inputs!$C$49)+Inputs!$C$47*0.137))+0.35*COS(2*PI()*(((Inputs!$C$6)/Inputs!$C$50)+Inputs!$C$47*0.173))+0.20*SIN(2*PI()*(((A139)+(Inputs!$C$6))/(0.5*(Inputs!$C$49+Inputs!$C$50))+Inputs!$C$47*0.097)))+0.30*(2*((SIN(((A139)*12.9898+(Inputs!$C$6)*78.233+Inputs!$C$47*37.719))*43758.5453)-INT((SIN(((A139)*12.9898+(Inputs!$C$6)*78.233+Inputs!$C$47*37.719))*43758.5453)))-1)))</x:f>
        <x:v>479.6019721372586</x:v>
      </x:c>
      <x:c r="Z139" s="48" t="n">
        <x:f>B139-X139/1000</x:f>
        <x:v>400.0448565696771</x:v>
      </x:c>
      <x:c r="AA139" s="48" t="n">
        <x:f>SQRT((Inputs!$C$52+B139)^2+(Inputs!$C$52+Y139/1000)^2-2*(Inputs!$C$52+B139)*(Inputs!$C$52+Y139/1000)*COS(SQRT(A139^2+Inputs!$C$6^2)/Inputs!$C$52))</x:f>
        <x:v>400.69555107570983</x:v>
      </x:c>
      <x:c r="AB139" s="48" t="n">
        <x:f>(AA139-Z139)*1000</x:f>
        <x:v>650.6945060327212</x:v>
      </x:c>
      <x:c r="AC139" s="48" t="n">
        <x:f>AB139/Inputs!$C$12</x:f>
        <x:v>365.5587112543377</x:v>
      </x:c>
      <x:c r="AD139" s="48" t="n">
        <x:f>2*AB139/Inputs!$C$21*1000000</x:f>
        <x:v>4.340966483104262</x:v>
      </x:c>
      <x:c r="AE139" s="48" t="n">
        <x:f>DEGREES(ATAN(H139/(B139-Y139/1000)))</x:f>
        <x:v>3.78059149750157</x:v>
      </x:c>
      <x:c r="AF139" s="48" t="n">
        <x:f>DEGREES((2*PI()/Inputs!$C$13)*Inputs!$C$15*SIN(RADIANS(AE139)))</x:f>
        <x:v>23.736923664575894</x:v>
      </x:c>
      <x:c r="AG139" s="48" t="n">
        <x:f>(Z139/AA139)^4</x:f>
        <x:v>0.9935201555081793</x:v>
      </x:c>
      <x:c r="AH139" s="48" t="n">
        <x:f>10*LOG10(AG139)</x:f>
        <x:v>-0.0282331794803479</x:v>
      </x:c>
      <x:c r="AI139" s="48" t="n">
        <x:f>AC139-F139</x:f>
        <x:v>-248.6159420334452</x:v>
      </x:c>
      <x:c r="AJ139" s="48" t="n">
        <x:f>AD139-G139</x:f>
        <x:v>-2.9522849225215175</x:v>
      </x:c>
      <x:c r="AK139" s="48" t="n">
        <x:f>Y139-X139</x:f>
        <x:v>444.18076403660365</x:v>
      </x:c>
      <x:c r="AL139" s="48" t="n">
        <x:f>1000*(AA140-AA138)/(A140-A138)*Inputs!$C$11</x:f>
        <x:v>245.80708797611805</x:v>
      </x:c>
      <x:c r="AM139" s="48" t="n">
        <x:f>-2*AL139/Inputs!$C$13</x:f>
        <x:v>-98.32283519044722</x:v>
      </x:c>
      <x:c r="AN139" s="48" t="n">
        <x:f>-2*AL139/Inputs!$C$14</x:f>
        <x:v>-14.76318846703412</x:v>
      </x:c>
      <x:c r="AO139" s="48" t="n">
        <x:f>ABS(AM139)</x:f>
        <x:v>98.32283519044722</x:v>
      </x:c>
      <x:c r="AP139" s="48" t="n">
        <x:f>ABS(AN139)</x:f>
        <x:v>14.76318846703412</x:v>
      </x:c>
      <x:c r="AQ139" s="48" t="n">
        <x:f>IF(OR(Inputs!$C$27=TRUE,Inputs!$C$27="TRUE",Inputs!$C$27=1),Inputs!$C$46/Inputs!$C$12,0)</x:f>
        <x:v>42.13483146067416</x:v>
      </x:c>
      <x:c r="AR139" s="48" t="n">
        <x:f>AC139-AQ139</x:f>
        <x:v>323.42387979366356</x:v>
      </x:c>
      <x:c r="AS139" s="48" t="n">
        <x:f>AC139+AQ139</x:f>
        <x:v>407.69354271501186</x:v>
      </x:c>
    </x:row>
    <x:row r="140">
      <x:c r="A140" s="48" t="n">
        <x:f>Inputs!$C$7+138*(Inputs!$C$8-Inputs!$C$7)/240</x:f>
        <x:v>9</x:v>
      </x:c>
      <x:c r="B140" s="48" t="n">
        <x:f>Inputs!$C$5+Inputs!$C$9*(A140/Inputs!$C$10)^2</x:f>
        <x:v>400.09</x:v>
      </x:c>
      <x:c r="C140" s="48" t="n">
        <x:f>B140</x:f>
        <x:v>400.09</x:v>
      </x:c>
      <x:c r="D140" s="48" t="n">
        <x:f>SQRT((Inputs!$C$52+B140)^2+Inputs!$C$52^2-2*(Inputs!$C$52+B140)*Inputs!$C$52*COS(SQRT(A140^2+Inputs!$C$6^2)/Inputs!$C$52))</x:f>
        <x:v>401.1969095644322</x:v>
      </x:c>
      <x:c r="E140" s="48" t="n">
        <x:f>(D140-C140)*1000</x:f>
        <x:v>1106.9095644322147</x:v>
      </x:c>
      <x:c r="F140" s="48" t="n">
        <x:f>E140/Inputs!$C$12</x:f>
        <x:v>621.8593058607947</x:v>
      </x:c>
      <x:c r="G140" s="48" t="n">
        <x:f>2*E140/Inputs!$C$21*1000000</x:f>
        <x:v>7.3845057465202455</x:v>
      </x:c>
      <x:c r="H140" s="48" t="n">
        <x:f>SQRT(A140^2+Inputs!$C$6^2)</x:f>
        <x:v>26.570660511172846</x:v>
      </x:c>
      <x:c r="I140" s="48" t="n">
        <x:f>DEGREES(ATAN(H140/B140))</x:f>
        <x:v>3.79953120706518</x:v>
      </x:c>
      <x:c r="J140" s="48" t="n">
        <x:f>DEGREES((2*PI()/Inputs!$C$13)*Inputs!$C$15*SIN(RADIANS(I140)))</x:f>
        <x:v>23.85566510612477</x:v>
      </x:c>
      <x:c r="K140" s="48" t="n">
        <x:f>(C140/D140)^4</x:f>
        <x:v>0.9890095164451073</x:v>
      </x:c>
      <x:c r="L140" s="48" t="n">
        <x:f>10*LOG10(K140)</x:f>
        <x:v>-0.0479952951534499</x:v>
      </x:c>
      <x:c r="M140" s="48" t="n">
        <x:f>2*(Inputs!$C$9/(Inputs!$C$10^2))*A140</x:f>
        <x:v>0.02</x:v>
      </x:c>
      <x:c r="N140" s="48" t="n">
        <x:f>M140*Inputs!$C$11</x:f>
        <x:v>0.08</x:v>
      </x:c>
      <x:c r="O140" s="48" t="n">
        <x:f>1000*(D141-D139)/(A141-A139)*Inputs!$C$11</x:f>
        <x:v>192.55165201866475</x:v>
      </x:c>
      <x:c r="P140" s="48" t="n">
        <x:f>-2*O140/Inputs!$C$13</x:f>
        <x:v>-77.0206608074659</x:v>
      </x:c>
      <x:c r="Q140" s="48" t="n">
        <x:f>-2*O140/Inputs!$C$14</x:f>
        <x:v>-11.564663784904791</x:v>
      </x:c>
      <x:c r="R140" s="48" t="n">
        <x:f>F140-Inputs!$C$16/2</x:f>
        <x:v>606.8593058607947</x:v>
      </x:c>
      <x:c r="S140" s="48" t="n">
        <x:f>F140+Inputs!$C$16/2</x:f>
        <x:v>636.8593058607947</x:v>
      </x:c>
      <x:c r="T140" s="48" t="n">
        <x:f>F140-Inputs!$C$17/2</x:f>
        <x:v>471.85930586079473</x:v>
      </x:c>
      <x:c r="U140" s="48" t="n">
        <x:f>F140+Inputs!$C$17/2</x:f>
        <x:v>771.8593058607947</x:v>
      </x:c>
      <x:c r="V140" s="48" t="n">
        <x:f>ABS(P140)</x:f>
        <x:v>77.0206608074659</x:v>
      </x:c>
      <x:c r="W140" s="48" t="n">
        <x:f>ABS(Q140)</x:f>
        <x:v>11.564663784904791</x:v>
      </x:c>
      <x:c r="X140" s="48" t="n">
        <x: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(0.45*SIN(2*PI()*(((A140)/Inputs!$C$49)+Inputs!$C$47*0.137))+0.35*COS(2*PI()*(((0)/Inputs!$C$50)+Inputs!$C$47*0.173))+0.20*SIN(2*PI()*(((A140)+(0))/(0.5*(Inputs!$C$49+Inputs!$C$50))+Inputs!$C$47*0.097)))+0.30*(2*((SIN(((A140)*12.9898+(0)*78.233+Inputs!$C$47*37.719))*43758.5453)-INT((SIN(((A140)*12.9898+(0)*78.233+Inputs!$C$47*37.719))*43758.5453)))-1)))</x:f>
        <x:v>29.628149721243545</x:v>
      </x:c>
      <x:c r="Y140" s="48" t="n">
        <x: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(0.45*SIN(2*PI()*(((A140)/Inputs!$C$49)+Inputs!$C$47*0.137))+0.35*COS(2*PI()*(((Inputs!$C$6)/Inputs!$C$50)+Inputs!$C$47*0.173))+0.20*SIN(2*PI()*(((A140)+(Inputs!$C$6))/(0.5*(Inputs!$C$49+Inputs!$C$50))+Inputs!$C$47*0.097)))+0.30*(2*((SIN(((A140)*12.9898+(Inputs!$C$6)*78.233+Inputs!$C$47*37.719))*43758.5453)-INT((SIN(((A140)*12.9898+(Inputs!$C$6)*78.233+Inputs!$C$47*37.719))*43758.5453)))-1)))</x:f>
        <x:v>481.22587957439987</x:v>
      </x:c>
      <x:c r="Z140" s="48" t="n">
        <x:f>B140-X140/1000</x:f>
        <x:v>400.0603718502787</x:v>
      </x:c>
      <x:c r="AA140" s="48" t="n">
        <x:f>SQRT((Inputs!$C$52+B140)^2+(Inputs!$C$52+Y140/1000)^2-2*(Inputs!$C$52+B140)*(Inputs!$C$52+Y140/1000)*COS(SQRT(A140^2+Inputs!$C$6^2)/Inputs!$C$52))</x:f>
        <x:v>400.7173542076512</x:v>
      </x:c>
      <x:c r="AB140" s="48" t="n">
        <x:f>(AA140-Z140)*1000</x:f>
        <x:v>656.9823573724989</x:v>
      </x:c>
      <x:c r="AC140" s="48" t="n">
        <x:f>AB140/Inputs!$C$12</x:f>
        <x:v>369.09121200702185</x:v>
      </x:c>
      <x:c r="AD140" s="48" t="n">
        <x:f>2*AB140/Inputs!$C$21*1000000</x:f>
        <x:v>4.382914511962131</x:v>
      </x:c>
      <x:c r="AE140" s="48" t="n">
        <x:f>DEGREES(ATAN(H140/(B140-Y140/1000)))</x:f>
        <x:v>3.8040933374991006</x:v>
      </x:c>
      <x:c r="AF140" s="48" t="n">
        <x:f>DEGREES((2*PI()/Inputs!$C$13)*Inputs!$C$15*SIN(RADIANS(AE140)))</x:f>
        <x:v>23.884266736650474</x:v>
      </x:c>
      <x:c r="AG140" s="48" t="n">
        <x:f>(Z140/AA140)^4</x:f>
        <x:v>0.9934580480081765</x:v>
      </x:c>
      <x:c r="AH140" s="48" t="n">
        <x:f>10*LOG10(AG140)</x:f>
        <x:v>-0.0285046766160192</x:v>
      </x:c>
      <x:c r="AI140" s="48" t="n">
        <x:f>AC140-F140</x:f>
        <x:v>-252.76809385377288</x:v>
      </x:c>
      <x:c r="AJ140" s="48" t="n">
        <x:f>AD140-G140</x:f>
        <x:v>-3.0015912345581146</x:v>
      </x:c>
      <x:c r="AK140" s="48" t="n">
        <x:f>Y140-X140</x:f>
        <x:v>451.59772985315635</x:v>
      </x:c>
      <x:c r="AL140" s="48" t="n">
        <x:f>1000*(AA141-AA139)/(A141-A139)*Inputs!$C$11</x:f>
        <x:v>197.9920210169439</x:v>
      </x:c>
      <x:c r="AM140" s="48" t="n">
        <x:f>-2*AL140/Inputs!$C$13</x:f>
        <x:v>-79.19680840677756</x:v>
      </x:c>
      <x:c r="AN140" s="48" t="n">
        <x:f>-2*AL140/Inputs!$C$14</x:f>
        <x:v>-11.891412673690326</x:v>
      </x:c>
      <x:c r="AO140" s="48" t="n">
        <x:f>ABS(AM140)</x:f>
        <x:v>79.19680840677756</x:v>
      </x:c>
      <x:c r="AP140" s="48" t="n">
        <x:f>ABS(AN140)</x:f>
        <x:v>11.891412673690326</x:v>
      </x:c>
      <x:c r="AQ140" s="48" t="n">
        <x:f>IF(OR(Inputs!$C$27=TRUE,Inputs!$C$27="TRUE",Inputs!$C$27=1),Inputs!$C$46/Inputs!$C$12,0)</x:f>
        <x:v>42.13483146067416</x:v>
      </x:c>
      <x:c r="AR140" s="48" t="n">
        <x:f>AC140-AQ140</x:f>
        <x:v>326.9563805463477</x:v>
      </x:c>
      <x:c r="AS140" s="48" t="n">
        <x:f>AC140+AQ140</x:f>
        <x:v>411.226043467696</x:v>
      </x:c>
    </x:row>
    <x:row r="141">
      <x:c r="A141" s="48" t="n">
        <x:f>Inputs!$C$7+139*(Inputs!$C$8-Inputs!$C$7)/240</x:f>
        <x:v>9.5</x:v>
      </x:c>
      <x:c r="B141" s="48" t="n">
        <x:f>Inputs!$C$5+Inputs!$C$9*(A141/Inputs!$C$10)^2</x:f>
        <x:v>400.10027777777776</x:v>
      </x:c>
      <x:c r="C141" s="48" t="n">
        <x:f>B141</x:f>
        <x:v>400.10027777777776</x:v>
      </x:c>
      <x:c r="D141" s="48" t="n">
        <x:f>SQRT((Inputs!$C$52+B141)^2+Inputs!$C$52^2-2*(Inputs!$C$52+B141)*Inputs!$C$52*COS(SQRT(A141^2+Inputs!$C$6^2)/Inputs!$C$52))</x:f>
        <x:v>401.2216465736347</x:v>
      </x:c>
      <x:c r="E141" s="48" t="n">
        <x:f>(D141-C141)*1000</x:f>
        <x:v>1121.368795856938</x:v>
      </x:c>
      <x:c r="F141" s="48" t="n">
        <x:f>E141/Inputs!$C$12</x:f>
        <x:v>629.9824695825495</x:v>
      </x:c>
      <x:c r="G141" s="48" t="n">
        <x:f>2*E141/Inputs!$C$21*1000000</x:f>
        <x:v>7.4809673554692155</x:v>
      </x:c>
      <x:c r="H141" s="48" t="n">
        <x:f>SQRT(A141^2+Inputs!$C$6^2)</x:f>
        <x:v>26.744158240632665</x:v>
      </x:c>
      <x:c r="I141" s="48" t="n">
        <x:f>DEGREES(ATAN(H141/B141))</x:f>
        <x:v>3.8241695756954894</x:v>
      </x:c>
      <x:c r="J141" s="48" t="n">
        <x:f>DEGREES((2*PI()/Inputs!$C$13)*Inputs!$C$15*SIN(RADIANS(I141)))</x:f>
        <x:v>24.010130066350158</x:v>
      </x:c>
      <x:c r="K141" s="48" t="n">
        <x:f>(C141/D141)^4</x:f>
        <x:v>0.9888672367340193</x:v>
      </x:c>
      <x:c r="L141" s="48" t="n">
        <x:f>10*LOG10(K141)</x:f>
        <x:v>-0.04862011966205031</x:v>
      </x:c>
      <x:c r="M141" s="48" t="n">
        <x:f>2*(Inputs!$C$9/(Inputs!$C$10^2))*A141</x:f>
        <x:v>0.021111111111111112</x:v>
      </x:c>
      <x:c r="N141" s="48" t="n">
        <x:f>M141*Inputs!$C$11</x:f>
        <x:v>0.08444444444444445</x:v>
      </x:c>
      <x:c r="O141" s="48" t="n">
        <x:f>1000*(D142-D140)/(A142-A140)*Inputs!$C$11</x:f>
        <x:v>203.23977003636173</x:v>
      </x:c>
      <x:c r="P141" s="48" t="n">
        <x:f>-2*O141/Inputs!$C$13</x:f>
        <x:v>-81.2959080145447</x:v>
      </x:c>
      <x:c r="Q141" s="48" t="n">
        <x:f>-2*O141/Inputs!$C$14</x:f>
        <x:v>-12.206592794976682</x:v>
      </x:c>
      <x:c r="R141" s="48" t="n">
        <x:f>F141-Inputs!$C$16/2</x:f>
        <x:v>614.9824695825495</x:v>
      </x:c>
      <x:c r="S141" s="48" t="n">
        <x:f>F141+Inputs!$C$16/2</x:f>
        <x:v>644.9824695825495</x:v>
      </x:c>
      <x:c r="T141" s="48" t="n">
        <x:f>F141-Inputs!$C$17/2</x:f>
        <x:v>479.98246958254947</x:v>
      </x:c>
      <x:c r="U141" s="48" t="n">
        <x:f>F141+Inputs!$C$17/2</x:f>
        <x:v>779.9824695825495</x:v>
      </x:c>
      <x:c r="V141" s="48" t="n">
        <x:f>ABS(P141)</x:f>
        <x:v>81.2959080145447</x:v>
      </x:c>
      <x:c r="W141" s="48" t="n">
        <x:f>ABS(Q141)</x:f>
        <x:v>12.206592794976682</x:v>
      </x:c>
      <x:c r="X141" s="48" t="n">
        <x: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(0.45*SIN(2*PI()*(((A141)/Inputs!$C$49)+Inputs!$C$47*0.137))+0.35*COS(2*PI()*(((0)/Inputs!$C$50)+Inputs!$C$47*0.173))+0.20*SIN(2*PI()*(((A141)+(0))/(0.5*(Inputs!$C$49+Inputs!$C$50))+Inputs!$C$47*0.097)))+0.30*(2*((SIN(((A141)*12.9898+(0)*78.233+Inputs!$C$47*37.719))*43758.5453)-INT((SIN(((A141)*12.9898+(0)*78.233+Inputs!$C$47*37.719))*43758.5453)))-1)))</x:f>
        <x:v>5.649927018638348</x:v>
      </x:c>
      <x:c r="Y141" s="48" t="n">
        <x: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(0.45*SIN(2*PI()*(((A141)/Inputs!$C$49)+Inputs!$C$47*0.137))+0.35*COS(2*PI()*(((Inputs!$C$6)/Inputs!$C$50)+Inputs!$C$47*0.173))+0.20*SIN(2*PI()*(((A141)+(Inputs!$C$6))/(0.5*(Inputs!$C$49+Inputs!$C$50))+Inputs!$C$47*0.097)))+0.30*(2*((SIN(((A141)*12.9898+(Inputs!$C$6)*78.233+Inputs!$C$47*37.719))*43758.5453)-INT((SIN(((A141)*12.9898+(Inputs!$C$6)*78.233+Inputs!$C$47*37.719))*43758.5453)))-1)))</x:f>
        <x:v>478.27937371872196</x:v>
      </x:c>
      <x:c r="Z141" s="48" t="n">
        <x:f>B141-X141/1000</x:f>
        <x:v>400.09462785075914</x:v>
      </x:c>
      <x:c r="AA141" s="48" t="n">
        <x:f>SQRT((Inputs!$C$52+B141)^2+(Inputs!$C$52+Y141/1000)^2-2*(Inputs!$C$52+B141)*(Inputs!$C$52+Y141/1000)*COS(SQRT(A141^2+Inputs!$C$6^2)/Inputs!$C$52))</x:f>
        <x:v>400.74504908096407</x:v>
      </x:c>
      <x:c r="AB141" s="48" t="n">
        <x:f>(AA141-Z141)*1000</x:f>
        <x:v>650.4212302049268</x:v>
      </x:c>
      <x:c r="AC141" s="48" t="n">
        <x:f>AB141/Inputs!$C$12</x:f>
        <x:v>365.40518550838584</x:v>
      </x:c>
      <x:c r="AD141" s="48" t="n">
        <x:f>2*AB141/Inputs!$C$21*1000000</x:f>
        <x:v>4.339143383019507</x:v>
      </x:c>
      <x:c r="AE141" s="48" t="n">
        <x:f>DEGREES(ATAN(H141/(B141-Y141/1000)))</x:f>
        <x:v>3.828732849495572</x:v>
      </x:c>
      <x:c r="AF141" s="48" t="n">
        <x:f>DEGREES((2*PI()/Inputs!$C$13)*Inputs!$C$15*SIN(RADIANS(AE141)))</x:f>
        <x:v>24.038738044870204</x:v>
      </x:c>
      <x:c r="AG141" s="48" t="n">
        <x:f>(Z141/AA141)^4</x:f>
        <x:v>0.9935236683311037</x:v>
      </x:c>
      <x:c r="AH141" s="48" t="n">
        <x:f>10*LOG10(AG141)</x:f>
        <x:v>-0.0282178240101395</x:v>
      </x:c>
      <x:c r="AI141" s="48" t="n">
        <x:f>AC141-F141</x:f>
        <x:v>-264.57728407416363</x:v>
      </x:c>
      <x:c r="AJ141" s="48" t="n">
        <x:f>AD141-G141</x:f>
        <x:v>-3.141823972449709</x:v>
      </x:c>
      <x:c r="AK141" s="48" t="n">
        <x:f>Y141-X141</x:f>
        <x:v>472.62944670008363</x:v>
      </x:c>
      <x:c r="AL141" s="48" t="n">
        <x:f>1000*(AA142-AA140)/(A142-A140)*Inputs!$C$11</x:f>
        <x:v>311.1273231927498</x:v>
      </x:c>
      <x:c r="AM141" s="48" t="n">
        <x:f>-2*AL141/Inputs!$C$13</x:f>
        <x:v>-124.45092927709993</x:v>
      </x:c>
      <x:c r="AN141" s="48" t="n">
        <x:f>-2*AL141/Inputs!$C$14</x:f>
        <x:v>-18.686325717282273</x:v>
      </x:c>
      <x:c r="AO141" s="48" t="n">
        <x:f>ABS(AM141)</x:f>
        <x:v>124.45092927709993</x:v>
      </x:c>
      <x:c r="AP141" s="48" t="n">
        <x:f>ABS(AN141)</x:f>
        <x:v>18.686325717282273</x:v>
      </x:c>
      <x:c r="AQ141" s="48" t="n">
        <x:f>IF(OR(Inputs!$C$27=TRUE,Inputs!$C$27="TRUE",Inputs!$C$27=1),Inputs!$C$46/Inputs!$C$12,0)</x:f>
        <x:v>42.13483146067416</x:v>
      </x:c>
      <x:c r="AR141" s="48" t="n">
        <x:f>AC141-AQ141</x:f>
        <x:v>323.2703540477117</x:v>
      </x:c>
      <x:c r="AS141" s="48" t="n">
        <x:f>AC141+AQ141</x:f>
        <x:v>407.54001696906</x:v>
      </x:c>
    </x:row>
    <x:row r="142">
      <x:c r="A142" s="48" t="n">
        <x:f>Inputs!$C$7+140*(Inputs!$C$8-Inputs!$C$7)/240</x:f>
        <x:v>10</x:v>
      </x:c>
      <x:c r="B142" s="48" t="n">
        <x:f>Inputs!$C$5+Inputs!$C$9*(A142/Inputs!$C$10)^2</x:f>
        <x:v>400.1111111111111</x:v>
      </x:c>
      <x:c r="C142" s="48" t="n">
        <x:f>B142</x:f>
        <x:v>400.1111111111111</x:v>
      </x:c>
      <x:c r="D142" s="48" t="n">
        <x:f>SQRT((Inputs!$C$52+B142)^2+Inputs!$C$52^2-2*(Inputs!$C$52+B142)*Inputs!$C$52*COS(SQRT(A142^2+Inputs!$C$6^2)/Inputs!$C$52))</x:f>
        <x:v>401.2477195069413</x:v>
      </x:c>
      <x:c r="E142" s="48" t="n">
        <x:f>(D142-C142)*1000</x:f>
        <x:v>1136.6083958301942</x:v>
      </x:c>
      <x:c r="F142" s="48" t="n">
        <x:f>E142/Inputs!$C$12</x:f>
        <x:v>638.5440426012327</x:v>
      </x:c>
      <x:c r="G142" s="48" t="n">
        <x:f>2*E142/Inputs!$C$21*1000000</x:f>
        <x:v>7.5826350229944355</x:v>
      </x:c>
      <x:c r="H142" s="48" t="n">
        <x:f>SQRT(A142^2+Inputs!$C$6^2)</x:f>
        <x:v>26.92582403567252</x:v>
      </x:c>
      <x:c r="I142" s="48" t="n">
        <x:f>DEGREES(ATAN(H142/B142))</x:f>
        <x:v>3.8499643269735215</x:v>
      </x:c>
      <x:c r="J142" s="48" t="n">
        <x:f>DEGREES((2*PI()/Inputs!$C$13)*Inputs!$C$15*SIN(RADIANS(I142)))</x:f>
        <x:v>24.171839961370843</x:v>
      </x:c>
      <x:c r="K142" s="48" t="n">
        <x:f>(C142/D142)^4</x:f>
        <x:v>0.9887173137761573</x:v>
      </x:c>
      <x:c r="L142" s="48" t="n">
        <x:f>10*LOG10(K142)</x:f>
        <x:v>-0.049278606940564004</x:v>
      </x:c>
      <x:c r="M142" s="48" t="n">
        <x:f>2*(Inputs!$C$9/(Inputs!$C$10^2))*A142</x:f>
        <x:v>0.022222222222222223</x:v>
      </x:c>
      <x:c r="N142" s="48" t="n">
        <x:f>M142*Inputs!$C$11</x:f>
        <x:v>0.08888888888888889</x:v>
      </x:c>
      <x:c r="O142" s="48" t="n">
        <x:f>1000*(D143-D141)/(A143-A141)*Inputs!$C$11</x:f>
        <x:v>213.92639874261477</x:v>
      </x:c>
      <x:c r="P142" s="48" t="n">
        <x:f>-2*O142/Inputs!$C$13</x:f>
        <x:v>-85.5705594970459</x:v>
      </x:c>
      <x:c r="Q142" s="48" t="n">
        <x:f>-2*O142/Inputs!$C$14</x:f>
        <x:v>-12.8484323569138</x:v>
      </x:c>
      <x:c r="R142" s="48" t="n">
        <x:f>F142-Inputs!$C$16/2</x:f>
        <x:v>623.5440426012327</x:v>
      </x:c>
      <x:c r="S142" s="48" t="n">
        <x:f>F142+Inputs!$C$16/2</x:f>
        <x:v>653.5440426012327</x:v>
      </x:c>
      <x:c r="T142" s="48" t="n">
        <x:f>F142-Inputs!$C$17/2</x:f>
        <x:v>488.5440426012327</x:v>
      </x:c>
      <x:c r="U142" s="48" t="n">
        <x:f>F142+Inputs!$C$17/2</x:f>
        <x:v>788.5440426012327</x:v>
      </x:c>
      <x:c r="V142" s="48" t="n">
        <x:f>ABS(P142)</x:f>
        <x:v>85.5705594970459</x:v>
      </x:c>
      <x:c r="W142" s="48" t="n">
        <x:f>ABS(Q142)</x:f>
        <x:v>12.8484323569138</x:v>
      </x:c>
      <x:c r="X142" s="48" t="n">
        <x: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(0.45*SIN(2*PI()*(((A142)/Inputs!$C$49)+Inputs!$C$47*0.137))+0.35*COS(2*PI()*(((0)/Inputs!$C$50)+Inputs!$C$47*0.173))+0.20*SIN(2*PI()*(((A142)+(0))/(0.5*(Inputs!$C$49+Inputs!$C$50))+Inputs!$C$47*0.097)))+0.30*(2*((SIN(((A142)*12.9898+(0)*78.233+Inputs!$C$47*37.719))*43758.5453)-INT((SIN(((A142)*12.9898+(0)*78.233+Inputs!$C$47*37.719))*43758.5453)))-1)))</x:f>
        <x:v>-8.569441618173819</x:v>
      </x:c>
      <x:c r="Y142" s="48" t="n">
        <x: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(0.45*SIN(2*PI()*(((A142)/Inputs!$C$49)+Inputs!$C$47*0.137))+0.35*COS(2*PI()*(((Inputs!$C$6)/Inputs!$C$50)+Inputs!$C$47*0.173))+0.20*SIN(2*PI()*(((A142)+(Inputs!$C$6))/(0.5*(Inputs!$C$49+Inputs!$C$50))+Inputs!$C$47*0.097)))+0.30*(2*((SIN(((A142)*12.9898+(Inputs!$C$6)*78.233+Inputs!$C$47*37.719))*43758.5453)-INT((SIN(((A142)*12.9898+(Inputs!$C$6)*78.233+Inputs!$C$47*37.719))*43758.5453)))-1)))</x:f>
        <x:v>454.2022007690729</x:v>
      </x:c>
      <x:c r="Z142" s="48" t="n">
        <x:f>B142-X142/1000</x:f>
        <x:v>400.1196805527293</x:v>
      </x:c>
      <x:c r="AA142" s="48" t="n">
        <x:f>SQRT((Inputs!$C$52+B142)^2+(Inputs!$C$52+Y142/1000)^2-2*(Inputs!$C$52+B142)*(Inputs!$C$52+Y142/1000)*COS(SQRT(A142^2+Inputs!$C$6^2)/Inputs!$C$52))</x:f>
        <x:v>400.7951360384494</x:v>
      </x:c>
      <x:c r="AB142" s="48" t="n">
        <x:f>(AA142-Z142)*1000</x:f>
        <x:v>675.4554857201356</x:v>
      </x:c>
      <x:c r="AC142" s="48" t="n">
        <x:f>AB142/Inputs!$C$12</x:f>
        <x:v>379.4693740000762</x:v>
      </x:c>
      <x:c r="AD142" s="48" t="n">
        <x:f>2*AB142/Inputs!$C$21*1000000</x:f>
        <x:v>4.506153958817307</x:v>
      </x:c>
      <x:c r="AE142" s="48" t="n">
        <x:f>DEGREES(ATAN(H142/(B142-Y142/1000)))</x:f>
        <x:v>3.8543265547924417</x:v>
      </x:c>
      <x:c r="AF142" s="48" t="n">
        <x:f>DEGREES((2*PI()/Inputs!$C$13)*Inputs!$C$15*SIN(RADIANS(AE142)))</x:f>
        <x:v>24.199186723715453</x:v>
      </x:c>
      <x:c r="AG142" s="48" t="n">
        <x:f>(Z142/AA142)^4</x:f>
        <x:v>0.9932758675285006</x:v>
      </x:c>
      <x:c r="AH142" s="48" t="n">
        <x:f>10*LOG10(AG142)</x:f>
        <x:v>-0.029301159493134797</x:v>
      </x:c>
      <x:c r="AI142" s="48" t="n">
        <x:f>AC142-F142</x:f>
        <x:v>-259.07466860115653</x:v>
      </x:c>
      <x:c r="AJ142" s="48" t="n">
        <x:f>AD142-G142</x:f>
        <x:v>-3.0764810641771287</x:v>
      </x:c>
      <x:c r="AK142" s="48" t="n">
        <x:f>Y142-X142</x:f>
        <x:v>462.7716423872467</x:v>
      </x:c>
      <x:c r="AL142" s="48" t="n">
        <x:f>1000*(AA143-AA141)/(A143-A141)*Inputs!$C$11</x:f>
        <x:v>374.89439989667517</x:v>
      </x:c>
      <x:c r="AM142" s="48" t="n">
        <x:f>-2*AL142/Inputs!$C$13</x:f>
        <x:v>-149.95775995867007</x:v>
      </x:c>
      <x:c r="AN142" s="48" t="n">
        <x:f>-2*AL142/Inputs!$C$14</x:f>
        <x:v>-22.516180173974487</x:v>
      </x:c>
      <x:c r="AO142" s="48" t="n">
        <x:f>ABS(AM142)</x:f>
        <x:v>149.95775995867007</x:v>
      </x:c>
      <x:c r="AP142" s="48" t="n">
        <x:f>ABS(AN142)</x:f>
        <x:v>22.516180173974487</x:v>
      </x:c>
      <x:c r="AQ142" s="48" t="n">
        <x:f>IF(OR(Inputs!$C$27=TRUE,Inputs!$C$27="TRUE",Inputs!$C$27=1),Inputs!$C$46/Inputs!$C$12,0)</x:f>
        <x:v>42.13483146067416</x:v>
      </x:c>
      <x:c r="AR142" s="48" t="n">
        <x:f>AC142-AQ142</x:f>
        <x:v>337.33454253940204</x:v>
      </x:c>
      <x:c r="AS142" s="48" t="n">
        <x:f>AC142+AQ142</x:f>
        <x:v>421.60420546075034</x:v>
      </x:c>
    </x:row>
    <x:row r="143">
      <x:c r="A143" s="48" t="n">
        <x:f>Inputs!$C$7+141*(Inputs!$C$8-Inputs!$C$7)/240</x:f>
        <x:v>10.5</x:v>
      </x:c>
      <x:c r="B143" s="48" t="n">
        <x:f>Inputs!$C$5+Inputs!$C$9*(A143/Inputs!$C$10)^2</x:f>
        <x:v>400.1225</x:v>
      </x:c>
      <x:c r="C143" s="48" t="n">
        <x:f>B143</x:f>
        <x:v>400.1225</x:v>
      </x:c>
      <x:c r="D143" s="48" t="n">
        <x:f>SQRT((Inputs!$C$52+B143)^2+Inputs!$C$52^2-2*(Inputs!$C$52+B143)*Inputs!$C$52*COS(SQRT(A143^2+Inputs!$C$6^2)/Inputs!$C$52))</x:f>
        <x:v>401.27512817332035</x:v>
      </x:c>
      <x:c r="E143" s="48" t="n">
        <x:f>(D143-C143)*1000</x:f>
        <x:v>1152.6281733203518</x:v>
      </x:c>
      <x:c r="F143" s="48" t="n">
        <x:f>E143/Inputs!$C$12</x:f>
        <x:v>647.5439175957033</x:v>
      </x:c>
      <x:c r="G143" s="48" t="n">
        <x:f>2*E143/Inputs!$C$21*1000000</x:f>
        <x:v>7.689507474670039</x:v>
      </x:c>
      <x:c r="H143" s="48" t="n">
        <x:f>SQRT(A143^2+Inputs!$C$6^2)</x:f>
        <x:v>27.115493725912497</x:v>
      </x:c>
      <x:c r="I143" s="48" t="n">
        <x:f>DEGREES(ATAN(H143/B143))</x:f>
        <x:v>3.8768916383114713</x:v>
      </x:c>
      <x:c r="J143" s="48" t="n">
        <x:f>DEGREES((2*PI()/Inputs!$C$13)*Inputs!$C$15*SIN(RADIANS(I143)))</x:f>
        <x:v>24.340644762413287</x:v>
      </x:c>
      <x:c r="K143" s="48" t="n">
        <x:f>(C143/D143)^4</x:f>
        <x:v>0.9885597550553369</x:v>
      </x:c>
      <x:c r="L143" s="48" t="n">
        <x:f>10*LOG10(K143)</x:f>
        <x:v>-0.0499707394115416</x:v>
      </x:c>
      <x:c r="M143" s="48" t="n">
        <x:f>2*(Inputs!$C$9/(Inputs!$C$10^2))*A143</x:f>
        <x:v>0.023333333333333334</x:v>
      </x:c>
      <x:c r="N143" s="48" t="n">
        <x:f>M143*Inputs!$C$11</x:f>
        <x:v>0.09333333333333334</x:v>
      </x:c>
      <x:c r="O143" s="48" t="n">
        <x:f>1000*(D144-D142)/(A144-A142)*Inputs!$C$11</x:f>
        <x:v>224.61146028399526</x:v>
      </x:c>
      <x:c r="P143" s="48" t="n">
        <x:f>-2*O143/Inputs!$C$13</x:f>
        <x:v>-89.8445841135981</x:v>
      </x:c>
      <x:c r="Q143" s="48" t="n">
        <x:f>-2*O143/Inputs!$C$14</x:f>
        <x:v>-13.490177794834551</x:v>
      </x:c>
      <x:c r="R143" s="48" t="n">
        <x:f>F143-Inputs!$C$16/2</x:f>
        <x:v>632.5439175957033</x:v>
      </x:c>
      <x:c r="S143" s="48" t="n">
        <x:f>F143+Inputs!$C$16/2</x:f>
        <x:v>662.5439175957033</x:v>
      </x:c>
      <x:c r="T143" s="48" t="n">
        <x:f>F143-Inputs!$C$17/2</x:f>
        <x:v>497.5439175957033</x:v>
      </x:c>
      <x:c r="U143" s="48" t="n">
        <x:f>F143+Inputs!$C$17/2</x:f>
        <x:v>797.5439175957033</x:v>
      </x:c>
      <x:c r="V143" s="48" t="n">
        <x:f>ABS(P143)</x:f>
        <x:v>89.8445841135981</x:v>
      </x:c>
      <x:c r="W143" s="48" t="n">
        <x:f>ABS(Q143)</x:f>
        <x:v>13.490177794834551</x:v>
      </x:c>
      <x:c r="X143" s="48" t="n">
        <x: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(0.45*SIN(2*PI()*(((A143)/Inputs!$C$49)+Inputs!$C$47*0.137))+0.35*COS(2*PI()*(((0)/Inputs!$C$50)+Inputs!$C$47*0.173))+0.20*SIN(2*PI()*(((A143)+(0))/(0.5*(Inputs!$C$49+Inputs!$C$50))+Inputs!$C$47*0.097)))+0.30*(2*((SIN(((A143)*12.9898+(0)*78.233+Inputs!$C$47*37.719))*43758.5453)-INT((SIN(((A143)*12.9898+(0)*78.233+Inputs!$C$47*37.719))*43758.5453)))-1)))</x:f>
        <x:v>4.936290407774814</x:v>
      </x:c>
      <x:c r="Y143" s="48" t="n">
        <x: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(0.45*SIN(2*PI()*(((A143)/Inputs!$C$49)+Inputs!$C$47*0.137))+0.35*COS(2*PI()*(((Inputs!$C$6)/Inputs!$C$50)+Inputs!$C$47*0.173))+0.20*SIN(2*PI()*(((A143)+(Inputs!$C$6))/(0.5*(Inputs!$C$49+Inputs!$C$50))+Inputs!$C$47*0.097)))+0.30*(2*((SIN(((A143)*12.9898+(Inputs!$C$6)*78.233+Inputs!$C$47*37.719))*43758.5453)-INT((SIN(((A143)*12.9898+(Inputs!$C$6)*78.233+Inputs!$C$47*37.719))*43758.5453)))-1)))</x:f>
        <x:v>437.9381023255588</x:v>
      </x:c>
      <x:c r="Z143" s="48" t="n">
        <x:f>B143-X143/1000</x:f>
        <x:v>400.1175637095922</x:v>
      </x:c>
      <x:c r="AA143" s="48" t="n">
        <x:f>SQRT((Inputs!$C$52+B143)^2+(Inputs!$C$52+Y143/1000)^2-2*(Inputs!$C$52+B143)*(Inputs!$C$52+Y143/1000)*COS(SQRT(A143^2+Inputs!$C$6^2)/Inputs!$C$52))</x:f>
        <x:v>400.83877268093823</x:v>
      </x:c>
      <x:c r="AB143" s="48" t="n">
        <x:f>(AA143-Z143)*1000</x:f>
        <x:v>721.2089713460159</x:v>
      </x:c>
      <x:c r="AC143" s="48" t="n">
        <x:f>AB143/Inputs!$C$12</x:f>
        <x:v>405.1735794078741</x:v>
      </x:c>
      <x:c r="AD143" s="48" t="n">
        <x:f>2*AB143/Inputs!$C$21*1000000</x:f>
        <x:v>4.811388359516475</x:v>
      </x:c>
      <x:c r="AE143" s="48" t="n">
        <x:f>DEGREES(ATAN(H143/(B143-Y143/1000)))</x:f>
        <x:v>3.8811266091727297</x:v>
      </x:c>
      <x:c r="AF143" s="48" t="n">
        <x:f>DEGREES((2*PI()/Inputs!$C$13)*Inputs!$C$15*SIN(RADIANS(AE143)))</x:f>
        <x:v>24.367192911093618</x:v>
      </x:c>
      <x:c r="AG143" s="48" t="n">
        <x:f>(Z143/AA143)^4</x:f>
        <x:v>0.9928224024047829</x:v>
      </x:c>
      <x:c r="AH143" s="48" t="n">
        <x:f>10*LOG10(AG143)</x:f>
        <x:v>-0.0312843182055674</x:v>
      </x:c>
      <x:c r="AI143" s="48" t="n">
        <x:f>AC143-F143</x:f>
        <x:v>-242.3703381878292</x:v>
      </x:c>
      <x:c r="AJ143" s="48" t="n">
        <x:f>AD143-G143</x:f>
        <x:v>-2.878119115153564</x:v>
      </x:c>
      <x:c r="AK143" s="48" t="n">
        <x:f>Y143-X143</x:f>
        <x:v>433.001811917784</x:v>
      </x:c>
      <x:c r="AL143" s="48" t="n">
        <x:f>1000*(AA144-AA142)/(A144-A142)*Inputs!$C$11</x:f>
        <x:v>261.7159917085701</x:v>
      </x:c>
      <x:c r="AM143" s="48" t="n">
        <x:f>-2*AL143/Inputs!$C$13</x:f>
        <x:v>-104.68639668342803</x:v>
      </x:c>
      <x:c r="AN143" s="48" t="n">
        <x:f>-2*AL143/Inputs!$C$14</x:f>
        <x:v>-15.718678180694901</x:v>
      </x:c>
      <x:c r="AO143" s="48" t="n">
        <x:f>ABS(AM143)</x:f>
        <x:v>104.68639668342803</x:v>
      </x:c>
      <x:c r="AP143" s="48" t="n">
        <x:f>ABS(AN143)</x:f>
        <x:v>15.718678180694901</x:v>
      </x:c>
      <x:c r="AQ143" s="48" t="n">
        <x:f>IF(OR(Inputs!$C$27=TRUE,Inputs!$C$27="TRUE",Inputs!$C$27=1),Inputs!$C$46/Inputs!$C$12,0)</x:f>
        <x:v>42.13483146067416</x:v>
      </x:c>
      <x:c r="AR143" s="48" t="n">
        <x:f>AC143-AQ143</x:f>
        <x:v>363.03874794719997</x:v>
      </x:c>
      <x:c r="AS143" s="48" t="n">
        <x:f>AC143+AQ143</x:f>
        <x:v>447.30841086854826</x:v>
      </x:c>
    </x:row>
    <x:row r="144">
      <x:c r="A144" s="48" t="n">
        <x:f>Inputs!$C$7+142*(Inputs!$C$8-Inputs!$C$7)/240</x:f>
        <x:v>11</x:v>
      </x:c>
      <x:c r="B144" s="48" t="n">
        <x:f>Inputs!$C$5+Inputs!$C$9*(A144/Inputs!$C$10)^2</x:f>
        <x:v>400.13444444444445</x:v>
      </x:c>
      <x:c r="C144" s="48" t="n">
        <x:f>B144</x:f>
        <x:v>400.13444444444445</x:v>
      </x:c>
      <x:c r="D144" s="48" t="n">
        <x:f>SQRT((Inputs!$C$52+B144)^2+Inputs!$C$52^2-2*(Inputs!$C$52+B144)*Inputs!$C$52*COS(SQRT(A144^2+Inputs!$C$6^2)/Inputs!$C$52))</x:f>
        <x:v>401.3038723720123</x:v>
      </x:c>
      <x:c r="E144" s="48" t="n">
        <x:f>(D144-C144)*1000</x:f>
        <x:v>1169.427927567824</x:v>
      </x:c>
      <x:c r="F144" s="48" t="n">
        <x:f>E144/Inputs!$C$12</x:f>
        <x:v>656.9819817796764</x:v>
      </x:c>
      <x:c r="G144" s="48" t="n">
        <x:f>2*E144/Inputs!$C$21*1000000</x:f>
        <x:v>7.801583371172226</x:v>
      </x:c>
      <x:c r="H144" s="48" t="n">
        <x:f>SQRT(A144^2+Inputs!$C$6^2)</x:f>
        <x:v>27.313000567495326</x:v>
      </x:c>
      <x:c r="I144" s="48" t="n">
        <x:f>DEGREES(ATAN(H144/B144))</x:f>
        <x:v>3.904927307448456</x:v>
      </x:c>
      <x:c r="J144" s="48" t="n">
        <x:f>DEGREES((2*PI()/Inputs!$C$13)*Inputs!$C$15*SIN(RADIANS(I144)))</x:f>
        <x:v>24.516392041831022</x:v>
      </x:c>
      <x:c r="K144" s="48" t="n">
        <x:f>(C144/D144)^4</x:f>
        <x:v>0.9883945684330527</x:v>
      </x:c>
      <x:c r="L144" s="48" t="n">
        <x:f>10*LOG10(K144)</x:f>
        <x:v>-0.050696498604425905</x:v>
      </x:c>
      <x:c r="M144" s="48" t="n">
        <x:f>2*(Inputs!$C$9/(Inputs!$C$10^2))*A144</x:f>
        <x:v>0.024444444444444446</x:v>
      </x:c>
      <x:c r="N144" s="48" t="n">
        <x:f>M144*Inputs!$C$11</x:f>
        <x:v>0.09777777777777778</x:v>
      </x:c>
      <x:c r="O144" s="48" t="n">
        <x:f>1000*(D145-D143)/(A145-A143)*Inputs!$C$11</x:f>
        <x:v>235.2948768477745</x:v>
      </x:c>
      <x:c r="P144" s="48" t="n">
        <x:f>-2*O144/Inputs!$C$13</x:f>
        <x:v>-94.1179507391098</x:v>
      </x:c>
      <x:c r="Q144" s="48" t="n">
        <x:f>-2*O144/Inputs!$C$14</x:f>
        <x:v>-14.131824435301773</x:v>
      </x:c>
      <x:c r="R144" s="48" t="n">
        <x:f>F144-Inputs!$C$16/2</x:f>
        <x:v>641.9819817796764</x:v>
      </x:c>
      <x:c r="S144" s="48" t="n">
        <x:f>F144+Inputs!$C$16/2</x:f>
        <x:v>671.9819817796764</x:v>
      </x:c>
      <x:c r="T144" s="48" t="n">
        <x:f>F144-Inputs!$C$17/2</x:f>
        <x:v>506.9819817796764</x:v>
      </x:c>
      <x:c r="U144" s="48" t="n">
        <x:f>F144+Inputs!$C$17/2</x:f>
        <x:v>806.9819817796764</x:v>
      </x:c>
      <x:c r="V144" s="48" t="n">
        <x:f>ABS(P144)</x:f>
        <x:v>94.1179507391098</x:v>
      </x:c>
      <x:c r="W144" s="48" t="n">
        <x:f>ABS(Q144)</x:f>
        <x:v>14.131824435301773</x:v>
      </x:c>
      <x:c r="X144" s="48" t="n">
        <x: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(0.45*SIN(2*PI()*(((A144)/Inputs!$C$49)+Inputs!$C$47*0.137))+0.35*COS(2*PI()*(((0)/Inputs!$C$50)+Inputs!$C$47*0.173))+0.20*SIN(2*PI()*(((A144)+(0))/(0.5*(Inputs!$C$49+Inputs!$C$50))+Inputs!$C$47*0.097)))+0.30*(2*((SIN(((A144)*12.9898+(0)*78.233+Inputs!$C$47*37.719))*43758.5453)-INT((SIN(((A144)*12.9898+(0)*78.233+Inputs!$C$47*37.719))*43758.5453)))-1)))</x:f>
        <x:v>1.9403678384373038</x:v>
      </x:c>
      <x:c r="Y144" s="48" t="n">
        <x: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(0.45*SIN(2*PI()*(((A144)/Inputs!$C$49)+Inputs!$C$47*0.137))+0.35*COS(2*PI()*(((Inputs!$C$6)/Inputs!$C$50)+Inputs!$C$47*0.173))+0.20*SIN(2*PI()*(((A144)+(Inputs!$C$6))/(0.5*(Inputs!$C$49+Inputs!$C$50))+Inputs!$C$47*0.097)))+0.30*(2*((SIN(((A144)*12.9898+(Inputs!$C$6)*78.233+Inputs!$C$47*37.719))*43758.5453)-INT((SIN(((A144)*12.9898+(Inputs!$C$6)*78.233+Inputs!$C$47*37.719))*43758.5453)))-1)))</x:f>
        <x:v>444.9386077034983</x:v>
      </x:c>
      <x:c r="Z144" s="48" t="n">
        <x:f>B144-X144/1000</x:f>
        <x:v>400.13250407660604</x:v>
      </x:c>
      <x:c r="AA144" s="48" t="n">
        <x:f>SQRT((Inputs!$C$52+B144)^2+(Inputs!$C$52+Y144/1000)^2-2*(Inputs!$C$52+B144)*(Inputs!$C$52+Y144/1000)*COS(SQRT(A144^2+Inputs!$C$6^2)/Inputs!$C$52))</x:f>
        <x:v>400.86056503637656</x:v>
      </x:c>
      <x:c r="AB144" s="48" t="n">
        <x:f>(AA144-Z144)*1000</x:f>
        <x:v>728.0609597705165</x:v>
      </x:c>
      <x:c r="AC144" s="48" t="n">
        <x:f>AB144/Inputs!$C$12</x:f>
        <x:v>409.0230111070318</x:v>
      </x:c>
      <x:c r="AD144" s="48" t="n">
        <x:f>2*AB144/Inputs!$C$21*1000000</x:f>
        <x:v>4.857099905899011</x:v>
      </x:c>
      <x:c r="AE144" s="48" t="n">
        <x:f>DEGREES(ATAN(H144/(B144-Y144/1000)))</x:f>
        <x:v>3.909260843092401</x:v>
      </x:c>
      <x:c r="AF144" s="48" t="n">
        <x:f>DEGREES((2*PI()/Inputs!$C$13)*Inputs!$C$15*SIN(RADIANS(AE144)))</x:f>
        <x:v>24.543557166404117</x:v>
      </x:c>
      <x:c r="AG144" s="48" t="n">
        <x:f>(Z144/AA144)^4</x:f>
        <x:v>0.9927547888898829</x:v>
      </x:c>
      <x:c r="AH144" s="48" t="n">
        <x:f>10*LOG10(AG144)</x:f>
        <x:v>-0.0315800929209827</x:v>
      </x:c>
      <x:c r="AI144" s="48" t="n">
        <x:f>AC144-F144</x:f>
        <x:v>-247.95897067264463</x:v>
      </x:c>
      <x:c r="AJ144" s="48" t="n">
        <x:f>AD144-G144</x:f>
        <x:v>-2.9444834652732155</x:v>
      </x:c>
      <x:c r="AK144" s="48" t="n">
        <x:f>Y144-X144</x:f>
        <x:v>442.998239865061</x:v>
      </x:c>
      <x:c r="AL144" s="48" t="n">
        <x:f>1000*(AA145-AA143)/(A145-A143)*Inputs!$C$11</x:f>
        <x:v>249.4045151499904</x:v>
      </x:c>
      <x:c r="AM144" s="48" t="n">
        <x:f>-2*AL144/Inputs!$C$13</x:f>
        <x:v>-99.76180605999616</x:v>
      </x:c>
      <x:c r="AN144" s="48" t="n">
        <x:f>-2*AL144/Inputs!$C$14</x:f>
        <x:v>-14.979250159158584</x:v>
      </x:c>
      <x:c r="AO144" s="48" t="n">
        <x:f>ABS(AM144)</x:f>
        <x:v>99.76180605999616</x:v>
      </x:c>
      <x:c r="AP144" s="48" t="n">
        <x:f>ABS(AN144)</x:f>
        <x:v>14.979250159158584</x:v>
      </x:c>
      <x:c r="AQ144" s="48" t="n">
        <x:f>IF(OR(Inputs!$C$27=TRUE,Inputs!$C$27="TRUE",Inputs!$C$27=1),Inputs!$C$46/Inputs!$C$12,0)</x:f>
        <x:v>42.13483146067416</x:v>
      </x:c>
      <x:c r="AR144" s="48" t="n">
        <x:f>AC144-AQ144</x:f>
        <x:v>366.8881796463576</x:v>
      </x:c>
      <x:c r="AS144" s="48" t="n">
        <x:f>AC144+AQ144</x:f>
        <x:v>451.1578425677059</x:v>
      </x:c>
    </x:row>
    <x:row r="145">
      <x:c r="A145" s="48" t="n">
        <x:f>Inputs!$C$7+143*(Inputs!$C$8-Inputs!$C$7)/240</x:f>
        <x:v>11.5</x:v>
      </x:c>
      <x:c r="B145" s="48" t="n">
        <x:f>Inputs!$C$5+Inputs!$C$9*(A145/Inputs!$C$10)^2</x:f>
        <x:v>400.14694444444444</x:v>
      </x:c>
      <x:c r="C145" s="48" t="n">
        <x:f>B145</x:f>
        <x:v>400.14694444444444</x:v>
      </x:c>
      <x:c r="D145" s="48" t="n">
        <x:f>SQRT((Inputs!$C$52+B145)^2+Inputs!$C$52^2-2*(Inputs!$C$52+B145)*Inputs!$C$52*COS(SQRT(A145^2+Inputs!$C$6^2)/Inputs!$C$52))</x:f>
        <x:v>401.3339518925323</x:v>
      </x:c>
      <x:c r="E145" s="48" t="n">
        <x:f>(D145-C145)*1000</x:f>
        <x:v>1187.0074480878543</x:v>
      </x:c>
      <x:c r="F145" s="48" t="n">
        <x:f>E145/Inputs!$C$12</x:f>
        <x:v>666.8581169032889</x:v>
      </x:c>
      <x:c r="G145" s="48" t="n">
        <x:f>2*E145/Inputs!$C$21*1000000</x:f>
        <x:v>7.918861308297851</x:v>
      </x:c>
      <x:c r="H145" s="48" t="n">
        <x:f>SQRT(A145^2+Inputs!$C$6^2)</x:f>
        <x:v>27.518175811634027</x:v>
      </x:c>
      <x:c r="I145" s="48" t="n">
        <x:f>DEGREES(ATAN(H145/B145))</x:f>
        <x:v>3.934046834415676</x:v>
      </x:c>
      <x:c r="J145" s="48" t="n">
        <x:f>DEGREES((2*PI()/Inputs!$C$13)*Inputs!$C$15*SIN(RADIANS(I145)))</x:f>
        <x:v>24.69892748864289</x:v>
      </x:c>
      <x:c r="K145" s="48" t="n">
        <x:f>(C145/D145)^4</x:f>
        <x:v>0.988221762147641</x:v>
      </x:c>
      <x:c r="L145" s="48" t="n">
        <x:f>10*LOG10(K145)</x:f>
        <x:v>-0.051455865156473594</x:v>
      </x:c>
      <x:c r="M145" s="48" t="n">
        <x:f>2*(Inputs!$C$9/(Inputs!$C$10^2))*A145</x:f>
        <x:v>0.025555555555555557</x:v>
      </x:c>
      <x:c r="N145" s="48" t="n">
        <x:f>M145*Inputs!$C$11</x:f>
        <x:v>0.10222222222222223</x:v>
      </x:c>
      <x:c r="O145" s="48" t="n">
        <x:f>1000*(D146-D144)/(A146-A144)*Inputs!$C$11</x:f>
        <x:v>245.97657072126822</x:v>
      </x:c>
      <x:c r="P145" s="48" t="n">
        <x:f>-2*O145/Inputs!$C$13</x:f>
        <x:v>-98.39062828850729</x:v>
      </x:c>
      <x:c r="Q145" s="48" t="n">
        <x:f>-2*O145/Inputs!$C$14</x:f>
        <x:v>-14.77336761088698</x:v>
      </x:c>
      <x:c r="R145" s="48" t="n">
        <x:f>F145-Inputs!$C$16/2</x:f>
        <x:v>651.8581169032889</x:v>
      </x:c>
      <x:c r="S145" s="48" t="n">
        <x:f>F145+Inputs!$C$16/2</x:f>
        <x:v>681.8581169032889</x:v>
      </x:c>
      <x:c r="T145" s="48" t="n">
        <x:f>F145-Inputs!$C$17/2</x:f>
        <x:v>516.8581169032889</x:v>
      </x:c>
      <x:c r="U145" s="48" t="n">
        <x:f>F145+Inputs!$C$17/2</x:f>
        <x:v>816.8581169032889</x:v>
      </x:c>
      <x:c r="V145" s="48" t="n">
        <x:f>ABS(P145)</x:f>
        <x:v>98.39062828850729</x:v>
      </x:c>
      <x:c r="W145" s="48" t="n">
        <x:f>ABS(Q145)</x:f>
        <x:v>14.77336761088698</x:v>
      </x:c>
      <x:c r="X145" s="48" t="n">
        <x: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(0.45*SIN(2*PI()*(((A145)/Inputs!$C$49)+Inputs!$C$47*0.137))+0.35*COS(2*PI()*(((0)/Inputs!$C$50)+Inputs!$C$47*0.173))+0.20*SIN(2*PI()*(((A145)+(0))/(0.5*(Inputs!$C$49+Inputs!$C$50))+Inputs!$C$47*0.097)))+0.30*(2*((SIN(((A145)*12.9898+(0)*78.233+Inputs!$C$47*37.719))*43758.5453)-INT((SIN(((A145)*12.9898+(0)*78.233+Inputs!$C$47*37.719))*43758.5453)))-1)))</x:f>
        <x:v>4.044824683821267</x:v>
      </x:c>
      <x:c r="Y145" s="48" t="n">
        <x: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(0.45*SIN(2*PI()*(((A145)/Inputs!$C$49)+Inputs!$C$47*0.137))+0.35*COS(2*PI()*(((Inputs!$C$6)/Inputs!$C$50)+Inputs!$C$47*0.173))+0.20*SIN(2*PI()*(((A145)+(Inputs!$C$6))/(0.5*(Inputs!$C$49+Inputs!$C$50))+Inputs!$C$47*0.097)))+0.30*(2*((SIN(((A145)*12.9898+(Inputs!$C$6)*78.233+Inputs!$C$47*37.719))*43758.5453)-INT((SIN(((A145)*12.9898+(Inputs!$C$6)*78.233+Inputs!$C$47*37.719))*43758.5453)))-1)))</x:f>
        <x:v>434.44467895572086</x:v>
      </x:c>
      <x:c r="Z145" s="48" t="n">
        <x:f>B145-X145/1000</x:f>
        <x:v>400.1428996197606</x:v>
      </x:c>
      <x:c r="AA145" s="48" t="n">
        <x:f>SQRT((Inputs!$C$52+B145)^2+(Inputs!$C$52+Y145/1000)^2-2*(Inputs!$C$52+B145)*(Inputs!$C$52+Y145/1000)*COS(SQRT(A145^2+Inputs!$C$6^2)/Inputs!$C$52))</x:f>
        <x:v>400.90112380972573</x:v>
      </x:c>
      <x:c r="AB145" s="48" t="n">
        <x:f>(AA145-Z145)*1000</x:f>
        <x:v>758.2241899651194</x:v>
      </x:c>
      <x:c r="AC145" s="48" t="n">
        <x:f>AB145/Inputs!$C$12</x:f>
        <x:v>425.9686460478199</x:v>
      </x:c>
      <x:c r="AD145" s="48" t="n">
        <x:f>2*AB145/Inputs!$C$21*1000000</x:f>
        <x:v>5.058327317661337</x:v>
      </x:c>
      <x:c r="AE145" s="48" t="n">
        <x:f>DEGREES(ATAN(H145/(B145-Y145/1000)))</x:f>
        <x:v>3.938309273791066</x:v>
      </x:c>
      <x:c r="AF145" s="48" t="n">
        <x:f>DEGREES((2*PI()/Inputs!$C$13)*Inputs!$C$15*SIN(RADIANS(AE145)))</x:f>
        <x:v>24.725646010641427</x:v>
      </x:c>
      <x:c r="AG145" s="48" t="n">
        <x:f>(Z145/AA145)^4</x:f>
        <x:v>0.9924562360927257</x:v>
      </x:c>
      <x:c r="AH145" s="48" t="n">
        <x:f>10*LOG10(AG145)</x:f>
        <x:v>-0.0328863503586853</x:v>
      </x:c>
      <x:c r="AI145" s="48" t="n">
        <x:f>AC145-F145</x:f>
        <x:v>-240.88947085546897</x:v>
      </x:c>
      <x:c r="AJ145" s="48" t="n">
        <x:f>AD145-G145</x:f>
        <x:v>-2.8605339906365144</x:v>
      </x:c>
      <x:c r="AK145" s="48" t="n">
        <x:f>Y145-X145</x:f>
        <x:v>430.3998542718996</x:v>
      </x:c>
      <x:c r="AL145" s="48" t="n">
        <x:f>1000*(AA146-AA144)/(A146-A144)*Inputs!$C$11</x:f>
        <x:v>334.2414058236045</x:v>
      </x:c>
      <x:c r="AM145" s="48" t="n">
        <x:f>-2*AL145/Inputs!$C$13</x:f>
        <x:v>-133.6965623294418</x:v>
      </x:c>
      <x:c r="AN145" s="48" t="n">
        <x:f>-2*AL145/Inputs!$C$14</x:f>
        <x:v>-20.074558908324597</x:v>
      </x:c>
      <x:c r="AO145" s="48" t="n">
        <x:f>ABS(AM145)</x:f>
        <x:v>133.6965623294418</x:v>
      </x:c>
      <x:c r="AP145" s="48" t="n">
        <x:f>ABS(AN145)</x:f>
        <x:v>20.074558908324597</x:v>
      </x:c>
      <x:c r="AQ145" s="48" t="n">
        <x:f>IF(OR(Inputs!$C$27=TRUE,Inputs!$C$27="TRUE",Inputs!$C$27=1),Inputs!$C$46/Inputs!$C$12,0)</x:f>
        <x:v>42.13483146067416</x:v>
      </x:c>
      <x:c r="AR145" s="48" t="n">
        <x:f>AC145-AQ145</x:f>
        <x:v>383.83381458714575</x:v>
      </x:c>
      <x:c r="AS145" s="48" t="n">
        <x:f>AC145+AQ145</x:f>
        <x:v>468.10347750849405</x:v>
      </x:c>
    </x:row>
    <x:row r="146">
      <x:c r="A146" s="48" t="n">
        <x:f>Inputs!$C$7+144*(Inputs!$C$8-Inputs!$C$7)/240</x:f>
        <x:v>12</x:v>
      </x:c>
      <x:c r="B146" s="48" t="n">
        <x:f>Inputs!$C$5+Inputs!$C$9*(A146/Inputs!$C$10)^2</x:f>
        <x:v>400.16</x:v>
      </x:c>
      <x:c r="C146" s="48" t="n">
        <x:f>B146</x:f>
        <x:v>400.16</x:v>
      </x:c>
      <x:c r="D146" s="48" t="n">
        <x:f>SQRT((Inputs!$C$52+B146)^2+Inputs!$C$52^2-2*(Inputs!$C$52+B146)*Inputs!$C$52*COS(SQRT(A146^2+Inputs!$C$6^2)/Inputs!$C$52))</x:f>
        <x:v>401.3653665146926</x:v>
      </x:c>
      <x:c r="E146" s="48" t="n">
        <x:f>(D146-C146)*1000</x:f>
        <x:v>1205.366514692571</x:v>
      </x:c>
      <x:c r="F146" s="48" t="n">
        <x:f>E146/Inputs!$C$12</x:f>
        <x:v>677.1721992654893</x:v>
      </x:c>
      <x:c r="G146" s="48" t="n">
        <x:f>2*E146/Inputs!$C$21*1000000</x:f>
        <x:v>8.041339817111549</x:v>
      </x:c>
      <x:c r="H146" s="48" t="n">
        <x:f>SQRT(A146^2+Inputs!$C$6^2)</x:f>
        <x:v>27.730849247724095</x:v>
      </x:c>
      <x:c r="I146" s="48" t="n">
        <x:f>DEGREES(ATAN(H146/B146))</x:f>
        <x:v>3.964225499851384</x:v>
      </x:c>
      <x:c r="J146" s="48" t="n">
        <x:f>DEGREES((2*PI()/Inputs!$C$13)*Inputs!$C$15*SIN(RADIANS(I146)))</x:f>
        <x:v>24.888095401136177</x:v>
      </x:c>
      <x:c r="K146" s="48" t="n">
        <x:f>(C146/D146)^4</x:f>
        <x:v>0.9880413448132133</x:v>
      </x:c>
      <x:c r="L146" s="48" t="n">
        <x:f>10*LOG10(K146)</x:f>
        <x:v>-0.0522488188145504</x:v>
      </x:c>
      <x:c r="M146" s="48" t="n">
        <x:f>2*(Inputs!$C$9/(Inputs!$C$10^2))*A146</x:f>
        <x:v>0.026666666666666665</x:v>
      </x:c>
      <x:c r="N146" s="48" t="n">
        <x:f>M146*Inputs!$C$11</x:f>
        <x:v>0.10666666666666666</x:v>
      </x:c>
      <x:c r="O146" s="48" t="n">
        <x:f>1000*(D147-D145)/(A147-A145)*Inputs!$C$11</x:f>
        <x:v>256.65646427364663</x:v>
      </x:c>
      <x:c r="P146" s="48" t="n">
        <x:f>-2*O146/Inputs!$C$13</x:f>
        <x:v>-102.66258570945865</x:v>
      </x:c>
      <x:c r="Q146" s="48" t="n">
        <x:f>-2*O146/Inputs!$C$14</x:f>
        <x:v>-15.414802659077877</x:v>
      </x:c>
      <x:c r="R146" s="48" t="n">
        <x:f>F146-Inputs!$C$16/2</x:f>
        <x:v>662.1721992654893</x:v>
      </x:c>
      <x:c r="S146" s="48" t="n">
        <x:f>F146+Inputs!$C$16/2</x:f>
        <x:v>692.1721992654893</x:v>
      </x:c>
      <x:c r="T146" s="48" t="n">
        <x:f>F146-Inputs!$C$17/2</x:f>
        <x:v>527.1721992654893</x:v>
      </x:c>
      <x:c r="U146" s="48" t="n">
        <x:f>F146+Inputs!$C$17/2</x:f>
        <x:v>827.1721992654893</x:v>
      </x:c>
      <x:c r="V146" s="48" t="n">
        <x:f>ABS(P146)</x:f>
        <x:v>102.66258570945865</x:v>
      </x:c>
      <x:c r="W146" s="48" t="n">
        <x:f>ABS(Q146)</x:f>
        <x:v>15.414802659077877</x:v>
      </x:c>
      <x:c r="X146" s="48" t="n">
        <x: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(0.45*SIN(2*PI()*(((A146)/Inputs!$C$49)+Inputs!$C$47*0.137))+0.35*COS(2*PI()*(((0)/Inputs!$C$50)+Inputs!$C$47*0.173))+0.20*SIN(2*PI()*(((A146)+(0))/(0.5*(Inputs!$C$49+Inputs!$C$50))+Inputs!$C$47*0.097)))+0.30*(2*((SIN(((A146)*12.9898+(0)*78.233+Inputs!$C$47*37.719))*43758.5453)-INT((SIN(((A146)*12.9898+(0)*78.233+Inputs!$C$47*37.719))*43758.5453)))-1)))</x:f>
        <x:v>7.0738918061296845</x:v>
      </x:c>
      <x:c r="Y146" s="48" t="n">
        <x: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(0.45*SIN(2*PI()*(((A146)/Inputs!$C$49)+Inputs!$C$47*0.137))+0.35*COS(2*PI()*(((Inputs!$C$6)/Inputs!$C$50)+Inputs!$C$47*0.173))+0.20*SIN(2*PI()*(((A146)+(Inputs!$C$6))/(0.5*(Inputs!$C$49+Inputs!$C$50))+Inputs!$C$47*0.097)))+0.30*(2*((SIN(((A146)*12.9898+(Inputs!$C$6)*78.233+Inputs!$C$47*37.719))*43758.5453)-INT((SIN(((A146)*12.9898+(Inputs!$C$6)*78.233+Inputs!$C$47*37.719))*43758.5453)))-1)))</x:f>
        <x:v>422.8387186345762</x:v>
      </x:c>
      <x:c r="Z146" s="48" t="n">
        <x:f>B146-X146/1000</x:f>
        <x:v>400.15292610819387</x:v>
      </x:c>
      <x:c r="AA146" s="48" t="n">
        <x:f>SQRT((Inputs!$C$52+B146)^2+(Inputs!$C$52+Y146/1000)^2-2*(Inputs!$C$52+B146)*(Inputs!$C$52+Y146/1000)*COS(SQRT(A146^2+Inputs!$C$6^2)/Inputs!$C$52))</x:f>
        <x:v>400.94412538783246</x:v>
      </x:c>
      <x:c r="AB146" s="48" t="n">
        <x:f>(AA146-Z146)*1000</x:f>
        <x:v>791.1992796385903</x:v>
      </x:c>
      <x:c r="AC146" s="48" t="n">
        <x:f>AB146/Inputs!$C$12</x:f>
        <x:v>444.4939773250507</x:v>
      </x:c>
      <x:c r="AD146" s="48" t="n">
        <x:f>2*AB146/Inputs!$C$21*1000000</x:f>
        <x:v>5.278313436681521</x:v>
      </x:c>
      <x:c r="AE146" s="48" t="n">
        <x:f>DEGREES(ATAN(H146/(B146-Y146/1000)))</x:f>
        <x:v>3.9684054344698065</x:v>
      </x:c>
      <x:c r="AF146" s="48" t="n">
        <x:f>DEGREES((2*PI()/Inputs!$C$13)*Inputs!$C$15*SIN(RADIANS(AE146)))</x:f>
        <x:v>24.914295801358694</x:v>
      </x:c>
      <x:c r="AG146" s="48" t="n">
        <x:f>(Z146/AA146)^4</x:f>
        <x:v>0.9921299717263737</x:v>
      </x:c>
      <x:c r="AH146" s="48" t="n">
        <x:f>10*LOG10(AG146)</x:f>
        <x:v>-0.0343143035981726</x:v>
      </x:c>
      <x:c r="AI146" s="48" t="n">
        <x:f>AC146-F146</x:f>
        <x:v>-232.67822194043862</x:v>
      </x:c>
      <x:c r="AJ146" s="48" t="n">
        <x:f>AD146-G146</x:f>
        <x:v>-2.763026380430028</x:v>
      </x:c>
      <x:c r="AK146" s="48" t="n">
        <x:f>Y146-X146</x:f>
        <x:v>415.76482682844653</x:v>
      </x:c>
      <x:c r="AL146" s="48" t="n">
        <x:f>1000*(AA147-AA145)/(A147-A145)*Inputs!$C$11</x:f>
        <x:v>258.13667437319054</x:v>
      </x:c>
      <x:c r="AM146" s="48" t="n">
        <x:f>-2*AL146/Inputs!$C$13</x:f>
        <x:v>-103.25466974927622</x:v>
      </x:c>
      <x:c r="AN146" s="48" t="n">
        <x:f>-2*AL146/Inputs!$C$14</x:f>
        <x:v>-15.503704166557991</x:v>
      </x:c>
      <x:c r="AO146" s="48" t="n">
        <x:f>ABS(AM146)</x:f>
        <x:v>103.25466974927622</x:v>
      </x:c>
      <x:c r="AP146" s="48" t="n">
        <x:f>ABS(AN146)</x:f>
        <x:v>15.503704166557991</x:v>
      </x:c>
      <x:c r="AQ146" s="48" t="n">
        <x:f>IF(OR(Inputs!$C$27=TRUE,Inputs!$C$27="TRUE",Inputs!$C$27=1),Inputs!$C$46/Inputs!$C$12,0)</x:f>
        <x:v>42.13483146067416</x:v>
      </x:c>
      <x:c r="AR146" s="48" t="n">
        <x:f>AC146-AQ146</x:f>
        <x:v>402.35914586437656</x:v>
      </x:c>
      <x:c r="AS146" s="48" t="n">
        <x:f>AC146+AQ146</x:f>
        <x:v>486.62880878572486</x:v>
      </x:c>
    </x:row>
    <x:row r="147">
      <x:c r="A147" s="48" t="n">
        <x:f>Inputs!$C$7+145*(Inputs!$C$8-Inputs!$C$7)/240</x:f>
        <x:v>12.5</x:v>
      </x:c>
      <x:c r="B147" s="48" t="n">
        <x:f>Inputs!$C$5+Inputs!$C$9*(A147/Inputs!$C$10)^2</x:f>
        <x:v>400.1736111111111</x:v>
      </x:c>
      <x:c r="C147" s="48" t="n">
        <x:f>B147</x:f>
        <x:v>400.1736111111111</x:v>
      </x:c>
      <x:c r="D147" s="48" t="n">
        <x:f>SQRT((Inputs!$C$52+B147)^2+Inputs!$C$52^2-2*(Inputs!$C$52+B147)*Inputs!$C$52*COS(SQRT(A147^2+Inputs!$C$6^2)/Inputs!$C$52))</x:f>
        <x:v>401.3981160086007</x:v>
      </x:c>
      <x:c r="E147" s="48" t="n">
        <x:f>(D147-C147)*1000</x:f>
        <x:v>1224.5048974896235</x:v>
      </x:c>
      <x:c r="F147" s="48" t="n">
        <x:f>E147/Inputs!$C$12</x:f>
        <x:v>687.9240997132716</x:v>
      </x:c>
      <x:c r="G147" s="48" t="n">
        <x:f>2*E147/Inputs!$C$21*1000000</x:f>
        <x:v>8.169017363936645</x:v>
      </x:c>
      <x:c r="H147" s="48" t="n">
        <x:f>SQRT(A147^2+Inputs!$C$6^2)</x:f>
        <x:v>27.95084971874737</x:v>
      </x:c>
      <x:c r="I147" s="48" t="n">
        <x:f>DEGREES(ATAN(H147/B147))</x:f>
        <x:v>3.9954384393380815</x:v>
      </x:c>
      <x:c r="J147" s="48" t="n">
        <x:f>DEGREES((2*PI()/Inputs!$C$13)*Inputs!$C$15*SIN(RADIANS(I147)))</x:f>
        <x:v>25.083739154474607</x:v>
      </x:c>
      <x:c r="K147" s="48" t="n">
        <x:f>(C147/D147)^4</x:f>
        <x:v>0.987853325418788</x:v>
      </x:c>
      <x:c r="L147" s="48" t="n">
        <x:f>10*LOG10(K147)</x:f>
        <x:v>-0.0530753384359283</x:v>
      </x:c>
      <x:c r="M147" s="48" t="n">
        <x:f>2*(Inputs!$C$9/(Inputs!$C$10^2))*A147</x:f>
        <x:v>0.027777777777777776</x:v>
      </x:c>
      <x:c r="N147" s="48" t="n">
        <x:f>M147*Inputs!$C$11</x:f>
        <x:v>0.1111111111111111</x:v>
      </x:c>
      <x:c r="O147" s="48" t="n">
        <x:f>1000*(D148-D146)/(A148-A146)*Inputs!$C$11</x:f>
        <x:v>267.334479958663</x:v>
      </x:c>
      <x:c r="P147" s="48" t="n">
        <x:f>-2*O147/Inputs!$C$13</x:f>
        <x:v>-106.9337919834652</x:v>
      </x:c>
      <x:c r="Q147" s="48" t="n">
        <x:f>-2*O147/Inputs!$C$14</x:f>
        <x:v>-16.056124922442223</x:v>
      </x:c>
      <x:c r="R147" s="48" t="n">
        <x:f>F147-Inputs!$C$16/2</x:f>
        <x:v>672.9240997132716</x:v>
      </x:c>
      <x:c r="S147" s="48" t="n">
        <x:f>F147+Inputs!$C$16/2</x:f>
        <x:v>702.9240997132716</x:v>
      </x:c>
      <x:c r="T147" s="48" t="n">
        <x:f>F147-Inputs!$C$17/2</x:f>
        <x:v>537.9240997132716</x:v>
      </x:c>
      <x:c r="U147" s="48" t="n">
        <x:f>F147+Inputs!$C$17/2</x:f>
        <x:v>837.9240997132716</x:v>
      </x:c>
      <x:c r="V147" s="48" t="n">
        <x:f>ABS(P147)</x:f>
        <x:v>106.9337919834652</x:v>
      </x:c>
      <x:c r="W147" s="48" t="n">
        <x:f>ABS(Q147)</x:f>
        <x:v>16.056124922442223</x:v>
      </x:c>
      <x:c r="X147" s="48" t="n">
        <x: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(0.45*SIN(2*PI()*(((A147)/Inputs!$C$49)+Inputs!$C$47*0.137))+0.35*COS(2*PI()*(((0)/Inputs!$C$50)+Inputs!$C$47*0.173))+0.20*SIN(2*PI()*(((A147)+(0))/(0.5*(Inputs!$C$49+Inputs!$C$50))+Inputs!$C$47*0.097)))+0.30*(2*((SIN(((A147)*12.9898+(0)*78.233+Inputs!$C$47*37.719))*43758.5453)-INT((SIN(((A147)*12.9898+(0)*78.233+Inputs!$C$47*37.719))*43758.5453)))-1)))</x:f>
        <x:v>-5.687454175445142</x:v>
      </x:c>
      <x:c r="Y147" s="48" t="n">
        <x: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(0.45*SIN(2*PI()*(((A147)/Inputs!$C$49)+Inputs!$C$47*0.137))+0.35*COS(2*PI()*(((Inputs!$C$6)/Inputs!$C$50)+Inputs!$C$47*0.173))+0.20*SIN(2*PI()*(((A147)+(Inputs!$C$6))/(0.5*(Inputs!$C$49+Inputs!$C$50))+Inputs!$C$47*0.097)))+0.30*(2*((SIN(((A147)*12.9898+(Inputs!$C$6)*78.233+Inputs!$C$47*37.719))*43758.5453)-INT((SIN(((A147)*12.9898+(Inputs!$C$6)*78.233+Inputs!$C$47*37.719))*43758.5453)))-1)))</x:f>
        <x:v>434.12423495839124</x:v>
      </x:c>
      <x:c r="Z147" s="48" t="n">
        <x:f>B147-X147/1000</x:f>
        <x:v>400.17929856528656</x:v>
      </x:c>
      <x:c r="AA147" s="48" t="n">
        <x:f>SQRT((Inputs!$C$52+B147)^2+(Inputs!$C$52+Y147/1000)^2-2*(Inputs!$C$52+B147)*(Inputs!$C$52+Y147/1000)*COS(SQRT(A147^2+Inputs!$C$6^2)/Inputs!$C$52))</x:f>
        <x:v>400.96565797831903</x:v>
      </x:c>
      <x:c r="AB147" s="48" t="n">
        <x:f>(AA147-Z147)*1000</x:f>
        <x:v>786.3594130324714</x:v>
      </x:c>
      <x:c r="AC147" s="48" t="n">
        <x:f>AB147/Inputs!$C$12</x:f>
        <x:v>441.77495114183785</x:v>
      </x:c>
      <x:c r="AD147" s="48" t="n">
        <x:f>2*AB147/Inputs!$C$21*1000000</x:f>
        <x:v>5.246025322174525</x:v>
      </x:c>
      <x:c r="AE147" s="48" t="n">
        <x:f>DEGREES(ATAN(H147/(B147-Y147/1000)))</x:f>
        <x:v>3.999763481082064</x:v>
      </x:c>
      <x:c r="AF147" s="48" t="n">
        <x:f>DEGREES((2*PI()/Inputs!$C$13)*Inputs!$C$15*SIN(RADIANS(AE147)))</x:f>
        <x:v>25.110848075526988</x:v>
      </x:c>
      <x:c r="AG147" s="48" t="n">
        <x:f>(Z147/AA147)^4</x:f>
        <x:v>0.9921783908346241</x:v>
      </x:c>
      <x:c r="AH147" s="48" t="n">
        <x:f>10*LOG10(AG147)</x:f>
        <x:v>-0.0341023592055295</x:v>
      </x:c>
      <x:c r="AI147" s="48" t="n">
        <x:f>AC147-F147</x:f>
        <x:v>-246.14914857143378</x:v>
      </x:c>
      <x:c r="AJ147" s="48" t="n">
        <x:f>AD147-G147</x:f>
        <x:v>-2.92299204176212</x:v>
      </x:c>
      <x:c r="AK147" s="48" t="n">
        <x:f>Y147-X147</x:f>
        <x:v>439.8116891338364</x:v>
      </x:c>
      <x:c r="AL147" s="48" t="n">
        <x:f>1000*(AA148-AA146)/(A148-A146)*Inputs!$C$11</x:f>
        <x:v>243.6483230324029</x:v>
      </x:c>
      <x:c r="AM147" s="48" t="n">
        <x:f>-2*AL147/Inputs!$C$13</x:f>
        <x:v>-97.45932921296117</x:v>
      </x:c>
      <x:c r="AN147" s="48" t="n">
        <x:f>-2*AL147/Inputs!$C$14</x:f>
        <x:v>-14.633532914859035</x:v>
      </x:c>
      <x:c r="AO147" s="48" t="n">
        <x:f>ABS(AM147)</x:f>
        <x:v>97.45932921296117</x:v>
      </x:c>
      <x:c r="AP147" s="48" t="n">
        <x:f>ABS(AN147)</x:f>
        <x:v>14.633532914859035</x:v>
      </x:c>
      <x:c r="AQ147" s="48" t="n">
        <x:f>IF(OR(Inputs!$C$27=TRUE,Inputs!$C$27="TRUE",Inputs!$C$27=1),Inputs!$C$46/Inputs!$C$12,0)</x:f>
        <x:v>42.13483146067416</x:v>
      </x:c>
      <x:c r="AR147" s="48" t="n">
        <x:f>AC147-AQ147</x:f>
        <x:v>399.6401196811637</x:v>
      </x:c>
      <x:c r="AS147" s="48" t="n">
        <x:f>AC147+AQ147</x:f>
        <x:v>483.909782602512</x:v>
      </x:c>
    </x:row>
    <x:row r="148">
      <x:c r="A148" s="48" t="n">
        <x:f>Inputs!$C$7+146*(Inputs!$C$8-Inputs!$C$7)/240</x:f>
        <x:v>13</x:v>
      </x:c>
      <x:c r="B148" s="48" t="n">
        <x:f>Inputs!$C$5+Inputs!$C$9*(A148/Inputs!$C$10)^2</x:f>
        <x:v>400.1877777777778</x:v>
      </x:c>
      <x:c r="C148" s="48" t="n">
        <x:f>B148</x:f>
        <x:v>400.1877777777778</x:v>
      </x:c>
      <x:c r="D148" s="48" t="n">
        <x:f>SQRT((Inputs!$C$52+B148)^2+Inputs!$C$52^2-2*(Inputs!$C$52+B148)*Inputs!$C$52*COS(SQRT(A148^2+Inputs!$C$6^2)/Inputs!$C$52))</x:f>
        <x:v>401.43220013468226</x:v>
      </x:c>
      <x:c r="E148" s="48" t="n">
        <x:f>(D148-C148)*1000</x:f>
        <x:v>1244.4223569044652</x:v>
      </x:c>
      <x:c r="F148" s="48" t="n">
        <x:f>E148/Inputs!$C$12</x:f>
        <x:v>699.1136836541939</x:v>
      </x:c>
      <x:c r="G148" s="48" t="n">
        <x:f>2*E148/Inputs!$C$21*1000000</x:f>
        <x:v>8.301892350503795</x:v>
      </x:c>
      <x:c r="H148" s="48" t="n">
        <x:f>SQRT(A148^2+Inputs!$C$6^2)</x:f>
        <x:v>28.178005607210743</x:v>
      </x:c>
      <x:c r="I148" s="48" t="n">
        <x:f>DEGREES(ATAN(H148/B148))</x:f>
        <x:v>4.027660713508556</x:v>
      </x:c>
      <x:c r="J148" s="48" t="n">
        <x:f>DEGREES((2*PI()/Inputs!$C$13)*Inputs!$C$15*SIN(RADIANS(I148)))</x:f>
        <x:v>25.285701641717207</x:v>
      </x:c>
      <x:c r="K148" s="48" t="n">
        <x:f>(C148/D148)^4</x:f>
        <x:v>0.9876577133271429</x:v>
      </x:c>
      <x:c r="L148" s="48" t="n">
        <x:f>10*LOG10(K148)</x:f>
        <x:v>-0.053935401990183</x:v>
      </x:c>
      <x:c r="M148" s="48" t="n">
        <x:f>2*(Inputs!$C$9/(Inputs!$C$10^2))*A148</x:f>
        <x:v>0.028888888888888888</x:v>
      </x:c>
      <x:c r="N148" s="48" t="n">
        <x:f>M148*Inputs!$C$11</x:f>
        <x:v>0.11555555555555555</x:v>
      </x:c>
      <x:c r="O148" s="48" t="n">
        <x:f>1000*(D149-D147)/(A149-A147)*Inputs!$C$11</x:f>
        <x:v>278.01054033716355</x:v>
      </x:c>
      <x:c r="P148" s="48" t="n">
        <x:f>-2*O148/Inputs!$C$13</x:f>
        <x:v>-111.20421613486542</x:v>
      </x:c>
      <x:c r="Q148" s="48" t="n">
        <x:f>-2*O148/Inputs!$C$14</x:f>
        <x:v>-16.697329749979794</x:v>
      </x:c>
      <x:c r="R148" s="48" t="n">
        <x:f>F148-Inputs!$C$16/2</x:f>
        <x:v>684.1136836541939</x:v>
      </x:c>
      <x:c r="S148" s="48" t="n">
        <x:f>F148+Inputs!$C$16/2</x:f>
        <x:v>714.1136836541939</x:v>
      </x:c>
      <x:c r="T148" s="48" t="n">
        <x:f>F148-Inputs!$C$17/2</x:f>
        <x:v>549.1136836541939</x:v>
      </x:c>
      <x:c r="U148" s="48" t="n">
        <x:f>F148+Inputs!$C$17/2</x:f>
        <x:v>849.1136836541939</x:v>
      </x:c>
      <x:c r="V148" s="48" t="n">
        <x:f>ABS(P148)</x:f>
        <x:v>111.20421613486542</x:v>
      </x:c>
      <x:c r="W148" s="48" t="n">
        <x:f>ABS(Q148)</x:f>
        <x:v>16.697329749979794</x:v>
      </x:c>
      <x:c r="X148" s="48" t="n">
        <x: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(0.45*SIN(2*PI()*(((A148)/Inputs!$C$49)+Inputs!$C$47*0.137))+0.35*COS(2*PI()*(((0)/Inputs!$C$50)+Inputs!$C$47*0.173))+0.20*SIN(2*PI()*(((A148)+(0))/(0.5*(Inputs!$C$49+Inputs!$C$50))+Inputs!$C$47*0.097)))+0.30*(2*((SIN(((A148)*12.9898+(0)*78.233+Inputs!$C$47*37.719))*43758.5453)-INT((SIN(((A148)*12.9898+(0)*78.233+Inputs!$C$47*37.719))*43758.5453)))-1)))</x:f>
        <x:v>-3.618490966575764</x:v>
      </x:c>
      <x:c r="Y148" s="48" t="n">
        <x: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(0.45*SIN(2*PI()*(((A148)/Inputs!$C$49)+Inputs!$C$47*0.137))+0.35*COS(2*PI()*(((Inputs!$C$6)/Inputs!$C$50)+Inputs!$C$47*0.173))+0.20*SIN(2*PI()*(((A148)+(Inputs!$C$6))/(0.5*(Inputs!$C$49+Inputs!$C$50))+Inputs!$C$47*0.097)))+0.30*(2*((SIN(((A148)*12.9898+(Inputs!$C$6)*78.233+Inputs!$C$47*37.719))*43758.5453)-INT((SIN(((A148)*12.9898+(Inputs!$C$6)*78.233+Inputs!$C$47*37.719))*43758.5453)))-1)))</x:f>
        <x:v>428.8351991704085</x:v>
      </x:c>
      <x:c r="Z148" s="48" t="n">
        <x:f>B148-X148/1000</x:f>
        <x:v>400.19139626874437</x:v>
      </x:c>
      <x:c r="AA148" s="48" t="n">
        <x:f>SQRT((Inputs!$C$52+B148)^2+(Inputs!$C$52+Y148/1000)^2-2*(Inputs!$C$52+B148)*(Inputs!$C$52+Y148/1000)*COS(SQRT(A148^2+Inputs!$C$6^2)/Inputs!$C$52))</x:f>
        <x:v>401.00503746859056</x:v>
      </x:c>
      <x:c r="AB148" s="48" t="n">
        <x:f>(AA148-Z148)*1000</x:f>
        <x:v>813.6411998461881</x:v>
      </x:c>
      <x:c r="AC148" s="48" t="n">
        <x:f>AB148/Inputs!$C$12</x:f>
        <x:v>457.10179766639783</x:v>
      </x:c>
      <x:c r="AD148" s="48" t="n">
        <x:f>2*AB148/Inputs!$C$21*1000000</x:f>
        <x:v>5.428029812852651</x:v>
      </x:c>
      <x:c r="AE148" s="48" t="n">
        <x:f>DEGREES(ATAN(H148/(B148-Y148/1000)))</x:f>
        <x:v>4.0319670816827795</x:v>
      </x:c>
      <x:c r="AF148" s="48" t="n">
        <x:f>DEGREES((2*PI()/Inputs!$C$13)*Inputs!$C$15*SIN(RADIANS(AE148)))</x:f>
        <x:v>25.312692453940397</x:v>
      </x:c>
      <x:c r="AG148" s="48" t="n">
        <x:f>(Z148/AA148)^4</x:f>
        <x:v>0.9919086480319432</x:v>
      </x:c>
      <x:c r="AH148" s="48" t="n">
        <x:f>10*LOG10(AG148)</x:f>
        <x:v>-0.035283232918873204</x:v>
      </x:c>
      <x:c r="AI148" s="48" t="n">
        <x:f>AC148-F148</x:f>
        <x:v>-242.01188598779606</x:v>
      </x:c>
      <x:c r="AJ148" s="48" t="n">
        <x:f>AD148-G148</x:f>
        <x:v>-2.873862537651144</x:v>
      </x:c>
      <x:c r="AK148" s="48" t="n">
        <x:f>Y148-X148</x:f>
        <x:v>432.4536901369843</x:v>
      </x:c>
      <x:c r="AL148" s="48" t="n">
        <x:f>1000*(AA149-AA147)/(A149-A147)*Inputs!$C$11</x:f>
        <x:v>378.94144782217154</x:v>
      </x:c>
      <x:c r="AM148" s="48" t="n">
        <x:f>-2*AL148/Inputs!$C$13</x:f>
        <x:v>-151.57657912886862</x:v>
      </x:c>
      <x:c r="AN148" s="48" t="n">
        <x:f>-2*AL148/Inputs!$C$14</x:f>
        <x:v>-22.75924611544574</x:v>
      </x:c>
      <x:c r="AO148" s="48" t="n">
        <x:f>ABS(AM148)</x:f>
        <x:v>151.57657912886862</x:v>
      </x:c>
      <x:c r="AP148" s="48" t="n">
        <x:f>ABS(AN148)</x:f>
        <x:v>22.75924611544574</x:v>
      </x:c>
      <x:c r="AQ148" s="48" t="n">
        <x:f>IF(OR(Inputs!$C$27=TRUE,Inputs!$C$27="TRUE",Inputs!$C$27=1),Inputs!$C$46/Inputs!$C$12,0)</x:f>
        <x:v>42.13483146067416</x:v>
      </x:c>
      <x:c r="AR148" s="48" t="n">
        <x:f>AC148-AQ148</x:f>
        <x:v>414.9669662057237</x:v>
      </x:c>
      <x:c r="AS148" s="48" t="n">
        <x:f>AC148+AQ148</x:f>
        <x:v>499.236629127072</x:v>
      </x:c>
    </x:row>
    <x:row r="149">
      <x:c r="A149" s="48" t="n">
        <x:f>Inputs!$C$7+147*(Inputs!$C$8-Inputs!$C$7)/240</x:f>
        <x:v>13.5</x:v>
      </x:c>
      <x:c r="B149" s="48" t="n">
        <x:f>Inputs!$C$5+Inputs!$C$9*(A149/Inputs!$C$10)^2</x:f>
        <x:v>400.2025</x:v>
      </x:c>
      <x:c r="C149" s="48" t="n">
        <x:f>B149</x:f>
        <x:v>400.2025</x:v>
      </x:c>
      <x:c r="D149" s="48" t="n">
        <x:f>SQRT((Inputs!$C$52+B149)^2+Inputs!$C$52^2-2*(Inputs!$C$52+B149)*Inputs!$C$52*COS(SQRT(A149^2+Inputs!$C$6^2)/Inputs!$C$52))</x:f>
        <x:v>401.467618643685</x:v>
      </x:c>
      <x:c r="E149" s="48" t="n">
        <x:f>(D149-C149)*1000</x:f>
        <x:v>1265.118643685014</x:v>
      </x:c>
      <x:c r="F149" s="48" t="n">
        <x:f>E149/Inputs!$C$12</x:f>
        <x:v>710.7408110589965</x:v>
      </x:c>
      <x:c r="G149" s="48" t="n">
        <x:f>2*E149/Inputs!$C$21*1000000</x:f>
        <x:v>8.439963113982099</x:v>
      </x:c>
      <x:c r="H149" s="48" t="n">
        <x:f>SQRT(A149^2+Inputs!$C$6^2)</x:f>
        <x:v>28.412145290350743</x:v>
      </x:c>
      <x:c r="I149" s="48" t="n">
        <x:f>DEGREES(ATAN(H149/B149))</x:f>
        <x:v>4.060867373737527</x:v>
      </x:c>
      <x:c r="J149" s="48" t="n">
        <x:f>DEGREES((2*PI()/Inputs!$C$13)*Inputs!$C$15*SIN(RADIANS(I149)))</x:f>
        <x:v>25.49382568709516</x:v>
      </x:c>
      <x:c r="K149" s="48" t="n">
        <x:f>(C149/D149)^4</x:f>
        <x:v>0.9874545182738117</x:v>
      </x:c>
      <x:c r="L149" s="48" t="n">
        <x:f>10*LOG10(K149)</x:f>
        <x:v>-0.054828986560327496</x:v>
      </x:c>
      <x:c r="M149" s="48" t="n">
        <x:f>2*(Inputs!$C$9/(Inputs!$C$10^2))*A149</x:f>
        <x:v>0.03</x:v>
      </x:c>
      <x:c r="N149" s="48" t="n">
        <x:f>M149*Inputs!$C$11</x:f>
        <x:v>0.12</x:v>
      </x:c>
      <x:c r="O149" s="48" t="n">
        <x:f>1000*(D150-D148)/(A150-A148)*Inputs!$C$11</x:f>
        <x:v>288.68456805867027</x:v>
      </x:c>
      <x:c r="P149" s="48" t="n">
        <x:f>-2*O149/Inputs!$C$13</x:f>
        <x:v>-115.4738272234681</x:v>
      </x:c>
      <x:c r="Q149" s="48" t="n">
        <x:f>-2*O149/Inputs!$C$14</x:f>
        <x:v>-17.338412496016232</x:v>
      </x:c>
      <x:c r="R149" s="48" t="n">
        <x:f>F149-Inputs!$C$16/2</x:f>
        <x:v>695.7408110589965</x:v>
      </x:c>
      <x:c r="S149" s="48" t="n">
        <x:f>F149+Inputs!$C$16/2</x:f>
        <x:v>725.7408110589965</x:v>
      </x:c>
      <x:c r="T149" s="48" t="n">
        <x:f>F149-Inputs!$C$17/2</x:f>
        <x:v>560.7408110589965</x:v>
      </x:c>
      <x:c r="U149" s="48" t="n">
        <x:f>F149+Inputs!$C$17/2</x:f>
        <x:v>860.7408110589965</x:v>
      </x:c>
      <x:c r="V149" s="48" t="n">
        <x:f>ABS(P149)</x:f>
        <x:v>115.4738272234681</x:v>
      </x:c>
      <x:c r="W149" s="48" t="n">
        <x:f>ABS(Q149)</x:f>
        <x:v>17.338412496016232</x:v>
      </x:c>
      <x:c r="X149" s="48" t="n">
        <x: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(0.45*SIN(2*PI()*(((A149)/Inputs!$C$49)+Inputs!$C$47*0.137))+0.35*COS(2*PI()*(((0)/Inputs!$C$50)+Inputs!$C$47*0.173))+0.20*SIN(2*PI()*(((A149)+(0))/(0.5*(Inputs!$C$49+Inputs!$C$50))+Inputs!$C$47*0.097)))+0.30*(2*((SIN(((A149)*12.9898+(0)*78.233+Inputs!$C$47*37.719))*43758.5453)-INT((SIN(((A149)*12.9898+(0)*78.233+Inputs!$C$47*37.719))*43758.5453)))-1)))</x:f>
        <x:v>0.04576132524433074</x:v>
      </x:c>
      <x:c r="Y149" s="48" t="n">
        <x: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(0.45*SIN(2*PI()*(((A149)/Inputs!$C$49)+Inputs!$C$47*0.137))+0.35*COS(2*PI()*(((Inputs!$C$6)/Inputs!$C$50)+Inputs!$C$47*0.173))+0.20*SIN(2*PI()*(((A149)+(Inputs!$C$6))/(0.5*(Inputs!$C$49+Inputs!$C$50))+Inputs!$C$47*0.097)))+0.30*(2*((SIN(((A149)*12.9898+(Inputs!$C$6)*78.233+Inputs!$C$47*37.719))*43758.5453)-INT((SIN(((A149)*12.9898+(Inputs!$C$6)*78.233+Inputs!$C$47*37.719))*43758.5453)))-1)))</x:f>
        <x:v>408.84619240872695</x:v>
      </x:c>
      <x:c r="Z149" s="48" t="n">
        <x:f>B149-X149/1000</x:f>
        <x:v>400.20245423867476</x:v>
      </x:c>
      <x:c r="AA149" s="48" t="n">
        <x:f>SQRT((Inputs!$C$52+B149)^2+(Inputs!$C$52+Y149/1000)^2-2*(Inputs!$C$52+B149)*(Inputs!$C$52+Y149/1000)*COS(SQRT(A149^2+Inputs!$C$6^2)/Inputs!$C$52))</x:f>
        <x:v>401.0603933402746</x:v>
      </x:c>
      <x:c r="AB149" s="48" t="n">
        <x:f>(AA149-Z149)*1000</x:f>
        <x:v>857.9391015998112</x:v>
      </x:c>
      <x:c r="AC149" s="48" t="n">
        <x:f>AB149/Inputs!$C$12</x:f>
        <x:v>481.98825932573664</x:v>
      </x:c>
      <x:c r="AD149" s="48" t="n">
        <x:f>2*AB149/Inputs!$C$21*1000000</x:f>
        <x:v>5.723553603205129</x:v>
      </x:c>
      <x:c r="AE149" s="48" t="n">
        <x:f>DEGREES(ATAN(H149/(B149-Y149/1000)))</x:f>
        <x:v>4.065006276837715</x:v>
      </x:c>
      <x:c r="AF149" s="48" t="n">
        <x:f>DEGREES((2*PI()/Inputs!$C$13)*Inputs!$C$15*SIN(RADIANS(AE149)))</x:f>
        <x:v>25.519765825853014</x:v>
      </x:c>
      <x:c r="AG149" s="48" t="n">
        <x:f>(Z149/AA149)^4</x:f>
        <x:v>0.9914707100025549</x:v>
      </x:c>
      <x:c r="AH149" s="48" t="n">
        <x:f>10*LOG10(AG149)</x:f>
        <x:v>-0.0372011118349706</x:v>
      </x:c>
      <x:c r="AI149" s="48" t="n">
        <x:f>AC149-F149</x:f>
        <x:v>-228.7525517332599</x:v>
      </x:c>
      <x:c r="AJ149" s="48" t="n">
        <x:f>AD149-G149</x:f>
        <x:v>-2.7164095107769697</x:v>
      </x:c>
      <x:c r="AK149" s="48" t="n">
        <x:f>Y149-X149</x:f>
        <x:v>408.80043108348264</x:v>
      </x:c>
      <x:c r="AL149" s="48" t="n">
        <x:f>1000*(AA150-AA148)/(A150-A148)*Inputs!$C$11</x:f>
        <x:v>353.78412979207496</x:v>
      </x:c>
      <x:c r="AM149" s="48" t="n">
        <x:f>-2*AL149/Inputs!$C$13</x:f>
        <x:v>-141.51365191682999</x:v>
      </x:c>
      <x:c r="AN149" s="48" t="n">
        <x:f>-2*AL149/Inputs!$C$14</x:f>
        <x:v>-21.248296083608107</x:v>
      </x:c>
      <x:c r="AO149" s="48" t="n">
        <x:f>ABS(AM149)</x:f>
        <x:v>141.51365191682999</x:v>
      </x:c>
      <x:c r="AP149" s="48" t="n">
        <x:f>ABS(AN149)</x:f>
        <x:v>21.248296083608107</x:v>
      </x:c>
      <x:c r="AQ149" s="48" t="n">
        <x:f>IF(OR(Inputs!$C$27=TRUE,Inputs!$C$27="TRUE",Inputs!$C$27=1),Inputs!$C$46/Inputs!$C$12,0)</x:f>
        <x:v>42.13483146067416</x:v>
      </x:c>
      <x:c r="AR149" s="48" t="n">
        <x:f>AC149-AQ149</x:f>
        <x:v>439.8534278650625</x:v>
      </x:c>
      <x:c r="AS149" s="48" t="n">
        <x:f>AC149+AQ149</x:f>
        <x:v>524.1230907864108</x:v>
      </x:c>
    </x:row>
    <x:row r="150">
      <x:c r="A150" s="48" t="n">
        <x:f>Inputs!$C$7+148*(Inputs!$C$8-Inputs!$C$7)/240</x:f>
        <x:v>14</x:v>
      </x:c>
      <x:c r="B150" s="48" t="n">
        <x:f>Inputs!$C$5+Inputs!$C$9*(A150/Inputs!$C$10)^2</x:f>
        <x:v>400.21777777777777</x:v>
      </x:c>
      <x:c r="C150" s="48" t="n">
        <x:f>B150</x:f>
        <x:v>400.21777777777777</x:v>
      </x:c>
      <x:c r="D150" s="48" t="n">
        <x:f>SQRT((Inputs!$C$52+B150)^2+Inputs!$C$52^2-2*(Inputs!$C$52+B150)*Inputs!$C$52*COS(SQRT(A150^2+Inputs!$C$6^2)/Inputs!$C$52))</x:f>
        <x:v>401.50437127669693</x:v>
      </x:c>
      <x:c r="E150" s="48" t="n">
        <x:f>(D150-C150)*1000</x:f>
        <x:v>1286.59349891916</x:v>
      </x:c>
      <x:c r="F150" s="48" t="n">
        <x:f>E150/Inputs!$C$12</x:f>
        <x:v>722.8053364714383</x:v>
      </x:c>
      <x:c r="G150" s="48" t="n">
        <x:f>2*E150/Inputs!$C$21*1000000</x:f>
        <x:v>8.583227927095885</x:v>
      </x:c>
      <x:c r="H150" s="48" t="n">
        <x:f>SQRT(A150^2+Inputs!$C$6^2)</x:f>
        <x:v>28.653097563788805</x:v>
      </x:c>
      <x:c r="I150" s="48" t="n">
        <x:f>DEGREES(ATAN(H150/B150))</x:f>
        <x:v>4.095033523300829</x:v>
      </x:c>
      <x:c r="J150" s="48" t="n">
        <x:f>DEGREES((2*PI()/Inputs!$C$13)*Inputs!$C$15*SIN(RADIANS(I150)))</x:f>
        <x:v>25.707954430803454</x:v>
      </x:c>
      <x:c r="K150" s="48" t="n">
        <x:f>(C150/D150)^4</x:f>
        <x:v>0.9872437503659116</x:v>
      </x:c>
      <x:c r="L150" s="48" t="n">
        <x:f>10*LOG10(K150)</x:f>
        <x:v>-0.0557560683445633</x:v>
      </x:c>
      <x:c r="M150" s="48" t="n">
        <x:f>2*(Inputs!$C$9/(Inputs!$C$10^2))*A150</x:f>
        <x:v>0.03111111111111111</x:v>
      </x:c>
      <x:c r="N150" s="48" t="n">
        <x:f>M150*Inputs!$C$11</x:f>
        <x:v>0.12444444444444444</x:v>
      </x:c>
      <x:c r="O150" s="48" t="n">
        <x:f>1000*(D151-D149)/(A151-A149)*Inputs!$C$11</x:f>
        <x:v>299.356485882754</x:v>
      </x:c>
      <x:c r="P150" s="48" t="n">
        <x:f>-2*O150/Inputs!$C$13</x:f>
        <x:v>-119.7425943531016</x:v>
      </x:c>
      <x:c r="Q150" s="48" t="n">
        <x:f>-2*O150/Inputs!$C$14</x:f>
        <x:v>-17.979368521486727</x:v>
      </x:c>
      <x:c r="R150" s="48" t="n">
        <x:f>F150-Inputs!$C$16/2</x:f>
        <x:v>707.8053364714383</x:v>
      </x:c>
      <x:c r="S150" s="48" t="n">
        <x:f>F150+Inputs!$C$16/2</x:f>
        <x:v>737.8053364714383</x:v>
      </x:c>
      <x:c r="T150" s="48" t="n">
        <x:f>F150-Inputs!$C$17/2</x:f>
        <x:v>572.8053364714383</x:v>
      </x:c>
      <x:c r="U150" s="48" t="n">
        <x:f>F150+Inputs!$C$17/2</x:f>
        <x:v>872.8053364714383</x:v>
      </x:c>
      <x:c r="V150" s="48" t="n">
        <x:f>ABS(P150)</x:f>
        <x:v>119.7425943531016</x:v>
      </x:c>
      <x:c r="W150" s="48" t="n">
        <x:f>ABS(Q150)</x:f>
        <x:v>17.979368521486727</x:v>
      </x:c>
      <x:c r="X150" s="48" t="n">
        <x: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(0.45*SIN(2*PI()*(((A150)/Inputs!$C$49)+Inputs!$C$47*0.137))+0.35*COS(2*PI()*(((0)/Inputs!$C$50)+Inputs!$C$47*0.173))+0.20*SIN(2*PI()*(((A150)+(0))/(0.5*(Inputs!$C$49+Inputs!$C$50))+Inputs!$C$47*0.097)))+0.30*(2*((SIN(((A150)*12.9898+(0)*78.233+Inputs!$C$47*37.719))*43758.5453)-INT((SIN(((A150)*12.9898+(0)*78.233+Inputs!$C$47*37.719))*43758.5453)))-1)))</x:f>
        <x:v>17.14805919414721</x:v>
      </x:c>
      <x:c r="Y150" s="48" t="n">
        <x: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(0.45*SIN(2*PI()*(((A150)/Inputs!$C$49)+Inputs!$C$47*0.137))+0.35*COS(2*PI()*(((Inputs!$C$6)/Inputs!$C$50)+Inputs!$C$47*0.173))+0.20*SIN(2*PI()*(((A150)+(Inputs!$C$6))/(0.5*(Inputs!$C$49+Inputs!$C$50))+Inputs!$C$47*0.097)))+0.30*(2*((SIN(((A150)*12.9898+(Inputs!$C$6)*78.233+Inputs!$C$47*37.719))*43758.5453)-INT((SIN(((A150)*12.9898+(Inputs!$C$6)*78.233+Inputs!$C$47*37.719))*43758.5453)))-1)))</x:f>
        <x:v>412.55100068044544</x:v>
      </x:c>
      <x:c r="Z150" s="48" t="n">
        <x:f>B150-X150/1000</x:f>
        <x:v>400.2006297185836</x:v>
      </x:c>
      <x:c r="AA150" s="48" t="n">
        <x:f>SQRT((Inputs!$C$52+B150)^2+(Inputs!$C$52+Y150/1000)^2-2*(Inputs!$C$52+B150)*(Inputs!$C$52+Y150/1000)*COS(SQRT(A150^2+Inputs!$C$6^2)/Inputs!$C$52))</x:f>
        <x:v>401.0934835010386</x:v>
      </x:c>
      <x:c r="AB150" s="48" t="n">
        <x:f>(AA150-Z150)*1000</x:f>
        <x:v>892.8537824549494</x:v>
      </x:c>
      <x:c r="AC150" s="48" t="n">
        <x:f>AB150/Inputs!$C$12</x:f>
        <x:v>501.6032485701963</x:v>
      </x:c>
      <x:c r="AD150" s="48" t="n">
        <x:f>2*AB150/Inputs!$C$21*1000000</x:f>
        <x:v>5.956479281776657</x:v>
      </x:c>
      <x:c r="AE150" s="48" t="n">
        <x:f>DEGREES(ATAN(H150/(B150-Y150/1000)))</x:f>
        <x:v>4.0992447087081025</x:v>
      </x:c>
      <x:c r="AF150" s="48" t="n">
        <x:f>DEGREES((2*PI()/Inputs!$C$13)*Inputs!$C$15*SIN(RADIANS(AE150)))</x:f>
        <x:v>25.734346467493268</x:v>
      </x:c>
      <x:c r="AG150" s="48" t="n">
        <x:f>(Z150/AA150)^4</x:f>
        <x:v>0.99112549132378</x:v>
      </x:c>
      <x:c r="AH150" s="48" t="n">
        <x:f>10*LOG10(AG150)</x:f>
        <x:v>-0.0387135385071976</x:v>
      </x:c>
      <x:c r="AI150" s="48" t="n">
        <x:f>AC150-F150</x:f>
        <x:v>-221.202087901242</x:v>
      </x:c>
      <x:c r="AJ150" s="48" t="n">
        <x:f>AD150-G150</x:f>
        <x:v>-2.6267486453192284</x:v>
      </x:c>
      <x:c r="AK150" s="48" t="n">
        <x:f>Y150-X150</x:f>
        <x:v>395.40294148629823</x:v>
      </x:c>
      <x:c r="AL150" s="48" t="n">
        <x:f>1000*(AA151-AA149)/(A151-A149)*Inputs!$C$11</x:f>
        <x:v>272.8045422352352</x:v>
      </x:c>
      <x:c r="AM150" s="48" t="n">
        <x:f>-2*AL150/Inputs!$C$13</x:f>
        <x:v>-109.12181689409408</x:v>
      </x:c>
      <x:c r="AN150" s="48" t="n">
        <x:f>-2*AL150/Inputs!$C$14</x:f>
        <x:v>-16.38465719130542</x:v>
      </x:c>
      <x:c r="AO150" s="48" t="n">
        <x:f>ABS(AM150)</x:f>
        <x:v>109.12181689409408</x:v>
      </x:c>
      <x:c r="AP150" s="48" t="n">
        <x:f>ABS(AN150)</x:f>
        <x:v>16.38465719130542</x:v>
      </x:c>
      <x:c r="AQ150" s="48" t="n">
        <x:f>IF(OR(Inputs!$C$27=TRUE,Inputs!$C$27="TRUE",Inputs!$C$27=1),Inputs!$C$46/Inputs!$C$12,0)</x:f>
        <x:v>42.13483146067416</x:v>
      </x:c>
      <x:c r="AR150" s="48" t="n">
        <x:f>AC150-AQ150</x:f>
        <x:v>459.46841710952214</x:v>
      </x:c>
      <x:c r="AS150" s="48" t="n">
        <x:f>AC150+AQ150</x:f>
        <x:v>543.7380800308705</x:v>
      </x:c>
    </x:row>
    <x:row r="151">
      <x:c r="A151" s="48" t="n">
        <x:f>Inputs!$C$7+149*(Inputs!$C$8-Inputs!$C$7)/240</x:f>
        <x:v>14.5</x:v>
      </x:c>
      <x:c r="B151" s="48" t="n">
        <x:f>Inputs!$C$5+Inputs!$C$9*(A151/Inputs!$C$10)^2</x:f>
        <x:v>400.2336111111111</x:v>
      </x:c>
      <x:c r="C151" s="48" t="n">
        <x:f>B151</x:f>
        <x:v>400.2336111111111</x:v>
      </x:c>
      <x:c r="D151" s="48" t="n">
        <x:f>SQRT((Inputs!$C$52+B151)^2+Inputs!$C$52^2-2*(Inputs!$C$52+B151)*Inputs!$C$52*COS(SQRT(A151^2+Inputs!$C$6^2)/Inputs!$C$52))</x:f>
        <x:v>401.5424577651557</x:v>
      </x:c>
      <x:c r="E151" s="48" t="n">
        <x:f>(D151-C151)*1000</x:f>
        <x:v>1308.8466540446007</x:v>
      </x:c>
      <x:c r="F151" s="48" t="n">
        <x:f>E151/Inputs!$C$12</x:f>
        <x:v>735.3071090138205</x:v>
      </x:c>
      <x:c r="G151" s="48" t="n">
        <x:f>2*E151/Inputs!$C$21*1000000</x:f>
        <x:v>8.73168499819032</x:v>
      </x:c>
      <x:c r="H151" s="48" t="n">
        <x:f>SQRT(A151^2+Inputs!$C$6^2)</x:f>
        <x:v>28.90069203323685</x:v>
      </x:c>
      <x:c r="I151" s="48" t="n">
        <x:f>DEGREES(ATAN(H151/B151))</x:f>
        <x:v>4.130134373943814</x:v>
      </x:c>
      <x:c r="J151" s="48" t="n">
        <x:f>DEGREES((2*PI()/Inputs!$C$13)*Inputs!$C$15*SIN(RADIANS(I151)))</x:f>
        <x:v>25.927931684939455</x:v>
      </x:c>
      <x:c r="K151" s="48" t="n">
        <x:f>(C151/D151)^4</x:f>
        <x:v>0.9870254200810124</x:v>
      </x:c>
      <x:c r="L151" s="48" t="n">
        <x:f>10*LOG10(K151)</x:f>
        <x:v>-0.056716622657723995</x:v>
      </x:c>
      <x:c r="M151" s="48" t="n">
        <x:f>2*(Inputs!$C$9/(Inputs!$C$10^2))*A151</x:f>
        <x:v>0.03222222222222222</x:v>
      </x:c>
      <x:c r="N151" s="48" t="n">
        <x:f>M151*Inputs!$C$11</x:f>
        <x:v>0.1288888888888889</x:v>
      </x:c>
      <x:c r="O151" s="48" t="n">
        <x:f>1000*(D152-D150)/(A152-A150)*Inputs!$C$11</x:f>
        <x:v>310.026216641063</x:v>
      </x:c>
      <x:c r="P151" s="48" t="n">
        <x:f>-2*O151/Inputs!$C$13</x:f>
        <x:v>-124.0104866564252</x:v>
      </x:c>
      <x:c r="Q151" s="48" t="n">
        <x:f>-2*O151/Inputs!$C$14</x:f>
        <x:v>-18.62019319165544</x:v>
      </x:c>
      <x:c r="R151" s="48" t="n">
        <x:f>F151-Inputs!$C$16/2</x:f>
        <x:v>720.3071090138205</x:v>
      </x:c>
      <x:c r="S151" s="48" t="n">
        <x:f>F151+Inputs!$C$16/2</x:f>
        <x:v>750.3071090138205</x:v>
      </x:c>
      <x:c r="T151" s="48" t="n">
        <x:f>F151-Inputs!$C$17/2</x:f>
        <x:v>585.3071090138205</x:v>
      </x:c>
      <x:c r="U151" s="48" t="n">
        <x:f>F151+Inputs!$C$17/2</x:f>
        <x:v>885.3071090138205</x:v>
      </x:c>
      <x:c r="V151" s="48" t="n">
        <x:f>ABS(P151)</x:f>
        <x:v>124.0104866564252</x:v>
      </x:c>
      <x:c r="W151" s="48" t="n">
        <x:f>ABS(Q151)</x:f>
        <x:v>18.62019319165544</x:v>
      </x:c>
      <x:c r="X151" s="48" t="n">
        <x: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(0.45*SIN(2*PI()*(((A151)/Inputs!$C$49)+Inputs!$C$47*0.137))+0.35*COS(2*PI()*(((0)/Inputs!$C$50)+Inputs!$C$47*0.173))+0.20*SIN(2*PI()*(((A151)+(0))/(0.5*(Inputs!$C$49+Inputs!$C$50))+Inputs!$C$47*0.097)))+0.30*(2*((SIN(((A151)*12.9898+(0)*78.233+Inputs!$C$47*37.719))*43758.5453)-INT((SIN(((A151)*12.9898+(0)*78.233+Inputs!$C$47*37.719))*43758.5453)))-1)))</x:f>
        <x:v>27.325427950737776</x:v>
      </x:c>
      <x:c r="Y151" s="48" t="n">
        <x: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(0.45*SIN(2*PI()*(((A151)/Inputs!$C$49)+Inputs!$C$47*0.137))+0.35*COS(2*PI()*(((Inputs!$C$6)/Inputs!$C$50)+Inputs!$C$47*0.173))+0.20*SIN(2*PI()*(((A151)+(Inputs!$C$6))/(0.5*(Inputs!$C$49+Inputs!$C$50))+Inputs!$C$47*0.097)))+0.30*(2*((SIN(((A151)*12.9898+(Inputs!$C$6)*78.233+Inputs!$C$47*37.719))*43758.5453)-INT((SIN(((A151)*12.9898+(Inputs!$C$6)*78.233+Inputs!$C$47*37.719))*43758.5453)))-1)))</x:f>
        <x:v>415.5675277705944</x:v>
      </x:c>
      <x:c r="Z151" s="48" t="n">
        <x:f>B151-X151/1000</x:f>
        <x:v>400.20628568316033</x:v>
      </x:c>
      <x:c r="AA151" s="48" t="n">
        <x:f>SQRT((Inputs!$C$52+B151)^2+(Inputs!$C$52+Y151/1000)^2-2*(Inputs!$C$52+B151)*(Inputs!$C$52+Y151/1000)*COS(SQRT(A151^2+Inputs!$C$6^2)/Inputs!$C$52))</x:f>
        <x:v>401.1285944758334</x:v>
      </x:c>
      <x:c r="AB151" s="48" t="n">
        <x:f>(AA151-Z151)*1000</x:f>
        <x:v>922.30879267305</x:v>
      </x:c>
      <x:c r="AC151" s="48" t="n">
        <x:f>AB151/Inputs!$C$12</x:f>
        <x:v>518.151007119691</x:v>
      </x:c>
      <x:c r="AD151" s="48" t="n">
        <x:f>2*AB151/Inputs!$C$21*1000000</x:f>
        <x:v>6.152981958425719</x:v>
      </x:c>
      <x:c r="AE151" s="48" t="n">
        <x:f>DEGREES(ATAN(H151/(B151-Y151/1000)))</x:f>
        <x:v>4.1344123225834135</x:v>
      </x:c>
      <x:c r="AF151" s="48" t="n">
        <x:f>DEGREES((2*PI()/Inputs!$C$13)*Inputs!$C$15*SIN(RADIANS(AE151)))</x:f>
        <x:v>25.95474095265446</x:v>
      </x:c>
      <x:c r="AG151" s="48" t="n">
        <x:f>(Z151/AA151)^4</x:f>
        <x:v>0.9908345333349294</x:v>
      </x:c>
      <x:c r="AH151" s="48" t="n">
        <x:f>10*LOG10(AG151)</x:f>
        <x:v>-0.0399886545373808</x:v>
      </x:c>
      <x:c r="AI151" s="48" t="n">
        <x:f>AC151-F151</x:f>
        <x:v>-217.1561018941295</x:v>
      </x:c>
      <x:c r="AJ151" s="48" t="n">
        <x:f>AD151-G151</x:f>
        <x:v>-2.5787030397646005</x:v>
      </x:c>
      <x:c r="AK151" s="48" t="n">
        <x:f>Y151-X151</x:f>
        <x:v>388.2420998198566</x:v>
      </x:c>
      <x:c r="AL151" s="48" t="n">
        <x:f>1000*(AA152-AA150)/(A152-A150)*Inputs!$C$11</x:f>
        <x:v>362.8588907949961</x:v>
      </x:c>
      <x:c r="AM151" s="48" t="n">
        <x:f>-2*AL151/Inputs!$C$13</x:f>
        <x:v>-145.14355631799845</x:v>
      </x:c>
      <x:c r="AN151" s="48" t="n">
        <x:f>-2*AL151/Inputs!$C$14</x:f>
        <x:v>-21.79332677447424</x:v>
      </x:c>
      <x:c r="AO151" s="48" t="n">
        <x:f>ABS(AM151)</x:f>
        <x:v>145.14355631799845</x:v>
      </x:c>
      <x:c r="AP151" s="48" t="n">
        <x:f>ABS(AN151)</x:f>
        <x:v>21.79332677447424</x:v>
      </x:c>
      <x:c r="AQ151" s="48" t="n">
        <x:f>IF(OR(Inputs!$C$27=TRUE,Inputs!$C$27="TRUE",Inputs!$C$27=1),Inputs!$C$46/Inputs!$C$12,0)</x:f>
        <x:v>42.13483146067416</x:v>
      </x:c>
      <x:c r="AR151" s="48" t="n">
        <x:f>AC151-AQ151</x:f>
        <x:v>476.0161756590169</x:v>
      </x:c>
      <x:c r="AS151" s="48" t="n">
        <x:f>AC151+AQ151</x:f>
        <x:v>560.2858385803652</x:v>
      </x:c>
    </x:row>
    <x:row r="152">
      <x:c r="A152" s="48" t="n">
        <x:f>Inputs!$C$7+150*(Inputs!$C$8-Inputs!$C$7)/240</x:f>
        <x:v>15</x:v>
      </x:c>
      <x:c r="B152" s="48" t="n">
        <x:f>Inputs!$C$5+Inputs!$C$9*(A152/Inputs!$C$10)^2</x:f>
        <x:v>400.25</x:v>
      </x:c>
      <x:c r="C152" s="48" t="n">
        <x:f>B152</x:f>
        <x:v>400.25</x:v>
      </x:c>
      <x:c r="D152" s="48" t="n">
        <x:f>SQRT((Inputs!$C$52+B152)^2+Inputs!$C$52^2-2*(Inputs!$C$52+B152)*Inputs!$C$52*COS(SQRT(A152^2+Inputs!$C$6^2)/Inputs!$C$52))</x:f>
        <x:v>401.5818778308572</x:v>
      </x:c>
      <x:c r="E152" s="48" t="n">
        <x:f>(D152-C152)*1000</x:f>
        <x:v>1331.877830857195</x:v>
      </x:c>
      <x:c r="F152" s="48" t="n">
        <x:f>E152/Inputs!$C$12</x:f>
        <x:v>748.2459723916826</x:v>
      </x:c>
      <x:c r="G152" s="48" t="n">
        <x:f>2*E152/Inputs!$C$21*1000000</x:f>
        <x:v>8.885332471287153</x:v>
      </x:c>
      <x:c r="H152" s="48" t="n">
        <x:f>SQRT(A152^2+Inputs!$C$6^2)</x:f>
        <x:v>29.154759474226502</x:v>
      </x:c>
      <x:c r="I152" s="48" t="n">
        <x:f>DEGREES(ATAN(H152/B152))</x:f>
        <x:v>4.1661452978543005</x:v>
      </x:c>
      <x:c r="J152" s="48" t="n">
        <x:f>DEGREES((2*PI()/Inputs!$C$13)*Inputs!$C$15*SIN(RADIANS(I152)))</x:f>
        <x:v>26.153602260558017</x:v>
      </x:c>
      <x:c r="K152" s="48" t="n">
        <x:f>(C152/D152)^4</x:f>
        <x:v>0.9867995382659787</x:v>
      </x:c>
      <x:c r="L152" s="48" t="n">
        <x:f>10*LOG10(K152)</x:f>
        <x:v>-0.0577106239327086</x:v>
      </x:c>
      <x:c r="M152" s="48" t="n">
        <x:f>2*(Inputs!$C$9/(Inputs!$C$10^2))*A152</x:f>
        <x:v>0.03333333333333333</x:v>
      </x:c>
      <x:c r="N152" s="48" t="n">
        <x:f>M152*Inputs!$C$11</x:f>
        <x:v>0.13333333333333333</x:v>
      </x:c>
      <x:c r="O152" s="48" t="n">
        <x:f>1000*(D153-D151)/(A153-A151)*Inputs!$C$11</x:f>
        <x:v>320.69368331076475</x:v>
      </x:c>
      <x:c r="P152" s="48" t="n">
        <x:f>-2*O152/Inputs!$C$13</x:f>
        <x:v>-128.2774733243059</x:v>
      </x:c>
      <x:c r="Q152" s="48" t="n">
        <x:f>-2*O152/Inputs!$C$14</x:f>
        <x:v>-19.260881880526412</x:v>
      </x:c>
      <x:c r="R152" s="48" t="n">
        <x:f>F152-Inputs!$C$16/2</x:f>
        <x:v>733.2459723916826</x:v>
      </x:c>
      <x:c r="S152" s="48" t="n">
        <x:f>F152+Inputs!$C$16/2</x:f>
        <x:v>763.2459723916826</x:v>
      </x:c>
      <x:c r="T152" s="48" t="n">
        <x:f>F152-Inputs!$C$17/2</x:f>
        <x:v>598.2459723916826</x:v>
      </x:c>
      <x:c r="U152" s="48" t="n">
        <x:f>F152+Inputs!$C$17/2</x:f>
        <x:v>898.2459723916826</x:v>
      </x:c>
      <x:c r="V152" s="48" t="n">
        <x:f>ABS(P152)</x:f>
        <x:v>128.2774733243059</x:v>
      </x:c>
      <x:c r="W152" s="48" t="n">
        <x:f>ABS(Q152)</x:f>
        <x:v>19.260881880526412</x:v>
      </x:c>
      <x:c r="X152" s="48" t="n">
        <x: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(0.45*SIN(2*PI()*(((A152)/Inputs!$C$49)+Inputs!$C$47*0.137))+0.35*COS(2*PI()*(((0)/Inputs!$C$50)+Inputs!$C$47*0.173))+0.20*SIN(2*PI()*(((A152)+(0))/(0.5*(Inputs!$C$49+Inputs!$C$50))+Inputs!$C$47*0.097)))+0.30*(2*((SIN(((A152)*12.9898+(0)*78.233+Inputs!$C$47*37.719))*43758.5453)-INT((SIN(((A152)*12.9898+(0)*78.233+Inputs!$C$47*37.719))*43758.5453)))-1)))</x:f>
        <x:v>45.362905639140564</x:v>
      </x:c>
      <x:c r="Y152" s="48" t="n">
        <x: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(0.45*SIN(2*PI()*(((A152)/Inputs!$C$49)+Inputs!$C$47*0.137))+0.35*COS(2*PI()*(((Inputs!$C$6)/Inputs!$C$50)+Inputs!$C$47*0.173))+0.20*SIN(2*PI()*(((A152)+(Inputs!$C$6))/(0.5*(Inputs!$C$49+Inputs!$C$50))+Inputs!$C$47*0.097)))+0.30*(2*((SIN(((A152)*12.9898+(Inputs!$C$6)*78.233+Inputs!$C$47*37.719))*43758.5453)-INT((SIN(((A152)*12.9898+(Inputs!$C$6)*78.233+Inputs!$C$47*37.719))*43758.5453)))-1)))</x:f>
        <x:v>399.34593170493116</x:v>
      </x:c>
      <x:c r="Z152" s="48" t="n">
        <x:f>B152-X152/1000</x:f>
        <x:v>400.20463709436086</x:v>
      </x:c>
      <x:c r="AA152" s="48" t="n">
        <x:f>SQRT((Inputs!$C$52+B152)^2+(Inputs!$C$52+Y152/1000)^2-2*(Inputs!$C$52+B152)*(Inputs!$C$52+Y152/1000)*COS(SQRT(A152^2+Inputs!$C$6^2)/Inputs!$C$52))</x:f>
        <x:v>401.1841982237373</x:v>
      </x:c>
      <x:c r="AB152" s="48" t="n">
        <x:f>(AA152-Z152)*1000</x:f>
        <x:v>979.5611293764637</x:v>
      </x:c>
      <x:c r="AC152" s="48" t="n">
        <x:f>AB152/Inputs!$C$12</x:f>
        <x:v>550.3152412227324</x:v>
      </x:c>
      <x:c r="AD152" s="48" t="n">
        <x:f>2*AB152/Inputs!$C$21*1000000</x:f>
        <x:v>6.534928436234801</x:v>
      </x:c>
      <x:c r="AE152" s="48" t="n">
        <x:f>DEGREES(ATAN(H152/(B152-Y152/1000)))</x:f>
        <x:v>4.1702915117409125</x:v>
      </x:c>
      <x:c r="AF152" s="48" t="n">
        <x:f>DEGREES((2*PI()/Inputs!$C$13)*Inputs!$C$15*SIN(RADIANS(AE152)))</x:f>
        <x:v>26.179584783351807</x:v>
      </x:c>
      <x:c r="AG152" s="48" t="n">
        <x:f>(Z152/AA152)^4</x:f>
        <x:v>0.9902690154172167</x:v>
      </x:c>
      <x:c r="AH152" s="48" t="n">
        <x:f>10*LOG10(AG152)</x:f>
        <x:v>-0.0424680940185298</x:v>
      </x:c>
      <x:c r="AI152" s="48" t="n">
        <x:f>AC152-F152</x:f>
        <x:v>-197.93073116895016</x:v>
      </x:c>
      <x:c r="AJ152" s="48" t="n">
        <x:f>AD152-G152</x:f>
        <x:v>-2.3504040350523523</x:v>
      </x:c>
      <x:c r="AK152" s="48" t="n">
        <x:f>Y152-X152</x:f>
        <x:v>353.98302606579057</x:v>
      </x:c>
      <x:c r="AL152" s="48" t="n">
        <x:f>1000*(AA153-AA151)/(A153-A151)*Inputs!$C$11</x:f>
        <x:v>400.40183724022427</x:v>
      </x:c>
      <x:c r="AM152" s="48" t="n">
        <x:f>-2*AL152/Inputs!$C$13</x:f>
        <x:v>-160.1607348960897</x:v>
      </x:c>
      <x:c r="AN152" s="48" t="n">
        <x:f>-2*AL152/Inputs!$C$14</x:f>
        <x:v>-24.048158392806265</x:v>
      </x:c>
      <x:c r="AO152" s="48" t="n">
        <x:f>ABS(AM152)</x:f>
        <x:v>160.1607348960897</x:v>
      </x:c>
      <x:c r="AP152" s="48" t="n">
        <x:f>ABS(AN152)</x:f>
        <x:v>24.048158392806265</x:v>
      </x:c>
      <x:c r="AQ152" s="48" t="n">
        <x:f>IF(OR(Inputs!$C$27=TRUE,Inputs!$C$27="TRUE",Inputs!$C$27=1),Inputs!$C$46/Inputs!$C$12,0)</x:f>
        <x:v>42.13483146067416</x:v>
      </x:c>
      <x:c r="AR152" s="48" t="n">
        <x:f>AC152-AQ152</x:f>
        <x:v>508.1804097620583</x:v>
      </x:c>
      <x:c r="AS152" s="48" t="n">
        <x:f>AC152+AQ152</x:f>
        <x:v>592.4500726834066</x:v>
      </x:c>
    </x:row>
    <x:row r="153">
      <x:c r="A153" s="48" t="n">
        <x:f>Inputs!$C$7+151*(Inputs!$C$8-Inputs!$C$7)/240</x:f>
        <x:v>15.5</x:v>
      </x:c>
      <x:c r="B153" s="48" t="n">
        <x:f>Inputs!$C$5+Inputs!$C$9*(A153/Inputs!$C$10)^2</x:f>
        <x:v>400.26694444444445</x:v>
      </x:c>
      <x:c r="C153" s="48" t="n">
        <x:f>B153</x:f>
        <x:v>400.26694444444445</x:v>
      </x:c>
      <x:c r="D153" s="48" t="n">
        <x:f>SQRT((Inputs!$C$52+B153)^2+Inputs!$C$52^2-2*(Inputs!$C$52+B153)*Inputs!$C$52*COS(SQRT(A153^2+Inputs!$C$6^2)/Inputs!$C$52))</x:f>
        <x:v>401.6226311859834</x:v>
      </x:c>
      <x:c r="E153" s="48" t="n">
        <x:f>(D153-C153)*1000</x:f>
        <x:v>1355.686741538932</x:v>
      </x:c>
      <x:c r="F153" s="48" t="n">
        <x:f>E153/Inputs!$C$12</x:f>
        <x:v>761.6217649095123</x:v>
      </x:c>
      <x:c r="G153" s="48" t="n">
        <x:f>2*E153/Inputs!$C$21*1000000</x:f>
        <x:v>9.044168426271296</x:v>
      </x:c>
      <x:c r="H153" s="48" t="n">
        <x:f>SQRT(A153^2+Inputs!$C$6^2)</x:f>
        <x:v>29.415132160165456</x:v>
      </x:c>
      <x:c r="I153" s="48" t="n">
        <x:f>DEGREES(ATAN(H153/B153))</x:f>
        <x:v>4.203041875082947</x:v>
      </x:c>
      <x:c r="J153" s="48" t="n">
        <x:f>DEGREES((2*PI()/Inputs!$C$13)*Inputs!$C$15*SIN(RADIANS(I153)))</x:f>
        <x:v>26.38481226611161</x:v>
      </x:c>
      <x:c r="K153" s="48" t="n">
        <x:f>(C153/D153)^4</x:f>
        <x:v>0.9865661161355888</x:v>
      </x:c>
      <x:c r="L153" s="48" t="n">
        <x:f>10*LOG10(K153)</x:f>
        <x:v>-0.058738045722777</x:v>
      </x:c>
      <x:c r="M153" s="48" t="n">
        <x:f>2*(Inputs!$C$9/(Inputs!$C$10^2))*A153</x:f>
        <x:v>0.034444444444444444</x:v>
      </x:c>
      <x:c r="N153" s="48" t="n">
        <x:f>M153*Inputs!$C$11</x:f>
        <x:v>0.13777777777777778</x:v>
      </x:c>
      <x:c r="O153" s="48" t="n">
        <x:f>1000*(D154-D152)/(A154-A152)*Inputs!$C$11</x:f>
        <x:v>331.3588089863515</x:v>
      </x:c>
      <x:c r="P153" s="48" t="n">
        <x:f>-2*O153/Inputs!$C$13</x:f>
        <x:v>-132.5435235945406</x:v>
      </x:c>
      <x:c r="Q153" s="48" t="n">
        <x:f>-2*O153/Inputs!$C$14</x:f>
        <x:v>-19.901429969150243</x:v>
      </x:c>
      <x:c r="R153" s="48" t="n">
        <x:f>F153-Inputs!$C$16/2</x:f>
        <x:v>746.6217649095123</x:v>
      </x:c>
      <x:c r="S153" s="48" t="n">
        <x:f>F153+Inputs!$C$16/2</x:f>
        <x:v>776.6217649095123</x:v>
      </x:c>
      <x:c r="T153" s="48" t="n">
        <x:f>F153-Inputs!$C$17/2</x:f>
        <x:v>611.6217649095123</x:v>
      </x:c>
      <x:c r="U153" s="48" t="n">
        <x:f>F153+Inputs!$C$17/2</x:f>
        <x:v>911.6217649095123</x:v>
      </x:c>
      <x:c r="V153" s="48" t="n">
        <x:f>ABS(P153)</x:f>
        <x:v>132.5435235945406</x:v>
      </x:c>
      <x:c r="W153" s="48" t="n">
        <x:f>ABS(Q153)</x:f>
        <x:v>19.901429969150243</x:v>
      </x:c>
      <x:c r="X153" s="48" t="n">
        <x: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(0.45*SIN(2*PI()*(((A153)/Inputs!$C$49)+Inputs!$C$47*0.137))+0.35*COS(2*PI()*(((0)/Inputs!$C$50)+Inputs!$C$47*0.173))+0.20*SIN(2*PI()*(((A153)+(0))/(0.5*(Inputs!$C$49+Inputs!$C$50))+Inputs!$C$47*0.097)))+0.30*(2*((SIN(((A153)*12.9898+(0)*78.233+Inputs!$C$47*37.719))*43758.5453)-INT((SIN(((A153)*12.9898+(0)*78.233+Inputs!$C$47*37.719))*43758.5453)))-1)))</x:f>
        <x:v>49.090179641950456</x:v>
      </x:c>
      <x:c r="Y153" s="48" t="n">
        <x: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(0.45*SIN(2*PI()*(((A153)/Inputs!$C$49)+Inputs!$C$47*0.137))+0.35*COS(2*PI()*(((Inputs!$C$6)/Inputs!$C$50)+Inputs!$C$47*0.173))+0.20*SIN(2*PI()*(((A153)+(Inputs!$C$6))/(0.5*(Inputs!$C$49+Inputs!$C$50))+Inputs!$C$47*0.097)))+0.30*(2*((SIN(((A153)*12.9898+(Inputs!$C$6)*78.233+Inputs!$C$47*37.719))*43758.5453)-INT((SIN(((A153)*12.9898+(Inputs!$C$6)*78.233+Inputs!$C$47*37.719))*43758.5453)))-1)))</x:f>
        <x:v>395.616361037493</x:v>
      </x:c>
      <x:c r="Z153" s="48" t="n">
        <x:f>B153-X153/1000</x:f>
        <x:v>400.2178542648025</x:v>
      </x:c>
      <x:c r="AA153" s="48" t="n">
        <x:f>SQRT((Inputs!$C$52+B153)^2+(Inputs!$C$52+Y153/1000)^2-2*(Inputs!$C$52+B153)*(Inputs!$C$52+Y153/1000)*COS(SQRT(A153^2+Inputs!$C$6^2)/Inputs!$C$52))</x:f>
        <x:v>401.22869493514344</x:v>
      </x:c>
      <x:c r="AB153" s="48" t="n">
        <x:f>(AA153-Z153)*1000</x:f>
        <x:v>1010.84067034094</x:v>
      </x:c>
      <x:c r="AC153" s="48" t="n">
        <x:f>AB153/Inputs!$C$12</x:f>
        <x:v>567.8880170454719</x:v>
      </x:c>
      <x:c r="AD153" s="48" t="n">
        <x:f>2*AB153/Inputs!$C$21*1000000</x:f>
        <x:v>6.743603071835383</x:v>
      </x:c>
      <x:c r="AE153" s="48" t="n">
        <x:f>DEGREES(ATAN(H153/(B153-Y153/1000)))</x:f>
        <x:v>4.207185269148323</x:v>
      </x:c>
      <x:c r="AF153" s="48" t="n">
        <x:f>DEGREES((2*PI()/Inputs!$C$13)*Inputs!$C$15*SIN(RADIANS(AE153)))</x:f>
        <x:v>26.410775894420482</x:v>
      </x:c>
      <x:c r="AG153" s="48" t="n">
        <x:f>(Z153/AA153)^4</x:f>
        <x:v>0.9899605677923509</x:v>
      </x:c>
      <x:c r="AH153" s="48" t="n">
        <x:f>10*LOG10(AG153)</x:f>
        <x:v>-0.0438210391886715</x:v>
      </x:c>
      <x:c r="AI153" s="48" t="n">
        <x:f>AC153-F153</x:f>
        <x:v>-193.73374786404042</x:v>
      </x:c>
      <x:c r="AJ153" s="48" t="n">
        <x:f>AD153-G153</x:f>
        <x:v>-2.3005653544359133</x:v>
      </x:c>
      <x:c r="AK153" s="48" t="n">
        <x:f>Y153-X153</x:f>
        <x:v>346.52618139554255</x:v>
      </x:c>
      <x:c r="AL153" s="48" t="n">
        <x:f>1000*(AA154-AA152)/(A154-A152)*Inputs!$C$11</x:f>
        <x:v>327.76450689675585</x:v>
      </x:c>
      <x:c r="AM153" s="48" t="n">
        <x:f>-2*AL153/Inputs!$C$13</x:f>
        <x:v>-131.10580275870234</x:v>
      </x:c>
      <x:c r="AN153" s="48" t="n">
        <x:f>-2*AL153/Inputs!$C$14</x:f>
        <x:v>-19.685555969775127</x:v>
      </x:c>
      <x:c r="AO153" s="48" t="n">
        <x:f>ABS(AM153)</x:f>
        <x:v>131.10580275870234</x:v>
      </x:c>
      <x:c r="AP153" s="48" t="n">
        <x:f>ABS(AN153)</x:f>
        <x:v>19.685555969775127</x:v>
      </x:c>
      <x:c r="AQ153" s="48" t="n">
        <x:f>IF(OR(Inputs!$C$27=TRUE,Inputs!$C$27="TRUE",Inputs!$C$27=1),Inputs!$C$46/Inputs!$C$12,0)</x:f>
        <x:v>42.13483146067416</x:v>
      </x:c>
      <x:c r="AR153" s="48" t="n">
        <x:f>AC153-AQ153</x:f>
        <x:v>525.7531855847977</x:v>
      </x:c>
      <x:c r="AS153" s="48" t="n">
        <x:f>AC153+AQ153</x:f>
        <x:v>610.022848506146</x:v>
      </x:c>
    </x:row>
    <x:row r="154">
      <x:c r="A154" s="48" t="n">
        <x:f>Inputs!$C$7+152*(Inputs!$C$8-Inputs!$C$7)/240</x:f>
        <x:v>16</x:v>
      </x:c>
      <x:c r="B154" s="48" t="n">
        <x:f>Inputs!$C$5+Inputs!$C$9*(A154/Inputs!$C$10)^2</x:f>
        <x:v>400.28444444444443</x:v>
      </x:c>
      <x:c r="C154" s="48" t="n">
        <x:f>B154</x:f>
        <x:v>400.28444444444443</x:v>
      </x:c>
      <x:c r="D154" s="48" t="n">
        <x:f>SQRT((Inputs!$C$52+B154)^2+Inputs!$C$52^2-2*(Inputs!$C$52+B154)*Inputs!$C$52*COS(SQRT(A154^2+Inputs!$C$6^2)/Inputs!$C$52))</x:f>
        <x:v>401.6647175331038</x:v>
      </x:c>
      <x:c r="E154" s="48" t="n">
        <x:f>(D154-C154)*1000</x:f>
        <x:v>1380.2730886593508</x:v>
      </x:c>
      <x:c r="F154" s="48" t="n">
        <x:f>E154/Inputs!$C$12</x:f>
        <x:v>775.4343194715455</x:v>
      </x:c>
      <x:c r="G154" s="48" t="n">
        <x:f>2*E154/Inputs!$C$21*1000000</x:f>
        <x:v>9.2081908789003</x:v>
      </x:c>
      <x:c r="H154" s="48" t="n">
        <x:f>SQRT(A154^2+Inputs!$C$6^2)</x:f>
        <x:v>29.68164415931166</x:v>
      </x:c>
      <x:c r="I154" s="48" t="n">
        <x:f>DEGREES(ATAN(H154/B154))</x:f>
        <x:v>4.240799936495226</x:v>
      </x:c>
      <x:c r="J154" s="48" t="n">
        <x:f>DEGREES((2*PI()/Inputs!$C$13)*Inputs!$C$15*SIN(RADIANS(I154)))</x:f>
        <x:v>26.621409377803502</x:v>
      </x:c>
      <x:c r="K154" s="48" t="n">
        <x:f>(C154/D154)^4</x:f>
        <x:v>0.986325165271373</x:v>
      </x:c>
      <x:c r="L154" s="48" t="n">
        <x:f>10*LOG10(K154)</x:f>
        <x:v>-0.0597988607027526</x:v>
      </x:c>
      <x:c r="M154" s="48" t="n">
        <x:f>2*(Inputs!$C$9/(Inputs!$C$10^2))*A154</x:f>
        <x:v>0.035555555555555556</x:v>
      </x:c>
      <x:c r="N154" s="48" t="n">
        <x:f>M154*Inputs!$C$11</x:f>
        <x:v>0.14222222222222222</x:v>
      </x:c>
      <x:c r="O154" s="48" t="n">
        <x:f>1000*(D155-D153)/(A155-A153)*Inputs!$C$11</x:f>
        <x:v>342.02151684144155</x:v>
      </x:c>
      <x:c r="P154" s="48" t="n">
        <x:f>-2*O154/Inputs!$C$13</x:f>
        <x:v>-136.80860673657662</x:v>
      </x:c>
      <x:c r="Q154" s="48" t="n">
        <x:f>-2*O154/Inputs!$C$14</x:f>
        <x:v>-20.541832843329825</x:v>
      </x:c>
      <x:c r="R154" s="48" t="n">
        <x:f>F154-Inputs!$C$16/2</x:f>
        <x:v>760.4343194715455</x:v>
      </x:c>
      <x:c r="S154" s="48" t="n">
        <x:f>F154+Inputs!$C$16/2</x:f>
        <x:v>790.4343194715455</x:v>
      </x:c>
      <x:c r="T154" s="48" t="n">
        <x:f>F154-Inputs!$C$17/2</x:f>
        <x:v>625.4343194715455</x:v>
      </x:c>
      <x:c r="U154" s="48" t="n">
        <x:f>F154+Inputs!$C$17/2</x:f>
        <x:v>925.4343194715455</x:v>
      </x:c>
      <x:c r="V154" s="48" t="n">
        <x:f>ABS(P154)</x:f>
        <x:v>136.80860673657662</x:v>
      </x:c>
      <x:c r="W154" s="48" t="n">
        <x:f>ABS(Q154)</x:f>
        <x:v>20.541832843329825</x:v>
      </x:c>
      <x:c r="X154" s="48" t="n">
        <x: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(0.45*SIN(2*PI()*(((A154)/Inputs!$C$49)+Inputs!$C$47*0.137))+0.35*COS(2*PI()*(((0)/Inputs!$C$50)+Inputs!$C$47*0.173))+0.20*SIN(2*PI()*(((A154)+(0))/(0.5*(Inputs!$C$49+Inputs!$C$50))+Inputs!$C$47*0.097)))+0.30*(2*((SIN(((A154)*12.9898+(0)*78.233+Inputs!$C$47*37.719))*43758.5453)-INT((SIN(((A154)*12.9898+(0)*78.233+Inputs!$C$47*37.719))*43758.5453)))-1)))</x:f>
        <x:v>69.7201880441823</x:v>
      </x:c>
      <x:c r="Y154" s="48" t="n">
        <x: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(0.45*SIN(2*PI()*(((A154)/Inputs!$C$49)+Inputs!$C$47*0.137))+0.35*COS(2*PI()*(((Inputs!$C$6)/Inputs!$C$50)+Inputs!$C$47*0.173))+0.20*SIN(2*PI()*(((A154)+(Inputs!$C$6))/(0.5*(Inputs!$C$49+Inputs!$C$50))+Inputs!$C$47*0.097)))+0.30*(2*((SIN(((A154)*12.9898+(Inputs!$C$6)*78.233+Inputs!$C$47*37.719))*43758.5453)-INT((SIN(((A154)*12.9898+(Inputs!$C$6)*78.233+Inputs!$C$47*37.719))*43758.5453)))-1)))</x:f>
        <x:v>400.30891755789503</x:v>
      </x:c>
      <x:c r="Z154" s="48" t="n">
        <x:f>B154-X154/1000</x:f>
        <x:v>400.21472425640025</x:v>
      </x:c>
      <x:c r="AA154" s="48" t="n">
        <x:f>SQRT((Inputs!$C$52+B154)^2+(Inputs!$C$52+Y154/1000)^2-2*(Inputs!$C$52+B154)*(Inputs!$C$52+Y154/1000)*COS(SQRT(A154^2+Inputs!$C$6^2)/Inputs!$C$52))</x:f>
        <x:v>401.2661393504615</x:v>
      </x:c>
      <x:c r="AB154" s="48" t="n">
        <x:f>(AA154-Z154)*1000</x:f>
        <x:v>1051.4150940612694</x:v>
      </x:c>
      <x:c r="AC154" s="48" t="n">
        <x:f>AB154/Inputs!$C$12</x:f>
        <x:v>590.6826371130727</x:v>
      </x:c>
      <x:c r="AD154" s="48" t="n">
        <x:f>2*AB154/Inputs!$C$21*1000000</x:f>
        <x:v>7.014286490564546</x:v>
      </x:c>
      <x:c r="AE154" s="48" t="n">
        <x:f>DEGREES(ATAN(H154/(B154-Y154/1000)))</x:f>
        <x:v>4.24502973023017</x:v>
      </x:c>
      <x:c r="AF154" s="48" t="n">
        <x:f>DEGREES((2*PI()/Inputs!$C$13)*Inputs!$C$15*SIN(RADIANS(AE154)))</x:f>
        <x:v>26.647913118326414</x:v>
      </x:c>
      <x:c r="AG154" s="48" t="n">
        <x:f>(Z154/AA154)^4</x:f>
        <x:v>0.9895601471486235</x:v>
      </x:c>
      <x:c r="AH154" s="48" t="n">
        <x:f>10*LOG10(AG154)</x:f>
        <x:v>-0.0455780349813425</x:v>
      </x:c>
      <x:c r="AI154" s="48" t="n">
        <x:f>AC154-F154</x:f>
        <x:v>-184.75168235847275</x:v>
      </x:c>
      <x:c r="AJ154" s="48" t="n">
        <x:f>AD154-G154</x:f>
        <x:v>-2.1939043883357545</x:v>
      </x:c>
      <x:c r="AK154" s="48" t="n">
        <x:f>Y154-X154</x:f>
        <x:v>330.58872951371274</x:v>
      </x:c>
      <x:c r="AL154" s="48" t="n">
        <x:f>1000*(AA155-AA153)/(A155-A153)*Inputs!$C$11</x:f>
        <x:v>300.1127662851104</x:v>
      </x:c>
      <x:c r="AM154" s="48" t="n">
        <x:f>-2*AL154/Inputs!$C$13</x:f>
        <x:v>-120.04510651404416</x:v>
      </x:c>
      <x:c r="AN154" s="48" t="n">
        <x:f>-2*AL154/Inputs!$C$14</x:f>
        <x:v>-18.0247907678745</x:v>
      </x:c>
      <x:c r="AO154" s="48" t="n">
        <x:f>ABS(AM154)</x:f>
        <x:v>120.04510651404416</x:v>
      </x:c>
      <x:c r="AP154" s="48" t="n">
        <x:f>ABS(AN154)</x:f>
        <x:v>18.0247907678745</x:v>
      </x:c>
      <x:c r="AQ154" s="48" t="n">
        <x:f>IF(OR(Inputs!$C$27=TRUE,Inputs!$C$27="TRUE",Inputs!$C$27=1),Inputs!$C$46/Inputs!$C$12,0)</x:f>
        <x:v>42.13483146067416</x:v>
      </x:c>
      <x:c r="AR154" s="48" t="n">
        <x:f>AC154-AQ154</x:f>
        <x:v>548.5478056523986</x:v>
      </x:c>
      <x:c r="AS154" s="48" t="n">
        <x:f>AC154+AQ154</x:f>
        <x:v>632.8174685737469</x:v>
      </x:c>
    </x:row>
    <x:row r="155">
      <x:c r="A155" s="48" t="n">
        <x:f>Inputs!$C$7+153*(Inputs!$C$8-Inputs!$C$7)/240</x:f>
        <x:v>16.5</x:v>
      </x:c>
      <x:c r="B155" s="48" t="n">
        <x:f>Inputs!$C$5+Inputs!$C$9*(A155/Inputs!$C$10)^2</x:f>
        <x:v>400.3025</x:v>
      </x:c>
      <x:c r="C155" s="48" t="n">
        <x:f>B155</x:f>
        <x:v>400.3025</x:v>
      </x:c>
      <x:c r="D155" s="48" t="n">
        <x:f>SQRT((Inputs!$C$52+B155)^2+Inputs!$C$52^2-2*(Inputs!$C$52+B155)*Inputs!$C$52*COS(SQRT(A155^2+Inputs!$C$6^2)/Inputs!$C$52))</x:f>
        <x:v>401.70813656519374</x:v>
      </x:c>
      <x:c r="E155" s="48" t="n">
        <x:f>(D155-C155)*1000</x:f>
        <x:v>1405.6365651937313</x:v>
      </x:c>
      <x:c r="F155" s="48" t="n">
        <x:f>E155/Inputs!$C$12</x:f>
        <x:v>789.6834635919838</x:v>
      </x:c>
      <x:c r="G155" s="48" t="n">
        <x:f>2*E155/Inputs!$C$21*1000000</x:f>
        <x:v>9.377397780925705</x:v>
      </x:c>
      <x:c r="H155" s="48" t="n">
        <x:f>SQRT(A155^2+Inputs!$C$6^2)</x:f>
        <x:v>29.95413160150032</x:v>
      </x:c>
      <x:c r="I155" s="48" t="n">
        <x:f>DEGREES(ATAN(H155/B155))</x:f>
        <x:v>4.2793956023743185</x:v>
      </x:c>
      <x:c r="J155" s="48" t="n">
        <x:f>DEGREES((2*PI()/Inputs!$C$13)*Inputs!$C$15*SIN(RADIANS(I155)))</x:f>
        <x:v>26.863243082603024</x:v>
      </x:c>
      <x:c r="K155" s="48" t="n">
        <x:f>(C155/D155)^4</x:f>
        <x:v>0.986076697620253</x:v>
      </x:c>
      <x:c r="L155" s="48" t="n">
        <x:f>10*LOG10(K155)</x:f>
        <x:v>-0.060893040670981904</x:v>
      </x:c>
      <x:c r="M155" s="48" t="n">
        <x:f>2*(Inputs!$C$9/(Inputs!$C$10^2))*A155</x:f>
        <x:v>0.03666666666666667</x:v>
      </x:c>
      <x:c r="N155" s="48" t="n">
        <x:f>M155*Inputs!$C$11</x:f>
        <x:v>0.14666666666666667</x:v>
      </x:c>
      <x:c r="O155" s="48" t="n">
        <x:f>1000*(D156-D154)/(A156-A154)*Inputs!$C$11</x:f>
        <x:v>352.68173018312154</x:v>
      </x:c>
      <x:c r="P155" s="48" t="n">
        <x:f>-2*O155/Inputs!$C$13</x:f>
        <x:v>-141.07269207324862</x:v>
      </x:c>
      <x:c r="Q155" s="48" t="n">
        <x:f>-2*O155/Inputs!$C$14</x:f>
        <x:v>-21.18208589688418</x:v>
      </x:c>
      <x:c r="R155" s="48" t="n">
        <x:f>F155-Inputs!$C$16/2</x:f>
        <x:v>774.6834635919838</x:v>
      </x:c>
      <x:c r="S155" s="48" t="n">
        <x:f>F155+Inputs!$C$16/2</x:f>
        <x:v>804.6834635919838</x:v>
      </x:c>
      <x:c r="T155" s="48" t="n">
        <x:f>F155-Inputs!$C$17/2</x:f>
        <x:v>639.6834635919838</x:v>
      </x:c>
      <x:c r="U155" s="48" t="n">
        <x:f>F155+Inputs!$C$17/2</x:f>
        <x:v>939.6834635919838</x:v>
      </x:c>
      <x:c r="V155" s="48" t="n">
        <x:f>ABS(P155)</x:f>
        <x:v>141.07269207324862</x:v>
      </x:c>
      <x:c r="W155" s="48" t="n">
        <x:f>ABS(Q155)</x:f>
        <x:v>21.18208589688418</x:v>
      </x:c>
      <x:c r="X155" s="48" t="n">
        <x: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(0.45*SIN(2*PI()*(((A155)/Inputs!$C$49)+Inputs!$C$47*0.137))+0.35*COS(2*PI()*(((0)/Inputs!$C$50)+Inputs!$C$47*0.173))+0.20*SIN(2*PI()*(((A155)+(0))/(0.5*(Inputs!$C$49+Inputs!$C$50))+Inputs!$C$47*0.097)))+0.30*(2*((SIN(((A155)*12.9898+(0)*78.233+Inputs!$C$47*37.719))*43758.5453)-INT((SIN(((A155)*12.9898+(0)*78.233+Inputs!$C$47*37.719))*43758.5453)))-1)))</x:f>
        <x:v>71.50919840907298</x:v>
      </x:c>
      <x:c r="Y155" s="48" t="n">
        <x: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(0.45*SIN(2*PI()*(((A155)/Inputs!$C$49)+Inputs!$C$47*0.137))+0.35*COS(2*PI()*(((Inputs!$C$6)/Inputs!$C$50)+Inputs!$C$47*0.173))+0.20*SIN(2*PI()*(((A155)+(Inputs!$C$6))/(0.5*(Inputs!$C$49+Inputs!$C$50))+Inputs!$C$47*0.097)))+0.30*(2*((SIN(((A155)*12.9898+(Inputs!$C$6)*78.233+Inputs!$C$47*37.719))*43758.5453)-INT((SIN(((A155)*12.9898+(Inputs!$C$6)*78.233+Inputs!$C$47*37.719))*43758.5453)))-1)))</x:f>
        <x:v>406.20178346502695</x:v>
      </x:c>
      <x:c r="Z155" s="48" t="n">
        <x:f>B155-X155/1000</x:f>
        <x:v>400.23099080159096</x:v>
      </x:c>
      <x:c r="AA155" s="48" t="n">
        <x:f>SQRT((Inputs!$C$52+B155)^2+(Inputs!$C$52+Y155/1000)^2-2*(Inputs!$C$52+B155)*(Inputs!$C$52+Y155/1000)*COS(SQRT(A155^2+Inputs!$C$6^2)/Inputs!$C$52))</x:f>
        <x:v>401.3037231267147</x:v>
      </x:c>
      <x:c r="AB155" s="48" t="n">
        <x:f>(AA155-Z155)*1000</x:f>
        <x:v>1072.7323251237522</x:v>
      </x:c>
      <x:c r="AC155" s="48" t="n">
        <x:f>AB155/Inputs!$C$12</x:f>
        <x:v>602.6586096200855</x:v>
      </x:c>
      <x:c r="AD155" s="48" t="n">
        <x:f>2*AB155/Inputs!$C$21*1000000</x:f>
        <x:v>7.1564997483942845</x:v>
      </x:c>
      <x:c r="AE155" s="48" t="n">
        <x:f>DEGREES(ATAN(H155/(B155-Y155/1000)))</x:f>
        <x:v>4.283726302060733</x:v>
      </x:c>
      <x:c r="AF155" s="48" t="n">
        <x:f>DEGREES((2*PI()/Inputs!$C$13)*Inputs!$C$15*SIN(RADIANS(AE155)))</x:f>
        <x:v>26.890377732243543</x:v>
      </x:c>
      <x:c r="AG155" s="48" t="n">
        <x:f>(Z155/AA155)^4</x:f>
        <x:v>0.9893503238261386</x:v>
      </x:c>
      <x:c r="AH155" s="48" t="n">
        <x:f>10*LOG10(AG155)</x:f>
        <x:v>-0.046498997428182094</x:v>
      </x:c>
      <x:c r="AI155" s="48" t="n">
        <x:f>AC155-F155</x:f>
        <x:v>-187.02485397189832</x:v>
      </x:c>
      <x:c r="AJ155" s="48" t="n">
        <x:f>AD155-G155</x:f>
        <x:v>-2.2208980325314203</x:v>
      </x:c>
      <x:c r="AK155" s="48" t="n">
        <x:f>Y155-X155</x:f>
        <x:v>334.69258505595394</x:v>
      </x:c>
      <x:c r="AL155" s="48" t="n">
        <x:f>1000*(AA156-AA154)/(A156-A154)*Inputs!$C$11</x:f>
        <x:v>342.63141293536137</x:v>
      </x:c>
      <x:c r="AM155" s="48" t="n">
        <x:f>-2*AL155/Inputs!$C$13</x:f>
        <x:v>-137.05256517414455</x:v>
      </x:c>
      <x:c r="AN155" s="48" t="n">
        <x:f>-2*AL155/Inputs!$C$14</x:f>
        <x:v>-20.578463239361046</x:v>
      </x:c>
      <x:c r="AO155" s="48" t="n">
        <x:f>ABS(AM155)</x:f>
        <x:v>137.05256517414455</x:v>
      </x:c>
      <x:c r="AP155" s="48" t="n">
        <x:f>ABS(AN155)</x:f>
        <x:v>20.578463239361046</x:v>
      </x:c>
      <x:c r="AQ155" s="48" t="n">
        <x:f>IF(OR(Inputs!$C$27=TRUE,Inputs!$C$27="TRUE",Inputs!$C$27=1),Inputs!$C$46/Inputs!$C$12,0)</x:f>
        <x:v>42.13483146067416</x:v>
      </x:c>
      <x:c r="AR155" s="48" t="n">
        <x:f>AC155-AQ155</x:f>
        <x:v>560.5237781594113</x:v>
      </x:c>
      <x:c r="AS155" s="48" t="n">
        <x:f>AC155+AQ155</x:f>
        <x:v>644.7934410807596</x:v>
      </x:c>
    </x:row>
    <x:row r="156">
      <x:c r="A156" s="48" t="n">
        <x:f>Inputs!$C$7+154*(Inputs!$C$8-Inputs!$C$7)/240</x:f>
        <x:v>17</x:v>
      </x:c>
      <x:c r="B156" s="48" t="n">
        <x:f>Inputs!$C$5+Inputs!$C$9*(A156/Inputs!$C$10)^2</x:f>
        <x:v>400.3211111111111</x:v>
      </x:c>
      <x:c r="C156" s="48" t="n">
        <x:f>B156</x:f>
        <x:v>400.3211111111111</x:v>
      </x:c>
      <x:c r="D156" s="48" t="n">
        <x:f>SQRT((Inputs!$C$52+B156)^2+Inputs!$C$52^2-2*(Inputs!$C$52+B156)*Inputs!$C$52*COS(SQRT(A156^2+Inputs!$C$6^2)/Inputs!$C$52))</x:f>
        <x:v>401.75288796564956</x:v>
      </x:c>
      <x:c r="E156" s="48" t="n">
        <x:f>(D156-C156)*1000</x:f>
        <x:v>1431.776854538441</x:v>
      </x:c>
      <x:c r="F156" s="48" t="n">
        <x:f>E156/Inputs!$C$12</x:f>
        <x:v>804.3690194036186</x:v>
      </x:c>
      <x:c r="G156" s="48" t="n">
        <x:f>2*E156/Inputs!$C$21*1000000</x:f>
        <x:v>9.551787020195425</x:v>
      </x:c>
      <x:c r="H156" s="48" t="n">
        <x:f>SQRT(A156^2+Inputs!$C$6^2)</x:f>
        <x:v>30.23243291566195</x:v>
      </x:c>
      <x:c r="I156" s="48" t="n">
        <x:f>DEGREES(ATAN(H156/B156))</x:f>
        <x:v>4.3188053168235525</x:v>
      </x:c>
      <x:c r="J156" s="48" t="n">
        <x:f>DEGREES((2*PI()/Inputs!$C$13)*Inputs!$C$15*SIN(RADIANS(I156)))</x:f>
        <x:v>27.110164894856272</x:v>
      </x:c>
      <x:c r="K156" s="48" t="n">
        <x:f>(C156/D156)^4</x:f>
        <x:v>0.9858207254931723</x:v>
      </x:c>
      <x:c r="L156" s="48" t="n">
        <x:f>10*LOG10(K156)</x:f>
        <x:v>-0.0620205565512049</x:v>
      </x:c>
      <x:c r="M156" s="48" t="n">
        <x:f>2*(Inputs!$C$9/(Inputs!$C$10^2))*A156</x:f>
        <x:v>0.03777777777777778</x:v>
      </x:c>
      <x:c r="N156" s="48" t="n">
        <x:f>M156*Inputs!$C$11</x:f>
        <x:v>0.1511111111111111</x:v>
      </x:c>
      <x:c r="O156" s="48" t="n">
        <x:f>1000*(D157-D155)/(A157-A155)*Inputs!$C$11</x:f>
        <x:v>363.33937246513415</x:v>
      </x:c>
      <x:c r="P156" s="48" t="n">
        <x:f>-2*O156/Inputs!$C$13</x:f>
        <x:v>-145.33574898605366</x:v>
      </x:c>
      <x:c r="Q156" s="48" t="n">
        <x:f>-2*O156/Inputs!$C$14</x:f>
        <x:v>-21.82218453244049</x:v>
      </x:c>
      <x:c r="R156" s="48" t="n">
        <x:f>F156-Inputs!$C$16/2</x:f>
        <x:v>789.3690194036186</x:v>
      </x:c>
      <x:c r="S156" s="48" t="n">
        <x:f>F156+Inputs!$C$16/2</x:f>
        <x:v>819.3690194036186</x:v>
      </x:c>
      <x:c r="T156" s="48" t="n">
        <x:f>F156-Inputs!$C$17/2</x:f>
        <x:v>654.3690194036186</x:v>
      </x:c>
      <x:c r="U156" s="48" t="n">
        <x:f>F156+Inputs!$C$17/2</x:f>
        <x:v>954.3690194036186</x:v>
      </x:c>
      <x:c r="V156" s="48" t="n">
        <x:f>ABS(P156)</x:f>
        <x:v>145.33574898605366</x:v>
      </x:c>
      <x:c r="W156" s="48" t="n">
        <x:f>ABS(Q156)</x:f>
        <x:v>21.82218453244049</x:v>
      </x:c>
      <x:c r="X156" s="48" t="n">
        <x: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(0.45*SIN(2*PI()*(((A156)/Inputs!$C$49)+Inputs!$C$47*0.137))+0.35*COS(2*PI()*(((0)/Inputs!$C$50)+Inputs!$C$47*0.173))+0.20*SIN(2*PI()*(((A156)+(0))/(0.5*(Inputs!$C$49+Inputs!$C$50))+Inputs!$C$47*0.097)))+0.30*(2*((SIN(((A156)*12.9898+(0)*78.233+Inputs!$C$47*37.719))*43758.5453)-INT((SIN(((A156)*12.9898+(0)*78.233+Inputs!$C$47*37.719))*43758.5453)))-1)))</x:f>
        <x:v>58.586187093984584</x:v>
      </x:c>
      <x:c r="Y156" s="48" t="n">
        <x: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(0.45*SIN(2*PI()*(((A156)/Inputs!$C$49)+Inputs!$C$47*0.137))+0.35*COS(2*PI()*(((Inputs!$C$6)/Inputs!$C$50)+Inputs!$C$47*0.173))+0.20*SIN(2*PI()*(((A156)+(Inputs!$C$6))/(0.5*(Inputs!$C$49+Inputs!$C$50))+Inputs!$C$47*0.097)))+0.30*(2*((SIN(((A156)*12.9898+(Inputs!$C$6)*78.233+Inputs!$C$47*37.719))*43758.5453)-INT((SIN(((A156)*12.9898+(Inputs!$C$6)*78.233+Inputs!$C$47*37.719))*43758.5453)))-1)))</x:f>
        <x:v>402.8973585501548</x:v>
      </x:c>
      <x:c r="Z156" s="48" t="n">
        <x:f>B156-X156/1000</x:f>
        <x:v>400.26252492401716</x:v>
      </x:c>
      <x:c r="AA156" s="48" t="n">
        <x:f>SQRT((Inputs!$C$52+B156)^2+(Inputs!$C$52+Y156/1000)^2-2*(Inputs!$C$52+B156)*(Inputs!$C$52+Y156/1000)*COS(SQRT(A156^2+Inputs!$C$6^2)/Inputs!$C$52))</x:f>
        <x:v>401.35179720369536</x:v>
      </x:c>
      <x:c r="AB156" s="48" t="n">
        <x:f>(AA156-Z156)*1000</x:f>
        <x:v>1089.2722796781982</x:v>
      </x:c>
      <x:c r="AC156" s="48" t="n">
        <x:f>AB156/Inputs!$C$12</x:f>
        <x:v>611.950718920336</x:v>
      </x:c>
      <x:c r="AD156" s="48" t="n">
        <x:f>2*AB156/Inputs!$C$21*1000000</x:f>
        <x:v>7.2668424479057325</x:v>
      </x:c>
      <x:c r="AE156" s="48" t="n">
        <x:f>DEGREES(ATAN(H156/(B156-Y156/1000)))</x:f>
        <x:v>4.323139807756409</x:v>
      </x:c>
      <x:c r="AF156" s="48" t="n">
        <x:f>DEGREES((2*PI()/Inputs!$C$13)*Inputs!$C$15*SIN(RADIANS(AE156)))</x:f>
        <x:v>27.1373218940922</x:v>
      </x:c>
      <x:c r="AG156" s="48" t="n">
        <x:f>(Z156/AA156)^4</x:f>
        <x:v>0.9891880802478612</x:v>
      </x:c>
      <x:c r="AH156" s="48" t="n">
        <x:f>10*LOG10(AG156)</x:f>
        <x:v>-0.047211255434223</x:v>
      </x:c>
      <x:c r="AI156" s="48" t="n">
        <x:f>AC156-F156</x:f>
        <x:v>-192.41830048328256</x:v>
      </x:c>
      <x:c r="AJ156" s="48" t="n">
        <x:f>AD156-G156</x:f>
        <x:v>-2.2849445722896924</x:v>
      </x:c>
      <x:c r="AK156" s="48" t="n">
        <x:f>Y156-X156</x:f>
        <x:v>344.31117145617026</x:v>
      </x:c>
      <x:c r="AL156" s="48" t="n">
        <x:f>1000*(AA157-AA155)/(A157-A155)*Inputs!$C$11</x:f>
        <x:v>338.145091799106</x:v>
      </x:c>
      <x:c r="AM156" s="48" t="n">
        <x:f>-2*AL156/Inputs!$C$13</x:f>
        <x:v>-135.2580367196424</x:v>
      </x:c>
      <x:c r="AN156" s="48" t="n">
        <x:f>-2*AL156/Inputs!$C$14</x:f>
        <x:v>-20.309014522468832</x:v>
      </x:c>
      <x:c r="AO156" s="48" t="n">
        <x:f>ABS(AM156)</x:f>
        <x:v>135.2580367196424</x:v>
      </x:c>
      <x:c r="AP156" s="48" t="n">
        <x:f>ABS(AN156)</x:f>
        <x:v>20.309014522468832</x:v>
      </x:c>
      <x:c r="AQ156" s="48" t="n">
        <x:f>IF(OR(Inputs!$C$27=TRUE,Inputs!$C$27="TRUE",Inputs!$C$27=1),Inputs!$C$46/Inputs!$C$12,0)</x:f>
        <x:v>42.13483146067416</x:v>
      </x:c>
      <x:c r="AR156" s="48" t="n">
        <x:f>AC156-AQ156</x:f>
        <x:v>569.8158874596619</x:v>
      </x:c>
      <x:c r="AS156" s="48" t="n">
        <x:f>AC156+AQ156</x:f>
        <x:v>654.0855503810102</x:v>
      </x:c>
    </x:row>
    <x:row r="157">
      <x:c r="A157" s="48" t="n">
        <x:f>Inputs!$C$7+155*(Inputs!$C$8-Inputs!$C$7)/240</x:f>
        <x:v>17.5</x:v>
      </x:c>
      <x:c r="B157" s="48" t="n">
        <x:f>Inputs!$C$5+Inputs!$C$9*(A157/Inputs!$C$10)^2</x:f>
        <x:v>400.34027777777777</x:v>
      </x:c>
      <x:c r="C157" s="48" t="n">
        <x:f>B157</x:f>
        <x:v>400.34027777777777</x:v>
      </x:c>
      <x:c r="D157" s="48" t="n">
        <x:f>SQRT((Inputs!$C$52+B157)^2+Inputs!$C$52^2-2*(Inputs!$C$52+B157)*Inputs!$C$52*COS(SQRT(A157^2+Inputs!$C$6^2)/Inputs!$C$52))</x:f>
        <x:v>401.79897140831</x:v>
      </x:c>
      <x:c r="E157" s="48" t="n">
        <x:f>(D157-C157)*1000</x:f>
        <x:v>1458.6936305322524</x:v>
      </x:c>
      <x:c r="F157" s="48" t="n">
        <x:f>E157/Inputs!$C$12</x:f>
        <x:v>819.4908036698047</x:v>
      </x:c>
      <x:c r="G157" s="48" t="n">
        <x:f>2*E157/Inputs!$C$21*1000000</x:f>
        <x:v>9.731356420795965</x:v>
      </x:c>
      <x:c r="H157" s="48" t="n">
        <x:f>SQRT(A157^2+Inputs!$C$6^2)</x:f>
        <x:v>30.516389039334257</x:v>
      </x:c>
      <x:c r="I157" s="48" t="n">
        <x:f>DEGREES(ATAN(H157/B157))</x:f>
        <x:v>4.359005878140658</x:v>
      </x:c>
      <x:c r="J157" s="48" t="n">
        <x:f>DEGREES((2*PI()/Inputs!$C$13)*Inputs!$C$15*SIN(RADIANS(I157)))</x:f>
        <x:v>27.3620285475742</x:v>
      </x:c>
      <x:c r="K157" s="48" t="n">
        <x:f>(C157/D157)^4</x:f>
        <x:v>0.9855572615636342</x:v>
      </x:c>
      <x:c r="L157" s="48" t="n">
        <x:f>10*LOG10(K157)</x:f>
        <x:v>-0.0631813783947216</x:v>
      </x:c>
      <x:c r="M157" s="48" t="n">
        <x:f>2*(Inputs!$C$9/(Inputs!$C$10^2))*A157</x:f>
        <x:v>0.03888888888888889</x:v>
      </x:c>
      <x:c r="N157" s="48" t="n">
        <x:f>M157*Inputs!$C$11</x:f>
        <x:v>0.15555555555555556</x:v>
      </x:c>
      <x:c r="O157" s="48" t="n">
        <x:f>1000*(D158-D156)/(A158-A156)*Inputs!$C$11</x:f>
        <x:v>373.9943672410391</x:v>
      </x:c>
      <x:c r="P157" s="48" t="n">
        <x:f>-2*O157/Inputs!$C$13</x:f>
        <x:v>-149.59774689641563</x:v>
      </x:c>
      <x:c r="Q157" s="48" t="n">
        <x:f>-2*O157/Inputs!$C$14</x:f>
        <x:v>-22.462124158620966</x:v>
      </x:c>
      <x:c r="R157" s="48" t="n">
        <x:f>F157-Inputs!$C$16/2</x:f>
        <x:v>804.4908036698047</x:v>
      </x:c>
      <x:c r="S157" s="48" t="n">
        <x:f>F157+Inputs!$C$16/2</x:f>
        <x:v>834.4908036698047</x:v>
      </x:c>
      <x:c r="T157" s="48" t="n">
        <x:f>F157-Inputs!$C$17/2</x:f>
        <x:v>669.4908036698047</x:v>
      </x:c>
      <x:c r="U157" s="48" t="n">
        <x:f>F157+Inputs!$C$17/2</x:f>
        <x:v>969.4908036698047</x:v>
      </x:c>
      <x:c r="V157" s="48" t="n">
        <x:f>ABS(P157)</x:f>
        <x:v>149.59774689641563</x:v>
      </x:c>
      <x:c r="W157" s="48" t="n">
        <x:f>ABS(Q157)</x:f>
        <x:v>22.462124158620966</x:v>
      </x:c>
      <x:c r="X157" s="48" t="n">
        <x: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(0.45*SIN(2*PI()*(((A157)/Inputs!$C$49)+Inputs!$C$47*0.137))+0.35*COS(2*PI()*(((0)/Inputs!$C$50)+Inputs!$C$47*0.173))+0.20*SIN(2*PI()*(((A157)+(0))/(0.5*(Inputs!$C$49+Inputs!$C$50))+Inputs!$C$47*0.097)))+0.30*(2*((SIN(((A157)*12.9898+(0)*78.233+Inputs!$C$47*37.719))*43758.5453)-INT((SIN(((A157)*12.9898+(0)*78.233+Inputs!$C$47*37.719))*43758.5453)))-1)))</x:f>
        <x:v>65.71226511619231</x:v>
      </x:c>
      <x:c r="Y157" s="48" t="n">
        <x: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(0.45*SIN(2*PI()*(((A157)/Inputs!$C$49)+Inputs!$C$47*0.137))+0.35*COS(2*PI()*(((Inputs!$C$6)/Inputs!$C$50)+Inputs!$C$47*0.173))+0.20*SIN(2*PI()*(((A157)+(Inputs!$C$6))/(0.5*(Inputs!$C$49+Inputs!$C$50))+Inputs!$C$47*0.097)))+0.30*(2*((SIN(((A157)*12.9898+(Inputs!$C$6)*78.233+Inputs!$C$47*37.719))*43758.5453)-INT((SIN(((A157)*12.9898+(Inputs!$C$6)*78.233+Inputs!$C$47*37.719))*43758.5453)))-1)))</x:f>
        <x:v>412.59673853506814</x:v>
      </x:c>
      <x:c r="Z157" s="48" t="n">
        <x:f>B157-X157/1000</x:f>
        <x:v>400.2745655126616</x:v>
      </x:c>
      <x:c r="AA157" s="48" t="n">
        <x:f>SQRT((Inputs!$C$52+B157)^2+(Inputs!$C$52+Y157/1000)^2-2*(Inputs!$C$52+B157)*(Inputs!$C$52+Y157/1000)*COS(SQRT(A157^2+Inputs!$C$6^2)/Inputs!$C$52))</x:f>
        <x:v>401.3882593996645</x:v>
      </x:c>
      <x:c r="AB157" s="48" t="n">
        <x:f>(AA157-Z157)*1000</x:f>
        <x:v>1113.6938870029098</x:v>
      </x:c>
      <x:c r="AC157" s="48" t="n">
        <x:f>AB157/Inputs!$C$12</x:f>
        <x:v>625.6707230353426</x:v>
      </x:c>
      <x:c r="AD157" s="48" t="n">
        <x:f>2*AB157/Inputs!$C$21*1000000</x:f>
        <x:v>7.429765874916772</x:v>
      </x:c>
      <x:c r="AE157" s="48" t="n">
        <x:f>DEGREES(ATAN(H157/(B157-Y157/1000)))</x:f>
        <x:v>4.363485610769421</x:v>
      </x:c>
      <x:c r="AF157" s="48" t="n">
        <x:f>DEGREES((2*PI()/Inputs!$C$13)*Inputs!$C$15*SIN(RADIANS(AE157)))</x:f>
        <x:v>27.390094035827868</x:v>
      </x:c>
      <x:c r="AG157" s="48" t="n">
        <x:f>(Z157/AA157)^4</x:f>
        <x:v>0.9889476850627691</x:v>
      </x:c>
      <x:c r="AH157" s="48" t="n">
        <x:f>10*LOG10(AG157)</x:f>
        <x:v>-0.048266817996777296</x:v>
      </x:c>
      <x:c r="AI157" s="48" t="n">
        <x:f>AC157-F157</x:f>
        <x:v>-193.8200806344621</x:v>
      </x:c>
      <x:c r="AJ157" s="48" t="n">
        <x:f>AD157-G157</x:f>
        <x:v>-2.3015905458791934</x:v>
      </x:c>
      <x:c r="AK157" s="48" t="n">
        <x:f>Y157-X157</x:f>
        <x:v>346.8844734188758</x:v>
      </x:c>
      <x:c r="AL157" s="48" t="n">
        <x:f>1000*(AA158-AA156)/(A158-A156)*Inputs!$C$11</x:f>
        <x:v>316.65908526474595</x:v>
      </x:c>
      <x:c r="AM157" s="48" t="n">
        <x:f>-2*AL157/Inputs!$C$13</x:f>
        <x:v>-126.66363410589838</x:v>
      </x:c>
      <x:c r="AN157" s="48" t="n">
        <x:f>-2*AL157/Inputs!$C$14</x:f>
        <x:v>-19.018563679564323</x:v>
      </x:c>
      <x:c r="AO157" s="48" t="n">
        <x:f>ABS(AM157)</x:f>
        <x:v>126.66363410589838</x:v>
      </x:c>
      <x:c r="AP157" s="48" t="n">
        <x:f>ABS(AN157)</x:f>
        <x:v>19.018563679564323</x:v>
      </x:c>
      <x:c r="AQ157" s="48" t="n">
        <x:f>IF(OR(Inputs!$C$27=TRUE,Inputs!$C$27="TRUE",Inputs!$C$27=1),Inputs!$C$46/Inputs!$C$12,0)</x:f>
        <x:v>42.13483146067416</x:v>
      </x:c>
      <x:c r="AR157" s="48" t="n">
        <x:f>AC157-AQ157</x:f>
        <x:v>583.5358915746684</x:v>
      </x:c>
      <x:c r="AS157" s="48" t="n">
        <x:f>AC157+AQ157</x:f>
        <x:v>667.8055544960167</x:v>
      </x:c>
    </x:row>
    <x:row r="158">
      <x:c r="A158" s="48" t="n">
        <x:f>Inputs!$C$7+156*(Inputs!$C$8-Inputs!$C$7)/240</x:f>
        <x:v>18</x:v>
      </x:c>
      <x:c r="B158" s="48" t="n">
        <x:f>Inputs!$C$5+Inputs!$C$9*(A158/Inputs!$C$10)^2</x:f>
        <x:v>400.36</x:v>
      </x:c>
      <x:c r="C158" s="48" t="n">
        <x:f>B158</x:f>
        <x:v>400.36</x:v>
      </x:c>
      <x:c r="D158" s="48" t="n">
        <x:f>SQRT((Inputs!$C$52+B158)^2+Inputs!$C$52^2-2*(Inputs!$C$52+B158)*Inputs!$C$52*COS(SQRT(A158^2+Inputs!$C$6^2)/Inputs!$C$52))</x:f>
        <x:v>401.8463865574598</x:v>
      </x:c>
      <x:c r="E158" s="48" t="n">
        <x:f>(D158-C158)*1000</x:f>
        <x:v>1486.3865574598094</x:v>
      </x:c>
      <x:c r="F158" s="48" t="n">
        <x:f>E158/Inputs!$C$12</x:f>
        <x:v>835.0486277864097</x:v>
      </x:c>
      <x:c r="G158" s="48" t="n">
        <x:f>2*E158/Inputs!$C$21*1000000</x:f>
        <x:v>9.916103743075547</x:v>
      </x:c>
      <x:c r="H158" s="48" t="n">
        <x:f>SQRT(A158^2+Inputs!$C$6^2)</x:f>
        <x:v>30.805843601498726</x:v>
      </x:c>
      <x:c r="I158" s="48" t="n">
        <x:f>DEGREES(ATAN(H158/B158))</x:f>
        <x:v>4.3999744653546005</x:v>
      </x:c>
      <x:c r="J158" s="48" t="n">
        <x:f>DEGREES((2*PI()/Inputs!$C$13)*Inputs!$C$15*SIN(RADIANS(I158)))</x:f>
        <x:v>27.618690159596383</x:v>
      </x:c>
      <x:c r="K158" s="48" t="n">
        <x:f>(C158/D158)^4</x:f>
        <x:v>0.9852863188663767</x:v>
      </x:c>
      <x:c r="L158" s="48" t="n">
        <x:f>10*LOG10(K158)</x:f>
        <x:v>-0.0643754753818252</x:v>
      </x:c>
      <x:c r="M158" s="48" t="n">
        <x:f>2*(Inputs!$C$9/(Inputs!$C$10^2))*A158</x:f>
        <x:v>0.04</x:v>
      </x:c>
      <x:c r="N158" s="48" t="n">
        <x:f>M158*Inputs!$C$11</x:f>
        <x:v>0.16</x:v>
      </x:c>
      <x:c r="O158" s="48" t="n">
        <x:f>1000*(D159-D157)/(A159-A157)*Inputs!$C$11</x:f>
        <x:v>384.64663819468115</x:v>
      </x:c>
      <x:c r="P158" s="48" t="n">
        <x:f>-2*O158/Inputs!$C$13</x:f>
        <x:v>-153.85865527787246</x:v>
      </x:c>
      <x:c r="Q158" s="48" t="n">
        <x:f>-2*O158/Inputs!$C$14</x:f>
        <x:v>-23.101900191872744</x:v>
      </x:c>
      <x:c r="R158" s="48" t="n">
        <x:f>F158-Inputs!$C$16/2</x:f>
        <x:v>820.0486277864097</x:v>
      </x:c>
      <x:c r="S158" s="48" t="n">
        <x:f>F158+Inputs!$C$16/2</x:f>
        <x:v>850.0486277864097</x:v>
      </x:c>
      <x:c r="T158" s="48" t="n">
        <x:f>F158-Inputs!$C$17/2</x:f>
        <x:v>685.0486277864097</x:v>
      </x:c>
      <x:c r="U158" s="48" t="n">
        <x:f>F158+Inputs!$C$17/2</x:f>
        <x:v>985.0486277864097</x:v>
      </x:c>
      <x:c r="V158" s="48" t="n">
        <x:f>ABS(P158)</x:f>
        <x:v>153.85865527787246</x:v>
      </x:c>
      <x:c r="W158" s="48" t="n">
        <x:f>ABS(Q158)</x:f>
        <x:v>23.101900191872744</x:v>
      </x:c>
      <x:c r="X158" s="48" t="n">
        <x: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(0.45*SIN(2*PI()*(((A158)/Inputs!$C$49)+Inputs!$C$47*0.137))+0.35*COS(2*PI()*(((0)/Inputs!$C$50)+Inputs!$C$47*0.173))+0.20*SIN(2*PI()*(((A158)+(0))/(0.5*(Inputs!$C$49+Inputs!$C$50))+Inputs!$C$47*0.097)))+0.30*(2*((SIN(((A158)*12.9898+(0)*78.233+Inputs!$C$47*37.719))*43758.5453)-INT((SIN(((A158)*12.9898+(0)*78.233+Inputs!$C$47*37.719))*43758.5453)))-1)))</x:f>
        <x:v>70.50298613715029</x:v>
      </x:c>
      <x:c r="Y158" s="48" t="n">
        <x: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(0.45*SIN(2*PI()*(((A158)/Inputs!$C$49)+Inputs!$C$47*0.137))+0.35*COS(2*PI()*(((Inputs!$C$6)/Inputs!$C$50)+Inputs!$C$47*0.173))+0.20*SIN(2*PI()*(((A158)+(Inputs!$C$6))/(0.5*(Inputs!$C$49+Inputs!$C$50))+Inputs!$C$47*0.097)))+0.30*(2*((SIN(((A158)*12.9898+(Inputs!$C$6)*78.233+Inputs!$C$47*37.719))*43758.5453)-INT((SIN(((A158)*12.9898+(Inputs!$C$6)*78.233+Inputs!$C$47*37.719))*43758.5453)))-1)))</x:f>
        <x:v>417.3671248555401</x:v>
      </x:c>
      <x:c r="Z158" s="48" t="n">
        <x:f>B158-X158/1000</x:f>
        <x:v>400.28949701386284</x:v>
      </x:c>
      <x:c r="AA158" s="48" t="n">
        <x:f>SQRT((Inputs!$C$52+B158)^2+(Inputs!$C$52+Y158/1000)^2-2*(Inputs!$C$52+B158)*(Inputs!$C$52+Y158/1000)*COS(SQRT(A158^2+Inputs!$C$6^2)/Inputs!$C$52))</x:f>
        <x:v>401.43096197501154</x:v>
      </x:c>
      <x:c r="AB158" s="48" t="n">
        <x:f>(AA158-Z158)*1000</x:f>
        <x:v>1141.4649611486993</x:v>
      </x:c>
      <x:c r="AC158" s="48" t="n">
        <x:f>AB158/Inputs!$C$12</x:f>
        <x:v>641.272450083539</x:v>
      </x:c>
      <x:c r="AD158" s="48" t="n">
        <x:f>2*AB158/Inputs!$C$21*1000000</x:f>
        <x:v>7.615034539319193</x:v>
      </x:c>
      <x:c r="AE158" s="48" t="n">
        <x:f>DEGREES(ATAN(H158/(B158-Y158/1000)))</x:f>
        <x:v>4.404548076410021</x:v>
      </x:c>
      <x:c r="AF158" s="48" t="n">
        <x:f>DEGREES((2*PI()/Inputs!$C$13)*Inputs!$C$15*SIN(RADIANS(AE158)))</x:f>
        <x:v>27.647342223735293</x:v>
      </x:c>
      <x:c r="AG158" s="48" t="n">
        <x:f>(Z158/AA158)^4</x:f>
        <x:v>0.9886744603676367</x:v>
      </x:c>
      <x:c r="AH158" s="48" t="n">
        <x:f>10*LOG10(AG158)</x:f>
        <x:v>-0.049466844791024506</x:v>
      </x:c>
      <x:c r="AI158" s="48" t="n">
        <x:f>AC158-F158</x:f>
        <x:v>-193.77617770287077</x:v>
      </x:c>
      <x:c r="AJ158" s="48" t="n">
        <x:f>AD158-G158</x:f>
        <x:v>-2.301069203756354</x:v>
      </x:c>
      <x:c r="AK158" s="48" t="n">
        <x:f>Y158-X158</x:f>
        <x:v>346.8641387183898</x:v>
      </x:c>
      <x:c r="AL158" s="48" t="n">
        <x:f>1000*(AA159-AA157)/(A159-A157)*Inputs!$C$11</x:f>
        <x:v>379.2263461082257</x:v>
      </x:c>
      <x:c r="AM158" s="48" t="n">
        <x:f>-2*AL158/Inputs!$C$13</x:f>
        <x:v>-151.69053844329028</x:v>
      </x:c>
      <x:c r="AN158" s="48" t="n">
        <x:f>-2*AL158/Inputs!$C$14</x:f>
        <x:v>-22.77635712361716</x:v>
      </x:c>
      <x:c r="AO158" s="48" t="n">
        <x:f>ABS(AM158)</x:f>
        <x:v>151.69053844329028</x:v>
      </x:c>
      <x:c r="AP158" s="48" t="n">
        <x:f>ABS(AN158)</x:f>
        <x:v>22.77635712361716</x:v>
      </x:c>
      <x:c r="AQ158" s="48" t="n">
        <x:f>IF(OR(Inputs!$C$27=TRUE,Inputs!$C$27="TRUE",Inputs!$C$27=1),Inputs!$C$46/Inputs!$C$12,0)</x:f>
        <x:v>42.13483146067416</x:v>
      </x:c>
      <x:c r="AR158" s="48" t="n">
        <x:f>AC158-AQ158</x:f>
        <x:v>599.1376186228648</x:v>
      </x:c>
      <x:c r="AS158" s="48" t="n">
        <x:f>AC158+AQ158</x:f>
        <x:v>683.4072815442131</x:v>
      </x:c>
    </x:row>
    <x:row r="159">
      <x:c r="A159" s="48" t="n">
        <x:f>Inputs!$C$7+157*(Inputs!$C$8-Inputs!$C$7)/240</x:f>
        <x:v>18.5</x:v>
      </x:c>
      <x:c r="B159" s="48" t="n">
        <x:f>Inputs!$C$5+Inputs!$C$9*(A159/Inputs!$C$10)^2</x:f>
        <x:v>400.3802777777778</x:v>
      </x:c>
      <x:c r="C159" s="48" t="n">
        <x:f>B159</x:f>
        <x:v>400.3802777777778</x:v>
      </x:c>
      <x:c r="D159" s="48" t="n">
        <x:f>SQRT((Inputs!$C$52+B159)^2+Inputs!$C$52^2-2*(Inputs!$C$52+B159)*Inputs!$C$52*COS(SQRT(A159^2+Inputs!$C$6^2)/Inputs!$C$52))</x:f>
        <x:v>401.8951330678587</x:v>
      </x:c>
      <x:c r="E159" s="48" t="n">
        <x:f>(D159-C159)*1000</x:f>
        <x:v>1514.8552900809023</x:v>
      </x:c>
      <x:c r="F159" s="48" t="n">
        <x:f>E159/Inputs!$C$12</x:f>
        <x:v>851.0422977982597</x:v>
      </x:c>
      <x:c r="G159" s="48" t="n">
        <x:f>2*E159/Inputs!$C$21*1000000</x:f>
        <x:v>10.106026683839406</x:v>
      </x:c>
      <x:c r="H159" s="48" t="n">
        <x:f>SQRT(A159^2+Inputs!$C$6^2)</x:f>
        <x:v>31.100643080167973</x:v>
      </x:c>
      <x:c r="I159" s="48" t="n">
        <x:f>DEGREES(ATAN(H159/B159))</x:f>
        <x:v>4.441688661129496</x:v>
      </x:c>
      <x:c r="J159" s="48" t="n">
        <x:f>DEGREES((2*PI()/Inputs!$C$13)*Inputs!$C$15*SIN(RADIANS(I159)))</x:f>
        <x:v>27.88000837991527</x:v>
      </x:c>
      <x:c r="K159" s="48" t="n">
        <x:f>(C159/D159)^4</x:f>
        <x:v>0.9850079107957616</x:v>
      </x:c>
      <x:c r="L159" s="48" t="n">
        <x:f>10*LOG10(K159)</x:f>
        <x:v>-0.0656028158243841</x:v>
      </x:c>
      <x:c r="M159" s="48" t="n">
        <x:f>2*(Inputs!$C$9/(Inputs!$C$10^2))*A159</x:f>
        <x:v>0.04111111111111111</x:v>
      </x:c>
      <x:c r="N159" s="48" t="n">
        <x:f>M159*Inputs!$C$11</x:f>
        <x:v>0.16444444444444445</x:v>
      </x:c>
      <x:c r="O159" s="48" t="n">
        <x:f>1000*(D160-D158)/(A160-A158)*Inputs!$C$11</x:f>
        <x:v>395.2961091731595</x:v>
      </x:c>
      <x:c r="P159" s="48" t="n">
        <x:f>-2*O159/Inputs!$C$13</x:f>
        <x:v>-158.1184436692638</x:v>
      </x:c>
      <x:c r="Q159" s="48" t="n">
        <x:f>-2*O159/Inputs!$C$14</x:f>
        <x:v>-23.74150805844802</x:v>
      </x:c>
      <x:c r="R159" s="48" t="n">
        <x:f>F159-Inputs!$C$16/2</x:f>
        <x:v>836.0422977982597</x:v>
      </x:c>
      <x:c r="S159" s="48" t="n">
        <x:f>F159+Inputs!$C$16/2</x:f>
        <x:v>866.0422977982597</x:v>
      </x:c>
      <x:c r="T159" s="48" t="n">
        <x:f>F159-Inputs!$C$17/2</x:f>
        <x:v>701.0422977982597</x:v>
      </x:c>
      <x:c r="U159" s="48" t="n">
        <x:f>F159+Inputs!$C$17/2</x:f>
        <x:v>1001.0422977982597</x:v>
      </x:c>
      <x:c r="V159" s="48" t="n">
        <x:f>ABS(P159)</x:f>
        <x:v>158.1184436692638</x:v>
      </x:c>
      <x:c r="W159" s="48" t="n">
        <x:f>ABS(Q159)</x:f>
        <x:v>23.74150805844802</x:v>
      </x:c>
      <x:c r="X159" s="48" t="n">
        <x: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(0.45*SIN(2*PI()*(((A159)/Inputs!$C$49)+Inputs!$C$47*0.137))+0.35*COS(2*PI()*(((0)/Inputs!$C$50)+Inputs!$C$47*0.173))+0.20*SIN(2*PI()*(((A159)+(0))/(0.5*(Inputs!$C$49+Inputs!$C$50))+Inputs!$C$47*0.097)))+0.30*(2*((SIN(((A159)*12.9898+(0)*78.233+Inputs!$C$47*37.719))*43758.5453)-INT((SIN(((A159)*12.9898+(0)*78.233+Inputs!$C$47*37.719))*43758.5453)))-1)))</x:f>
        <x:v>84.15381309689964</x:v>
      </x:c>
      <x:c r="Y159" s="48" t="n">
        <x: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(0.45*SIN(2*PI()*(((A159)/Inputs!$C$49)+Inputs!$C$47*0.137))+0.35*COS(2*PI()*(((Inputs!$C$6)/Inputs!$C$50)+Inputs!$C$47*0.173))+0.20*SIN(2*PI()*(((A159)+(Inputs!$C$6))/(0.5*(Inputs!$C$49+Inputs!$C$50))+Inputs!$C$47*0.097)))+0.30*(2*((SIN(((A159)*12.9898+(Inputs!$C$6)*78.233+Inputs!$C$47*37.719))*43758.5453)-INT((SIN(((A159)*12.9898+(Inputs!$C$6)*78.233+Inputs!$C$47*37.719))*43758.5453)))-1)))</x:f>
        <x:v>414.03078360208366</x:v>
      </x:c>
      <x:c r="Z159" s="48" t="n">
        <x:f>B159-X159/1000</x:f>
        <x:v>400.2961239646809</x:v>
      </x:c>
      <x:c r="AA159" s="48" t="n">
        <x:f>SQRT((Inputs!$C$52+B159)^2+(Inputs!$C$52+Y159/1000)^2-2*(Inputs!$C$52+B159)*(Inputs!$C$52+Y159/1000)*COS(SQRT(A159^2+Inputs!$C$6^2)/Inputs!$C$52))</x:f>
        <x:v>401.48306598619155</x:v>
      </x:c>
      <x:c r="AB159" s="48" t="n">
        <x:f>(AA159-Z159)*1000</x:f>
        <x:v>1186.9420215106743</x:v>
      </x:c>
      <x:c r="AC159" s="48" t="n">
        <x:f>AB159/Inputs!$C$12</x:f>
        <x:v>666.8213603992552</x:v>
      </x:c>
      <x:c r="AD159" s="48" t="n">
        <x:f>2*AB159/Inputs!$C$21*1000000</x:f>
        <x:v>7.9184248291574715</x:v>
      </x:c>
      <x:c r="AE159" s="48" t="n">
        <x:f>DEGREES(ATAN(H159/(B159-Y159/1000)))</x:f>
        <x:v>4.446268111223477</x:v>
      </x:c>
      <x:c r="AF159" s="48" t="n">
        <x:f>DEGREES((2*PI()/Inputs!$C$13)*Inputs!$C$15*SIN(RADIANS(AE159)))</x:f>
        <x:v>27.90869540788116</x:v>
      </x:c>
      <x:c r="AG159" s="48" t="n">
        <x:f>(Z159/AA159)^4</x:f>
        <x:v>0.9882267633561046</x:v>
      </x:c>
      <x:c r="AH159" s="48" t="n">
        <x:f>10*LOG10(AG159)</x:f>
        <x:v>-0.0514338863676454</x:v>
      </x:c>
      <x:c r="AI159" s="48" t="n">
        <x:f>AC159-F159</x:f>
        <x:v>-184.22093739900447</x:v>
      </x:c>
      <x:c r="AJ159" s="48" t="n">
        <x:f>AD159-G159</x:f>
        <x:v>-2.187601854681935</x:v>
      </x:c>
      <x:c r="AK159" s="48" t="n">
        <x:f>Y159-X159</x:f>
        <x:v>329.87697050518403</x:v>
      </x:c>
      <x:c r="AL159" s="48" t="n">
        <x:f>1000*(AA160-AA158)/(A160-A158)*Inputs!$C$11</x:f>
        <x:v>347.93929193369877</x:v>
      </x:c>
      <x:c r="AM159" s="48" t="n">
        <x:f>-2*AL159/Inputs!$C$13</x:f>
        <x:v>-139.1757167734795</x:v>
      </x:c>
      <x:c r="AN159" s="48" t="n">
        <x:f>-2*AL159/Inputs!$C$14</x:f>
        <x:v>-20.89725477079272</x:v>
      </x:c>
      <x:c r="AO159" s="48" t="n">
        <x:f>ABS(AM159)</x:f>
        <x:v>139.1757167734795</x:v>
      </x:c>
      <x:c r="AP159" s="48" t="n">
        <x:f>ABS(AN159)</x:f>
        <x:v>20.89725477079272</x:v>
      </x:c>
      <x:c r="AQ159" s="48" t="n">
        <x:f>IF(OR(Inputs!$C$27=TRUE,Inputs!$C$27="TRUE",Inputs!$C$27=1),Inputs!$C$46/Inputs!$C$12,0)</x:f>
        <x:v>42.13483146067416</x:v>
      </x:c>
      <x:c r="AR159" s="48" t="n">
        <x:f>AC159-AQ159</x:f>
        <x:v>624.6865289385811</x:v>
      </x:c>
      <x:c r="AS159" s="48" t="n">
        <x:f>AC159+AQ159</x:f>
        <x:v>708.9561918599294</x:v>
      </x:c>
    </x:row>
    <x:row r="160">
      <x:c r="A160" s="48" t="n">
        <x:f>Inputs!$C$7+158*(Inputs!$C$8-Inputs!$C$7)/240</x:f>
        <x:v>19</x:v>
      </x:c>
      <x:c r="B160" s="48" t="n">
        <x:f>Inputs!$C$5+Inputs!$C$9*(A160/Inputs!$C$10)^2</x:f>
        <x:v>400.4011111111111</x:v>
      </x:c>
      <x:c r="C160" s="48" t="n">
        <x:f>B160</x:f>
        <x:v>400.4011111111111</x:v>
      </x:c>
      <x:c r="D160" s="48" t="n">
        <x:f>SQRT((Inputs!$C$52+B160)^2+Inputs!$C$52^2-2*(Inputs!$C$52+B160)*Inputs!$C$52*COS(SQRT(A160^2+Inputs!$C$6^2)/Inputs!$C$52))</x:f>
        <x:v>401.9452105847531</x:v>
      </x:c>
      <x:c r="E160" s="48" t="n">
        <x:f>(D160-C160)*1000</x:f>
        <x:v>1544.0994736420066</x:v>
      </x:c>
      <x:c r="F160" s="48" t="n">
        <x:f>E160/Inputs!$C$12</x:f>
        <x:v>867.4716144056217</x:v>
      </x:c>
      <x:c r="G160" s="48" t="n">
        <x:f>2*E160/Inputs!$C$21*1000000</x:f>
        <x:v>10.301122876426774</x:v>
      </x:c>
      <x:c r="H160" s="48" t="n">
        <x:f>SQRT(A160^2+Inputs!$C$6^2)</x:f>
        <x:v>31.400636936215164</x:v>
      </x:c>
      <x:c r="I160" s="48" t="n">
        <x:f>DEGREES(ATAN(H160/B160))</x:f>
        <x:v>4.484126471249511</x:v>
      </x:c>
      <x:c r="J160" s="48" t="n">
        <x:f>DEGREES((2*PI()/Inputs!$C$13)*Inputs!$C$15*SIN(RADIANS(I160)))</x:f>
        <x:v>28.14584451050467</x:v>
      </x:c>
      <x:c r="K160" s="48" t="n">
        <x:f>(C160/D160)^4</x:f>
        <x:v>0.9847220511043003</x:v>
      </x:c>
      <x:c r="L160" s="48" t="n">
        <x:f>10*LOG10(K160)</x:f>
        <x:v>-0.0668633671676961</x:v>
      </x:c>
      <x:c r="M160" s="48" t="n">
        <x:f>2*(Inputs!$C$9/(Inputs!$C$10^2))*A160</x:f>
        <x:v>0.042222222222222223</x:v>
      </x:c>
      <x:c r="N160" s="48" t="n">
        <x:f>M160*Inputs!$C$11</x:f>
        <x:v>0.1688888888888889</x:v>
      </x:c>
      <x:c r="O160" s="48" t="n">
        <x:f>1000*(D161-D159)/(A161-A159)*Inputs!$C$11</x:f>
        <x:v>405.9427041381696</x:v>
      </x:c>
      <x:c r="P160" s="48" t="n">
        <x:f>-2*O160/Inputs!$C$13</x:f>
        <x:v>-162.37708165526783</x:v>
      </x:c>
      <x:c r="Q160" s="48" t="n">
        <x:f>-2*O160/Inputs!$C$14</x:f>
        <x:v>-24.38094319148166</x:v>
      </x:c>
      <x:c r="R160" s="48" t="n">
        <x:f>F160-Inputs!$C$16/2</x:f>
        <x:v>852.4716144056217</x:v>
      </x:c>
      <x:c r="S160" s="48" t="n">
        <x:f>F160+Inputs!$C$16/2</x:f>
        <x:v>882.4716144056217</x:v>
      </x:c>
      <x:c r="T160" s="48" t="n">
        <x:f>F160-Inputs!$C$17/2</x:f>
        <x:v>717.4716144056217</x:v>
      </x:c>
      <x:c r="U160" s="48" t="n">
        <x:f>F160+Inputs!$C$17/2</x:f>
        <x:v>1017.4716144056217</x:v>
      </x:c>
      <x:c r="V160" s="48" t="n">
        <x:f>ABS(P160)</x:f>
        <x:v>162.37708165526783</x:v>
      </x:c>
      <x:c r="W160" s="48" t="n">
        <x:f>ABS(Q160)</x:f>
        <x:v>24.38094319148166</x:v>
      </x:c>
      <x:c r="X160" s="48" t="n">
        <x: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(0.45*SIN(2*PI()*(((A160)/Inputs!$C$49)+Inputs!$C$47*0.137))+0.35*COS(2*PI()*(((0)/Inputs!$C$50)+Inputs!$C$47*0.173))+0.20*SIN(2*PI()*(((A160)+(0))/(0.5*(Inputs!$C$49+Inputs!$C$50))+Inputs!$C$47*0.097)))+0.30*(2*((SIN(((A160)*12.9898+(0)*78.233+Inputs!$C$47*37.719))*43758.5453)-INT((SIN(((A160)*12.9898+(0)*78.233+Inputs!$C$47*37.719))*43758.5453)))-1)))</x:f>
        <x:v>87.79516149602648</x:v>
      </x:c>
      <x:c r="Y160" s="48" t="n">
        <x: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(0.45*SIN(2*PI()*(((A160)/Inputs!$C$49)+Inputs!$C$47*0.137))+0.35*COS(2*PI()*(((Inputs!$C$6)/Inputs!$C$50)+Inputs!$C$47*0.173))+0.20*SIN(2*PI()*(((A160)+(Inputs!$C$6))/(0.5*(Inputs!$C$49+Inputs!$C$50))+Inputs!$C$47*0.097)))+0.30*(2*((SIN(((A160)*12.9898+(Inputs!$C$6)*78.233+Inputs!$C$47*37.719))*43758.5453)-INT((SIN(((A160)*12.9898+(Inputs!$C$6)*78.233+Inputs!$C$47*37.719))*43758.5453)))-1)))</x:f>
        <x:v>429.33926339108206</x:v>
      </x:c>
      <x:c r="Z160" s="48" t="n">
        <x:f>B160-X160/1000</x:f>
        <x:v>400.31331594961506</x:v>
      </x:c>
      <x:c r="AA160" s="48" t="n">
        <x:f>SQRT((Inputs!$C$52+B160)^2+(Inputs!$C$52+Y160/1000)^2-2*(Inputs!$C$52+B160)*(Inputs!$C$52+Y160/1000)*COS(SQRT(A160^2+Inputs!$C$6^2)/Inputs!$C$52))</x:f>
        <x:v>401.51794679799497</x:v>
      </x:c>
      <x:c r="AB160" s="48" t="n">
        <x:f>(AA160-Z160)*1000</x:f>
        <x:v>1204.6308483799066</x:v>
      </x:c>
      <x:c r="AC160" s="48" t="n">
        <x:f>AB160/Inputs!$C$12</x:f>
        <x:v>676.7589035842173</x:v>
      </x:c>
      <x:c r="AD160" s="48" t="n">
        <x:f>2*AB160/Inputs!$C$21*1000000</x:f>
        <x:v>8.036431979752516</x:v>
      </x:c>
      <x:c r="AE160" s="48" t="n">
        <x:f>DEGREES(ATAN(H160/(B160-Y160/1000)))</x:f>
        <x:v>4.488920177634765</x:v>
      </x:c>
      <x:c r="AF160" s="48" t="n">
        <x:f>DEGREES((2*PI()/Inputs!$C$13)*Inputs!$C$15*SIN(RADIANS(AE160)))</x:f>
        <x:v>28.175871961914865</x:v>
      </x:c>
      <x:c r="AG160" s="48" t="n">
        <x:f>(Z160/AA160)^4</x:f>
        <x:v>0.9880531317964869</x:v>
      </x:c>
      <x:c r="AH160" s="48" t="n">
        <x:f>10*LOG10(AG160)</x:f>
        <x:v>-0.0521970093301894</x:v>
      </x:c>
      <x:c r="AI160" s="48" t="n">
        <x:f>AC160-F160</x:f>
        <x:v>-190.71271082140447</x:v>
      </x:c>
      <x:c r="AJ160" s="48" t="n">
        <x:f>AD160-G160</x:f>
        <x:v>-2.2646908966742583</x:v>
      </x:c>
      <x:c r="AK160" s="48" t="n">
        <x:f>Y160-X160</x:f>
        <x:v>341.5441018950556</x:v>
      </x:c>
      <x:c r="AL160" s="48" t="n">
        <x:f>1000*(AA161-AA159)/(A161-A159)*Inputs!$C$11</x:f>
        <x:v>316.1609339874758</x:v>
      </x:c>
      <x:c r="AM160" s="48" t="n">
        <x:f>-2*AL160/Inputs!$C$13</x:f>
        <x:v>-126.46437359499032</x:v>
      </x:c>
      <x:c r="AN160" s="48" t="n">
        <x:f>-2*AL160/Inputs!$C$14</x:f>
        <x:v>-18.98864468393248</x:v>
      </x:c>
      <x:c r="AO160" s="48" t="n">
        <x:f>ABS(AM160)</x:f>
        <x:v>126.46437359499032</x:v>
      </x:c>
      <x:c r="AP160" s="48" t="n">
        <x:f>ABS(AN160)</x:f>
        <x:v>18.98864468393248</x:v>
      </x:c>
      <x:c r="AQ160" s="48" t="n">
        <x:f>IF(OR(Inputs!$C$27=TRUE,Inputs!$C$27="TRUE",Inputs!$C$27=1),Inputs!$C$46/Inputs!$C$12,0)</x:f>
        <x:v>42.13483146067416</x:v>
      </x:c>
      <x:c r="AR160" s="48" t="n">
        <x:f>AC160-AQ160</x:f>
        <x:v>634.6240721235431</x:v>
      </x:c>
      <x:c r="AS160" s="48" t="n">
        <x:f>AC160+AQ160</x:f>
        <x:v>718.8937350448914</x:v>
      </x:c>
    </x:row>
    <x:row r="161">
      <x:c r="A161" s="48" t="n">
        <x:f>Inputs!$C$7+159*(Inputs!$C$8-Inputs!$C$7)/240</x:f>
        <x:v>19.5</x:v>
      </x:c>
      <x:c r="B161" s="48" t="n">
        <x:f>Inputs!$C$5+Inputs!$C$9*(A161/Inputs!$C$10)^2</x:f>
        <x:v>400.4225</x:v>
      </x:c>
      <x:c r="C161" s="48" t="n">
        <x:f>B161</x:f>
        <x:v>400.4225</x:v>
      </x:c>
      <x:c r="D161" s="48" t="n">
        <x:f>SQRT((Inputs!$C$52+B161)^2+Inputs!$C$52^2-2*(Inputs!$C$52+B161)*Inputs!$C$52*COS(SQRT(A161^2+Inputs!$C$6^2)/Inputs!$C$52))</x:f>
        <x:v>401.99661874389324</x:v>
      </x:c>
      <x:c r="E161" s="48" t="n">
        <x:f>(D161-C161)*1000</x:f>
        <x:v>1574.118743893223</x:v>
      </x:c>
      <x:c r="F161" s="48" t="n">
        <x:f>E161/Inputs!$C$12</x:f>
        <x:v>884.3363729737207</x:v>
      </x:c>
      <x:c r="G161" s="48" t="n">
        <x:f>2*E161/Inputs!$C$21*1000000</x:f>
        <x:v>10.50138989082389</x:v>
      </x:c>
      <x:c r="H161" s="48" t="n">
        <x:f>SQRT(A161^2+Inputs!$C$6^2)</x:f>
        <x:v>31.70567772497538</x:v>
      </x:c>
      <x:c r="I161" s="48" t="n">
        <x:f>DEGREES(ATAN(H161/B161))</x:f>
        <x:v>4.527266340904271</x:v>
      </x:c>
      <x:c r="J161" s="48" t="n">
        <x:f>DEGREES((2*PI()/Inputs!$C$13)*Inputs!$C$15*SIN(RADIANS(I161)))</x:f>
        <x:v>28.416062609031858</x:v>
      </x:c>
      <x:c r="K161" s="48" t="n">
        <x:f>(C161/D161)^4</x:f>
        <x:v>0.9844287539010956</x:v>
      </x:c>
      <x:c r="L161" s="48" t="n">
        <x:f>10*LOG10(K161)</x:f>
        <x:v>-0.0681570959926051</x:v>
      </x:c>
      <x:c r="M161" s="48" t="n">
        <x:f>2*(Inputs!$C$9/(Inputs!$C$10^2))*A161</x:f>
        <x:v>0.043333333333333335</x:v>
      </x:c>
      <x:c r="N161" s="48" t="n">
        <x:f>M161*Inputs!$C$11</x:f>
        <x:v>0.17333333333333334</x:v>
      </x:c>
      <x:c r="O161" s="48" t="n">
        <x:f>1000*(D162-D160)/(A162-A160)*Inputs!$C$11</x:f>
        <x:v>416.5863471978355</x:v>
      </x:c>
      <x:c r="P161" s="48" t="n">
        <x:f>-2*O161/Inputs!$C$13</x:f>
        <x:v>-166.6345388791342</x:v>
      </x:c>
      <x:c r="Q161" s="48" t="n">
        <x:f>-2*O161/Inputs!$C$14</x:f>
        <x:v>-25.020201032903035</x:v>
      </x:c>
      <x:c r="R161" s="48" t="n">
        <x:f>F161-Inputs!$C$16/2</x:f>
        <x:v>869.3363729737207</x:v>
      </x:c>
      <x:c r="S161" s="48" t="n">
        <x:f>F161+Inputs!$C$16/2</x:f>
        <x:v>899.3363729737207</x:v>
      </x:c>
      <x:c r="T161" s="48" t="n">
        <x:f>F161-Inputs!$C$17/2</x:f>
        <x:v>734.3363729737207</x:v>
      </x:c>
      <x:c r="U161" s="48" t="n">
        <x:f>F161+Inputs!$C$17/2</x:f>
        <x:v>1034.3363729737207</x:v>
      </x:c>
      <x:c r="V161" s="48" t="n">
        <x:f>ABS(P161)</x:f>
        <x:v>166.6345388791342</x:v>
      </x:c>
      <x:c r="W161" s="48" t="n">
        <x:f>ABS(Q161)</x:f>
        <x:v>25.020201032903035</x:v>
      </x:c>
      <x:c r="X161" s="48" t="n">
        <x: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(0.45*SIN(2*PI()*(((A161)/Inputs!$C$49)+Inputs!$C$47*0.137))+0.35*COS(2*PI()*(((0)/Inputs!$C$50)+Inputs!$C$47*0.173))+0.20*SIN(2*PI()*(((A161)+(0))/(0.5*(Inputs!$C$49+Inputs!$C$50))+Inputs!$C$47*0.097)))+0.30*(2*((SIN(((A161)*12.9898+(0)*78.233+Inputs!$C$47*37.719))*43758.5453)-INT((SIN(((A161)*12.9898+(0)*78.233+Inputs!$C$47*37.719))*43758.5453)))-1)))</x:f>
        <x:v>80.08578782325549</x:v>
      </x:c>
      <x:c r="Y161" s="48" t="n">
        <x: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(0.45*SIN(2*PI()*(((A161)/Inputs!$C$49)+Inputs!$C$47*0.137))+0.35*COS(2*PI()*(((Inputs!$C$6)/Inputs!$C$50)+Inputs!$C$47*0.173))+0.20*SIN(2*PI()*(((A161)+(Inputs!$C$6))/(0.5*(Inputs!$C$49+Inputs!$C$50))+Inputs!$C$47*0.097)))+0.30*(2*((SIN(((A161)*12.9898+(Inputs!$C$6)*78.233+Inputs!$C$47*37.719))*43758.5453)-INT((SIN(((A161)*12.9898+(Inputs!$C$6)*78.233+Inputs!$C$47*37.719))*43758.5453)))-1)))</x:f>
        <x:v>436.66425250955575</x:v>
      </x:c>
      <x:c r="Z161" s="48" t="n">
        <x:f>B161-X161/1000</x:f>
        <x:v>400.3424142121768</x:v>
      </x:c>
      <x:c r="AA161" s="48" t="n">
        <x:f>SQRT((Inputs!$C$52+B161)^2+(Inputs!$C$52+Y161/1000)^2-2*(Inputs!$C$52+B161)*(Inputs!$C$52+Y161/1000)*COS(SQRT(A161^2+Inputs!$C$6^2)/Inputs!$C$52))</x:f>
        <x:v>401.5621062196884</x:v>
      </x:c>
      <x:c r="AB161" s="48" t="n">
        <x:f>(AA161-Z161)*1000</x:f>
        <x:v>1219.6920075116395</x:v>
      </x:c>
      <x:c r="AC161" s="48" t="n">
        <x:f>AB161/Inputs!$C$12</x:f>
        <x:v>685.2202289391233</x:v>
      </x:c>
      <x:c r="AD161" s="48" t="n">
        <x:f>2*AB161/Inputs!$C$21*1000000</x:f>
        <x:v>8.136909218120755</x:v>
      </x:c>
      <x:c r="AE161" s="48" t="n">
        <x:f>DEGREES(ATAN(H161/(B161-Y161/1000)))</x:f>
        <x:v>4.532188174622039</x:v>
      </x:c>
      <x:c r="AF161" s="48" t="n">
        <x:f>DEGREES((2*PI()/Inputs!$C$13)*Inputs!$C$15*SIN(RADIANS(AE161)))</x:f>
        <x:v>28.446890808481474</x:v>
      </x:c>
      <x:c r="AG161" s="48" t="n">
        <x:f>(Z161/AA161)^4</x:f>
        <x:v>0.9879057684794388</x:v>
      </x:c>
      <x:c r="AH161" s="48" t="n">
        <x:f>10*LOG10(AG161)</x:f>
        <x:v>-0.0528447867261531</x:v>
      </x:c>
      <x:c r="AI161" s="48" t="n">
        <x:f>AC161-F161</x:f>
        <x:v>-199.11614403459737</x:v>
      </x:c>
      <x:c r="AJ161" s="48" t="n">
        <x:f>AD161-G161</x:f>
        <x:v>-2.364480672703136</x:v>
      </x:c>
      <x:c r="AK161" s="48" t="n">
        <x:f>Y161-X161</x:f>
        <x:v>356.57846468630026</x:v>
      </x:c>
      <x:c r="AL161" s="48" t="n">
        <x:f>1000*(AA162-AA160)/(A162-A160)*Inputs!$C$11</x:f>
        <x:v>378.4178004671048</x:v>
      </x:c>
      <x:c r="AM161" s="48" t="n">
        <x:f>-2*AL161/Inputs!$C$13</x:f>
        <x:v>-151.36712018684193</x:v>
      </x:c>
      <x:c r="AN161" s="48" t="n">
        <x:f>-2*AL161/Inputs!$C$14</x:f>
        <x:v>-22.72779582385014</x:v>
      </x:c>
      <x:c r="AO161" s="48" t="n">
        <x:f>ABS(AM161)</x:f>
        <x:v>151.36712018684193</x:v>
      </x:c>
      <x:c r="AP161" s="48" t="n">
        <x:f>ABS(AN161)</x:f>
        <x:v>22.72779582385014</x:v>
      </x:c>
      <x:c r="AQ161" s="48" t="n">
        <x:f>IF(OR(Inputs!$C$27=TRUE,Inputs!$C$27="TRUE",Inputs!$C$27=1),Inputs!$C$46/Inputs!$C$12,0)</x:f>
        <x:v>42.13483146067416</x:v>
      </x:c>
      <x:c r="AR161" s="48" t="n">
        <x:f>AC161-AQ161</x:f>
        <x:v>643.0853974784492</x:v>
      </x:c>
      <x:c r="AS161" s="48" t="n">
        <x:f>AC161+AQ161</x:f>
        <x:v>727.3550603997975</x:v>
      </x:c>
    </x:row>
    <x:row r="162">
      <x:c r="A162" s="48" t="n">
        <x:f>Inputs!$C$7+160*(Inputs!$C$8-Inputs!$C$7)/240</x:f>
        <x:v>20</x:v>
      </x:c>
      <x:c r="B162" s="48" t="n">
        <x:f>Inputs!$C$5+Inputs!$C$9*(A162/Inputs!$C$10)^2</x:f>
        <x:v>400.44444444444446</x:v>
      </x:c>
      <x:c r="C162" s="48" t="n">
        <x:f>B162</x:f>
        <x:v>400.44444444444446</x:v>
      </x:c>
      <x:c r="D162" s="48" t="n">
        <x:f>SQRT((Inputs!$C$52+B162)^2+Inputs!$C$52^2-2*(Inputs!$C$52+B162)*Inputs!$C$52*COS(SQRT(A162^2+Inputs!$C$6^2)/Inputs!$C$52))</x:f>
        <x:v>402.0493571715526</x:v>
      </x:c>
      <x:c r="E162" s="48" t="n">
        <x:f>(D162-C162)*1000</x:f>
        <x:v>1604.9127271081147</x:v>
      </x:c>
      <x:c r="F162" s="48" t="n">
        <x:f>E162/Inputs!$C$12</x:f>
        <x:v>901.6363635438846</x:v>
      </x:c>
      <x:c r="G162" s="48" t="n">
        <x:f>2*E162/Inputs!$C$21*1000000</x:f>
        <x:v>10.70682523379634</x:v>
      </x:c>
      <x:c r="H162" s="48" t="n">
        <x:f>SQRT(A162^2+Inputs!$C$6^2)</x:f>
        <x:v>32.01562118716424</x:v>
      </x:c>
      <x:c r="I162" s="48" t="n">
        <x:f>DEGREES(ATAN(H162/B162))</x:f>
        <x:v>4.571087167996556</x:v>
      </x:c>
      <x:c r="J162" s="48" t="n">
        <x:f>DEGREES((2*PI()/Inputs!$C$13)*Inputs!$C$15*SIN(RADIANS(I162)))</x:f>
        <x:v>28.69052957284685</x:v>
      </x:c>
      <x:c r="K162" s="48" t="n">
        <x:f>(C162/D162)^4</x:f>
        <x:v>0.9841280336502154</x:v>
      </x:c>
      <x:c r="L162" s="48" t="n">
        <x:f>10*LOG10(K162)</x:f>
        <x:v>-0.0694839680177928</x:v>
      </x:c>
      <x:c r="M162" s="48" t="n">
        <x:f>2*(Inputs!$C$9/(Inputs!$C$10^2))*A162</x:f>
        <x:v>0.044444444444444446</x:v>
      </x:c>
      <x:c r="N162" s="48" t="n">
        <x:f>M162*Inputs!$C$11</x:f>
        <x:v>0.17777777777777778</x:v>
      </x:c>
      <x:c r="O162" s="48" t="n">
        <x:f>1000*(D163-D161)/(A163-A161)*Inputs!$C$11</x:f>
        <x:v>427.2269625973877</x:v>
      </x:c>
      <x:c r="P162" s="48" t="n">
        <x:f>-2*O162/Inputs!$C$13</x:f>
        <x:v>-170.89078503895507</x:v>
      </x:c>
      <x:c r="Q162" s="48" t="n">
        <x:f>-2*O162/Inputs!$C$14</x:f>
        <x:v>-25.65927703287614</x:v>
      </x:c>
      <x:c r="R162" s="48" t="n">
        <x:f>F162-Inputs!$C$16/2</x:f>
        <x:v>886.6363635438846</x:v>
      </x:c>
      <x:c r="S162" s="48" t="n">
        <x:f>F162+Inputs!$C$16/2</x:f>
        <x:v>916.6363635438846</x:v>
      </x:c>
      <x:c r="T162" s="48" t="n">
        <x:f>F162-Inputs!$C$17/2</x:f>
        <x:v>751.6363635438846</x:v>
      </x:c>
      <x:c r="U162" s="48" t="n">
        <x:f>F162+Inputs!$C$17/2</x:f>
        <x:v>1051.6363635438847</x:v>
      </x:c>
      <x:c r="V162" s="48" t="n">
        <x:f>ABS(P162)</x:f>
        <x:v>170.89078503895507</x:v>
      </x:c>
      <x:c r="W162" s="48" t="n">
        <x:f>ABS(Q162)</x:f>
        <x:v>25.65927703287614</x:v>
      </x:c>
      <x:c r="X162" s="48" t="n">
        <x: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(0.45*SIN(2*PI()*(((A162)/Inputs!$C$49)+Inputs!$C$47*0.137))+0.35*COS(2*PI()*(((0)/Inputs!$C$50)+Inputs!$C$47*0.173))+0.20*SIN(2*PI()*(((A162)+(0))/(0.5*(Inputs!$C$49+Inputs!$C$50))+Inputs!$C$47*0.097)))+0.30*(2*((SIN(((A162)*12.9898+(0)*78.233+Inputs!$C$47*37.719))*43758.5453)-INT((SIN(((A162)*12.9898+(0)*78.233+Inputs!$C$47*37.719))*43758.5453)))-1)))</x:f>
        <x:v>74.33166863889775</x:v>
      </x:c>
      <x:c r="Y162" s="48" t="n">
        <x: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(0.45*SIN(2*PI()*(((A162)/Inputs!$C$49)+Inputs!$C$47*0.137))+0.35*COS(2*PI()*(((Inputs!$C$6)/Inputs!$C$50)+Inputs!$C$47*0.173))+0.20*SIN(2*PI()*(((A162)+(Inputs!$C$6))/(0.5*(Inputs!$C$49+Inputs!$C$50))+Inputs!$C$47*0.097)))+0.30*(2*((SIN(((A162)*12.9898+(Inputs!$C$6)*78.233+Inputs!$C$47*37.719))*43758.5453)-INT((SIN(((A162)*12.9898+(Inputs!$C$6)*78.233+Inputs!$C$47*37.719))*43758.5453)))-1)))</x:f>
        <x:v>439.0113020882822</x:v>
      </x:c>
      <x:c r="Z162" s="48" t="n">
        <x:f>B162-X162/1000</x:f>
        <x:v>400.3701127758056</x:v>
      </x:c>
      <x:c r="AA162" s="48" t="n">
        <x:f>SQRT((Inputs!$C$52+B162)^2+(Inputs!$C$52+Y162/1000)^2-2*(Inputs!$C$52+B162)*(Inputs!$C$52+Y162/1000)*COS(SQRT(A162^2+Inputs!$C$6^2)/Inputs!$C$52))</x:f>
        <x:v>401.61255124811174</x:v>
      </x:c>
      <x:c r="AB162" s="48" t="n">
        <x:f>(AA162-Z162)*1000</x:f>
        <x:v>1242.438472306162</x:v>
      </x:c>
      <x:c r="AC162" s="48" t="n">
        <x:f>AB162/Inputs!$C$12</x:f>
        <x:v>697.9991417450349</x:v>
      </x:c>
      <x:c r="AD162" s="48" t="n">
        <x:f>2*AB162/Inputs!$C$21*1000000</x:f>
        <x:v>8.288657297083585</x:v>
      </x:c>
      <x:c r="AE162" s="48" t="n">
        <x:f>DEGREES(ATAN(H162/(B162-Y162/1000)))</x:f>
        <x:v>4.576082701575143</x:v>
      </x:c>
      <x:c r="AF162" s="48" t="n">
        <x:f>DEGREES((2*PI()/Inputs!$C$13)*Inputs!$C$15*SIN(RADIANS(AE162)))</x:f>
        <x:v>28.721817489110066</x:v>
      </x:c>
      <x:c r="AG162" s="48" t="n">
        <x:f>(Z162/AA162)^4</x:f>
        <x:v>0.9876828062998688</x:v>
      </x:c>
      <x:c r="AH162" s="48" t="n">
        <x:f>10*LOG10(AG162)</x:f>
        <x:v>-0.053825064157473</x:v>
      </x:c>
      <x:c r="AI162" s="48" t="n">
        <x:f>AC162-F162</x:f>
        <x:v>-203.63722179884974</x:v>
      </x:c>
      <x:c r="AJ162" s="48" t="n">
        <x:f>AD162-G162</x:f>
        <x:v>-2.4181679367127558</x:v>
      </x:c>
      <x:c r="AK162" s="48" t="n">
        <x:f>Y162-X162</x:f>
        <x:v>364.6796334493845</x:v>
      </x:c>
      <x:c r="AL162" s="48" t="n">
        <x:f>1000*(AA163-AA161)/(A163-A161)*Inputs!$C$11</x:f>
        <x:v>407.27261300685313</x:v>
      </x:c>
      <x:c r="AM162" s="48" t="n">
        <x:f>-2*AL162/Inputs!$C$13</x:f>
        <x:v>-162.90904520274125</x:v>
      </x:c>
      <x:c r="AN162" s="48" t="n">
        <x:f>-2*AL162/Inputs!$C$14</x:f>
        <x:v>-24.4608175980092</x:v>
      </x:c>
      <x:c r="AO162" s="48" t="n">
        <x:f>ABS(AM162)</x:f>
        <x:v>162.90904520274125</x:v>
      </x:c>
      <x:c r="AP162" s="48" t="n">
        <x:f>ABS(AN162)</x:f>
        <x:v>24.4608175980092</x:v>
      </x:c>
      <x:c r="AQ162" s="48" t="n">
        <x:f>IF(OR(Inputs!$C$27=TRUE,Inputs!$C$27="TRUE",Inputs!$C$27=1),Inputs!$C$46/Inputs!$C$12,0)</x:f>
        <x:v>42.13483146067416</x:v>
      </x:c>
      <x:c r="AR162" s="48" t="n">
        <x:f>AC162-AQ162</x:f>
        <x:v>655.8643102843607</x:v>
      </x:c>
      <x:c r="AS162" s="48" t="n">
        <x:f>AC162+AQ162</x:f>
        <x:v>740.133973205709</x:v>
      </x:c>
    </x:row>
    <x:row r="163">
      <x:c r="A163" s="48" t="n">
        <x:f>Inputs!$C$7+161*(Inputs!$C$8-Inputs!$C$7)/240</x:f>
        <x:v>20.5</x:v>
      </x:c>
      <x:c r="B163" s="48" t="n">
        <x:f>Inputs!$C$5+Inputs!$C$9*(A163/Inputs!$C$10)^2</x:f>
        <x:v>400.46694444444444</x:v>
      </x:c>
      <x:c r="C163" s="48" t="n">
        <x:f>B163</x:f>
        <x:v>400.46694444444444</x:v>
      </x:c>
      <x:c r="D163" s="48" t="n">
        <x:f>SQRT((Inputs!$C$52+B163)^2+Inputs!$C$52^2-2*(Inputs!$C$52+B163)*Inputs!$C$52*COS(SQRT(A163^2+Inputs!$C$6^2)/Inputs!$C$52))</x:f>
        <x:v>402.1034254845426</x:v>
      </x:c>
      <x:c r="E163" s="48" t="n">
        <x:f>(D163-C163)*1000</x:f>
        <x:v>1636.4810400981469</x:v>
      </x:c>
      <x:c r="F163" s="48" t="n">
        <x:f>E163/Inputs!$C$12</x:f>
        <x:v>919.3713708416556</x:v>
      </x:c>
      <x:c r="G163" s="48" t="n">
        <x:f>2*E163/Inputs!$C$21*1000000</x:f>
        <x:v>10.917426348985384</x:v>
      </x:c>
      <x:c r="H163" s="48" t="n">
        <x:f>SQRT(A163^2+Inputs!$C$6^2)</x:f>
        <x:v>32.33032632065442</x:v>
      </x:c>
      <x:c r="I163" s="48" t="n">
        <x:f>DEGREES(ATAN(H163/B163))</x:f>
        <x:v>4.61556831369344</x:v>
      </x:c>
      <x:c r="J163" s="48" t="n">
        <x:f>DEGREES((2*PI()/Inputs!$C$13)*Inputs!$C$15*SIN(RADIANS(I163)))</x:f>
        <x:v>28.96911520563834</x:v>
      </x:c>
      <x:c r="K163" s="48" t="n">
        <x:f>(C163/D163)^4</x:f>
        <x:v>0.9838199051690912</x:v>
      </x:c>
      <x:c r="L163" s="48" t="n">
        <x:f>10*LOG10(K163)</x:f>
        <x:v>-0.070843948101852</x:v>
      </x:c>
      <x:c r="M163" s="48" t="n">
        <x:f>2*(Inputs!$C$9/(Inputs!$C$10^2))*A163</x:f>
        <x:v>0.04555555555555556</x:v>
      </x:c>
      <x:c r="N163" s="48" t="n">
        <x:f>M163*Inputs!$C$11</x:f>
        <x:v>0.18222222222222223</x:v>
      </x:c>
      <x:c r="O163" s="48" t="n">
        <x:f>1000*(D164-D162)/(A164-A162)*Inputs!$C$11</x:f>
        <x:v>437.8644747530416</x:v>
      </x:c>
      <x:c r="P163" s="48" t="n">
        <x:f>-2*O163/Inputs!$C$13</x:f>
        <x:v>-175.14578990121663</x:v>
      </x:c>
      <x:c r="Q163" s="48" t="n">
        <x:f>-2*O163/Inputs!$C$14</x:f>
        <x:v>-26.298166651834332</x:v>
      </x:c>
      <x:c r="R163" s="48" t="n">
        <x:f>F163-Inputs!$C$16/2</x:f>
        <x:v>904.3713708416556</x:v>
      </x:c>
      <x:c r="S163" s="48" t="n">
        <x:f>F163+Inputs!$C$16/2</x:f>
        <x:v>934.3713708416556</x:v>
      </x:c>
      <x:c r="T163" s="48" t="n">
        <x:f>F163-Inputs!$C$17/2</x:f>
        <x:v>769.3713708416556</x:v>
      </x:c>
      <x:c r="U163" s="48" t="n">
        <x:f>F163+Inputs!$C$17/2</x:f>
        <x:v>1069.3713708416556</x:v>
      </x:c>
      <x:c r="V163" s="48" t="n">
        <x:f>ABS(P163)</x:f>
        <x:v>175.14578990121663</x:v>
      </x:c>
      <x:c r="W163" s="48" t="n">
        <x:f>ABS(Q163)</x:f>
        <x:v>26.298166651834332</x:v>
      </x:c>
      <x:c r="X163" s="48" t="n">
        <x: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(0.45*SIN(2*PI()*(((A163)/Inputs!$C$49)+Inputs!$C$47*0.137))+0.35*COS(2*PI()*(((0)/Inputs!$C$50)+Inputs!$C$47*0.173))+0.20*SIN(2*PI()*(((A163)+(0))/(0.5*(Inputs!$C$49+Inputs!$C$50))+Inputs!$C$47*0.097)))+0.30*(2*((SIN(((A163)*12.9898+(0)*78.233+Inputs!$C$47*37.719))*43758.5453)-INT((SIN(((A163)*12.9898+(0)*78.233+Inputs!$C$47*37.719))*43758.5453)))-1)))</x:f>
        <x:v>77.08298836787891</x:v>
      </x:c>
      <x:c r="Y163" s="48" t="n">
        <x: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(0.45*SIN(2*PI()*(((A163)/Inputs!$C$49)+Inputs!$C$47*0.137))+0.35*COS(2*PI()*(((Inputs!$C$6)/Inputs!$C$50)+Inputs!$C$47*0.173))+0.20*SIN(2*PI()*(((A163)+(Inputs!$C$6))/(0.5*(Inputs!$C$49+Inputs!$C$50))+Inputs!$C$47*0.097)))+0.30*(2*((SIN(((A163)*12.9898+(Inputs!$C$6)*78.233+Inputs!$C$47*37.719))*43758.5453)-INT((SIN(((A163)*12.9898+(Inputs!$C$6)*78.233+Inputs!$C$47*37.719))*43758.5453)))-1)))</x:f>
        <x:v>441.7637232897853</x:v>
      </x:c>
      <x:c r="Z163" s="48" t="n">
        <x:f>B163-X163/1000</x:f>
        <x:v>400.3898614560766</x:v>
      </x:c>
      <x:c r="AA163" s="48" t="n">
        <x:f>SQRT((Inputs!$C$52+B163)^2+(Inputs!$C$52+Y163/1000)^2-2*(Inputs!$C$52+B163)*(Inputs!$C$52+Y163/1000)*COS(SQRT(A163^2+Inputs!$C$6^2)/Inputs!$C$52))</x:f>
        <x:v>401.66392437294013</x:v>
      </x:c>
      <x:c r="AB163" s="48" t="n">
        <x:f>(AA163-Z163)*1000</x:f>
        <x:v>1274.0629168635564</x:v>
      </x:c>
      <x:c r="AC163" s="48" t="n">
        <x:f>AB163/Inputs!$C$12</x:f>
        <x:v>715.7656836312115</x:v>
      </x:c>
      <x:c r="AD163" s="48" t="n">
        <x:f>2*AB163/Inputs!$C$21*1000000</x:f>
        <x:v>8.499632881782214</x:v>
      </x:c>
      <x:c r="AE163" s="48" t="n">
        <x:f>DEGREES(ATAN(H163/(B163-Y163/1000)))</x:f>
        <x:v>4.6206434100408424</x:v>
      </x:c>
      <x:c r="AF163" s="48" t="n">
        <x:f>DEGREES((2*PI()/Inputs!$C$13)*Inputs!$C$15*SIN(RADIANS(AE163)))</x:f>
        <x:v>29.000899452312968</x:v>
      </x:c>
      <x:c r="AG163" s="48" t="n">
        <x:f>(Z163/AA163)^4</x:f>
        <x:v>0.9873723904110068</x:v>
      </x:c>
      <x:c r="AH163" s="48" t="n">
        <x:f>10*LOG10(AG163)</x:f>
        <x:v>-0.0551902098907408</x:v>
      </x:c>
      <x:c r="AI163" s="48" t="n">
        <x:f>AC163-F163</x:f>
        <x:v>-203.6056872104441</x:v>
      </x:c>
      <x:c r="AJ163" s="48" t="n">
        <x:f>AD163-G163</x:f>
        <x:v>-2.41779346720317</x:v>
      </x:c>
      <x:c r="AK163" s="48" t="n">
        <x:f>Y163-X163</x:f>
        <x:v>364.6807349219064</x:v>
      </x:c>
      <x:c r="AL163" s="48" t="n">
        <x:f>1000*(AA164-AA162)/(A164-A162)*Inputs!$C$11</x:f>
        <x:v>429.2908702718705</x:v>
      </x:c>
      <x:c r="AM163" s="48" t="n">
        <x:f>-2*AL163/Inputs!$C$13</x:f>
        <x:v>-171.7163481087482</x:v>
      </x:c>
      <x:c r="AN163" s="48" t="n">
        <x:f>-2*AL163/Inputs!$C$14</x:f>
        <x:v>-25.783235451763996</x:v>
      </x:c>
      <x:c r="AO163" s="48" t="n">
        <x:f>ABS(AM163)</x:f>
        <x:v>171.7163481087482</x:v>
      </x:c>
      <x:c r="AP163" s="48" t="n">
        <x:f>ABS(AN163)</x:f>
        <x:v>25.783235451763996</x:v>
      </x:c>
      <x:c r="AQ163" s="48" t="n">
        <x:f>IF(OR(Inputs!$C$27=TRUE,Inputs!$C$27="TRUE",Inputs!$C$27=1),Inputs!$C$46/Inputs!$C$12,0)</x:f>
        <x:v>42.13483146067416</x:v>
      </x:c>
      <x:c r="AR163" s="48" t="n">
        <x:f>AC163-AQ163</x:f>
        <x:v>673.6308521705373</x:v>
      </x:c>
      <x:c r="AS163" s="48" t="n">
        <x:f>AC163+AQ163</x:f>
        <x:v>757.9005150918856</x:v>
      </x:c>
    </x:row>
    <x:row r="164">
      <x:c r="A164" s="48" t="n">
        <x:f>Inputs!$C$7+162*(Inputs!$C$8-Inputs!$C$7)/240</x:f>
        <x:v>21</x:v>
      </x:c>
      <x:c r="B164" s="48" t="n">
        <x:f>Inputs!$C$5+Inputs!$C$9*(A164/Inputs!$C$10)^2</x:f>
        <x:v>400.49</x:v>
      </x:c>
      <x:c r="C164" s="48" t="n">
        <x:f>B164</x:f>
        <x:v>400.49</x:v>
      </x:c>
      <x:c r="D164" s="48" t="n">
        <x:f>SQRT((Inputs!$C$52+B164)^2+Inputs!$C$52^2-2*(Inputs!$C$52+B164)*Inputs!$C$52*COS(SQRT(A164^2+Inputs!$C$6^2)/Inputs!$C$52))</x:f>
        <x:v>402.15882329024083</x:v>
      </x:c>
      <x:c r="E164" s="48" t="n">
        <x:f>(D164-C164)*1000</x:f>
        <x:v>1668.823290240823</x:v>
      </x:c>
      <x:c r="F164" s="48" t="n">
        <x:f>E164/Inputs!$C$12</x:f>
        <x:v>937.5411742925972</x:v>
      </x:c>
      <x:c r="G164" s="48" t="n">
        <x:f>2*E164/Inputs!$C$21*1000000</x:f>
        <x:v>11.133190617095666</x:v>
      </x:c>
      <x:c r="H164" s="48" t="n">
        <x:f>SQRT(A164^2+Inputs!$C$6^2)</x:f>
        <x:v>32.64965543462902</x:v>
      </x:c>
      <x:c r="I164" s="48" t="n">
        <x:f>DEGREES(ATAN(H164/B164))</x:f>
        <x:v>4.660689610438978</x:v>
      </x:c>
      <x:c r="J164" s="48" t="n">
        <x:f>DEGREES((2*PI()/Inputs!$C$13)*Inputs!$C$15*SIN(RADIANS(I164)))</x:f>
        <x:v>29.251692268127087</x:v>
      </x:c>
      <x:c r="K164" s="48" t="n">
        <x:f>(C164/D164)^4</x:f>
        <x:v>0.9835043836267436</x:v>
      </x:c>
      <x:c r="L164" s="48" t="n">
        <x:f>10*LOG10(K164)</x:f>
        <x:v>-0.07223700024601</x:v>
      </x:c>
      <x:c r="M164" s="48" t="n">
        <x:f>2*(Inputs!$C$9/(Inputs!$C$10^2))*A164</x:f>
        <x:v>0.04666666666666667</x:v>
      </x:c>
      <x:c r="N164" s="48" t="n">
        <x:f>M164*Inputs!$C$11</x:f>
        <x:v>0.18666666666666668</x:v>
      </x:c>
      <x:c r="O164" s="48" t="n">
        <x:f>1000*(D165-D163)/(A165-A163)*Inputs!$C$11</x:f>
        <x:v>448.49880820765975</x:v>
      </x:c>
      <x:c r="P164" s="48" t="n">
        <x:f>-2*O164/Inputs!$C$13</x:f>
        <x:v>-179.3995232830639</x:v>
      </x:c>
      <x:c r="Q164" s="48" t="n">
        <x:f>-2*O164/Inputs!$C$14</x:f>
        <x:v>-26.936865357817403</x:v>
      </x:c>
      <x:c r="R164" s="48" t="n">
        <x:f>F164-Inputs!$C$16/2</x:f>
        <x:v>922.5411742925972</x:v>
      </x:c>
      <x:c r="S164" s="48" t="n">
        <x:f>F164+Inputs!$C$16/2</x:f>
        <x:v>952.5411742925972</x:v>
      </x:c>
      <x:c r="T164" s="48" t="n">
        <x:f>F164-Inputs!$C$17/2</x:f>
        <x:v>787.5411742925972</x:v>
      </x:c>
      <x:c r="U164" s="48" t="n">
        <x:f>F164+Inputs!$C$17/2</x:f>
        <x:v>1087.5411742925971</x:v>
      </x:c>
      <x:c r="V164" s="48" t="n">
        <x:f>ABS(P164)</x:f>
        <x:v>179.3995232830639</x:v>
      </x:c>
      <x:c r="W164" s="48" t="n">
        <x:f>ABS(Q164)</x:f>
        <x:v>26.936865357817403</x:v>
      </x:c>
      <x:c r="X164" s="48" t="n">
        <x: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(0.45*SIN(2*PI()*(((A164)/Inputs!$C$49)+Inputs!$C$47*0.137))+0.35*COS(2*PI()*(((0)/Inputs!$C$50)+Inputs!$C$47*0.173))+0.20*SIN(2*PI()*(((A164)+(0))/(0.5*(Inputs!$C$49+Inputs!$C$50))+Inputs!$C$47*0.097)))+0.30*(2*((SIN(((A164)*12.9898+(0)*78.233+Inputs!$C$47*37.719))*43758.5453)-INT((SIN(((A164)*12.9898+(0)*78.233+Inputs!$C$47*37.719))*43758.5453)))-1)))</x:f>
        <x:v>84.6060805836893</x:v>
      </x:c>
      <x:c r="Y164" s="48" t="n">
        <x: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(0.45*SIN(2*PI()*(((A164)/Inputs!$C$49)+Inputs!$C$47*0.137))+0.35*COS(2*PI()*(((Inputs!$C$6)/Inputs!$C$50)+Inputs!$C$47*0.173))+0.20*SIN(2*PI()*(((A164)+(Inputs!$C$6))/(0.5*(Inputs!$C$49+Inputs!$C$50))+Inputs!$C$47*0.097)))+0.30*(2*((SIN(((A164)*12.9898+(Inputs!$C$6)*78.233+Inputs!$C$47*37.719))*43758.5453)-INT((SIN(((A164)*12.9898+(Inputs!$C$6)*78.233+Inputs!$C$47*37.719))*43758.5453)))-1)))</x:f>
        <x:v>441.2537143317768</x:v>
      </x:c>
      <x:c r="Z164" s="48" t="n">
        <x:f>B164-X164/1000</x:f>
        <x:v>400.4053939194163</x:v>
      </x:c>
      <x:c r="AA164" s="48" t="n">
        <x:f>SQRT((Inputs!$C$52+B164)^2+(Inputs!$C$52+Y164/1000)^2-2*(Inputs!$C$52+B164)*(Inputs!$C$52+Y164/1000)*COS(SQRT(A164^2+Inputs!$C$6^2)/Inputs!$C$52))</x:f>
        <x:v>401.7198739656797</x:v>
      </x:c>
      <x:c r="AB164" s="48" t="n">
        <x:f>(AA164-Z164)*1000</x:f>
        <x:v>1314.4800462633839</x:v>
      </x:c>
      <x:c r="AC164" s="48" t="n">
        <x:f>AB164/Inputs!$C$12</x:f>
        <x:v>738.4719361030246</x:v>
      </x:c>
      <x:c r="AD164" s="48" t="n">
        <x:f>2*AB164/Inputs!$C$21*1000000</x:f>
        <x:v>8.769266945757414</x:v>
      </x:c>
      <x:c r="AE164" s="48" t="n">
        <x:f>DEGREES(ATAN(H164/(B164-Y164/1000)))</x:f>
        <x:v>4.665807665967855</x:v>
      </x:c>
      <x:c r="AF164" s="48" t="n">
        <x:f>DEGREES((2*PI()/Inputs!$C$13)*Inputs!$C$15*SIN(RADIANS(AE164)))</x:f>
        <x:v>29.283743509090908</x:v>
      </x:c>
      <x:c r="AG164" s="48" t="n">
        <x:f>(Z164/AA164)^4</x:f>
        <x:v>0.9869755770911991</x:v>
      </x:c>
      <x:c r="AH164" s="48" t="n">
        <x:f>10*LOG10(AG164)</x:f>
        <x:v>-0.0569359390154469</x:v>
      </x:c>
      <x:c r="AI164" s="48" t="n">
        <x:f>AC164-F164</x:f>
        <x:v>-199.06923818957262</x:v>
      </x:c>
      <x:c r="AJ164" s="48" t="n">
        <x:f>AD164-G164</x:f>
        <x:v>-2.3639236713382523</x:v>
      </x:c>
      <x:c r="AK164" s="48" t="n">
        <x:f>Y164-X164</x:f>
        <x:v>356.6476337480875</x:v>
      </x:c>
      <x:c r="AL164" s="48" t="n">
        <x:f>1000*(AA165-AA163)/(A165-A163)*Inputs!$C$11</x:f>
        <x:v>439.4064205446284</x:v>
      </x:c>
      <x:c r="AM164" s="48" t="n">
        <x:f>-2*AL164/Inputs!$C$13</x:f>
        <x:v>-175.76256821785137</x:v>
      </x:c>
      <x:c r="AN164" s="48" t="n">
        <x:f>-2*AL164/Inputs!$C$14</x:f>
        <x:v>-26.390776008686395</x:v>
      </x:c>
      <x:c r="AO164" s="48" t="n">
        <x:f>ABS(AM164)</x:f>
        <x:v>175.76256821785137</x:v>
      </x:c>
      <x:c r="AP164" s="48" t="n">
        <x:f>ABS(AN164)</x:f>
        <x:v>26.390776008686395</x:v>
      </x:c>
      <x:c r="AQ164" s="48" t="n">
        <x:f>IF(OR(Inputs!$C$27=TRUE,Inputs!$C$27="TRUE",Inputs!$C$27=1),Inputs!$C$46/Inputs!$C$12,0)</x:f>
        <x:v>42.13483146067416</x:v>
      </x:c>
      <x:c r="AR164" s="48" t="n">
        <x:f>AC164-AQ164</x:f>
        <x:v>696.3371046423505</x:v>
      </x:c>
      <x:c r="AS164" s="48" t="n">
        <x:f>AC164+AQ164</x:f>
        <x:v>780.6067675636988</x:v>
      </x:c>
    </x:row>
    <x:row r="165">
      <x:c r="A165" s="48" t="n">
        <x:f>Inputs!$C$7+163*(Inputs!$C$8-Inputs!$C$7)/240</x:f>
        <x:v>21.5</x:v>
      </x:c>
      <x:c r="B165" s="48" t="n">
        <x:f>Inputs!$C$5+Inputs!$C$9*(A165/Inputs!$C$10)^2</x:f>
        <x:v>400.5136111111111</x:v>
      </x:c>
      <x:c r="C165" s="48" t="n">
        <x:f>B165</x:f>
        <x:v>400.5136111111111</x:v>
      </x:c>
      <x:c r="D165" s="48" t="n">
        <x:f>SQRT((Inputs!$C$52+B165)^2+Inputs!$C$52^2-2*(Inputs!$C$52+B165)*Inputs!$C$52*COS(SQRT(A165^2+Inputs!$C$6^2)/Inputs!$C$52))</x:f>
        <x:v>402.2155501865945</x:v>
      </x:c>
      <x:c r="E165" s="48" t="n">
        <x:f>(D165-C165)*1000</x:f>
        <x:v>1701.9390754833807</x:v>
      </x:c>
      <x:c r="F165" s="48" t="n">
        <x:f>E165/Inputs!$C$12</x:f>
        <x:v>956.1455480243712</x:v>
      </x:c>
      <x:c r="G165" s="48" t="n">
        <x:f>2*E165/Inputs!$C$21*1000000</x:f>
        <x:v>11.354115355919866</x:v>
      </x:c>
      <x:c r="H165" s="48" t="n">
        <x:f>SQRT(A165^2+Inputs!$C$6^2)</x:f>
        <x:v>32.973474187595095</x:v>
      </x:c>
      <x:c r="I165" s="48" t="n">
        <x:f>DEGREES(ATAN(H165/B165))</x:f>
        <x:v>4.7064313676414065</x:v>
      </x:c>
      <x:c r="J165" s="48" t="n">
        <x:f>DEGREES((2*PI()/Inputs!$C$13)*Inputs!$C$15*SIN(RADIANS(I165)))</x:f>
        <x:v>29.538136514134884</x:v>
      </x:c>
      <x:c r="K165" s="48" t="n">
        <x:f>(C165/D165)^4</x:f>
        <x:v>0.9831814845422179</x:v>
      </x:c>
      <x:c r="L165" s="48" t="n">
        <x:f>10*LOG10(K165)</x:f>
        <x:v>-0.0736630875958091</x:v>
      </x:c>
      <x:c r="M165" s="48" t="n">
        <x:f>2*(Inputs!$C$9/(Inputs!$C$10^2))*A165</x:f>
        <x:v>0.04777777777777778</x:v>
      </x:c>
      <x:c r="N165" s="48" t="n">
        <x:f>M165*Inputs!$C$11</x:f>
        <x:v>0.19111111111111112</x:v>
      </x:c>
      <x:c r="O165" s="48" t="n">
        <x:f>1000*(D166-D164)/(A166-A164)*Inputs!$C$11</x:f>
        <x:v>459.12988767804563</x:v>
      </x:c>
      <x:c r="P165" s="48" t="n">
        <x:f>-2*O165/Inputs!$C$13</x:f>
        <x:v>-183.65195507121825</x:v>
      </x:c>
      <x:c r="Q165" s="48" t="n">
        <x:f>-2*O165/Inputs!$C$14</x:f>
        <x:v>-27.575368629312052</x:v>
      </x:c>
      <x:c r="R165" s="48" t="n">
        <x:f>F165-Inputs!$C$16/2</x:f>
        <x:v>941.1455480243712</x:v>
      </x:c>
      <x:c r="S165" s="48" t="n">
        <x:f>F165+Inputs!$C$16/2</x:f>
        <x:v>971.1455480243712</x:v>
      </x:c>
      <x:c r="T165" s="48" t="n">
        <x:f>F165-Inputs!$C$17/2</x:f>
        <x:v>806.1455480243712</x:v>
      </x:c>
      <x:c r="U165" s="48" t="n">
        <x:f>F165+Inputs!$C$17/2</x:f>
        <x:v>1106.1455480243712</x:v>
      </x:c>
      <x:c r="V165" s="48" t="n">
        <x:f>ABS(P165)</x:f>
        <x:v>183.65195507121825</x:v>
      </x:c>
      <x:c r="W165" s="48" t="n">
        <x:f>ABS(Q165)</x:f>
        <x:v>27.575368629312052</x:v>
      </x:c>
      <x:c r="X165" s="48" t="n">
        <x: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(0.45*SIN(2*PI()*(((A165)/Inputs!$C$49)+Inputs!$C$47*0.137))+0.35*COS(2*PI()*(((0)/Inputs!$C$50)+Inputs!$C$47*0.173))+0.20*SIN(2*PI()*(((A165)+(0))/(0.5*(Inputs!$C$49+Inputs!$C$50))+Inputs!$C$47*0.097)))+0.30*(2*((SIN(((A165)*12.9898+(0)*78.233+Inputs!$C$47*37.719))*43758.5453)-INT((SIN(((A165)*12.9898+(0)*78.233+Inputs!$C$47*37.719))*43758.5453)))-1)))</x:f>
        <x:v>83.65167434978589</x:v>
      </x:c>
      <x:c r="Y165" s="48" t="n">
        <x: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(0.45*SIN(2*PI()*(((A165)/Inputs!$C$49)+Inputs!$C$47*0.137))+0.35*COS(2*PI()*(((Inputs!$C$6)/Inputs!$C$50)+Inputs!$C$47*0.173))+0.20*SIN(2*PI()*(((A165)+(Inputs!$C$6))/(0.5*(Inputs!$C$49+Inputs!$C$50))+Inputs!$C$47*0.097)))+0.30*(2*((SIN(((A165)*12.9898+(Inputs!$C$6)*78.233+Inputs!$C$47*37.719))*43758.5453)-INT((SIN(((A165)*12.9898+(Inputs!$C$6)*78.233+Inputs!$C$47*37.719))*43758.5453)))-1)))</x:f>
        <x:v>444.1394266764314</x:v>
      </x:c>
      <x:c r="Z165" s="48" t="n">
        <x:f>B165-X165/1000</x:f>
        <x:v>400.42995943676135</x:v>
      </x:c>
      <x:c r="AA165" s="48" t="n">
        <x:f>SQRT((Inputs!$C$52+B165)^2+(Inputs!$C$52+Y165/1000)^2-2*(Inputs!$C$52+B165)*(Inputs!$C$52+Y165/1000)*COS(SQRT(A165^2+Inputs!$C$6^2)/Inputs!$C$52))</x:f>
        <x:v>401.7737759780763</x:v>
      </x:c>
      <x:c r="AB165" s="48" t="n">
        <x:f>(AA165-Z165)*1000</x:f>
        <x:v>1343.8165413149363</x:v>
      </x:c>
      <x:c r="AC165" s="48" t="n">
        <x:f>AB165/Inputs!$C$12</x:f>
        <x:v>754.9531130982788</x:v>
      </x:c>
      <x:c r="AD165" s="48" t="n">
        <x:f>2*AB165/Inputs!$C$21*1000000</x:f>
        <x:v>8.964978974320537</x:v>
      </x:c>
      <x:c r="AE165" s="48" t="n">
        <x:f>DEGREES(ATAN(H165/(B165-Y165/1000)))</x:f>
        <x:v>4.711632729360009</x:v>
      </x:c>
      <x:c r="AF165" s="48" t="n">
        <x:f>DEGREES((2*PI()/Inputs!$C$13)*Inputs!$C$15*SIN(RADIANS(AE165)))</x:f>
        <x:v>29.57070731715101</x:v>
      </x:c>
      <x:c r="AG165" s="48" t="n">
        <x:f>(Z165/AA165)^4</x:f>
        <x:v>0.9866881351818763</x:v>
      </x:c>
      <x:c r="AH165" s="48" t="n">
        <x:f>10*LOG10(AG165)</x:f>
        <x:v>-0.0582009411046374</x:v>
      </x:c>
      <x:c r="AI165" s="48" t="n">
        <x:f>AC165-F165</x:f>
        <x:v>-201.19243492609246</x:v>
      </x:c>
      <x:c r="AJ165" s="48" t="n">
        <x:f>AD165-G165</x:f>
        <x:v>-2.3891363815993287</x:v>
      </x:c>
      <x:c r="AK165" s="48" t="n">
        <x:f>Y165-X165</x:f>
        <x:v>360.48775232664553</x:v>
      </x:c>
      <x:c r="AL165" s="48" t="n">
        <x:f>1000*(AA166-AA164)/(A166-A164)*Inputs!$C$11</x:f>
        <x:v>433.53659767353747</x:v>
      </x:c>
      <x:c r="AM165" s="48" t="n">
        <x:f>-2*AL165/Inputs!$C$13</x:f>
        <x:v>-173.414639069415</x:v>
      </x:c>
      <x:c r="AN165" s="48" t="n">
        <x:f>-2*AL165/Inputs!$C$14</x:f>
        <x:v>-26.03823409450676</x:v>
      </x:c>
      <x:c r="AO165" s="48" t="n">
        <x:f>ABS(AM165)</x:f>
        <x:v>173.414639069415</x:v>
      </x:c>
      <x:c r="AP165" s="48" t="n">
        <x:f>ABS(AN165)</x:f>
        <x:v>26.03823409450676</x:v>
      </x:c>
      <x:c r="AQ165" s="48" t="n">
        <x:f>IF(OR(Inputs!$C$27=TRUE,Inputs!$C$27="TRUE",Inputs!$C$27=1),Inputs!$C$46/Inputs!$C$12,0)</x:f>
        <x:v>42.13483146067416</x:v>
      </x:c>
      <x:c r="AR165" s="48" t="n">
        <x:f>AC165-AQ165</x:f>
        <x:v>712.8182816376046</x:v>
      </x:c>
      <x:c r="AS165" s="48" t="n">
        <x:f>AC165+AQ165</x:f>
        <x:v>797.0879445589529</x:v>
      </x:c>
    </x:row>
    <x:row r="166">
      <x:c r="A166" s="48" t="n">
        <x:f>Inputs!$C$7+164*(Inputs!$C$8-Inputs!$C$7)/240</x:f>
        <x:v>22</x:v>
      </x:c>
      <x:c r="B166" s="48" t="n">
        <x:f>Inputs!$C$5+Inputs!$C$9*(A166/Inputs!$C$10)^2</x:f>
        <x:v>400.53777777777776</x:v>
      </x:c>
      <x:c r="C166" s="48" t="n">
        <x:f>B166</x:f>
        <x:v>400.53777777777776</x:v>
      </x:c>
      <x:c r="D166" s="48" t="n">
        <x:f>SQRT((Inputs!$C$52+B166)^2+Inputs!$C$52^2-2*(Inputs!$C$52+B166)*Inputs!$C$52*COS(SQRT(A166^2+Inputs!$C$6^2)/Inputs!$C$52))</x:f>
        <x:v>402.27360576216034</x:v>
      </x:c>
      <x:c r="E166" s="48" t="n">
        <x:f>(D166-C166)*1000</x:f>
        <x:v>1735.8279843825812</x:v>
      </x:c>
      <x:c r="F166" s="48" t="n">
        <x:f>E166/Inputs!$C$12</x:f>
        <x:v>975.1842608890905</x:v>
      </x:c>
      <x:c r="G166" s="48" t="n">
        <x:f>2*E166/Inputs!$C$21*1000000</x:f>
        <x:v>11.580197820604154</x:v>
      </x:c>
      <x:c r="H166" s="48" t="n">
        <x:f>SQRT(A166^2+Inputs!$C$6^2)</x:f>
        <x:v>33.301651610693426</x:v>
      </x:c>
      <x:c r="I166" s="48" t="n">
        <x:f>DEGREES(ATAN(H166/B166))</x:f>
        <x:v>4.752774375241167</x:v>
      </x:c>
      <x:c r="J166" s="48" t="n">
        <x:f>DEGREES((2*PI()/Inputs!$C$13)*Inputs!$C$15*SIN(RADIANS(I166)))</x:f>
        <x:v>29.828326713325737</x:v>
      </x:c>
      <x:c r="K166" s="48" t="n">
        <x:f>(C166/D166)^4</x:f>
        <x:v>0.982851223782631</x:v>
      </x:c>
      <x:c r="L166" s="48" t="n">
        <x:f>10*LOG10(K166)</x:f>
        <x:v>-0.0751221724443932</x:v>
      </x:c>
      <x:c r="M166" s="48" t="n">
        <x:f>2*(Inputs!$C$9/(Inputs!$C$10^2))*A166</x:f>
        <x:v>0.04888888888888889</x:v>
      </x:c>
      <x:c r="N166" s="48" t="n">
        <x:f>M166*Inputs!$C$11</x:f>
        <x:v>0.19555555555555557</x:v>
      </x:c>
      <x:c r="O166" s="48" t="n">
        <x:f>1000*(D167-D165)/(A167-A165)*Inputs!$C$11</x:f>
        <x:v>469.75763804971393</x:v>
      </x:c>
      <x:c r="P166" s="48" t="n">
        <x:f>-2*O166/Inputs!$C$13</x:f>
        <x:v>-187.90305521988557</x:v>
      </x:c>
      <x:c r="Q166" s="48" t="n">
        <x:f>-2*O166/Inputs!$C$14</x:f>
        <x:v>-28.213671954937777</x:v>
      </x:c>
      <x:c r="R166" s="48" t="n">
        <x:f>F166-Inputs!$C$16/2</x:f>
        <x:v>960.1842608890905</x:v>
      </x:c>
      <x:c r="S166" s="48" t="n">
        <x:f>F166+Inputs!$C$16/2</x:f>
        <x:v>990.1842608890905</x:v>
      </x:c>
      <x:c r="T166" s="48" t="n">
        <x:f>F166-Inputs!$C$17/2</x:f>
        <x:v>825.1842608890905</x:v>
      </x:c>
      <x:c r="U166" s="48" t="n">
        <x:f>F166+Inputs!$C$17/2</x:f>
        <x:v>1125.1842608890906</x:v>
      </x:c>
      <x:c r="V166" s="48" t="n">
        <x:f>ABS(P166)</x:f>
        <x:v>187.90305521988557</x:v>
      </x:c>
      <x:c r="W166" s="48" t="n">
        <x:f>ABS(Q166)</x:f>
        <x:v>28.213671954937777</x:v>
      </x:c>
      <x:c r="X166" s="48" t="n">
        <x: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(0.45*SIN(2*PI()*(((A166)/Inputs!$C$49)+Inputs!$C$47*0.137))+0.35*COS(2*PI()*(((0)/Inputs!$C$50)+Inputs!$C$47*0.173))+0.20*SIN(2*PI()*(((A166)+(0))/(0.5*(Inputs!$C$49+Inputs!$C$50))+Inputs!$C$47*0.097)))+0.30*(2*((SIN(((A166)*12.9898+(0)*78.233+Inputs!$C$47*37.719))*43758.5453)-INT((SIN(((A166)*12.9898+(0)*78.233+Inputs!$C$47*37.719))*43758.5453)))-1)))</x:f>
        <x:v>73.36589826371042</x:v>
      </x:c>
      <x:c r="Y166" s="48" t="n">
        <x: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(0.45*SIN(2*PI()*(((A166)/Inputs!$C$49)+Inputs!$C$47*0.137))+0.35*COS(2*PI()*(((Inputs!$C$6)/Inputs!$C$50)+Inputs!$C$47*0.173))+0.20*SIN(2*PI()*(((A166)+(Inputs!$C$6))/(0.5*(Inputs!$C$49+Inputs!$C$50))+Inputs!$C$47*0.097)))+0.30*(2*((SIN(((A166)*12.9898+(Inputs!$C$6)*78.233+Inputs!$C$47*37.719))*43758.5453)-INT((SIN(((A166)*12.9898+(Inputs!$C$6)*78.233+Inputs!$C$47*37.719))*43758.5453)))-1)))</x:f>
        <x:v>447.7794532624074</x:v>
      </x:c>
      <x:c r="Z166" s="48" t="n">
        <x:f>B166-X166/1000</x:f>
        <x:v>400.46441187951405</x:v>
      </x:c>
      <x:c r="AA166" s="48" t="n">
        <x:f>SQRT((Inputs!$C$52+B166)^2+(Inputs!$C$52+Y166/1000)^2-2*(Inputs!$C$52+B166)*(Inputs!$C$52+Y166/1000)*COS(SQRT(A166^2+Inputs!$C$6^2)/Inputs!$C$52))</x:f>
        <x:v>401.8282581150981</x:v>
      </x:c>
      <x:c r="AB166" s="48" t="n">
        <x:f>(AA166-Z166)*1000</x:f>
        <x:v>1363.8462355840488</x:v>
      </x:c>
      <x:c r="AC166" s="48" t="n">
        <x:f>AB166/Inputs!$C$12</x:f>
        <x:v>766.2057503281173</x:v>
      </x:c>
      <x:c r="AD166" s="48" t="n">
        <x:f>2*AB166/Inputs!$C$21*1000000</x:f>
        <x:v>9.09860271123998</x:v>
      </x:c>
      <x:c r="AE166" s="48" t="n">
        <x:f>DEGREES(ATAN(H166/(B166-Y166/1000)))</x:f>
        <x:v>4.758069256841949</x:v>
      </x:c>
      <x:c r="AF166" s="48" t="n">
        <x:f>DEGREES((2*PI()/Inputs!$C$13)*Inputs!$C$15*SIN(RADIANS(AE166)))</x:f>
        <x:v>29.861480913404854</x:v>
      </x:c>
      <x:c r="AG166" s="48" t="n">
        <x:f>(Z166/AA166)^4</x:f>
        <x:v>0.9864925539138557</x:v>
      </x:c>
      <x:c r="AH166" s="48" t="n">
        <x:f>10*LOG10(AG166)</x:f>
        <x:v>-0.05906188471930521</x:v>
      </x:c>
      <x:c r="AI166" s="48" t="n">
        <x:f>AC166-F166</x:f>
        <x:v>-208.97851056097318</x:v>
      </x:c>
      <x:c r="AJ166" s="48" t="n">
        <x:f>AD166-G166</x:f>
        <x:v>-2.4815951093641733</x:v>
      </x:c>
      <x:c r="AK166" s="48" t="n">
        <x:f>Y166-X166</x:f>
        <x:v>374.413554998697</x:v>
      </x:c>
      <x:c r="AL166" s="48" t="n">
        <x:f>1000*(AA167-AA165)/(A167-A165)*Inputs!$C$11</x:f>
        <x:v>476.6207083544032</x:v>
      </x:c>
      <x:c r="AM166" s="48" t="n">
        <x:f>-2*AL166/Inputs!$C$13</x:f>
        <x:v>-190.64828334176127</x:v>
      </x:c>
      <x:c r="AN166" s="48" t="n">
        <x:f>-2*AL166/Inputs!$C$14</x:f>
        <x:v>-28.625868369633828</x:v>
      </x:c>
      <x:c r="AO166" s="48" t="n">
        <x:f>ABS(AM166)</x:f>
        <x:v>190.64828334176127</x:v>
      </x:c>
      <x:c r="AP166" s="48" t="n">
        <x:f>ABS(AN166)</x:f>
        <x:v>28.625868369633828</x:v>
      </x:c>
      <x:c r="AQ166" s="48" t="n">
        <x:f>IF(OR(Inputs!$C$27=TRUE,Inputs!$C$27="TRUE",Inputs!$C$27=1),Inputs!$C$46/Inputs!$C$12,0)</x:f>
        <x:v>42.13483146067416</x:v>
      </x:c>
      <x:c r="AR166" s="48" t="n">
        <x:f>AC166-AQ166</x:f>
        <x:v>724.0709188674432</x:v>
      </x:c>
      <x:c r="AS166" s="48" t="n">
        <x:f>AC166+AQ166</x:f>
        <x:v>808.3405817887915</x:v>
      </x:c>
    </x:row>
    <x:row r="167">
      <x:c r="A167" s="48" t="n">
        <x:f>Inputs!$C$7+165*(Inputs!$C$8-Inputs!$C$7)/240</x:f>
        <x:v>22.5</x:v>
      </x:c>
      <x:c r="B167" s="48" t="n">
        <x:f>Inputs!$C$5+Inputs!$C$9*(A167/Inputs!$C$10)^2</x:f>
        <x:v>400.5625</x:v>
      </x:c>
      <x:c r="C167" s="48" t="n">
        <x:f>B167</x:f>
        <x:v>400.5625</x:v>
      </x:c>
      <x:c r="D167" s="48" t="n">
        <x:f>SQRT((Inputs!$C$52+B167)^2+Inputs!$C$52^2-2*(Inputs!$C$52+B167)*Inputs!$C$52*COS(SQRT(A167^2+Inputs!$C$6^2)/Inputs!$C$52))</x:f>
        <x:v>402.3329895961069</x:v>
      </x:c>
      <x:c r="E167" s="48" t="n">
        <x:f>(D167-C167)*1000</x:f>
        <x:v>1770.489596106927</x:v>
      </x:c>
      <x:c r="F167" s="48" t="n">
        <x:f>E167/Inputs!$C$12</x:f>
        <x:v>994.6570764645656</x:v>
      </x:c>
      <x:c r="G167" s="48" t="n">
        <x:f>2*E167/Inputs!$C$21*1000000</x:f>
        <x:v>11.811435203662974</x:v>
      </x:c>
      <x:c r="H167" s="48" t="n">
        <x:f>SQRT(A167^2+Inputs!$C$6^2)</x:f>
        <x:v>33.63406011768428</x:v>
      </x:c>
      <x:c r="I167" s="48" t="n">
        <x:f>DEGREES(ATAN(H167/B167))</x:f>
        <x:v>4.799699905357918</x:v>
      </x:c>
      <x:c r="J167" s="48" t="n">
        <x:f>DEGREES((2*PI()/Inputs!$C$13)*Inputs!$C$15*SIN(RADIANS(I167)))</x:f>
        <x:v>30.122144661864603</x:v>
      </x:c>
      <x:c r="K167" s="48" t="n">
        <x:f>(C167/D167)^4</x:f>
        <x:v>0.9825136175615532</x:v>
      </x:c>
      <x:c r="L167" s="48" t="n">
        <x:f>10*LOG10(K167)</x:f>
        <x:v>-0.0766142162342085</x:v>
      </x:c>
      <x:c r="M167" s="48" t="n">
        <x:f>2*(Inputs!$C$9/(Inputs!$C$10^2))*A167</x:f>
        <x:v>0.05</x:v>
      </x:c>
      <x:c r="N167" s="48" t="n">
        <x:f>M167*Inputs!$C$11</x:f>
        <x:v>0.2</x:v>
      </x:c>
      <x:c r="O167" s="48" t="n">
        <x:f>1000*(D168-D166)/(A168-A166)*Inputs!$C$11</x:f>
        <x:v>480.3819843364181</x:v>
      </x:c>
      <x:c r="P167" s="48" t="n">
        <x:f>-2*O167/Inputs!$C$13</x:f>
        <x:v>-192.15279373456724</x:v>
      </x:c>
      <x:c r="Q167" s="48" t="n">
        <x:f>-2*O167/Inputs!$C$14</x:f>
        <x:v>-28.851770831016104</x:v>
      </x:c>
      <x:c r="R167" s="48" t="n">
        <x:f>F167-Inputs!$C$16/2</x:f>
        <x:v>979.6570764645656</x:v>
      </x:c>
      <x:c r="S167" s="48" t="n">
        <x:f>F167+Inputs!$C$16/2</x:f>
        <x:v>1009.6570764645656</x:v>
      </x:c>
      <x:c r="T167" s="48" t="n">
        <x:f>F167-Inputs!$C$17/2</x:f>
        <x:v>844.6570764645656</x:v>
      </x:c>
      <x:c r="U167" s="48" t="n">
        <x:f>F167+Inputs!$C$17/2</x:f>
        <x:v>1144.6570764645658</x:v>
      </x:c>
      <x:c r="V167" s="48" t="n">
        <x:f>ABS(P167)</x:f>
        <x:v>192.15279373456724</x:v>
      </x:c>
      <x:c r="W167" s="48" t="n">
        <x:f>ABS(Q167)</x:f>
        <x:v>28.851770831016104</x:v>
      </x:c>
      <x:c r="X167" s="48" t="n">
        <x: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(0.45*SIN(2*PI()*(((A167)/Inputs!$C$49)+Inputs!$C$47*0.137))+0.35*COS(2*PI()*(((0)/Inputs!$C$50)+Inputs!$C$47*0.173))+0.20*SIN(2*PI()*(((A167)+(0))/(0.5*(Inputs!$C$49+Inputs!$C$50))+Inputs!$C$47*0.097)))+0.30*(2*((SIN(((A167)*12.9898+(0)*78.233+Inputs!$C$47*37.719))*43758.5453)-INT((SIN(((A167)*12.9898+(0)*78.233+Inputs!$C$47*37.719))*43758.5453)))-1)))</x:f>
        <x:v>73.86322008676284</x:v>
      </x:c>
      <x:c r="Y167" s="48" t="n">
        <x: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(0.45*SIN(2*PI()*(((A167)/Inputs!$C$49)+Inputs!$C$47*0.137))+0.35*COS(2*PI()*(((Inputs!$C$6)/Inputs!$C$50)+Inputs!$C$47*0.173))+0.20*SIN(2*PI()*(((A167)+(Inputs!$C$6))/(0.5*(Inputs!$C$49+Inputs!$C$50))+Inputs!$C$47*0.097)))+0.30*(2*((SIN(((A167)*12.9898+(Inputs!$C$6)*78.233+Inputs!$C$47*37.719))*43758.5453)-INT((SIN(((A167)*12.9898+(Inputs!$C$6)*78.233+Inputs!$C$47*37.719))*43758.5453)))-1)))</x:f>
        <x:v>442.50927153418206</x:v>
      </x:c>
      <x:c r="Z167" s="48" t="n">
        <x:f>B167-X167/1000</x:f>
        <x:v>400.48863677991324</x:v>
      </x:c>
      <x:c r="AA167" s="48" t="n">
        <x:f>SQRT((Inputs!$C$52+B167)^2+(Inputs!$C$52+Y167/1000)^2-2*(Inputs!$C$52+B167)*(Inputs!$C$52+Y167/1000)*COS(SQRT(A167^2+Inputs!$C$6^2)/Inputs!$C$52))</x:f>
        <x:v>401.8929311551649</x:v>
      </x:c>
      <x:c r="AB167" s="48" t="n">
        <x:f>(AA167-Z167)*1000</x:f>
        <x:v>1404.2943752516521</x:v>
      </x:c>
      <x:c r="AC167" s="48" t="n">
        <x:f>AB167/Inputs!$C$12</x:f>
        <x:v>788.9294242986809</x:v>
      </x:c>
      <x:c r="AD167" s="48" t="n">
        <x:f>2*AB167/Inputs!$C$21*1000000</x:f>
        <x:v>9.368443653453431</x:v>
      </x:c>
      <x:c r="AE167" s="48" t="n">
        <x:f>DEGREES(ATAN(H167/(B167-Y167/1000)))</x:f>
        <x:v>4.804983252708725</x:v>
      </x:c>
      <x:c r="AF167" s="48" t="n">
        <x:f>DEGREES((2*PI()/Inputs!$C$13)*Inputs!$C$15*SIN(RADIANS(AE167)))</x:f>
        <x:v>30.155224374826382</x:v>
      </x:c>
      <x:c r="AG167" s="48" t="n">
        <x:f>(Z167/AA167)^4</x:f>
        <x:v>0.9860962851643886</x:v>
      </x:c>
      <x:c r="AH167" s="48" t="n">
        <x:f>10*LOG10(AG167)</x:f>
        <x:v>-0.060806772758312005</x:v>
      </x:c>
      <x:c r="AI167" s="48" t="n">
        <x:f>AC167-F167</x:f>
        <x:v>-205.7276521658847</x:v>
      </x:c>
      <x:c r="AJ167" s="48" t="n">
        <x:f>AD167-G167</x:f>
        <x:v>-2.442991550209543</x:v>
      </x:c>
      <x:c r="AK167" s="48" t="n">
        <x:f>Y167-X167</x:f>
        <x:v>368.6460514474192</x:v>
      </x:c>
      <x:c r="AL167" s="48" t="n">
        <x:f>1000*(AA168-AA166)/(A168-A166)*Inputs!$C$11</x:f>
        <x:v>519.1559281577156</x:v>
      </x:c>
      <x:c r="AM167" s="48" t="n">
        <x:f>-2*AL167/Inputs!$C$13</x:f>
        <x:v>-207.66237126308624</x:v>
      </x:c>
      <x:c r="AN167" s="48" t="n">
        <x:f>-2*AL167/Inputs!$C$14</x:f>
        <x:v>-31.180536225688627</x:v>
      </x:c>
      <x:c r="AO167" s="48" t="n">
        <x:f>ABS(AM167)</x:f>
        <x:v>207.66237126308624</x:v>
      </x:c>
      <x:c r="AP167" s="48" t="n">
        <x:f>ABS(AN167)</x:f>
        <x:v>31.180536225688627</x:v>
      </x:c>
      <x:c r="AQ167" s="48" t="n">
        <x:f>IF(OR(Inputs!$C$27=TRUE,Inputs!$C$27="TRUE",Inputs!$C$27=1),Inputs!$C$46/Inputs!$C$12,0)</x:f>
        <x:v>42.13483146067416</x:v>
      </x:c>
      <x:c r="AR167" s="48" t="n">
        <x:f>AC167-AQ167</x:f>
        <x:v>746.7945928380068</x:v>
      </x:c>
      <x:c r="AS167" s="48" t="n">
        <x:f>AC167+AQ167</x:f>
        <x:v>831.0642557593551</x:v>
      </x:c>
    </x:row>
    <x:row r="168">
      <x:c r="A168" s="48" t="n">
        <x:f>Inputs!$C$7+166*(Inputs!$C$8-Inputs!$C$7)/240</x:f>
        <x:v>23</x:v>
      </x:c>
      <x:c r="B168" s="48" t="n">
        <x:f>Inputs!$C$5+Inputs!$C$9*(A168/Inputs!$C$10)^2</x:f>
        <x:v>400.5877777777778</x:v>
      </x:c>
      <x:c r="C168" s="48" t="n">
        <x:f>B168</x:f>
        <x:v>400.5877777777778</x:v>
      </x:c>
      <x:c r="D168" s="48" t="n">
        <x:f>SQRT((Inputs!$C$52+B168)^2+Inputs!$C$52^2-2*(Inputs!$C$52+B168)*Inputs!$C$52*COS(SQRT(A168^2+Inputs!$C$6^2)/Inputs!$C$52))</x:f>
        <x:v>402.39370125824445</x:v>
      </x:c>
      <x:c r="E168" s="48" t="n">
        <x:f>(D168-C168)*1000</x:f>
        <x:v>1805.9234804666744</x:v>
      </x:c>
      <x:c r="F168" s="48" t="n">
        <x:f>E168/Inputs!$C$12</x:f>
        <x:v>1014.5637530711654</x:v>
      </x:c>
      <x:c r="G168" s="48" t="n">
        <x:f>2*E168/Inputs!$C$21*1000000</x:f>
        <x:v>12.047824635179278</x:v>
      </x:c>
      <x:c r="H168" s="48" t="n">
        <x:f>SQRT(A168^2+Inputs!$C$6^2)</x:f>
        <x:v>33.97057550292606</x:v>
      </x:c>
      <x:c r="I168" s="48" t="n">
        <x:f>DEGREES(ATAN(H168/B168))</x:f>
        <x:v>4.847189712205752</x:v>
      </x:c>
      <x:c r="J168" s="48" t="n">
        <x:f>DEGREES((2*PI()/Inputs!$C$13)*Inputs!$C$15*SIN(RADIANS(I168)))</x:f>
        <x:v>30.419475182182925</x:v>
      </x:c>
      <x:c r="K168" s="48" t="n">
        <x:f>(C168/D168)^4</x:f>
        <x:v>0.982168682437086</x:v>
      </x:c>
      <x:c r="L168" s="48" t="n">
        <x:f>10*LOG10(K168)</x:f>
        <x:v>-0.078139179559933</x:v>
      </x:c>
      <x:c r="M168" s="48" t="n">
        <x:f>2*(Inputs!$C$9/(Inputs!$C$10^2))*A168</x:f>
        <x:v>0.051111111111111114</x:v>
      </x:c>
      <x:c r="N168" s="48" t="n">
        <x:f>M168*Inputs!$C$11</x:f>
        <x:v>0.20444444444444446</x:v>
      </x:c>
      <x:c r="O168" s="48" t="n">
        <x:f>1000*(D169-D167)/(A169-A167)*Inputs!$C$11</x:f>
        <x:v>491.00285175427416</x:v>
      </x:c>
      <x:c r="P168" s="48" t="n">
        <x:f>-2*O168/Inputs!$C$13</x:f>
        <x:v>-196.40114070170966</x:v>
      </x:c>
      <x:c r="Q168" s="48" t="n">
        <x:f>-2*O168/Inputs!$C$14</x:f>
        <x:v>-29.489660766022475</x:v>
      </x:c>
      <x:c r="R168" s="48" t="n">
        <x:f>F168-Inputs!$C$16/2</x:f>
        <x:v>999.5637530711654</x:v>
      </x:c>
      <x:c r="S168" s="48" t="n">
        <x:f>F168+Inputs!$C$16/2</x:f>
        <x:v>1029.5637530711654</x:v>
      </x:c>
      <x:c r="T168" s="48" t="n">
        <x:f>F168-Inputs!$C$17/2</x:f>
        <x:v>864.5637530711654</x:v>
      </x:c>
      <x:c r="U168" s="48" t="n">
        <x:f>F168+Inputs!$C$17/2</x:f>
        <x:v>1164.5637530711654</x:v>
      </x:c>
      <x:c r="V168" s="48" t="n">
        <x:f>ABS(P168)</x:f>
        <x:v>196.40114070170966</x:v>
      </x:c>
      <x:c r="W168" s="48" t="n">
        <x:f>ABS(Q168)</x:f>
        <x:v>29.489660766022475</x:v>
      </x:c>
      <x:c r="X168" s="48" t="n">
        <x: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(0.45*SIN(2*PI()*(((A168)/Inputs!$C$49)+Inputs!$C$47*0.137))+0.35*COS(2*PI()*(((0)/Inputs!$C$50)+Inputs!$C$47*0.173))+0.20*SIN(2*PI()*(((A168)+(0))/(0.5*(Inputs!$C$49+Inputs!$C$50))+Inputs!$C$47*0.097)))+0.30*(2*((SIN(((A168)*12.9898+(0)*78.233+Inputs!$C$47*37.719))*43758.5453)-INT((SIN(((A168)*12.9898+(0)*78.233+Inputs!$C$47*37.719))*43758.5453)))-1)))</x:f>
        <x:v>61.781548358505674</x:v>
      </x:c>
      <x:c r="Y168" s="48" t="n">
        <x: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(0.45*SIN(2*PI()*(((A168)/Inputs!$C$49)+Inputs!$C$47*0.137))+0.35*COS(2*PI()*(((Inputs!$C$6)/Inputs!$C$50)+Inputs!$C$47*0.173))+0.20*SIN(2*PI()*(((A168)+(Inputs!$C$6))/(0.5*(Inputs!$C$49+Inputs!$C$50))+Inputs!$C$47*0.097)))+0.30*(2*((SIN(((A168)*12.9898+(Inputs!$C$6)*78.233+Inputs!$C$47*37.719))*43758.5453)-INT((SIN(((A168)*12.9898+(Inputs!$C$6)*78.233+Inputs!$C$47*37.719))*43758.5453)))-1)))</x:f>
        <x:v>438.1289491107309</x:v>
      </x:c>
      <x:c r="Z168" s="48" t="n">
        <x:f>B168-X168/1000</x:f>
        <x:v>400.52599622941926</x:v>
      </x:c>
      <x:c r="AA168" s="48" t="n">
        <x:f>SQRT((Inputs!$C$52+B168)^2+(Inputs!$C$52+Y168/1000)^2-2*(Inputs!$C$52+B168)*(Inputs!$C$52+Y168/1000)*COS(SQRT(A168^2+Inputs!$C$6^2)/Inputs!$C$52))</x:f>
        <x:v>401.9580470971375</x:v>
      </x:c>
      <x:c r="AB168" s="48" t="n">
        <x:f>(AA168-Z168)*1000</x:f>
        <x:v>1432.0508677182602</x:v>
      </x:c>
      <x:c r="AC168" s="48" t="n">
        <x:f>AB168/Inputs!$C$12</x:f>
        <x:v>804.522959392281</x:v>
      </x:c>
      <x:c r="AD168" s="48" t="n">
        <x:f>2*AB168/Inputs!$C$21*1000000</x:f>
        <x:v>9.5536150393634</x:v>
      </x:c>
      <x:c r="AE168" s="48" t="n">
        <x:f>DEGREES(ATAN(H168/(B168-Y168/1000)))</x:f>
        <x:v>4.852471634022157</x:v>
      </x:c>
      <x:c r="AF168" s="48" t="n">
        <x:f>DEGREES((2*PI()/Inputs!$C$13)*Inputs!$C$15*SIN(RADIANS(AE168)))</x:f>
        <x:v>30.45254365548654</x:v>
      </x:c>
      <x:c r="AG168" s="48" t="n">
        <x:f>(Z168/AA168)^4</x:f>
        <x:v>0.9858252261488087</x:v>
      </x:c>
      <x:c r="AH168" s="48" t="n">
        <x:f>10*LOG10(AG168)</x:f>
        <x:v>-0.0620007293615798</x:v>
      </x:c>
      <x:c r="AI168" s="48" t="n">
        <x:f>AC168-F168</x:f>
        <x:v>-210.04079367888437</x:v>
      </x:c>
      <x:c r="AJ168" s="48" t="n">
        <x:f>AD168-G168</x:f>
        <x:v>-2.494209595815878</x:v>
      </x:c>
      <x:c r="AK168" s="48" t="n">
        <x:f>Y168-X168</x:f>
        <x:v>376.3474007522252</x:v>
      </x:c>
      <x:c r="AL168" s="48" t="n">
        <x:f>1000*(AA169-AA167)/(A169-A167)*Inputs!$C$11</x:f>
        <x:v>536.320952948472</x:v>
      </x:c>
      <x:c r="AM168" s="48" t="n">
        <x:f>-2*AL168/Inputs!$C$13</x:f>
        <x:v>-214.52838117938882</x:v>
      </x:c>
      <x:c r="AN168" s="48" t="n">
        <x:f>-2*AL168/Inputs!$C$14</x:f>
        <x:v>-32.21146864555388</x:v>
      </x:c>
      <x:c r="AO168" s="48" t="n">
        <x:f>ABS(AM168)</x:f>
        <x:v>214.52838117938882</x:v>
      </x:c>
      <x:c r="AP168" s="48" t="n">
        <x:f>ABS(AN168)</x:f>
        <x:v>32.21146864555388</x:v>
      </x:c>
      <x:c r="AQ168" s="48" t="n">
        <x:f>IF(OR(Inputs!$C$27=TRUE,Inputs!$C$27="TRUE",Inputs!$C$27=1),Inputs!$C$46/Inputs!$C$12,0)</x:f>
        <x:v>42.13483146067416</x:v>
      </x:c>
      <x:c r="AR168" s="48" t="n">
        <x:f>AC168-AQ168</x:f>
        <x:v>762.3881279316068</x:v>
      </x:c>
      <x:c r="AS168" s="48" t="n">
        <x:f>AC168+AQ168</x:f>
        <x:v>846.6577908529551</x:v>
      </x:c>
    </x:row>
    <x:row r="169">
      <x:c r="A169" s="48" t="n">
        <x:f>Inputs!$C$7+167*(Inputs!$C$8-Inputs!$C$7)/240</x:f>
        <x:v>23.5</x:v>
      </x:c>
      <x:c r="B169" s="48" t="n">
        <x:f>Inputs!$C$5+Inputs!$C$9*(A169/Inputs!$C$10)^2</x:f>
        <x:v>400.6136111111111</x:v>
      </x:c>
      <x:c r="C169" s="48" t="n">
        <x:f>B169</x:f>
        <x:v>400.6136111111111</x:v>
      </x:c>
      <x:c r="D169" s="48" t="n">
        <x:f>SQRT((Inputs!$C$52+B169)^2+Inputs!$C$52^2-2*(Inputs!$C$52+B169)*Inputs!$C$52*COS(SQRT(A169^2+Inputs!$C$6^2)/Inputs!$C$52))</x:f>
        <x:v>402.4557403090455</x:v>
      </x:c>
      <x:c r="E169" s="48" t="n">
        <x:f>(D169-C169)*1000</x:f>
        <x:v>1842.1291979344119</x:v>
      </x:c>
      <x:c r="F169" s="48" t="n">
        <x:f>E169/Inputs!$C$12</x:f>
        <x:v>1034.9040437833773</x:v>
      </x:c>
      <x:c r="G169" s="48" t="n">
        <x:f>2*E169/Inputs!$C$21*1000000</x:f>
        <x:v>12.289363182941793</x:v>
      </x:c>
      <x:c r="H169" s="48" t="n">
        <x:f>SQRT(A169^2+Inputs!$C$6^2)</x:f>
        <x:v>34.311076928595526</x:v>
      </x:c>
      <x:c r="I169" s="48" t="n">
        <x:f>DEGREES(ATAN(H169/B169))</x:f>
        <x:v>4.8952260304560395</x:v>
      </x:c>
      <x:c r="J169" s="48" t="n">
        <x:f>DEGREES((2*PI()/Inputs!$C$13)*Inputs!$C$15*SIN(RADIANS(I169)))</x:f>
        <x:v>30.72020611297858</x:v>
      </x:c>
      <x:c r="K169" s="48" t="n">
        <x:f>(C169/D169)^4</x:f>
        <x:v>0.9818164353100021</x:v>
      </x:c>
      <x:c r="L169" s="48" t="n">
        <x:f>10*LOG10(K169)</x:f>
        <x:v>-0.079697022171028</x:v>
      </x:c>
      <x:c r="M169" s="48" t="n">
        <x:f>2*(Inputs!$C$9/(Inputs!$C$10^2))*A169</x:f>
        <x:v>0.052222222222222225</x:v>
      </x:c>
      <x:c r="N169" s="48" t="n">
        <x:f>M169*Inputs!$C$11</x:f>
        <x:v>0.2088888888888889</x:v>
      </x:c>
      <x:c r="O169" s="48" t="n">
        <x:f>1000*(D170-D168)/(A170-A168)*Inputs!$C$11</x:f>
        <x:v>501.6201656674184</x:v>
      </x:c>
      <x:c r="P169" s="48" t="n">
        <x:f>-2*O169/Inputs!$C$13</x:f>
        <x:v>-200.64806626696736</x:v>
      </x:c>
      <x:c r="Q169" s="48" t="n">
        <x:f>-2*O169/Inputs!$C$14</x:f>
        <x:v>-30.12733727732243</x:v>
      </x:c>
      <x:c r="R169" s="48" t="n">
        <x:f>F169-Inputs!$C$16/2</x:f>
        <x:v>1019.9040437833773</x:v>
      </x:c>
      <x:c r="S169" s="48" t="n">
        <x:f>F169+Inputs!$C$16/2</x:f>
        <x:v>1049.9040437833773</x:v>
      </x:c>
      <x:c r="T169" s="48" t="n">
        <x:f>F169-Inputs!$C$17/2</x:f>
        <x:v>884.9040437833773</x:v>
      </x:c>
      <x:c r="U169" s="48" t="n">
        <x:f>F169+Inputs!$C$17/2</x:f>
        <x:v>1184.9040437833773</x:v>
      </x:c>
      <x:c r="V169" s="48" t="n">
        <x:f>ABS(P169)</x:f>
        <x:v>200.64806626696736</x:v>
      </x:c>
      <x:c r="W169" s="48" t="n">
        <x:f>ABS(Q169)</x:f>
        <x:v>30.12733727732243</x:v>
      </x:c>
      <x:c r="X169" s="48" t="n">
        <x: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(0.45*SIN(2*PI()*(((A169)/Inputs!$C$49)+Inputs!$C$47*0.137))+0.35*COS(2*PI()*(((0)/Inputs!$C$50)+Inputs!$C$47*0.173))+0.20*SIN(2*PI()*(((A169)+(0))/(0.5*(Inputs!$C$49+Inputs!$C$50))+Inputs!$C$47*0.097)))+0.30*(2*((SIN(((A169)*12.9898+(0)*78.233+Inputs!$C$47*37.719))*43758.5453)-INT((SIN(((A169)*12.9898+(0)*78.233+Inputs!$C$47*37.719))*43758.5453)))-1)))</x:f>
        <x:v>70.98866885242666</x:v>
      </x:c>
      <x:c r="Y169" s="48" t="n">
        <x: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(0.45*SIN(2*PI()*(((A169)/Inputs!$C$49)+Inputs!$C$47*0.137))+0.35*COS(2*PI()*(((Inputs!$C$6)/Inputs!$C$50)+Inputs!$C$47*0.173))+0.20*SIN(2*PI()*(((A169)+(Inputs!$C$6))/(0.5*(Inputs!$C$49+Inputs!$C$50))+Inputs!$C$47*0.097)))+0.30*(2*((SIN(((A169)*12.9898+(Inputs!$C$6)*78.233+Inputs!$C$47*37.719))*43758.5453)-INT((SIN(((A169)*12.9898+(Inputs!$C$6)*78.233+Inputs!$C$47*37.719))*43758.5453)))-1)))</x:f>
        <x:v>431.2131008039683</x:v>
      </x:c>
      <x:c r="Z169" s="48" t="n">
        <x:f>B169-X169/1000</x:f>
        <x:v>400.5426224422587</x:v>
      </x:c>
      <x:c r="AA169" s="48" t="n">
        <x:f>SQRT((Inputs!$C$52+B169)^2+(Inputs!$C$52+Y169/1000)^2-2*(Inputs!$C$52+B169)*(Inputs!$C$52+Y169/1000)*COS(SQRT(A169^2+Inputs!$C$6^2)/Inputs!$C$52))</x:f>
        <x:v>402.027011393402</x:v>
      </x:c>
      <x:c r="AB169" s="48" t="n">
        <x:f>(AA169-Z169)*1000</x:f>
        <x:v>1484.3889511433304</x:v>
      </x:c>
      <x:c r="AC169" s="48" t="n">
        <x:f>AB169/Inputs!$C$12</x:f>
        <x:v>833.9263770468148</x:v>
      </x:c>
      <x:c r="AD169" s="48" t="n">
        <x:f>2*AB169/Inputs!$C$21*1000000</x:f>
        <x:v>9.902777148205178</x:v>
      </x:c>
      <x:c r="AE169" s="48" t="n">
        <x:f>DEGREES(ATAN(H169/(B169-Y169/1000)))</x:f>
        <x:v>4.900475166007683</x:v>
      </x:c>
      <x:c r="AF169" s="48" t="n">
        <x:f>DEGREES((2*PI()/Inputs!$C$13)*Inputs!$C$15*SIN(RADIANS(AE169)))</x:f>
        <x:v>30.753066973149572</x:v>
      </x:c>
      <x:c r="AG169" s="48" t="n">
        <x:f>(Z169/AA169)^4</x:f>
        <x:v>0.9853125486774528</x:v>
      </x:c>
      <x:c r="AH169" s="48" t="n">
        <x:f>10*LOG10(AG169)</x:f>
        <x:v>-0.0642598611652541</x:v>
      </x:c>
      <x:c r="AI169" s="48" t="n">
        <x:f>AC169-F169</x:f>
        <x:v>-200.97766673656258</x:v>
      </x:c>
      <x:c r="AJ169" s="48" t="n">
        <x:f>AD169-G169</x:f>
        <x:v>-2.386586034736615</x:v>
      </x:c>
      <x:c r="AK169" s="48" t="n">
        <x:f>Y169-X169</x:f>
        <x:v>360.22443195154165</x:v>
      </x:c>
      <x:c r="AL169" s="48" t="n">
        <x:f>1000*(AA170-AA168)/(A170-A168)*Inputs!$C$11</x:f>
        <x:v>489.55806634353394</x:v>
      </x:c>
      <x:c r="AM169" s="48" t="n">
        <x:f>-2*AL169/Inputs!$C$13</x:f>
        <x:v>-195.82322653741357</x:v>
      </x:c>
      <x:c r="AN169" s="48" t="n">
        <x:f>-2*AL169/Inputs!$C$14</x:f>
        <x:v>-29.40288686747952</x:v>
      </x:c>
      <x:c r="AO169" s="48" t="n">
        <x:f>ABS(AM169)</x:f>
        <x:v>195.82322653741357</x:v>
      </x:c>
      <x:c r="AP169" s="48" t="n">
        <x:f>ABS(AN169)</x:f>
        <x:v>29.40288686747952</x:v>
      </x:c>
      <x:c r="AQ169" s="48" t="n">
        <x:f>IF(OR(Inputs!$C$27=TRUE,Inputs!$C$27="TRUE",Inputs!$C$27=1),Inputs!$C$46/Inputs!$C$12,0)</x:f>
        <x:v>42.13483146067416</x:v>
      </x:c>
      <x:c r="AR169" s="48" t="n">
        <x:f>AC169-AQ169</x:f>
        <x:v>791.7915455861406</x:v>
      </x:c>
      <x:c r="AS169" s="48" t="n">
        <x:f>AC169+AQ169</x:f>
        <x:v>876.0612085074889</x:v>
      </x:c>
    </x:row>
    <x:row r="170">
      <x:c r="A170" s="48" t="n">
        <x:f>Inputs!$C$7+168*(Inputs!$C$8-Inputs!$C$7)/240</x:f>
        <x:v>24</x:v>
      </x:c>
      <x:c r="B170" s="48" t="n">
        <x:f>Inputs!$C$5+Inputs!$C$9*(A170/Inputs!$C$10)^2</x:f>
        <x:v>400.64</x:v>
      </x:c>
      <x:c r="C170" s="48" t="n">
        <x:f>B170</x:f>
        <x:v>400.64</x:v>
      </x:c>
      <x:c r="D170" s="48" t="n">
        <x:f>SQRT((Inputs!$C$52+B170)^2+Inputs!$C$52^2-2*(Inputs!$C$52+B170)*Inputs!$C$52*COS(SQRT(A170^2+Inputs!$C$6^2)/Inputs!$C$52))</x:f>
        <x:v>402.5191062996613</x:v>
      </x:c>
      <x:c r="E170" s="48" t="n">
        <x:f>(D170-C170)*1000</x:f>
        <x:v>1879.1062996613164</x:v>
      </x:c>
      <x:c r="F170" s="48" t="n">
        <x:f>E170/Inputs!$C$12</x:f>
        <x:v>1055.6776964389417</x:v>
      </x:c>
      <x:c r="G170" s="48" t="n">
        <x:f>2*E170/Inputs!$C$21*1000000</x:f>
        <x:v>12.53604785255349</x:v>
      </x:c>
      <x:c r="H170" s="48" t="n">
        <x:f>SQRT(A170^2+Inputs!$C$6^2)</x:f>
        <x:v>34.655446902326915</x:v>
      </x:c>
      <x:c r="I170" s="48" t="n">
        <x:f>DEGREES(ATAN(H170/B170))</x:f>
        <x:v>4.943791572217107</x:v>
      </x:c>
      <x:c r="J170" s="48" t="n">
        <x:f>DEGREES((2*PI()/Inputs!$C$13)*Inputs!$C$15*SIN(RADIANS(I170)))</x:f>
        <x:v>31.024228290513804</x:v>
      </x:c>
      <x:c r="K170" s="48" t="n">
        <x:f>(C170/D170)^4</x:f>
        <x:v>0.9814568934218927</x:v>
      </x:c>
      <x:c r="L170" s="48" t="n">
        <x:f>10*LOG10(K170)</x:f>
        <x:v>-0.08128770297414839</x:v>
      </x:c>
      <x:c r="M170" s="48" t="n">
        <x:f>2*(Inputs!$C$9/(Inputs!$C$10^2))*A170</x:f>
        <x:v>0.05333333333333333</x:v>
      </x:c>
      <x:c r="N170" s="48" t="n">
        <x:f>M170*Inputs!$C$11</x:f>
        <x:v>0.21333333333333332</x:v>
      </x:c>
      <x:c r="O170" s="48" t="n">
        <x:f>1000*(D171-D169)/(A171-A169)*Inputs!$C$11</x:f>
        <x:v>512.2338516328</x:v>
      </x:c>
      <x:c r="P170" s="48" t="n">
        <x:f>-2*O170/Inputs!$C$13</x:f>
        <x:v>-204.89354065312</x:v>
      </x:c>
      <x:c r="Q170" s="48" t="n">
        <x:f>-2*O170/Inputs!$C$14</x:f>
        <x:v>-30.764795893861866</x:v>
      </x:c>
      <x:c r="R170" s="48" t="n">
        <x:f>F170-Inputs!$C$16/2</x:f>
        <x:v>1040.6776964389417</x:v>
      </x:c>
      <x:c r="S170" s="48" t="n">
        <x:f>F170+Inputs!$C$16/2</x:f>
        <x:v>1070.6776964389417</x:v>
      </x:c>
      <x:c r="T170" s="48" t="n">
        <x:f>F170-Inputs!$C$17/2</x:f>
        <x:v>905.6776964389417</x:v>
      </x:c>
      <x:c r="U170" s="48" t="n">
        <x:f>F170+Inputs!$C$17/2</x:f>
        <x:v>1205.6776964389417</x:v>
      </x:c>
      <x:c r="V170" s="48" t="n">
        <x:f>ABS(P170)</x:f>
        <x:v>204.89354065312</x:v>
      </x:c>
      <x:c r="W170" s="48" t="n">
        <x:f>ABS(Q170)</x:f>
        <x:v>30.764795893861866</x:v>
      </x:c>
      <x:c r="X170" s="48" t="n">
        <x: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(0.45*SIN(2*PI()*(((A170)/Inputs!$C$49)+Inputs!$C$47*0.137))+0.35*COS(2*PI()*(((0)/Inputs!$C$50)+Inputs!$C$47*0.173))+0.20*SIN(2*PI()*(((A170)+(0))/(0.5*(Inputs!$C$49+Inputs!$C$50))+Inputs!$C$47*0.097)))+0.30*(2*((SIN(((A170)*12.9898+(0)*78.233+Inputs!$C$47*37.719))*43758.5453)-INT((SIN(((A170)*12.9898+(0)*78.233+Inputs!$C$47*37.719))*43758.5453)))-1)))</x:f>
        <x:v>75.46815017037277</x:v>
      </x:c>
      <x:c r="Y170" s="48" t="n">
        <x: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(0.45*SIN(2*PI()*(((A170)/Inputs!$C$49)+Inputs!$C$47*0.137))+0.35*COS(2*PI()*(((Inputs!$C$6)/Inputs!$C$50)+Inputs!$C$47*0.173))+0.20*SIN(2*PI()*(((A170)+(Inputs!$C$6))/(0.5*(Inputs!$C$49+Inputs!$C$50))+Inputs!$C$47*0.097)))+0.30*(2*((SIN(((A170)*12.9898+(Inputs!$C$6)*78.233+Inputs!$C$47*37.719))*43758.5453)-INT((SIN(((A170)*12.9898+(Inputs!$C$6)*78.233+Inputs!$C$47*37.719))*43758.5453)))-1)))</x:f>
        <x:v>441.2625072507224</x:v>
      </x:c>
      <x:c r="Z170" s="48" t="n">
        <x:f>B170-X170/1000</x:f>
        <x:v>400.5645318498296</x:v>
      </x:c>
      <x:c r="AA170" s="48" t="n">
        <x:f>SQRT((Inputs!$C$52+B170)^2+(Inputs!$C$52+Y170/1000)^2-2*(Inputs!$C$52+B170)*(Inputs!$C$52+Y170/1000)*COS(SQRT(A170^2+Inputs!$C$6^2)/Inputs!$C$52))</x:f>
        <x:v>402.0804366137234</x:v>
      </x:c>
      <x:c r="AB170" s="48" t="n">
        <x:f>(AA170-Z170)*1000</x:f>
        <x:v>1515.9047638937864</x:v>
      </x:c>
      <x:c r="AC170" s="48" t="n">
        <x:f>AB170/Inputs!$C$12</x:f>
        <x:v>851.6318898279699</x:v>
      </x:c>
      <x:c r="AD170" s="48" t="n">
        <x:f>2*AB170/Inputs!$C$21*1000000</x:f>
        <x:v>10.113028019495983</x:v>
      </x:c>
      <x:c r="AE170" s="48" t="n">
        <x:f>DEGREES(ATAN(H170/(B170-Y170/1000)))</x:f>
        <x:v>4.949215578273693</x:v>
      </x:c>
      <x:c r="AF170" s="48" t="n">
        <x:f>DEGREES((2*PI()/Inputs!$C$13)*Inputs!$C$15*SIN(RADIANS(AE170)))</x:f>
        <x:v>31.058181399348573</x:v>
      </x:c>
      <x:c r="AG170" s="48" t="n">
        <x:f>(Z170/AA170)^4</x:f>
        <x:v>0.9850044581716659</x:v>
      </x:c>
      <x:c r="AH170" s="48" t="n">
        <x:f>10*LOG10(AG170)</x:f>
        <x:v>-0.0656180386282247</x:v>
      </x:c>
      <x:c r="AI170" s="48" t="n">
        <x:f>AC170-F170</x:f>
        <x:v>-204.0458066109718</x:v>
      </x:c>
      <x:c r="AJ170" s="48" t="n">
        <x:f>AD170-G170</x:f>
        <x:v>-2.4230198330575075</x:v>
      </x:c>
      <x:c r="AK170" s="48" t="n">
        <x:f>Y170-X170</x:f>
        <x:v>365.79435708034964</x:v>
      </x:c>
      <x:c r="AL170" s="48" t="n">
        <x:f>1000*(AA171-AA169)/(A171-A169)*Inputs!$C$11</x:f>
        <x:v>575.3600353623369</x:v>
      </x:c>
      <x:c r="AM170" s="48" t="n">
        <x:f>-2*AL170/Inputs!$C$13</x:f>
        <x:v>-230.14401414493477</x:v>
      </x:c>
      <x:c r="AN170" s="48" t="n">
        <x:f>-2*AL170/Inputs!$C$14</x:f>
        <x:v>-34.55615828002024</x:v>
      </x:c>
      <x:c r="AO170" s="48" t="n">
        <x:f>ABS(AM170)</x:f>
        <x:v>230.14401414493477</x:v>
      </x:c>
      <x:c r="AP170" s="48" t="n">
        <x:f>ABS(AN170)</x:f>
        <x:v>34.55615828002024</x:v>
      </x:c>
      <x:c r="AQ170" s="48" t="n">
        <x:f>IF(OR(Inputs!$C$27=TRUE,Inputs!$C$27="TRUE",Inputs!$C$27=1),Inputs!$C$46/Inputs!$C$12,0)</x:f>
        <x:v>42.13483146067416</x:v>
      </x:c>
      <x:c r="AR170" s="48" t="n">
        <x:f>AC170-AQ170</x:f>
        <x:v>809.4970583672957</x:v>
      </x:c>
      <x:c r="AS170" s="48" t="n">
        <x:f>AC170+AQ170</x:f>
        <x:v>893.766721288644</x:v>
      </x:c>
    </x:row>
    <x:row r="171">
      <x:c r="A171" s="48" t="n">
        <x:f>Inputs!$C$7+169*(Inputs!$C$8-Inputs!$C$7)/240</x:f>
        <x:v>24.5</x:v>
      </x:c>
      <x:c r="B171" s="48" t="n">
        <x:f>Inputs!$C$5+Inputs!$C$9*(A171/Inputs!$C$10)^2</x:f>
        <x:v>400.6669444444444</x:v>
      </x:c>
      <x:c r="C171" s="48" t="n">
        <x:f>B171</x:f>
        <x:v>400.6669444444444</x:v>
      </x:c>
      <x:c r="D171" s="48" t="n">
        <x:f>SQRT((Inputs!$C$52+B171)^2+Inputs!$C$52^2-2*(Inputs!$C$52+B171)*Inputs!$C$52*COS(SQRT(A171^2+Inputs!$C$6^2)/Inputs!$C$52))</x:f>
        <x:v>402.5837987719537</x:v>
      </x:c>
      <x:c r="E171" s="48" t="n">
        <x:f>(D171-C171)*1000</x:f>
        <x:v>1916.8543275092702</x:v>
      </x:c>
      <x:c r="F171" s="48" t="n">
        <x:f>E171/Inputs!$C$12</x:f>
        <x:v>1076.8844536568934</x:v>
      </x:c>
      <x:c r="G171" s="48" t="n">
        <x:f>2*E171/Inputs!$C$21*1000000</x:f>
        <x:v>12.78787558764584</x:v>
      </x:c>
      <x:c r="H171" s="48" t="n">
        <x:f>SQRT(A171^2+Inputs!$C$6^2)</x:f>
        <x:v>35.00357124637428</x:v>
      </x:c>
      <x:c r="I171" s="48" t="n">
        <x:f>DEGREES(ATAN(H171/B171))</x:f>
        <x:v>4.99286952278949</x:v>
      </x:c>
      <x:c r="J171" s="48" t="n">
        <x:f>DEGREES((2*PI()/Inputs!$C$13)*Inputs!$C$15*SIN(RADIANS(I171)))</x:f>
        <x:v>31.331435522208846</x:v>
      </x:c>
      <x:c r="K171" s="48" t="n">
        <x:f>(C171/D171)^4</x:f>
        <x:v>0.981090074353131</x:v>
      </x:c>
      <x:c r="L171" s="48" t="n">
        <x:f>10*LOG10(K171)</x:f>
        <x:v>-0.08291118003626269</x:v>
      </x:c>
      <x:c r="M171" s="48" t="n">
        <x:f>2*(Inputs!$C$9/(Inputs!$C$10^2))*A171</x:f>
        <x:v>0.05444444444444444</x:v>
      </x:c>
      <x:c r="N171" s="48" t="n">
        <x:f>M171*Inputs!$C$11</x:f>
        <x:v>0.21777777777777776</x:v>
      </x:c>
      <x:c r="O171" s="48" t="n">
        <x:f>1000*(D172-D170)/(A172-A170)*Inputs!$C$11</x:f>
        <x:v>522.8438353706224</x:v>
      </x:c>
      <x:c r="P171" s="48" t="n">
        <x:f>-2*O171/Inputs!$C$13</x:f>
        <x:v>-209.13753414824896</x:v>
      </x:c>
      <x:c r="Q171" s="48" t="n">
        <x:f>-2*O171/Inputs!$C$14</x:f>
        <x:v>-31.402032154391737</x:v>
      </x:c>
      <x:c r="R171" s="48" t="n">
        <x:f>F171-Inputs!$C$16/2</x:f>
        <x:v>1061.8844536568934</x:v>
      </x:c>
      <x:c r="S171" s="48" t="n">
        <x:f>F171+Inputs!$C$16/2</x:f>
        <x:v>1091.8844536568934</x:v>
      </x:c>
      <x:c r="T171" s="48" t="n">
        <x:f>F171-Inputs!$C$17/2</x:f>
        <x:v>926.8844536568934</x:v>
      </x:c>
      <x:c r="U171" s="48" t="n">
        <x:f>F171+Inputs!$C$17/2</x:f>
        <x:v>1226.8844536568934</x:v>
      </x:c>
      <x:c r="V171" s="48" t="n">
        <x:f>ABS(P171)</x:f>
        <x:v>209.13753414824896</x:v>
      </x:c>
      <x:c r="W171" s="48" t="n">
        <x:f>ABS(Q171)</x:f>
        <x:v>31.402032154391737</x:v>
      </x:c>
      <x:c r="X171" s="48" t="n">
        <x: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(0.45*SIN(2*PI()*(((A171)/Inputs!$C$49)+Inputs!$C$47*0.137))+0.35*COS(2*PI()*(((0)/Inputs!$C$50)+Inputs!$C$47*0.173))+0.20*SIN(2*PI()*(((A171)+(0))/(0.5*(Inputs!$C$49+Inputs!$C$50))+Inputs!$C$47*0.097)))+0.30*(2*((SIN(((A171)*12.9898+(0)*78.233+Inputs!$C$47*37.719))*43758.5453)-INT((SIN(((A171)*12.9898+(0)*78.233+Inputs!$C$47*37.719))*43758.5453)))-1)))</x:f>
        <x:v>80.2881627342364</x:v>
      </x:c>
      <x:c r="Y171" s="48" t="n">
        <x: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(0.45*SIN(2*PI()*(((A171)/Inputs!$C$49)+Inputs!$C$47*0.137))+0.35*COS(2*PI()*(((Inputs!$C$6)/Inputs!$C$50)+Inputs!$C$47*0.173))+0.20*SIN(2*PI()*(((A171)+(Inputs!$C$6))/(0.5*(Inputs!$C$49+Inputs!$C$50))+Inputs!$C$47*0.097)))+0.30*(2*((SIN(((A171)*12.9898+(Inputs!$C$6)*78.233+Inputs!$C$47*37.719))*43758.5453)-INT((SIN(((A171)*12.9898+(Inputs!$C$6)*78.233+Inputs!$C$47*37.719))*43758.5453)))-1)))</x:f>
        <x:v>415.4369773442437</x:v>
      </x:c>
      <x:c r="Z171" s="48" t="n">
        <x:f>B171-X171/1000</x:f>
        <x:v>400.5866562817102</x:v>
      </x:c>
      <x:c r="AA171" s="48" t="n">
        <x:f>SQRT((Inputs!$C$52+B171)^2+(Inputs!$C$52+Y171/1000)^2-2*(Inputs!$C$52+B171)*(Inputs!$C$52+Y171/1000)*COS(SQRT(A171^2+Inputs!$C$6^2)/Inputs!$C$52))</x:f>
        <x:v>402.1708514022426</x:v>
      </x:c>
      <x:c r="AB171" s="48" t="n">
        <x:f>(AA171-Z171)*1000</x:f>
        <x:v>1584.1951205323994</x:v>
      </x:c>
      <x:c r="AC171" s="48" t="n">
        <x:f>AB171/Inputs!$C$12</x:f>
        <x:v>889.9972587260671</x:v>
      </x:c>
      <x:c r="AD171" s="48" t="n">
        <x:f>2*AB171/Inputs!$C$21*1000000</x:f>
        <x:v>10.568612239954344</x:v>
      </x:c>
      <x:c r="AE171" s="48" t="n">
        <x:f>DEGREES(ATAN(H171/(B171-Y171/1000)))</x:f>
        <x:v>4.998025584829427</x:v>
      </x:c>
      <x:c r="AF171" s="48" t="n">
        <x:f>DEGREES((2*PI()/Inputs!$C$13)*Inputs!$C$15*SIN(RADIANS(AE171)))</x:f>
        <x:v>31.363708961255632</x:v>
      </x:c>
      <x:c r="AG171" s="48" t="n">
        <x:f>(Z171/AA171)^4</x:f>
        <x:v>0.9843364162820464</x:v>
      </x:c>
      <x:c r="AH171" s="48" t="n">
        <x:f>10*LOG10(AG171)</x:f>
        <x:v>-0.0685644753902287</x:v>
      </x:c>
      <x:c r="AI171" s="48" t="n">
        <x:f>AC171-F171</x:f>
        <x:v>-186.88719493082624</x:v>
      </x:c>
      <x:c r="AJ171" s="48" t="n">
        <x:f>AD171-G171</x:f>
        <x:v>-2.219263347691495</x:v>
      </x:c>
      <x:c r="AK171" s="48" t="n">
        <x:f>Y171-X171</x:f>
        <x:v>335.1488146100073</x:v>
      </x:c>
      <x:c r="AL171" s="48" t="n">
        <x:f>1000*(AA172-AA170)/(A172-A170)*Inputs!$C$11</x:f>
        <x:v>612.4344890533848</x:v>
      </x:c>
      <x:c r="AM171" s="48" t="n">
        <x:f>-2*AL171/Inputs!$C$13</x:f>
        <x:v>-244.97379562135393</x:v>
      </x:c>
      <x:c r="AN171" s="48" t="n">
        <x:f>-2*AL171/Inputs!$C$14</x:f>
        <x:v>-36.78285219539849</x:v>
      </x:c>
      <x:c r="AO171" s="48" t="n">
        <x:f>ABS(AM171)</x:f>
        <x:v>244.97379562135393</x:v>
      </x:c>
      <x:c r="AP171" s="48" t="n">
        <x:f>ABS(AN171)</x:f>
        <x:v>36.78285219539849</x:v>
      </x:c>
      <x:c r="AQ171" s="48" t="n">
        <x:f>IF(OR(Inputs!$C$27=TRUE,Inputs!$C$27="TRUE",Inputs!$C$27=1),Inputs!$C$46/Inputs!$C$12,0)</x:f>
        <x:v>42.13483146067416</x:v>
      </x:c>
      <x:c r="AR171" s="48" t="n">
        <x:f>AC171-AQ171</x:f>
        <x:v>847.862427265393</x:v>
      </x:c>
      <x:c r="AS171" s="48" t="n">
        <x:f>AC171+AQ171</x:f>
        <x:v>932.1320901867413</x:v>
      </x:c>
    </x:row>
    <x:row r="172">
      <x:c r="A172" s="48" t="n">
        <x:f>Inputs!$C$7+170*(Inputs!$C$8-Inputs!$C$7)/240</x:f>
        <x:v>25</x:v>
      </x:c>
      <x:c r="B172" s="48" t="n">
        <x:f>Inputs!$C$5+Inputs!$C$9*(A172/Inputs!$C$10)^2</x:f>
        <x:v>400.69444444444446</x:v>
      </x:c>
      <x:c r="C172" s="48" t="n">
        <x:f>B172</x:f>
        <x:v>400.69444444444446</x:v>
      </x:c>
      <x:c r="D172" s="48" t="n">
        <x:f>SQRT((Inputs!$C$52+B172)^2+Inputs!$C$52^2-2*(Inputs!$C$52+B172)*Inputs!$C$52*COS(SQRT(A172^2+Inputs!$C$6^2)/Inputs!$C$52))</x:f>
        <x:v>402.64981725850396</x:v>
      </x:c>
      <x:c r="E172" s="48" t="n">
        <x:f>(D172-C172)*1000</x:f>
        <x:v>1955.3728140595013</x:v>
      </x:c>
      <x:c r="F172" s="48" t="n">
        <x:f>E172/Inputs!$C$12</x:f>
        <x:v>1098.5240528424165</x:v>
      </x:c>
      <x:c r="G172" s="48" t="n">
        <x:f>2*E172/Inputs!$C$21*1000000</x:f>
        <x:v>13.04484326993644</x:v>
      </x:c>
      <x:c r="H172" s="48" t="n">
        <x:f>SQRT(A172^2+Inputs!$C$6^2)</x:f>
        <x:v>35.35533905932738</x:v>
      </x:c>
      <x:c r="I172" s="48" t="n">
        <x:f>DEGREES(ATAN(H172/B172))</x:f>
        <x:v>5.042443535344872</x:v>
      </x:c>
      <x:c r="J172" s="48" t="n">
        <x:f>DEGREES((2*PI()/Inputs!$C$13)*Inputs!$C$15*SIN(RADIANS(I172)))</x:f>
        <x:v>31.64172455346228</x:v>
      </x:c>
      <x:c r="K172" s="48" t="n">
        <x:f>(C172/D172)^4</x:f>
        <x:v>0.9807159960210317</x:v>
      </x:c>
      <x:c r="L172" s="48" t="n">
        <x:f>10*LOG10(K172)</x:f>
        <x:v>-0.08456741058680131</x:v>
      </x:c>
      <x:c r="M172" s="48" t="n">
        <x:f>2*(Inputs!$C$9/(Inputs!$C$10^2))*A172</x:f>
        <x:v>0.05555555555555555</x:v>
      </x:c>
      <x:c r="N172" s="48" t="n">
        <x:f>M172*Inputs!$C$11</x:f>
        <x:v>0.2222222222222222</x:v>
      </x:c>
      <x:c r="O172" s="48" t="n">
        <x:f>1000*(D173-D171)/(A173-A171)*Inputs!$C$11</x:f>
        <x:v>533.4500427779858</x:v>
      </x:c>
      <x:c r="P172" s="48" t="n">
        <x:f>-2*O172/Inputs!$C$13</x:f>
        <x:v>-213.38001711119432</x:v>
      </x:c>
      <x:c r="Q172" s="48" t="n">
        <x:f>-2*O172/Inputs!$C$14</x:f>
        <x:v>-32.03904160828744</x:v>
      </x:c>
      <x:c r="R172" s="48" t="n">
        <x:f>F172-Inputs!$C$16/2</x:f>
        <x:v>1083.5240528424165</x:v>
      </x:c>
      <x:c r="S172" s="48" t="n">
        <x:f>F172+Inputs!$C$16/2</x:f>
        <x:v>1113.5240528424165</x:v>
      </x:c>
      <x:c r="T172" s="48" t="n">
        <x:f>F172-Inputs!$C$17/2</x:f>
        <x:v>948.5240528424165</x:v>
      </x:c>
      <x:c r="U172" s="48" t="n">
        <x:f>F172+Inputs!$C$17/2</x:f>
        <x:v>1248.5240528424165</x:v>
      </x:c>
      <x:c r="V172" s="48" t="n">
        <x:f>ABS(P172)</x:f>
        <x:v>213.38001711119432</x:v>
      </x:c>
      <x:c r="W172" s="48" t="n">
        <x:f>ABS(Q172)</x:f>
        <x:v>32.03904160828744</x:v>
      </x:c>
      <x:c r="X172" s="48" t="n">
        <x: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(0.45*SIN(2*PI()*(((A172)/Inputs!$C$49)+Inputs!$C$47*0.137))+0.35*COS(2*PI()*(((0)/Inputs!$C$50)+Inputs!$C$47*0.173))+0.20*SIN(2*PI()*(((A172)+(0))/(0.5*(Inputs!$C$49+Inputs!$C$50))+Inputs!$C$47*0.097)))+0.30*(2*((SIN(((A172)*12.9898+(0)*78.233+Inputs!$C$47*37.719))*43758.5453)-INT((SIN(((A172)*12.9898+(0)*78.233+Inputs!$C$47*37.719))*43758.5453)))-1)))</x:f>
        <x:v>61.498548518191555</x:v>
      </x:c>
      <x:c r="Y172" s="48" t="n">
        <x: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(0.45*SIN(2*PI()*(((A172)/Inputs!$C$49)+Inputs!$C$47*0.137))+0.35*COS(2*PI()*(((Inputs!$C$6)/Inputs!$C$50)+Inputs!$C$47*0.173))+0.20*SIN(2*PI()*(((A172)+(Inputs!$C$6))/(0.5*(Inputs!$C$49+Inputs!$C$50))+Inputs!$C$47*0.097)))+0.30*(2*((SIN(((A172)*12.9898+(Inputs!$C$6)*78.233+Inputs!$C$47*37.719))*43758.5453)-INT((SIN(((A172)*12.9898+(Inputs!$C$6)*78.233+Inputs!$C$47*37.719))*43758.5453)))-1)))</x:f>
        <x:v>418.8320748478676</x:v>
      </x:c>
      <x:c r="Z172" s="48" t="n">
        <x:f>B172-X172/1000</x:f>
        <x:v>400.63294589592624</x:v>
      </x:c>
      <x:c r="AA172" s="48" t="n">
        <x:f>SQRT((Inputs!$C$52+B172)^2+(Inputs!$C$52+Y172/1000)^2-2*(Inputs!$C$52+B172)*(Inputs!$C$52+Y172/1000)*COS(SQRT(A172^2+Inputs!$C$6^2)/Inputs!$C$52))</x:f>
        <x:v>402.23354523598675</x:v>
      </x:c>
      <x:c r="AB172" s="48" t="n">
        <x:f>(AA172-Z172)*1000</x:f>
        <x:v>1600.599340060512</x:v>
      </x:c>
      <x:c r="AC172" s="48" t="n">
        <x:f>AB172/Inputs!$C$12</x:f>
        <x:v>899.2131123935461</x:v>
      </x:c>
      <x:c r="AD172" s="48" t="n">
        <x:f>2*AB172/Inputs!$C$21*1000000</x:f>
        <x:v>10.67804941284088</x:v>
      </x:c>
      <x:c r="AE172" s="48" t="n">
        <x:f>DEGREES(ATAN(H172/(B172-Y172/1000)))</x:f>
        <x:v>5.047692498539244</x:v>
      </x:c>
      <x:c r="AF172" s="48" t="n">
        <x:f>DEGREES((2*PI()/Inputs!$C$13)*Inputs!$C$15*SIN(RADIANS(AE172)))</x:f>
        <x:v>31.674576991085722</x:v>
      </x:c>
      <x:c r="AG172" s="48" t="n">
        <x:f>(Z172/AA172)^4</x:f>
        <x:v>0.984177641744947</x:v>
      </x:c>
      <x:c r="AH172" s="48" t="n">
        <x:f>10*LOG10(AG172)</x:f>
        <x:v>-0.0692650536278831</x:v>
      </x:c>
      <x:c r="AI172" s="48" t="n">
        <x:f>AC172-F172</x:f>
        <x:v>-199.31094044887038</x:v>
      </x:c>
      <x:c r="AJ172" s="48" t="n">
        <x:f>AD172-G172</x:f>
        <x:v>-2.3667938570955602</x:v>
      </x:c>
      <x:c r="AK172" s="48" t="n">
        <x:f>Y172-X172</x:f>
        <x:v>357.33352632967603</x:v>
      </x:c>
      <x:c r="AL172" s="48" t="n">
        <x:f>1000*(AA173-AA171)/(A173-A171)*Inputs!$C$11</x:f>
        <x:v>634.340576601744</x:v>
      </x:c>
      <x:c r="AM172" s="48" t="n">
        <x:f>-2*AL172/Inputs!$C$13</x:f>
        <x:v>-253.7362306406976</x:v>
      </x:c>
      <x:c r="AN172" s="48" t="n">
        <x:f>-2*AL172/Inputs!$C$14</x:f>
        <x:v>-38.09853312923388</x:v>
      </x:c>
      <x:c r="AO172" s="48" t="n">
        <x:f>ABS(AM172)</x:f>
        <x:v>253.7362306406976</x:v>
      </x:c>
      <x:c r="AP172" s="48" t="n">
        <x:f>ABS(AN172)</x:f>
        <x:v>38.09853312923388</x:v>
      </x:c>
      <x:c r="AQ172" s="48" t="n">
        <x:f>IF(OR(Inputs!$C$27=TRUE,Inputs!$C$27="TRUE",Inputs!$C$27=1),Inputs!$C$46/Inputs!$C$12,0)</x:f>
        <x:v>42.13483146067416</x:v>
      </x:c>
      <x:c r="AR172" s="48" t="n">
        <x:f>AC172-AQ172</x:f>
        <x:v>857.078280932872</x:v>
      </x:c>
      <x:c r="AS172" s="48" t="n">
        <x:f>AC172+AQ172</x:f>
        <x:v>941.3479438542203</x:v>
      </x:c>
    </x:row>
    <x:row r="173">
      <x:c r="A173" s="48" t="n">
        <x:f>Inputs!$C$7+171*(Inputs!$C$8-Inputs!$C$7)/240</x:f>
        <x:v>25.5</x:v>
      </x:c>
      <x:c r="B173" s="48" t="n">
        <x:f>Inputs!$C$5+Inputs!$C$9*(A173/Inputs!$C$10)^2</x:f>
        <x:v>400.7225</x:v>
      </x:c>
      <x:c r="C173" s="48" t="n">
        <x:f>B173</x:f>
        <x:v>400.7225</x:v>
      </x:c>
      <x:c r="D173" s="48" t="n">
        <x:f>SQRT((Inputs!$C$52+B173)^2+Inputs!$C$52^2-2*(Inputs!$C$52+B173)*Inputs!$C$52*COS(SQRT(A173^2+Inputs!$C$6^2)/Inputs!$C$52))</x:f>
        <x:v>402.7171612826482</x:v>
      </x:c>
      <x:c r="E173" s="48" t="n">
        <x:f>(D173-C173)*1000</x:f>
        <x:v>1994.661282648167</x:v>
      </x:c>
      <x:c r="F173" s="48" t="n">
        <x:f>E173/Inputs!$C$12</x:f>
        <x:v>1120.5962262068354</x:v>
      </x:c>
      <x:c r="G173" s="48" t="n">
        <x:f>2*E173/Inputs!$C$21*1000000</x:f>
        <x:v>13.306947719466423</x:v>
      </x:c>
      <x:c r="H173" s="48" t="n">
        <x:f>SQRT(A173^2+Inputs!$C$6^2)</x:f>
        <x:v>35.71064267133819</x:v>
      </x:c>
      <x:c r="I173" s="48" t="n">
        <x:f>DEGREES(ATAN(H173/B173))</x:f>
        <x:v>5.092497724666333</x:v>
      </x:c>
      <x:c r="J173" s="48" t="n">
        <x:f>DEGREES((2*PI()/Inputs!$C$13)*Inputs!$C$15*SIN(RADIANS(I173)))</x:f>
        <x:v>31.95499502856307</x:v>
      </x:c>
      <x:c r="K173" s="48" t="n">
        <x:f>(C173/D173)^4</x:f>
        <x:v>0.9803346766777206</x:v>
      </x:c>
      <x:c r="L173" s="48" t="n">
        <x:f>10*LOG10(K173)</x:f>
        <x:v>-0.08625635102098408</x:v>
      </x:c>
      <x:c r="M173" s="48" t="n">
        <x:f>2*(Inputs!$C$9/(Inputs!$C$10^2))*A173</x:f>
        <x:v>0.056666666666666664</x:v>
      </x:c>
      <x:c r="N173" s="48" t="n">
        <x:f>M173*Inputs!$C$11</x:f>
        <x:v>0.22666666666666666</x:v>
      </x:c>
      <x:c r="O173" s="48" t="n">
        <x:f>1000*(D174-D172)/(A174-A172)*Inputs!$C$11</x:f>
        <x:v>544.0523999498055</x:v>
      </x:c>
      <x:c r="P173" s="48" t="n">
        <x:f>-2*O173/Inputs!$C$13</x:f>
        <x:v>-217.6209599799222</x:v>
      </x:c>
      <x:c r="Q173" s="48" t="n">
        <x:f>-2*O173/Inputs!$C$14</x:f>
        <x:v>-32.67581981680514</x:v>
      </x:c>
      <x:c r="R173" s="48" t="n">
        <x:f>F173-Inputs!$C$16/2</x:f>
        <x:v>1105.5962262068354</x:v>
      </x:c>
      <x:c r="S173" s="48" t="n">
        <x:f>F173+Inputs!$C$16/2</x:f>
        <x:v>1135.5962262068354</x:v>
      </x:c>
      <x:c r="T173" s="48" t="n">
        <x:f>F173-Inputs!$C$17/2</x:f>
        <x:v>970.5962262068354</x:v>
      </x:c>
      <x:c r="U173" s="48" t="n">
        <x:f>F173+Inputs!$C$17/2</x:f>
        <x:v>1270.5962262068354</x:v>
      </x:c>
      <x:c r="V173" s="48" t="n">
        <x:f>ABS(P173)</x:f>
        <x:v>217.6209599799222</x:v>
      </x:c>
      <x:c r="W173" s="48" t="n">
        <x:f>ABS(Q173)</x:f>
        <x:v>32.67581981680514</x:v>
      </x:c>
      <x:c r="X173" s="48" t="n">
        <x: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(0.45*SIN(2*PI()*(((A173)/Inputs!$C$49)+Inputs!$C$47*0.137))+0.35*COS(2*PI()*(((0)/Inputs!$C$50)+Inputs!$C$47*0.173))+0.20*SIN(2*PI()*(((A173)+(0))/(0.5*(Inputs!$C$49+Inputs!$C$50))+Inputs!$C$47*0.097)))+0.30*(2*((SIN(((A173)*12.9898+(0)*78.233+Inputs!$C$47*37.719))*43758.5453)-INT((SIN(((A173)*12.9898+(0)*78.233+Inputs!$C$47*37.719))*43758.5453)))-1)))</x:f>
        <x:v>67.90188044896082</x:v>
      </x:c>
      <x:c r="Y173" s="48" t="n">
        <x: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(0.45*SIN(2*PI()*(((A173)/Inputs!$C$49)+Inputs!$C$47*0.137))+0.35*COS(2*PI()*(((Inputs!$C$6)/Inputs!$C$50)+Inputs!$C$47*0.173))+0.20*SIN(2*PI()*(((A173)+(Inputs!$C$6))/(0.5*(Inputs!$C$49+Inputs!$C$50))+Inputs!$C$47*0.097)))+0.30*(2*((SIN(((A173)*12.9898+(Inputs!$C$6)*78.233+Inputs!$C$47*37.719))*43758.5453)-INT((SIN(((A173)*12.9898+(Inputs!$C$6)*78.233+Inputs!$C$47*37.719))*43758.5453)))-1)))</x:f>
        <x:v>390.15691093629596</x:v>
      </x:c>
      <x:c r="Z173" s="48" t="n">
        <x:f>B173-X173/1000</x:f>
        <x:v>400.65459811955105</x:v>
      </x:c>
      <x:c r="AA173" s="48" t="n">
        <x:f>SQRT((Inputs!$C$52+B173)^2+(Inputs!$C$52+Y173/1000)^2-2*(Inputs!$C$52+B173)*(Inputs!$C$52+Y173/1000)*COS(SQRT(A173^2+Inputs!$C$6^2)/Inputs!$C$52))</x:f>
        <x:v>402.329436546393</x:v>
      </x:c>
      <x:c r="AB173" s="48" t="n">
        <x:f>(AA173-Z173)*1000</x:f>
        <x:v>1674.8384268419727</x:v>
      </x:c>
      <x:c r="AC173" s="48" t="n">
        <x:f>AB173/Inputs!$C$12</x:f>
        <x:v>940.9204645179622</x:v>
      </x:c>
      <x:c r="AD173" s="48" t="n">
        <x:f>2*AB173/Inputs!$C$21*1000000</x:f>
        <x:v>11.173319289052781</x:v>
      </x:c>
      <x:c r="AE173" s="48" t="n">
        <x:f>DEGREES(ATAN(H173/(B173-Y173/1000)))</x:f>
        <x:v>5.097434649230494</x:v>
      </x:c>
      <x:c r="AF173" s="48" t="n">
        <x:f>DEGREES((2*PI()/Inputs!$C$13)*Inputs!$C$15*SIN(RADIANS(AE173)))</x:f>
        <x:v>31.985892077965694</x:v>
      </x:c>
      <x:c r="AG173" s="48" t="n">
        <x:f>(Z173/AA173)^4</x:f>
        <x:v>0.9834522745862535</x:v>
      </x:c>
      <x:c r="AH173" s="48" t="n">
        <x:f>10*LOG10(AG173)</x:f>
        <x:v>-0.0724671087097928</x:v>
      </x:c>
      <x:c r="AI173" s="48" t="n">
        <x:f>AC173-F173</x:f>
        <x:v>-179.6757616888732</x:v>
      </x:c>
      <x:c r="AJ173" s="48" t="n">
        <x:f>AD173-G173</x:f>
        <x:v>-2.1336284304136424</x:v>
      </x:c>
      <x:c r="AK173" s="48" t="n">
        <x:f>Y173-X173</x:f>
        <x:v>322.25503048733515</x:v>
      </x:c>
      <x:c r="AL173" s="48" t="n">
        <x:f>1000*(AA174-AA172)/(A174-A172)*Inputs!$C$11</x:f>
        <x:v>669.4925338408666</x:v>
      </x:c>
      <x:c r="AM173" s="48" t="n">
        <x:f>-2*AL173/Inputs!$C$13</x:f>
        <x:v>-267.79701353634664</x:v>
      </x:c>
      <x:c r="AN173" s="48" t="n">
        <x:f>-2*AL173/Inputs!$C$14</x:f>
        <x:v>-40.209761792244244</x:v>
      </x:c>
      <x:c r="AO173" s="48" t="n">
        <x:f>ABS(AM173)</x:f>
        <x:v>267.79701353634664</x:v>
      </x:c>
      <x:c r="AP173" s="48" t="n">
        <x:f>ABS(AN173)</x:f>
        <x:v>40.209761792244244</x:v>
      </x:c>
      <x:c r="AQ173" s="48" t="n">
        <x:f>IF(OR(Inputs!$C$27=TRUE,Inputs!$C$27="TRUE",Inputs!$C$27=1),Inputs!$C$46/Inputs!$C$12,0)</x:f>
        <x:v>42.13483146067416</x:v>
      </x:c>
      <x:c r="AR173" s="48" t="n">
        <x:f>AC173-AQ173</x:f>
        <x:v>898.785633057288</x:v>
      </x:c>
      <x:c r="AS173" s="48" t="n">
        <x:f>AC173+AQ173</x:f>
        <x:v>983.0552959786363</x:v>
      </x:c>
    </x:row>
    <x:row r="174">
      <x:c r="A174" s="48" t="n">
        <x:f>Inputs!$C$7+172*(Inputs!$C$8-Inputs!$C$7)/240</x:f>
        <x:v>26</x:v>
      </x:c>
      <x:c r="B174" s="48" t="n">
        <x:f>Inputs!$C$5+Inputs!$C$9*(A174/Inputs!$C$10)^2</x:f>
        <x:v>400.75111111111113</x:v>
      </x:c>
      <x:c r="C174" s="48" t="n">
        <x:f>B174</x:f>
        <x:v>400.75111111111113</x:v>
      </x:c>
      <x:c r="D174" s="48" t="n">
        <x:f>SQRT((Inputs!$C$52+B174)^2+Inputs!$C$52^2-2*(Inputs!$C$52+B174)*Inputs!$C$52*COS(SQRT(A174^2+Inputs!$C$6^2)/Inputs!$C$52))</x:f>
        <x:v>402.7858303584914</x:v>
      </x:c>
      <x:c r="E174" s="48" t="n">
        <x:f>(D174-C174)*1000</x:f>
        <x:v>2034.7192473802806</x:v>
      </x:c>
      <x:c r="F174" s="48" t="n">
        <x:f>E174/Inputs!$C$12</x:f>
        <x:v>1143.1007007754386</x:v>
      </x:c>
      <x:c r="G174" s="48" t="n">
        <x:f>2*E174/Inputs!$C$21*1000000</x:f>
        <x:v>13.574185694693364</x:v>
      </x:c>
      <x:c r="H174" s="48" t="n">
        <x:f>SQRT(A174^2+Inputs!$C$6^2)</x:f>
        <x:v>36.069377593742864</x:v>
      </x:c>
      <x:c r="I174" s="48" t="n">
        <x:f>DEGREES(ATAN(H174/B174))</x:f>
        <x:v>5.143016660077165</x:v>
      </x:c>
      <x:c r="J174" s="48" t="n">
        <x:f>DEGREES((2*PI()/Inputs!$C$13)*Inputs!$C$15*SIN(RADIANS(I174)))</x:f>
        <x:v>32.27114944649454</x:v>
      </x:c>
      <x:c r="K174" s="48" t="n">
        <x:f>(C174/D174)^4</x:f>
        <x:v>0.9799461349081803</x:v>
      </x:c>
      <x:c r="L174" s="48" t="n">
        <x:f>10*LOG10(K174)</x:f>
        <x:v>-0.087977956902271</x:v>
      </x:c>
      <x:c r="M174" s="48" t="n">
        <x:f>2*(Inputs!$C$9/(Inputs!$C$10^2))*A174</x:f>
        <x:v>0.057777777777777775</x:v>
      </x:c>
      <x:c r="N174" s="48" t="n">
        <x:f>M174*Inputs!$C$11</x:f>
        <x:v>0.2311111111111111</x:v>
      </x:c>
      <x:c r="O174" s="48" t="n">
        <x:f>1000*(D175-D173)/(A175-A173)*Inputs!$C$11</x:f>
        <x:v>554.6508331692621</x:v>
      </x:c>
      <x:c r="P174" s="48" t="n">
        <x:f>-2*O174/Inputs!$C$13</x:f>
        <x:v>-221.86033326770485</x:v>
      </x:c>
      <x:c r="Q174" s="48" t="n">
        <x:f>-2*O174/Inputs!$C$14</x:f>
        <x:v>-33.31236235250824</x:v>
      </x:c>
      <x:c r="R174" s="48" t="n">
        <x:f>F174-Inputs!$C$16/2</x:f>
        <x:v>1128.1007007754386</x:v>
      </x:c>
      <x:c r="S174" s="48" t="n">
        <x:f>F174+Inputs!$C$16/2</x:f>
        <x:v>1158.1007007754386</x:v>
      </x:c>
      <x:c r="T174" s="48" t="n">
        <x:f>F174-Inputs!$C$17/2</x:f>
        <x:v>993.1007007754386</x:v>
      </x:c>
      <x:c r="U174" s="48" t="n">
        <x:f>F174+Inputs!$C$17/2</x:f>
        <x:v>1293.1007007754386</x:v>
      </x:c>
      <x:c r="V174" s="48" t="n">
        <x:f>ABS(P174)</x:f>
        <x:v>221.86033326770485</x:v>
      </x:c>
      <x:c r="W174" s="48" t="n">
        <x:f>ABS(Q174)</x:f>
        <x:v>33.31236235250824</x:v>
      </x:c>
      <x:c r="X174" s="48" t="n">
        <x: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(0.45*SIN(2*PI()*(((A174)/Inputs!$C$49)+Inputs!$C$47*0.137))+0.35*COS(2*PI()*(((0)/Inputs!$C$50)+Inputs!$C$47*0.173))+0.20*SIN(2*PI()*(((A174)+(0))/(0.5*(Inputs!$C$49+Inputs!$C$50))+Inputs!$C$47*0.097)))+0.30*(2*((SIN(((A174)*12.9898+(0)*78.233+Inputs!$C$47*37.719))*43758.5453)-INT((SIN(((A174)*12.9898+(0)*78.233+Inputs!$C$47*37.719))*43758.5453)))-1)))</x:f>
        <x:v>65.03267186217182</x:v>
      </x:c>
      <x:c r="Y174" s="48" t="n">
        <x: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(0.45*SIN(2*PI()*(((A174)/Inputs!$C$49)+Inputs!$C$47*0.137))+0.35*COS(2*PI()*(((Inputs!$C$6)/Inputs!$C$50)+Inputs!$C$47*0.173))+0.20*SIN(2*PI()*(((A174)+(Inputs!$C$6))/(0.5*(Inputs!$C$49+Inputs!$C$50))+Inputs!$C$47*0.097)))+0.30*(2*((SIN(((A174)*12.9898+(Inputs!$C$6)*78.233+Inputs!$C$47*37.719))*43758.5453)-INT((SIN(((A174)*12.9898+(Inputs!$C$6)*78.233+Inputs!$C$47*37.719))*43758.5453)))-1)))</x:f>
        <x:v>387.3749410180904</x:v>
      </x:c>
      <x:c r="Z174" s="48" t="n">
        <x:f>B174-X174/1000</x:f>
        <x:v>400.68607843924894</x:v>
      </x:c>
      <x:c r="AA174" s="48" t="n">
        <x:f>SQRT((Inputs!$C$52+B174)^2+(Inputs!$C$52+Y174/1000)^2-2*(Inputs!$C$52+B174)*(Inputs!$C$52+Y174/1000)*COS(SQRT(A174^2+Inputs!$C$6^2)/Inputs!$C$52))</x:f>
        <x:v>402.40091836944697</x:v>
      </x:c>
      <x:c r="AB174" s="48" t="n">
        <x:f>(AA174-Z174)*1000</x:f>
        <x:v>1714.8399301980248</x:v>
      </x:c>
      <x:c r="AC174" s="48" t="n">
        <x:f>AB174/Inputs!$C$12</x:f>
        <x:v>963.3932192123735</x:v>
      </x:c>
      <x:c r="AD174" s="48" t="n">
        <x:f>2*AB174/Inputs!$C$21*1000000</x:f>
        <x:v>11.440180594523328</x:v>
      </x:c>
      <x:c r="AE174" s="48" t="n">
        <x:f>DEGREES(ATAN(H174/(B174-Y174/1000)))</x:f>
        <x:v>5.147966099336315</x:v>
      </x:c>
      <x:c r="AF174" s="48" t="n">
        <x:f>DEGREES((2*PI()/Inputs!$C$13)*Inputs!$C$15*SIN(RADIANS(AE174)))</x:f>
        <x:v>32.302122369932164</x:v>
      </x:c>
      <x:c r="AG174" s="48" t="n">
        <x:f>(Z174/AA174)^4</x:f>
        <x:v>0.9830625704629774</x:v>
      </x:c>
      <x:c r="AH174" s="48" t="n">
        <x:f>10*LOG10(AG174)</x:f>
        <x:v>-0.07418839093611669</x:v>
      </x:c>
      <x:c r="AI174" s="48" t="n">
        <x:f>AC174-F174</x:f>
        <x:v>-179.70748156306502</x:v>
      </x:c>
      <x:c r="AJ174" s="48" t="n">
        <x:f>AD174-G174</x:f>
        <x:v>-2.134005100170036</x:v>
      </x:c>
      <x:c r="AK174" s="48" t="n">
        <x:f>Y174-X174</x:f>
        <x:v>322.3422691559186</x:v>
      </x:c>
      <x:c r="AL174" s="48" t="n">
        <x:f>1000*(AA175-AA173)/(A175-A173)*Inputs!$C$11</x:f>
        <x:v>581.5482725786296</x:v>
      </x:c>
      <x:c r="AM174" s="48" t="n">
        <x:f>-2*AL174/Inputs!$C$13</x:f>
        <x:v>-232.61930903145185</x:v>
      </x:c>
      <x:c r="AN174" s="48" t="n">
        <x:f>-2*AL174/Inputs!$C$14</x:f>
        <x:v>-34.92782417889668</x:v>
      </x:c>
      <x:c r="AO174" s="48" t="n">
        <x:f>ABS(AM174)</x:f>
        <x:v>232.61930903145185</x:v>
      </x:c>
      <x:c r="AP174" s="48" t="n">
        <x:f>ABS(AN174)</x:f>
        <x:v>34.92782417889668</x:v>
      </x:c>
      <x:c r="AQ174" s="48" t="n">
        <x:f>IF(OR(Inputs!$C$27=TRUE,Inputs!$C$27="TRUE",Inputs!$C$27=1),Inputs!$C$46/Inputs!$C$12,0)</x:f>
        <x:v>42.13483146067416</x:v>
      </x:c>
      <x:c r="AR174" s="48" t="n">
        <x:f>AC174-AQ174</x:f>
        <x:v>921.2583877516994</x:v>
      </x:c>
      <x:c r="AS174" s="48" t="n">
        <x:f>AC174+AQ174</x:f>
        <x:v>1005.5280506730477</x:v>
      </x:c>
    </x:row>
    <x:row r="175">
      <x:c r="A175" s="48" t="n">
        <x:f>Inputs!$C$7+173*(Inputs!$C$8-Inputs!$C$7)/240</x:f>
        <x:v>26.5</x:v>
      </x:c>
      <x:c r="B175" s="48" t="n">
        <x:f>Inputs!$C$5+Inputs!$C$9*(A175/Inputs!$C$10)^2</x:f>
        <x:v>400.78027777777777</x:v>
      </x:c>
      <x:c r="C175" s="48" t="n">
        <x:f>B175</x:f>
        <x:v>400.78027777777777</x:v>
      </x:c>
      <x:c r="D175" s="48" t="n">
        <x:f>SQRT((Inputs!$C$52+B175)^2+Inputs!$C$52^2-2*(Inputs!$C$52+B175)*Inputs!$C$52*COS(SQRT(A175^2+Inputs!$C$6^2)/Inputs!$C$52))</x:f>
        <x:v>402.8558239909405</x:v>
      </x:c>
      <x:c r="E175" s="48" t="n">
        <x:f>(D175-C175)*1000</x:f>
        <x:v>2075.5462131627382</x:v>
      </x:c>
      <x:c r="F175" s="48" t="n">
        <x:f>E175/Inputs!$C$12</x:f>
        <x:v>1166.0371984060328</x:v>
      </x:c>
      <x:c r="G175" s="48" t="n">
        <x:f>2*E175/Inputs!$C$21*1000000</x:f>
        <x:v>13.846553892711592</x:v>
      </x:c>
      <x:c r="H175" s="48" t="n">
        <x:f>SQRT(A175^2+Inputs!$C$6^2)</x:f>
        <x:v>36.43144246389374</x:v>
      </x:c>
      <x:c r="I175" s="48" t="n">
        <x:f>DEGREES(ATAN(H175/B175))</x:f>
        <x:v>5.1939853576754125</x:v>
      </x:c>
      <x:c r="J175" s="48" t="n">
        <x:f>DEGREES((2*PI()/Inputs!$C$13)*Inputs!$C$15*SIN(RADIANS(I175)))</x:f>
        <x:v>32.59009311236641</x:v>
      </x:c>
      <x:c r="K175" s="48" t="n">
        <x:f>(C175/D175)^4</x:f>
        <x:v>0.9795503896280839</x:v>
      </x:c>
      <x:c r="L175" s="48" t="n">
        <x:f>10*LOG10(K175)</x:f>
        <x:v>-0.0897321829656479</x:v>
      </x:c>
      <x:c r="M175" s="48" t="n">
        <x:f>2*(Inputs!$C$9/(Inputs!$C$10^2))*A175</x:f>
        <x:v>0.058888888888888886</x:v>
      </x:c>
      <x:c r="N175" s="48" t="n">
        <x:f>M175*Inputs!$C$11</x:f>
        <x:v>0.23555555555555555</x:v>
      </x:c>
      <x:c r="O175" s="48" t="n">
        <x:f>1000*(D176-D174)/(A176-A174)*Inputs!$C$11</x:f>
        <x:v>565.2452688962057</x:v>
      </x:c>
      <x:c r="P175" s="48" t="n">
        <x:f>-2*O175/Inputs!$C$13</x:f>
        <x:v>-226.0981075584823</x:v>
      </x:c>
      <x:c r="Q175" s="48" t="n">
        <x:f>-2*O175/Inputs!$C$14</x:f>
        <x:v>-33.94866479857092</x:v>
      </x:c>
      <x:c r="R175" s="48" t="n">
        <x:f>F175-Inputs!$C$16/2</x:f>
        <x:v>1151.0371984060328</x:v>
      </x:c>
      <x:c r="S175" s="48" t="n">
        <x:f>F175+Inputs!$C$16/2</x:f>
        <x:v>1181.0371984060328</x:v>
      </x:c>
      <x:c r="T175" s="48" t="n">
        <x:f>F175-Inputs!$C$17/2</x:f>
        <x:v>1016.0371984060328</x:v>
      </x:c>
      <x:c r="U175" s="48" t="n">
        <x:f>F175+Inputs!$C$17/2</x:f>
        <x:v>1316.0371984060328</x:v>
      </x:c>
      <x:c r="V175" s="48" t="n">
        <x:f>ABS(P175)</x:f>
        <x:v>226.0981075584823</x:v>
      </x:c>
      <x:c r="W175" s="48" t="n">
        <x:f>ABS(Q175)</x:f>
        <x:v>33.94866479857092</x:v>
      </x:c>
      <x:c r="X175" s="48" t="n">
        <x: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(0.45*SIN(2*PI()*(((A175)/Inputs!$C$49)+Inputs!$C$47*0.137))+0.35*COS(2*PI()*(((0)/Inputs!$C$50)+Inputs!$C$47*0.173))+0.20*SIN(2*PI()*(((A175)+(0))/(0.5*(Inputs!$C$49+Inputs!$C$50))+Inputs!$C$47*0.097)))+0.30*(2*((SIN(((A175)*12.9898+(0)*78.233+Inputs!$C$47*37.719))*43758.5453)-INT((SIN(((A175)*12.9898+(0)*78.233+Inputs!$C$47*37.719))*43758.5453)))-1)))</x:f>
        <x:v>69.51659821200863</x:v>
      </x:c>
      <x:c r="Y175" s="48" t="n">
        <x: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(0.45*SIN(2*PI()*(((A175)/Inputs!$C$49)+Inputs!$C$47*0.137))+0.35*COS(2*PI()*(((Inputs!$C$6)/Inputs!$C$50)+Inputs!$C$47*0.173))+0.20*SIN(2*PI()*(((A175)+(Inputs!$C$6))/(0.5*(Inputs!$C$49+Inputs!$C$50))+Inputs!$C$47*0.097)))+0.30*(2*((SIN(((A175)*12.9898+(Inputs!$C$6)*78.233+Inputs!$C$47*37.719))*43758.5453)-INT((SIN(((A175)*12.9898+(Inputs!$C$6)*78.233+Inputs!$C$47*37.719))*43758.5453)))-1)))</x:f>
        <x:v>383.48713922986474</x:v>
      </x:c>
      <x:c r="Z175" s="48" t="n">
        <x:f>B175-X175/1000</x:f>
        <x:v>400.71076117956574</x:v>
      </x:c>
      <x:c r="AA175" s="48" t="n">
        <x:f>SQRT((Inputs!$C$52+B175)^2+(Inputs!$C$52+Y175/1000)^2-2*(Inputs!$C$52+B175)*(Inputs!$C$52+Y175/1000)*COS(SQRT(A175^2+Inputs!$C$6^2)/Inputs!$C$52))</x:f>
        <x:v>402.4748236145377</x:v>
      </x:c>
      <x:c r="AB175" s="48" t="n">
        <x:f>(AA175-Z175)*1000</x:f>
        <x:v>1764.0624349719474</x:v>
      </x:c>
      <x:c r="AC175" s="48" t="n">
        <x:f>AB175/Inputs!$C$12</x:f>
        <x:v>991.0463117819929</x:v>
      </x:c>
      <x:c r="AD175" s="48" t="n">
        <x:f>2*AB175/Inputs!$C$21*1000000</x:f>
        <x:v>11.768557799889331</x:v>
      </x:c>
      <x:c r="AE175" s="48" t="n">
        <x:f>DEGREES(ATAN(H175/(B175-Y175/1000)))</x:f>
        <x:v>5.19893274161084</x:v>
      </x:c>
      <x:c r="AF175" s="48" t="n">
        <x:f>DEGREES((2*PI()/Inputs!$C$13)*Inputs!$C$15*SIN(RADIANS(AE175)))</x:f>
        <x:v>32.62105068163768</x:v>
      </x:c>
      <x:c r="AG175" s="48" t="n">
        <x:f>(Z175/AA175)^4</x:f>
        <x:v>0.9825827777987965</x:v>
      </x:c>
      <x:c r="AH175" s="48" t="n">
        <x:f>10*LOG10(AG175)</x:f>
        <x:v>-0.0763085222287111</x:v>
      </x:c>
      <x:c r="AI175" s="48" t="n">
        <x:f>AC175-F175</x:f>
        <x:v>-174.99088662403983</x:v>
      </x:c>
      <x:c r="AJ175" s="48" t="n">
        <x:f>AD175-G175</x:f>
        <x:v>-2.0779960928222607</x:v>
      </x:c>
      <x:c r="AK175" s="48" t="n">
        <x:f>Y175-X175</x:f>
        <x:v>313.97054101785614</x:v>
      </x:c>
      <x:c r="AL175" s="48" t="n">
        <x:f>1000*(AA176-AA174)/(A176-A174)*Inputs!$C$11</x:f>
        <x:v>729.1366663537246</x:v>
      </x:c>
      <x:c r="AM175" s="48" t="n">
        <x:f>-2*AL175/Inputs!$C$13</x:f>
        <x:v>-291.65466654148986</x:v>
      </x:c>
      <x:c r="AN175" s="48" t="n">
        <x:f>-2*AL175/Inputs!$C$14</x:f>
        <x:v>-43.79199197319668</x:v>
      </x:c>
      <x:c r="AO175" s="48" t="n">
        <x:f>ABS(AM175)</x:f>
        <x:v>291.65466654148986</x:v>
      </x:c>
      <x:c r="AP175" s="48" t="n">
        <x:f>ABS(AN175)</x:f>
        <x:v>43.79199197319668</x:v>
      </x:c>
      <x:c r="AQ175" s="48" t="n">
        <x:f>IF(OR(Inputs!$C$27=TRUE,Inputs!$C$27="TRUE",Inputs!$C$27=1),Inputs!$C$46/Inputs!$C$12,0)</x:f>
        <x:v>42.13483146067416</x:v>
      </x:c>
      <x:c r="AR175" s="48" t="n">
        <x:f>AC175-AQ175</x:f>
        <x:v>948.9114803213188</x:v>
      </x:c>
      <x:c r="AS175" s="48" t="n">
        <x:f>AC175+AQ175</x:f>
        <x:v>1033.181143242667</x:v>
      </x:c>
    </x:row>
    <x:row r="176">
      <x:c r="A176" s="48" t="n">
        <x:f>Inputs!$C$7+174*(Inputs!$C$8-Inputs!$C$7)/240</x:f>
        <x:v>27</x:v>
      </x:c>
      <x:c r="B176" s="48" t="n">
        <x:f>Inputs!$C$5+Inputs!$C$9*(A176/Inputs!$C$10)^2</x:f>
        <x:v>400.81</x:v>
      </x:c>
      <x:c r="C176" s="48" t="n">
        <x:f>B176</x:f>
        <x:v>400.81</x:v>
      </x:c>
      <x:c r="D176" s="48" t="n">
        <x:f>SQRT((Inputs!$C$52+B176)^2+Inputs!$C$52^2-2*(Inputs!$C$52+B176)*Inputs!$C$52*COS(SQRT(A176^2+Inputs!$C$6^2)/Inputs!$C$52))</x:f>
        <x:v>402.92714167571546</x:v>
      </x:c>
      <x:c r="E176" s="48" t="n">
        <x:f>(D176-C176)*1000</x:f>
        <x:v>2117.141675715459</x:v>
      </x:c>
      <x:c r="F176" s="48" t="n">
        <x:f>E176/Inputs!$C$12</x:f>
        <x:v>1189.4054357952016</x:v>
      </x:c>
      <x:c r="G176" s="48" t="n">
        <x:f>2*E176/Inputs!$C$21*1000000</x:f>
        <x:v>14.12404894932653</x:v>
      </x:c>
      <x:c r="H176" s="48" t="n">
        <x:f>SQRT(A176^2+Inputs!$C$6^2)</x:f>
        <x:v>36.796738985948195</x:v>
      </x:c>
      <x:c r="I176" s="48" t="n">
        <x:f>DEGREES(ATAN(H176/B176))</x:f>
        <x:v>5.2453892719816</x:v>
      </x:c>
      <x:c r="J176" s="48" t="n">
        <x:f>DEGREES((2*PI()/Inputs!$C$13)*Inputs!$C$15*SIN(RADIANS(I176)))</x:f>
        <x:v>32.911734085150734</x:v>
      </x:c>
      <x:c r="K176" s="48" t="n">
        <x:f>(C176/D176)^4</x:f>
        <x:v>0.9791474600818122</x:v>
      </x:c>
      <x:c r="L176" s="48" t="n">
        <x:f>10*LOG10(K176)</x:f>
        <x:v>-0.0915189831200047</x:v>
      </x:c>
      <x:c r="M176" s="48" t="n">
        <x:f>2*(Inputs!$C$9/(Inputs!$C$10^2))*A176</x:f>
        <x:v>0.06</x:v>
      </x:c>
      <x:c r="N176" s="48" t="n">
        <x:f>M176*Inputs!$C$11</x:f>
        <x:v>0.24</x:v>
      </x:c>
      <x:c r="O176" s="48" t="n">
        <x:f>1000*(D177-D175)/(A177-A175)*Inputs!$C$11</x:f>
        <x:v>575.8356337860278</x:v>
      </x:c>
      <x:c r="P176" s="48" t="n">
        <x:f>-2*O176/Inputs!$C$13</x:f>
        <x:v>-230.3342535144111</x:v>
      </x:c>
      <x:c r="Q176" s="48" t="n">
        <x:f>-2*O176/Inputs!$C$14</x:f>
        <x:v>-34.58472274991158</x:v>
      </x:c>
      <x:c r="R176" s="48" t="n">
        <x:f>F176-Inputs!$C$16/2</x:f>
        <x:v>1174.4054357952016</x:v>
      </x:c>
      <x:c r="S176" s="48" t="n">
        <x:f>F176+Inputs!$C$16/2</x:f>
        <x:v>1204.4054357952016</x:v>
      </x:c>
      <x:c r="T176" s="48" t="n">
        <x:f>F176-Inputs!$C$17/2</x:f>
        <x:v>1039.4054357952016</x:v>
      </x:c>
      <x:c r="U176" s="48" t="n">
        <x:f>F176+Inputs!$C$17/2</x:f>
        <x:v>1339.4054357952016</x:v>
      </x:c>
      <x:c r="V176" s="48" t="n">
        <x:f>ABS(P176)</x:f>
        <x:v>230.3342535144111</x:v>
      </x:c>
      <x:c r="W176" s="48" t="n">
        <x:f>ABS(Q176)</x:f>
        <x:v>34.58472274991158</x:v>
      </x:c>
      <x:c r="X176" s="48" t="n">
        <x: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(0.45*SIN(2*PI()*(((A176)/Inputs!$C$49)+Inputs!$C$47*0.137))+0.35*COS(2*PI()*(((0)/Inputs!$C$50)+Inputs!$C$47*0.173))+0.20*SIN(2*PI()*(((A176)+(0))/(0.5*(Inputs!$C$49+Inputs!$C$50))+Inputs!$C$47*0.097)))+0.30*(2*((SIN(((A176)*12.9898+(0)*78.233+Inputs!$C$47*37.719))*43758.5453)-INT((SIN(((A176)*12.9898+(0)*78.233+Inputs!$C$47*37.719))*43758.5453)))-1)))</x:f>
        <x:v>64.45446968061479</x:v>
      </x:c>
      <x:c r="Y176" s="48" t="n">
        <x: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(0.45*SIN(2*PI()*(((A176)/Inputs!$C$49)+Inputs!$C$47*0.137))+0.35*COS(2*PI()*(((Inputs!$C$6)/Inputs!$C$50)+Inputs!$C$47*0.173))+0.20*SIN(2*PI()*(((A176)+(Inputs!$C$6))/(0.5*(Inputs!$C$49+Inputs!$C$50))+Inputs!$C$47*0.097)))+0.30*(2*((SIN(((A176)*12.9898+(Inputs!$C$6)*78.233+Inputs!$C$47*37.719))*43758.5453)-INT((SIN(((A176)*12.9898+(Inputs!$C$6)*78.233+Inputs!$C$47*37.719))*43758.5453)))-1)))</x:f>
        <x:v>346.2287328646241</x:v>
      </x:c>
      <x:c r="Z176" s="48" t="n">
        <x:f>B176-X176/1000</x:f>
        <x:v>400.74554553031936</x:v>
      </x:c>
      <x:c r="AA176" s="48" t="n">
        <x:f>SQRT((Inputs!$C$52+B176)^2+(Inputs!$C$52+Y176/1000)^2-2*(Inputs!$C$52+B176)*(Inputs!$C$52+Y176/1000)*COS(SQRT(A176^2+Inputs!$C$6^2)/Inputs!$C$52))</x:f>
        <x:v>402.5832025360354</x:v>
      </x:c>
      <x:c r="AB176" s="48" t="n">
        <x:f>(AA176-Z176)*1000</x:f>
        <x:v>1837.6570057160393</x:v>
      </x:c>
      <x:c r="AC176" s="48" t="n">
        <x:f>AB176/Inputs!$C$12</x:f>
        <x:v>1032.3915762449658</x:v>
      </x:c>
      <x:c r="AD176" s="48" t="n">
        <x:f>2*AB176/Inputs!$C$21*1000000</x:f>
        <x:v>12.25952792792432</x:v>
      </x:c>
      <x:c r="AE176" s="48" t="n">
        <x:f>DEGREES(ATAN(H176/(B176-Y176/1000)))</x:f>
        <x:v>5.249898945607764</x:v>
      </x:c>
      <x:c r="AF176" s="48" t="n">
        <x:f>DEGREES((2*PI()/Inputs!$C$13)*Inputs!$C$15*SIN(RADIANS(AE176)))</x:f>
        <x:v>32.93995043893495</x:v>
      </x:c>
      <x:c r="AG176" s="48" t="n">
        <x:f>(Z176/AA176)^4</x:f>
        <x:v>0.9818659813883981</x:v>
      </x:c>
      <x:c r="AH176" s="48" t="n">
        <x:f>10*LOG10(AG176)</x:f>
        <x:v>-0.079477866687749</x:v>
      </x:c>
      <x:c r="AI176" s="48" t="n">
        <x:f>AC176-F176</x:f>
        <x:v>-157.0138595502358</x:v>
      </x:c>
      <x:c r="AJ176" s="48" t="n">
        <x:f>AD176-G176</x:f>
        <x:v>-1.8645210214022097</x:v>
      </x:c>
      <x:c r="AK176" s="48" t="n">
        <x:f>Y176-X176</x:f>
        <x:v>281.77426318400927</x:v>
      </x:c>
      <x:c r="AL176" s="48" t="n">
        <x:f>1000*(AA177-AA175)/(A177-A175)*Inputs!$C$11</x:f>
        <x:v>760.7885452869141</x:v>
      </x:c>
      <x:c r="AM176" s="48" t="n">
        <x:f>-2*AL176/Inputs!$C$13</x:f>
        <x:v>-304.31541811476563</x:v>
      </x:c>
      <x:c r="AN176" s="48" t="n">
        <x:f>-2*AL176/Inputs!$C$14</x:f>
        <x:v>-45.693005722937784</x:v>
      </x:c>
      <x:c r="AO176" s="48" t="n">
        <x:f>ABS(AM176)</x:f>
        <x:v>304.31541811476563</x:v>
      </x:c>
      <x:c r="AP176" s="48" t="n">
        <x:f>ABS(AN176)</x:f>
        <x:v>45.693005722937784</x:v>
      </x:c>
      <x:c r="AQ176" s="48" t="n">
        <x:f>IF(OR(Inputs!$C$27=TRUE,Inputs!$C$27="TRUE",Inputs!$C$27=1),Inputs!$C$46/Inputs!$C$12,0)</x:f>
        <x:v>42.13483146067416</x:v>
      </x:c>
      <x:c r="AR176" s="48" t="n">
        <x:f>AC176-AQ176</x:f>
        <x:v>990.2567447842916</x:v>
      </x:c>
      <x:c r="AS176" s="48" t="n">
        <x:f>AC176+AQ176</x:f>
        <x:v>1074.52640770564</x:v>
      </x:c>
    </x:row>
    <x:row r="177">
      <x:c r="A177" s="48" t="n">
        <x:f>Inputs!$C$7+175*(Inputs!$C$8-Inputs!$C$7)/240</x:f>
        <x:v>27.5</x:v>
      </x:c>
      <x:c r="B177" s="48" t="n">
        <x:f>Inputs!$C$5+Inputs!$C$9*(A177/Inputs!$C$10)^2</x:f>
        <x:v>400.84027777777777</x:v>
      </x:c>
      <x:c r="C177" s="48" t="n">
        <x:f>B177</x:f>
        <x:v>400.84027777777777</x:v>
      </x:c>
      <x:c r="D177" s="48" t="n">
        <x:f>SQRT((Inputs!$C$52+B177)^2+Inputs!$C$52^2-2*(Inputs!$C$52+B177)*Inputs!$C$52*COS(SQRT(A177^2+Inputs!$C$6^2)/Inputs!$C$52))</x:f>
        <x:v>402.999782899387</x:v>
      </x:c>
      <x:c r="E177" s="48" t="n">
        <x:f>(D177-C177)*1000</x:f>
        <x:v>2159.505121609243</x:v>
      </x:c>
      <x:c r="F177" s="48" t="n">
        <x:f>E177/Inputs!$C$12</x:f>
        <x:v>1213.2051244995746</x:v>
      </x:c>
      <x:c r="G177" s="48" t="n">
        <x:f>2*E177/Inputs!$C$21*1000000</x:f>
        <x:v>14.406667439307249</x:v>
      </x:c>
      <x:c r="H177" s="48" t="n">
        <x:f>SQRT(A177^2+Inputs!$C$6^2)</x:f>
        <x:v>37.16517186829626</x:v>
      </x:c>
      <x:c r="I177" s="48" t="n">
        <x:f>DEGREES(ATAN(H177/B177))</x:f>
        <x:v>5.297214287097746</x:v>
      </x:c>
      <x:c r="J177" s="48" t="n">
        <x:f>DEGREES((2*PI()/Inputs!$C$13)*Inputs!$C$15*SIN(RADIANS(I177)))</x:f>
        <x:v>33.23598312233844</x:v>
      </x:c>
      <x:c r="K177" s="48" t="n">
        <x:f>(C177/D177)^4</x:f>
        <x:v>0.9787373658401771</x:v>
      </x:c>
      <x:c r="L177" s="48" t="n">
        <x:f>10*LOG10(K177)</x:f>
        <x:v>-0.09333831045171459</x:v>
      </x:c>
      <x:c r="M177" s="48" t="n">
        <x:f>2*(Inputs!$C$9/(Inputs!$C$10^2))*A177</x:f>
        <x:v>0.06111111111111111</x:v>
      </x:c>
      <x:c r="N177" s="48" t="n">
        <x:f>M177*Inputs!$C$11</x:f>
        <x:v>0.24444444444444444</x:v>
      </x:c>
      <x:c r="O177" s="48" t="n">
        <x:f>1000*(D178-D176)/(A178-A176)*Inputs!$C$11</x:f>
        <x:v>586.4218547242217</x:v>
      </x:c>
      <x:c r="P177" s="48" t="n">
        <x:f>-2*O177/Inputs!$C$13</x:f>
        <x:v>-234.56874188968868</x:v>
      </x:c>
      <x:c r="Q177" s="48" t="n">
        <x:f>-2*O177/Inputs!$C$14</x:f>
        <x:v>-35.22053181526857</x:v>
      </x:c>
      <x:c r="R177" s="48" t="n">
        <x:f>F177-Inputs!$C$16/2</x:f>
        <x:v>1198.2051244995746</x:v>
      </x:c>
      <x:c r="S177" s="48" t="n">
        <x:f>F177+Inputs!$C$16/2</x:f>
        <x:v>1228.2051244995746</x:v>
      </x:c>
      <x:c r="T177" s="48" t="n">
        <x:f>F177-Inputs!$C$17/2</x:f>
        <x:v>1063.2051244995746</x:v>
      </x:c>
      <x:c r="U177" s="48" t="n">
        <x:f>F177+Inputs!$C$17/2</x:f>
        <x:v>1363.2051244995746</x:v>
      </x:c>
      <x:c r="V177" s="48" t="n">
        <x:f>ABS(P177)</x:f>
        <x:v>234.56874188968868</x:v>
      </x:c>
      <x:c r="W177" s="48" t="n">
        <x:f>ABS(Q177)</x:f>
        <x:v>35.22053181526857</x:v>
      </x:c>
      <x:c r="X177" s="48" t="n">
        <x: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(0.45*SIN(2*PI()*(((A177)/Inputs!$C$49)+Inputs!$C$47*0.137))+0.35*COS(2*PI()*(((0)/Inputs!$C$50)+Inputs!$C$47*0.173))+0.20*SIN(2*PI()*(((A177)+(0))/(0.5*(Inputs!$C$49+Inputs!$C$50))+Inputs!$C$47*0.097)))+0.30*(2*((SIN(((A177)*12.9898+(0)*78.233+Inputs!$C$47*37.719))*43758.5453)-INT((SIN(((A177)*12.9898+(0)*78.233+Inputs!$C$47*37.719))*43758.5453)))-1)))</x:f>
        <x:v>45.78588130375909</x:v>
      </x:c>
      <x:c r="Y177" s="48" t="n">
        <x: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(0.45*SIN(2*PI()*(((A177)/Inputs!$C$49)+Inputs!$C$47*0.137))+0.35*COS(2*PI()*(((Inputs!$C$6)/Inputs!$C$50)+Inputs!$C$47*0.173))+0.20*SIN(2*PI()*(((A177)+(Inputs!$C$6))/(0.5*(Inputs!$C$49+Inputs!$C$50))+Inputs!$C$47*0.097)))+0.30*(2*((SIN(((A177)*12.9898+(Inputs!$C$6)*78.233+Inputs!$C$47*37.719))*43758.5453)-INT((SIN(((A177)*12.9898+(Inputs!$C$6)*78.233+Inputs!$C$47*37.719))*43758.5453)))-1)))</x:f>
        <x:v>337.0351401860322</x:v>
      </x:c>
      <x:c r="Z177" s="48" t="n">
        <x:f>B177-X177/1000</x:f>
        <x:v>400.794491896474</x:v>
      </x:c>
      <x:c r="AA177" s="48" t="n">
        <x:f>SQRT((Inputs!$C$52+B177)^2+(Inputs!$C$52+Y177/1000)^2-2*(Inputs!$C$52+B177)*(Inputs!$C$52+Y177/1000)*COS(SQRT(A177^2+Inputs!$C$6^2)/Inputs!$C$52))</x:f>
        <x:v>402.6650207508594</x:v>
      </x:c>
      <x:c r="AB177" s="48" t="n">
        <x:f>(AA177-Z177)*1000</x:f>
        <x:v>1870.528854385384</x:v>
      </x:c>
      <x:c r="AC177" s="48" t="n">
        <x:f>AB177/Inputs!$C$12</x:f>
        <x:v>1050.8589069580808</x:v>
      </x:c>
      <x:c r="AD177" s="48" t="n">
        <x:f>2*AB177/Inputs!$C$21*1000000</x:f>
        <x:v>12.478825297101931</x:v>
      </x:c>
      <x:c r="AE177" s="48" t="n">
        <x:f>DEGREES(ATAN(H177/(B177-Y177/1000)))</x:f>
        <x:v>5.301646656321297</x:v>
      </x:c>
      <x:c r="AF177" s="48" t="n">
        <x:f>DEGREES((2*PI()/Inputs!$C$13)*Inputs!$C$15*SIN(RADIANS(AE177)))</x:f>
        <x:v>33.26371348050391</x:v>
      </x:c>
      <x:c r="AG177" s="48" t="n">
        <x:f>(Z177/AA177)^4</x:f>
        <x:v>0.981547587965305</x:v>
      </x:c>
      <x:c r="AH177" s="48" t="n">
        <x:f>10*LOG10(AG177)</x:f>
        <x:v>-0.0808863983399086</x:v>
      </x:c>
      <x:c r="AI177" s="48" t="n">
        <x:f>AC177-F177</x:f>
        <x:v>-162.34621754149384</x:v>
      </x:c>
      <x:c r="AJ177" s="48" t="n">
        <x:f>AD177-G177</x:f>
        <x:v>-1.9278421422053178</x:v>
      </x:c>
      <x:c r="AK177" s="48" t="n">
        <x:f>Y177-X177</x:f>
        <x:v>291.2492588822731</x:v>
      </x:c>
      <x:c r="AL177" s="48" t="n">
        <x:f>1000*(AA178-AA176)/(A178-A176)*Inputs!$C$11</x:f>
        <x:v>722.0315105857935</x:v>
      </x:c>
      <x:c r="AM177" s="48" t="n">
        <x:f>-2*AL177/Inputs!$C$13</x:f>
        <x:v>-288.8126042343174</x:v>
      </x:c>
      <x:c r="AN177" s="48" t="n">
        <x:f>-2*AL177/Inputs!$C$14</x:f>
        <x:v>-43.36525589103865</x:v>
      </x:c>
      <x:c r="AO177" s="48" t="n">
        <x:f>ABS(AM177)</x:f>
        <x:v>288.8126042343174</x:v>
      </x:c>
      <x:c r="AP177" s="48" t="n">
        <x:f>ABS(AN177)</x:f>
        <x:v>43.36525589103865</x:v>
      </x:c>
      <x:c r="AQ177" s="48" t="n">
        <x:f>IF(OR(Inputs!$C$27=TRUE,Inputs!$C$27="TRUE",Inputs!$C$27=1),Inputs!$C$46/Inputs!$C$12,0)</x:f>
        <x:v>42.13483146067416</x:v>
      </x:c>
      <x:c r="AR177" s="48" t="n">
        <x:f>AC177-AQ177</x:f>
        <x:v>1008.7240754974066</x:v>
      </x:c>
      <x:c r="AS177" s="48" t="n">
        <x:f>AC177+AQ177</x:f>
        <x:v>1092.993738418755</x:v>
      </x:c>
    </x:row>
    <x:row r="178">
      <x:c r="A178" s="48" t="n">
        <x:f>Inputs!$C$7+176*(Inputs!$C$8-Inputs!$C$7)/240</x:f>
        <x:v>28</x:v>
      </x:c>
      <x:c r="B178" s="48" t="n">
        <x:f>Inputs!$C$5+Inputs!$C$9*(A178/Inputs!$C$10)^2</x:f>
        <x:v>400.87111111111113</x:v>
      </x:c>
      <x:c r="C178" s="48" t="n">
        <x:f>B178</x:f>
        <x:v>400.87111111111113</x:v>
      </x:c>
      <x:c r="D178" s="48" t="n">
        <x:f>SQRT((Inputs!$C$52+B178)^2+Inputs!$C$52^2-2*(Inputs!$C$52+B178)*Inputs!$C$52*COS(SQRT(A178^2+Inputs!$C$6^2)/Inputs!$C$52))</x:f>
        <x:v>403.0737471393965</x:v>
      </x:c>
      <x:c r="E178" s="48" t="n">
        <x:f>(D178-C178)*1000</x:f>
        <x:v>2202.636028285383</x:v>
      </x:c>
      <x:c r="F178" s="48" t="n">
        <x:f>E178/Inputs!$C$12</x:f>
        <x:v>1237.4359709468442</x:v>
      </x:c>
      <x:c r="G178" s="48" t="n">
        <x:f>2*E178/Inputs!$C$21*1000000</x:f>
        <x:v>14.6944058765173</x:v>
      </x:c>
      <x:c r="H178" s="48" t="n">
        <x:f>SQRT(A178^2+Inputs!$C$6^2)</x:f>
        <x:v>37.53664875824692</x:v>
      </x:c>
      <x:c r="I178" s="48" t="n">
        <x:f>DEGREES(ATAN(H178/B178))</x:f>
        <x:v>5.349446707466922</x:v>
      </x:c>
      <x:c r="J178" s="48" t="n">
        <x:f>DEGREES((2*PI()/Inputs!$C$13)*Inputs!$C$15*SIN(RADIANS(I178)))</x:f>
        <x:v>33.56275362207757</x:v>
      </x:c>
      <x:c r="K178" s="48" t="n">
        <x:f>(C178/D178)^4</x:f>
        <x:v>0.9783201267983007</x:v>
      </x:c>
      <x:c r="L178" s="48" t="n">
        <x:f>10*LOG10(K178)</x:f>
        <x:v>-0.0951901172274334</x:v>
      </x:c>
      <x:c r="M178" s="48" t="n">
        <x:f>2*(Inputs!$C$9/(Inputs!$C$10^2))*A178</x:f>
        <x:v>0.06222222222222222</x:v>
      </x:c>
      <x:c r="N178" s="48" t="n">
        <x:f>M178*Inputs!$C$11</x:f>
        <x:v>0.24888888888888888</x:v>
      </x:c>
      <x:c r="O178" s="48" t="n">
        <x:f>1000*(D179-D177)/(A179-A177)*Inputs!$C$11</x:f>
        <x:v>597.00385875135</x:v>
      </x:c>
      <x:c r="P178" s="48" t="n">
        <x:f>-2*O178/Inputs!$C$13</x:f>
        <x:v>-238.80154350054</x:v>
      </x:c>
      <x:c r="Q178" s="48" t="n">
        <x:f>-2*O178/Inputs!$C$14</x:f>
        <x:v>-35.8560876126937</x:v>
      </x:c>
      <x:c r="R178" s="48" t="n">
        <x:f>F178-Inputs!$C$16/2</x:f>
        <x:v>1222.4359709468442</x:v>
      </x:c>
      <x:c r="S178" s="48" t="n">
        <x:f>F178+Inputs!$C$16/2</x:f>
        <x:v>1252.4359709468442</x:v>
      </x:c>
      <x:c r="T178" s="48" t="n">
        <x:f>F178-Inputs!$C$17/2</x:f>
        <x:v>1087.4359709468442</x:v>
      </x:c>
      <x:c r="U178" s="48" t="n">
        <x:f>F178+Inputs!$C$17/2</x:f>
        <x:v>1387.4359709468442</x:v>
      </x:c>
      <x:c r="V178" s="48" t="n">
        <x:f>ABS(P178)</x:f>
        <x:v>238.80154350054</x:v>
      </x:c>
      <x:c r="W178" s="48" t="n">
        <x:f>ABS(Q178)</x:f>
        <x:v>35.8560876126937</x:v>
      </x:c>
      <x:c r="X178" s="48" t="n">
        <x: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(0.45*SIN(2*PI()*(((A178)/Inputs!$C$49)+Inputs!$C$47*0.137))+0.35*COS(2*PI()*(((0)/Inputs!$C$50)+Inputs!$C$47*0.173))+0.20*SIN(2*PI()*(((A178)+(0))/(0.5*(Inputs!$C$49+Inputs!$C$50))+Inputs!$C$47*0.097)))+0.30*(2*((SIN(((A178)*12.9898+(0)*78.233+Inputs!$C$47*37.719))*43758.5453)-INT((SIN(((A178)*12.9898+(0)*78.233+Inputs!$C$47*37.719))*43758.5453)))-1)))</x:f>
        <x:v>58.94439177372493</x:v>
      </x:c>
      <x:c r="Y178" s="48" t="n">
        <x: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(0.45*SIN(2*PI()*(((A178)/Inputs!$C$49)+Inputs!$C$47*0.137))+0.35*COS(2*PI()*(((Inputs!$C$6)/Inputs!$C$50)+Inputs!$C$47*0.173))+0.20*SIN(2*PI()*(((A178)+(Inputs!$C$6))/(0.5*(Inputs!$C$49+Inputs!$C$50))+Inputs!$C$47*0.097)))+0.30*(2*((SIN(((A178)*12.9898+(Inputs!$C$6)*78.233+Inputs!$C$47*37.719))*43758.5453)-INT((SIN(((A178)*12.9898+(Inputs!$C$6)*78.233+Inputs!$C$47*37.719))*43758.5453)))-1)))</x:f>
        <x:v>312.18369818898617</x:v>
      </x:c>
      <x:c r="Z178" s="48" t="n">
        <x:f>B178-X178/1000</x:f>
        <x:v>400.8121667193374</x:v>
      </x:c>
      <x:c r="AA178" s="48" t="n">
        <x:f>SQRT((Inputs!$C$52+B178)^2+(Inputs!$C$52+Y178/1000)^2-2*(Inputs!$C$52+B178)*(Inputs!$C$52+Y178/1000)*COS(SQRT(A178^2+Inputs!$C$6^2)/Inputs!$C$52))</x:f>
        <x:v>402.76371041368185</x:v>
      </x:c>
      <x:c r="AB178" s="48" t="n">
        <x:f>(AA178-Z178)*1000</x:f>
        <x:v>1951.5436943444229</x:v>
      </x:c>
      <x:c r="AC178" s="48" t="n">
        <x:f>AB178/Inputs!$C$12</x:f>
        <x:v>1096.3728619912488</x:v>
      </x:c>
      <x:c r="AD178" s="48" t="n">
        <x:f>2*AB178/Inputs!$C$21*1000000</x:f>
        <x:v>13.019298132873129</x:v>
      </x:c>
      <x:c r="AE178" s="48" t="n">
        <x:f>DEGREES(ATAN(H178/(B178-Y178/1000)))</x:f>
        <x:v>5.353591692118461</x:v>
      </x:c>
      <x:c r="AF178" s="48" t="n">
        <x:f>DEGREES((2*PI()/Inputs!$C$13)*Inputs!$C$15*SIN(RADIANS(AE178)))</x:f>
        <x:v>33.58868381041163</x:v>
      </x:c>
      <x:c r="AG178" s="48" t="n">
        <x:f>(Z178/AA178)^4</x:f>
        <x:v>0.9807588871889877</x:v>
      </x:c>
      <x:c r="AH178" s="48" t="n">
        <x:f>10*LOG10(AG178)</x:f>
        <x:v>-0.084377478024033</x:v>
      </x:c>
      <x:c r="AI178" s="48" t="n">
        <x:f>AC178-F178</x:f>
        <x:v>-141.06310895559545</x:v>
      </x:c>
      <x:c r="AJ178" s="48" t="n">
        <x:f>AD178-G178</x:f>
        <x:v>-1.6751077436441708</x:v>
      </x:c>
      <x:c r="AK178" s="48" t="n">
        <x:f>Y178-X178</x:f>
        <x:v>253.23930641526124</x:v>
      </x:c>
      <x:c r="AL178" s="48" t="n">
        <x:f>1000*(AA179-AA177)/(A179-A177)*Inputs!$C$11</x:f>
        <x:v>702.8979268770854</x:v>
      </x:c>
      <x:c r="AM178" s="48" t="n">
        <x:f>-2*AL178/Inputs!$C$13</x:f>
        <x:v>-281.15917075083416</x:v>
      </x:c>
      <x:c r="AN178" s="48" t="n">
        <x:f>-2*AL178/Inputs!$C$14</x:f>
        <x:v>-42.21609170432946</x:v>
      </x:c>
      <x:c r="AO178" s="48" t="n">
        <x:f>ABS(AM178)</x:f>
        <x:v>281.15917075083416</x:v>
      </x:c>
      <x:c r="AP178" s="48" t="n">
        <x:f>ABS(AN178)</x:f>
        <x:v>42.21609170432946</x:v>
      </x:c>
      <x:c r="AQ178" s="48" t="n">
        <x:f>IF(OR(Inputs!$C$27=TRUE,Inputs!$C$27="TRUE",Inputs!$C$27=1),Inputs!$C$46/Inputs!$C$12,0)</x:f>
        <x:v>42.13483146067416</x:v>
      </x:c>
      <x:c r="AR178" s="48" t="n">
        <x:f>AC178-AQ178</x:f>
        <x:v>1054.2380305305746</x:v>
      </x:c>
      <x:c r="AS178" s="48" t="n">
        <x:f>AC178+AQ178</x:f>
        <x:v>1138.507693451923</x:v>
      </x:c>
    </x:row>
    <x:row r="179">
      <x:c r="A179" s="48" t="n">
        <x:f>Inputs!$C$7+177*(Inputs!$C$8-Inputs!$C$7)/240</x:f>
        <x:v>28.5</x:v>
      </x:c>
      <x:c r="B179" s="48" t="n">
        <x:f>Inputs!$C$5+Inputs!$C$9*(A179/Inputs!$C$10)^2</x:f>
        <x:v>400.9025</x:v>
      </x:c>
      <x:c r="C179" s="48" t="n">
        <x:f>B179</x:f>
        <x:v>400.9025</x:v>
      </x:c>
      <x:c r="D179" s="48" t="n">
        <x:f>SQRT((Inputs!$C$52+B179)^2+Inputs!$C$52^2-2*(Inputs!$C$52+B179)*Inputs!$C$52*COS(SQRT(A179^2+Inputs!$C$6^2)/Inputs!$C$52))</x:f>
        <x:v>403.14903386407485</x:v>
      </x:c>
      <x:c r="E179" s="48" t="n">
        <x:f>(D179-C179)*1000</x:f>
        <x:v>2246.533864074877</x:v>
      </x:c>
      <x:c r="F179" s="48" t="n">
        <x:f>E179/Inputs!$C$12</x:f>
        <x:v>1262.09767644656</x:v>
      </x:c>
      <x:c r="G179" s="48" t="n">
        <x:f>2*E179/Inputs!$C$21*1000000</x:f>
        <x:v>14.987260714042893</x:v>
      </x:c>
      <x:c r="H179" s="48" t="n">
        <x:f>SQRT(A179^2+Inputs!$C$6^2)</x:f>
        <x:v>37.911080174534725</x:v>
      </x:c>
      <x:c r="I179" s="48" t="n">
        <x:f>DEGREES(ATAN(H179/B179))</x:f>
        <x:v>5.402073248314196</x:v>
      </x:c>
      <x:c r="J179" s="48" t="n">
        <x:f>DEGREES((2*PI()/Inputs!$C$13)*Inputs!$C$15*SIN(RADIANS(I179)))</x:f>
        <x:v>33.891961563301656</x:v>
      </x:c>
      <x:c r="K179" s="48" t="n">
        <x:f>(C179/D179)^4</x:f>
        <x:v>0.9778957631734654</x:v>
      </x:c>
      <x:c r="L179" s="48" t="n">
        <x:f>10*LOG10(K179)</x:f>
        <x:v>-0.0970743548969278</x:v>
      </x:c>
      <x:c r="M179" s="48" t="n">
        <x:f>2*(Inputs!$C$9/(Inputs!$C$10^2))*A179</x:f>
        <x:v>0.06333333333333334</x:v>
      </x:c>
      <x:c r="N179" s="48" t="n">
        <x:f>M179*Inputs!$C$11</x:f>
        <x:v>0.25333333333333335</x:v>
      </x:c>
      <x:c r="O179" s="48" t="n">
        <x:f>1000*(D180-D178)/(A180-A178)*Inputs!$C$11</x:f>
        <x:v>607.581573135576</x:v>
      </x:c>
      <x:c r="P179" s="48" t="n">
        <x:f>-2*O179/Inputs!$C$13</x:f>
        <x:v>-243.03262925423041</x:v>
      </x:c>
      <x:c r="Q179" s="48" t="n">
        <x:f>-2*O179/Inputs!$C$14</x:f>
        <x:v>-36.491385773908476</x:v>
      </x:c>
      <x:c r="R179" s="48" t="n">
        <x:f>F179-Inputs!$C$16/2</x:f>
        <x:v>1247.09767644656</x:v>
      </x:c>
      <x:c r="S179" s="48" t="n">
        <x:f>F179+Inputs!$C$16/2</x:f>
        <x:v>1277.09767644656</x:v>
      </x:c>
      <x:c r="T179" s="48" t="n">
        <x:f>F179-Inputs!$C$17/2</x:f>
        <x:v>1112.09767644656</x:v>
      </x:c>
      <x:c r="U179" s="48" t="n">
        <x:f>F179+Inputs!$C$17/2</x:f>
        <x:v>1412.09767644656</x:v>
      </x:c>
      <x:c r="V179" s="48" t="n">
        <x:f>ABS(P179)</x:f>
        <x:v>243.03262925423041</x:v>
      </x:c>
      <x:c r="W179" s="48" t="n">
        <x:f>ABS(Q179)</x:f>
        <x:v>36.491385773908476</x:v>
      </x:c>
      <x:c r="X179" s="48" t="n">
        <x: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(0.45*SIN(2*PI()*(((A179)/Inputs!$C$49)+Inputs!$C$47*0.137))+0.35*COS(2*PI()*(((0)/Inputs!$C$50)+Inputs!$C$47*0.173))+0.20*SIN(2*PI()*(((A179)+(0))/(0.5*(Inputs!$C$49+Inputs!$C$50))+Inputs!$C$47*0.097)))+0.30*(2*((SIN(((A179)*12.9898+(0)*78.233+Inputs!$C$47*37.719))*43758.5453)-INT((SIN(((A179)*12.9898+(0)*78.233+Inputs!$C$47*37.719))*43758.5453)))-1)))</x:f>
        <x:v>53.72705851492565</x:v>
      </x:c>
      <x:c r="Y179" s="48" t="n">
        <x: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(0.45*SIN(2*PI()*(((A179)/Inputs!$C$49)+Inputs!$C$47*0.137))+0.35*COS(2*PI()*(((Inputs!$C$6)/Inputs!$C$50)+Inputs!$C$47*0.173))+0.20*SIN(2*PI()*(((A179)+(Inputs!$C$6))/(0.5*(Inputs!$C$49+Inputs!$C$50))+Inputs!$C$47*0.097)))+0.30*(2*((SIN(((A179)*12.9898+(Inputs!$C$6)*78.233+Inputs!$C$47*37.719))*43758.5453)-INT((SIN(((A179)*12.9898+(Inputs!$C$6)*78.233+Inputs!$C$47*37.719))*43758.5453)))-1)))</x:f>
        <x:v>310.4659866511931</x:v>
      </x:c>
      <x:c r="Z179" s="48" t="n">
        <x:f>B179-X179/1000</x:f>
        <x:v>400.84877294148504</x:v>
      </x:c>
      <x:c r="AA179" s="48" t="n">
        <x:f>SQRT((Inputs!$C$52+B179)^2+(Inputs!$C$52+Y179/1000)^2-2*(Inputs!$C$52+B179)*(Inputs!$C$52+Y179/1000)*COS(SQRT(A179^2+Inputs!$C$6^2)/Inputs!$C$52))</x:f>
        <x:v>402.8407452325787</x:v>
      </x:c>
      <x:c r="AB179" s="48" t="n">
        <x:f>(AA179-Z179)*1000</x:f>
        <x:v>1991.9722910936457</x:v>
      </x:c>
      <x:c r="AC179" s="48" t="n">
        <x:f>AB179/Inputs!$C$12</x:f>
        <x:v>1119.085556794183</x:v>
      </x:c>
      <x:c r="AD179" s="48" t="n">
        <x:f>2*AB179/Inputs!$C$21*1000000</x:f>
        <x:v>13.28900869876884</x:v>
      </x:c>
      <x:c r="AE179" s="48" t="n">
        <x:f>DEGREES(ATAN(H179/(B179-Y179/1000)))</x:f>
        <x:v>5.40623515541457</x:v>
      </x:c>
      <x:c r="AF179" s="48" t="n">
        <x:f>DEGREES((2*PI()/Inputs!$C$13)*Inputs!$C$15*SIN(RADIANS(AE179)))</x:f>
        <x:v>33.917995363567016</x:v>
      </x:c>
      <x:c r="AG179" s="48" t="n">
        <x:f>(Z179/AA179)^4</x:f>
        <x:v>0.980366970683918</x:v>
      </x:c>
      <x:c r="AH179" s="48" t="n">
        <x:f>10*LOG10(AG179)</x:f>
        <x:v>-0.08611328888085461</x:v>
      </x:c>
      <x:c r="AI179" s="48" t="n">
        <x:f>AC179-F179</x:f>
        <x:v>-143.0121196523769</x:v>
      </x:c>
      <x:c r="AJ179" s="48" t="n">
        <x:f>AD179-G179</x:f>
        <x:v>-1.6982520152740541</x:v>
      </x:c>
      <x:c r="AK179" s="48" t="n">
        <x:f>Y179-X179</x:f>
        <x:v>256.7389281362674</x:v>
      </x:c>
      <x:c r="AL179" s="48" t="n">
        <x:f>1000*(AA180-AA178)/(A180-A178)*Inputs!$C$11</x:f>
        <x:v>719.9246311886327</x:v>
      </x:c>
      <x:c r="AM179" s="48" t="n">
        <x:f>-2*AL179/Inputs!$C$13</x:f>
        <x:v>-287.9698524754531</x:v>
      </x:c>
      <x:c r="AN179" s="48" t="n">
        <x:f>-2*AL179/Inputs!$C$14</x:f>
        <x:v>-43.23871658790587</x:v>
      </x:c>
      <x:c r="AO179" s="48" t="n">
        <x:f>ABS(AM179)</x:f>
        <x:v>287.9698524754531</x:v>
      </x:c>
      <x:c r="AP179" s="48" t="n">
        <x:f>ABS(AN179)</x:f>
        <x:v>43.23871658790587</x:v>
      </x:c>
      <x:c r="AQ179" s="48" t="n">
        <x:f>IF(OR(Inputs!$C$27=TRUE,Inputs!$C$27="TRUE",Inputs!$C$27=1),Inputs!$C$46/Inputs!$C$12,0)</x:f>
        <x:v>42.13483146067416</x:v>
      </x:c>
      <x:c r="AR179" s="48" t="n">
        <x:f>AC179-AQ179</x:f>
        <x:v>1076.950725333509</x:v>
      </x:c>
      <x:c r="AS179" s="48" t="n">
        <x:f>AC179+AQ179</x:f>
        <x:v>1161.2203882548572</x:v>
      </x:c>
    </x:row>
    <x:row r="180">
      <x:c r="A180" s="48" t="n">
        <x:f>Inputs!$C$7+178*(Inputs!$C$8-Inputs!$C$7)/240</x:f>
        <x:v>29</x:v>
      </x:c>
      <x:c r="B180" s="48" t="n">
        <x:f>Inputs!$C$5+Inputs!$C$9*(A180/Inputs!$C$10)^2</x:f>
        <x:v>400.93444444444447</x:v>
      </x:c>
      <x:c r="C180" s="48" t="n">
        <x:f>B180</x:f>
        <x:v>400.93444444444447</x:v>
      </x:c>
      <x:c r="D180" s="48" t="n">
        <x:f>SQRT((Inputs!$C$52+B180)^2+Inputs!$C$52^2-2*(Inputs!$C$52+B180)*Inputs!$C$52*COS(SQRT(A180^2+Inputs!$C$6^2)/Inputs!$C$52))</x:f>
        <x:v>403.2256425326804</x:v>
      </x:c>
      <x:c r="E180" s="48" t="n">
        <x:f>(D180-C180)*1000</x:f>
        <x:v>2291.1980882359444</x:v>
      </x:c>
      <x:c r="F180" s="48" t="n">
        <x:f>E180/Inputs!$C$12</x:f>
        <x:v>1287.1899372112048</x:v>
      </x:c>
      <x:c r="G180" s="48" t="n">
        <x:f>2*E180/Inputs!$C$21*1000000</x:f>
        <x:v>15.285228344443171</x:v>
      </x:c>
      <x:c r="H180" s="48" t="n">
        <x:f>SQRT(A180^2+Inputs!$C$6^2)</x:f>
        <x:v>38.28837943815329</x:v>
      </x:c>
      <x:c r="I180" s="48" t="n">
        <x:f>DEGREES(ATAN(H180/B180))</x:f>
        <x:v>5.455081025841907</x:v>
      </x:c>
      <x:c r="J180" s="48" t="n">
        <x:f>DEGREES((2*PI()/Inputs!$C$13)*Inputs!$C$15*SIN(RADIANS(I180)))</x:f>
        <x:v>34.2235254443067</x:v>
      </x:c>
      <x:c r="K180" s="48" t="n">
        <x:f>(C180/D180)^4</x:f>
        <x:v>0.9774642955027582</x:v>
      </x:c>
      <x:c r="L180" s="48" t="n">
        <x:f>10*LOG10(K180)</x:f>
        <x:v>-0.098990974096728</x:v>
      </x:c>
      <x:c r="M180" s="48" t="n">
        <x:f>2*(Inputs!$C$9/(Inputs!$C$10^2))*A180</x:f>
        <x:v>0.06444444444444444</x:v>
      </x:c>
      <x:c r="N180" s="48" t="n">
        <x:f>M180*Inputs!$C$11</x:f>
        <x:v>0.2577777777777778</x:v>
      </x:c>
      <x:c r="O180" s="48" t="n">
        <x:f>1000*(D181-D179)/(A181-A179)*Inputs!$C$11</x:f>
        <x:v>618.1549253624326</x:v>
      </x:c>
      <x:c r="P180" s="48" t="n">
        <x:f>-2*O180/Inputs!$C$13</x:f>
        <x:v>-247.26197014497302</x:v>
      </x:c>
      <x:c r="Q180" s="48" t="n">
        <x:f>-2*O180/Inputs!$C$14</x:f>
        <x:v>-37.12642194368964</x:v>
      </x:c>
      <x:c r="R180" s="48" t="n">
        <x:f>F180-Inputs!$C$16/2</x:f>
        <x:v>1272.1899372112048</x:v>
      </x:c>
      <x:c r="S180" s="48" t="n">
        <x:f>F180+Inputs!$C$16/2</x:f>
        <x:v>1302.1899372112048</x:v>
      </x:c>
      <x:c r="T180" s="48" t="n">
        <x:f>F180-Inputs!$C$17/2</x:f>
        <x:v>1137.1899372112048</x:v>
      </x:c>
      <x:c r="U180" s="48" t="n">
        <x:f>F180+Inputs!$C$17/2</x:f>
        <x:v>1437.1899372112048</x:v>
      </x:c>
      <x:c r="V180" s="48" t="n">
        <x:f>ABS(P180)</x:f>
        <x:v>247.26197014497302</x:v>
      </x:c>
      <x:c r="W180" s="48" t="n">
        <x:f>ABS(Q180)</x:f>
        <x:v>37.12642194368964</x:v>
      </x:c>
      <x:c r="X180" s="48" t="n">
        <x: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(0.45*SIN(2*PI()*(((A180)/Inputs!$C$49)+Inputs!$C$47*0.137))+0.35*COS(2*PI()*(((0)/Inputs!$C$50)+Inputs!$C$47*0.173))+0.20*SIN(2*PI()*(((A180)+(0))/(0.5*(Inputs!$C$49+Inputs!$C$50))+Inputs!$C$47*0.097)))+0.30*(2*((SIN(((A180)*12.9898+(0)*78.233+Inputs!$C$47*37.719))*43758.5453)-INT((SIN(((A180)*12.9898+(0)*78.233+Inputs!$C$47*37.719))*43758.5453)))-1)))</x:f>
        <x:v>29.362157595592716</x:v>
      </x:c>
      <x:c r="Y180" s="48" t="n">
        <x: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(0.45*SIN(2*PI()*(((A180)/Inputs!$C$49)+Inputs!$C$47*0.137))+0.35*COS(2*PI()*(((Inputs!$C$6)/Inputs!$C$50)+Inputs!$C$47*0.173))+0.20*SIN(2*PI()*(((A180)+(Inputs!$C$6))/(0.5*(Inputs!$C$49+Inputs!$C$50))+Inputs!$C$47*0.097)))+0.30*(2*((SIN(((A180)*12.9898+(Inputs!$C$6)*78.233+Inputs!$C$47*37.719))*43758.5453)-INT((SIN(((A180)*12.9898+(Inputs!$C$6)*78.233+Inputs!$C$47*37.719))*43758.5453)))-1)))</x:f>
        <x:v>283.98171018669603</x:v>
      </x:c>
      <x:c r="Z180" s="48" t="n">
        <x:f>B180-X180/1000</x:f>
        <x:v>400.9050822868489</x:v>
      </x:c>
      <x:c r="AA180" s="48" t="n">
        <x:f>SQRT((Inputs!$C$52+B180)^2+(Inputs!$C$52+Y180/1000)^2-2*(Inputs!$C$52+B180)*(Inputs!$C$52+Y180/1000)*COS(SQRT(A180^2+Inputs!$C$6^2)/Inputs!$C$52))</x:f>
        <x:v>402.943691571479</x:v>
      </x:c>
      <x:c r="AB180" s="48" t="n">
        <x:f>(AA180-Z180)*1000</x:f>
        <x:v>2038.6092846301267</x:v>
      </x:c>
      <x:c r="AC180" s="48" t="n">
        <x:f>AB180/Inputs!$C$12</x:f>
        <x:v>1145.2861149607454</x:v>
      </x:c>
      <x:c r="AD180" s="48" t="n">
        <x:f>2*AB180/Inputs!$C$21*1000000</x:f>
        <x:v>13.600137229804004</x:v>
      </x:c>
      <x:c r="AE180" s="48" t="n">
        <x:f>DEGREES(ATAN(H180/(B180-Y180/1000)))</x:f>
        <x:v>5.458924247590091</x:v>
      </x:c>
      <x:c r="AF180" s="48" t="n">
        <x:f>DEGREES((2*PI()/Inputs!$C$13)*Inputs!$C$15*SIN(RADIANS(AE180)))</x:f>
        <x:v>34.24756367772147</x:v>
      </x:c>
      <x:c r="AG180" s="48" t="n">
        <x:f>(Z180/AA180)^4</x:f>
        <x:v>0.9799158982610956</x:v>
      </x:c>
      <x:c r="AH180" s="48" t="n">
        <x:f>10*LOG10(AG180)</x:f>
        <x:v>-0.0881119623450923</x:v>
      </x:c>
      <x:c r="AI180" s="48" t="n">
        <x:f>AC180-F180</x:f>
        <x:v>-141.90382225045937</x:v>
      </x:c>
      <x:c r="AJ180" s="48" t="n">
        <x:f>AD180-G180</x:f>
        <x:v>-1.6850911146391674</x:v>
      </x:c>
      <x:c r="AK180" s="48" t="n">
        <x:f>Y180-X180</x:f>
        <x:v>254.61955259110331</x:v>
      </x:c>
      <x:c r="AL180" s="48" t="n">
        <x:f>1000*(AA181-AA179)/(A181-A179)*Inputs!$C$11</x:f>
        <x:v>804.8964600700401</x:v>
      </x:c>
      <x:c r="AM180" s="48" t="n">
        <x:f>-2*AL180/Inputs!$C$13</x:f>
        <x:v>-321.95858402801605</x:v>
      </x:c>
      <x:c r="AN180" s="48" t="n">
        <x:f>-2*AL180/Inputs!$C$14</x:f>
        <x:v>-48.342129733936346</x:v>
      </x:c>
      <x:c r="AO180" s="48" t="n">
        <x:f>ABS(AM180)</x:f>
        <x:v>321.95858402801605</x:v>
      </x:c>
      <x:c r="AP180" s="48" t="n">
        <x:f>ABS(AN180)</x:f>
        <x:v>48.342129733936346</x:v>
      </x:c>
      <x:c r="AQ180" s="48" t="n">
        <x:f>IF(OR(Inputs!$C$27=TRUE,Inputs!$C$27="TRUE",Inputs!$C$27=1),Inputs!$C$46/Inputs!$C$12,0)</x:f>
        <x:v>42.13483146067416</x:v>
      </x:c>
      <x:c r="AR180" s="48" t="n">
        <x:f>AC180-AQ180</x:f>
        <x:v>1103.1512835000713</x:v>
      </x:c>
      <x:c r="AS180" s="48" t="n">
        <x:f>AC180+AQ180</x:f>
        <x:v>1187.4209464214196</x:v>
      </x:c>
    </x:row>
    <x:row r="181">
      <x:c r="A181" s="48" t="n">
        <x:f>Inputs!$C$7+179*(Inputs!$C$8-Inputs!$C$7)/240</x:f>
        <x:v>29.5</x:v>
      </x:c>
      <x:c r="B181" s="48" t="n">
        <x:f>Inputs!$C$5+Inputs!$C$9*(A181/Inputs!$C$10)^2</x:f>
        <x:v>400.96694444444444</x:v>
      </x:c>
      <x:c r="C181" s="48" t="n">
        <x:f>B181</x:f>
        <x:v>400.96694444444444</x:v>
      </x:c>
      <x:c r="D181" s="48" t="n">
        <x:f>SQRT((Inputs!$C$52+B181)^2+Inputs!$C$52^2-2*(Inputs!$C$52+B181)*Inputs!$C$52*COS(SQRT(A181^2+Inputs!$C$6^2)/Inputs!$C$52))</x:f>
        <x:v>403.30357259541546</x:v>
      </x:c>
      <x:c r="E181" s="48" t="n">
        <x:f>(D181-C181)*1000</x:f>
        <x:v>2336.6281509710234</x:v>
      </x:c>
      <x:c r="F181" s="48" t="n">
        <x:f>E181/Inputs!$C$12</x:f>
        <x:v>1312.7124443657435</x:v>
      </x:c>
      <x:c r="G181" s="48" t="n">
        <x:f>2*E181/Inputs!$C$21*1000000</x:f>
        <x:v>15.58830509986361</x:v>
      </x:c>
      <x:c r="H181" s="48" t="n">
        <x:f>SQRT(A181^2+Inputs!$C$6^2)</x:f>
        <x:v>38.66846260197062</x:v>
      </x:c>
      <x:c r="I181" s="48" t="n">
        <x:f>DEGREES(ATAN(H181/B181))</x:f>
        <x:v>5.508457547244826</x:v>
      </x:c>
      <x:c r="J181" s="48" t="n">
        <x:f>DEGREES((2*PI()/Inputs!$C$13)*Inputs!$C$15*SIN(RADIANS(I181)))</x:f>
        <x:v>34.55736622018927</x:v>
      </x:c>
      <x:c r="K181" s="48" t="n">
        <x:f>(C181/D181)^4</x:f>
        <x:v>0.9770257446408893</x:v>
      </x:c>
      <x:c r="L181" s="48" t="n">
        <x:f>10*LOG10(K181)</x:f>
        <x:v>-0.100939924652914</x:v>
      </x:c>
      <x:c r="M181" s="48" t="n">
        <x:f>2*(Inputs!$C$9/(Inputs!$C$10^2))*A181</x:f>
        <x:v>0.06555555555555556</x:v>
      </x:c>
      <x:c r="N181" s="48" t="n">
        <x:f>M181*Inputs!$C$11</x:f>
        <x:v>0.26222222222222225</x:v>
      </x:c>
      <x:c r="O181" s="48" t="n">
        <x:f>1000*(D182-D180)/(A182-A180)*Inputs!$C$11</x:f>
        <x:v>628.7238430963953</x:v>
      </x:c>
      <x:c r="P181" s="48" t="n">
        <x:f>-2*O181/Inputs!$C$13</x:f>
        <x:v>-251.4895372385581</x:v>
      </x:c>
      <x:c r="Q181" s="48" t="n">
        <x:f>-2*O181/Inputs!$C$14</x:f>
        <x:v>-37.76119177756128</x:v>
      </x:c>
      <x:c r="R181" s="48" t="n">
        <x:f>F181-Inputs!$C$16/2</x:f>
        <x:v>1297.7124443657435</x:v>
      </x:c>
      <x:c r="S181" s="48" t="n">
        <x:f>F181+Inputs!$C$16/2</x:f>
        <x:v>1327.7124443657435</x:v>
      </x:c>
      <x:c r="T181" s="48" t="n">
        <x:f>F181-Inputs!$C$17/2</x:f>
        <x:v>1162.7124443657435</x:v>
      </x:c>
      <x:c r="U181" s="48" t="n">
        <x:f>F181+Inputs!$C$17/2</x:f>
        <x:v>1462.7124443657435</x:v>
      </x:c>
      <x:c r="V181" s="48" t="n">
        <x:f>ABS(P181)</x:f>
        <x:v>251.4895372385581</x:v>
      </x:c>
      <x:c r="W181" s="48" t="n">
        <x:f>ABS(Q181)</x:f>
        <x:v>37.76119177756128</x:v>
      </x:c>
      <x:c r="X181" s="48" t="n">
        <x: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(0.45*SIN(2*PI()*(((A181)/Inputs!$C$49)+Inputs!$C$47*0.137))+0.35*COS(2*PI()*(((0)/Inputs!$C$50)+Inputs!$C$47*0.173))+0.20*SIN(2*PI()*(((A181)+(0))/(0.5*(Inputs!$C$49+Inputs!$C$50))+Inputs!$C$47*0.097)))+0.30*(2*((SIN(((A181)*12.9898+(0)*78.233+Inputs!$C$47*37.719))*43758.5453)-INT((SIN(((A181)*12.9898+(0)*78.233+Inputs!$C$47*37.719))*43758.5453)))-1)))</x:f>
        <x:v>20.4458299890095</x:v>
      </x:c>
      <x:c r="Y181" s="48" t="n">
        <x: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(0.45*SIN(2*PI()*(((A181)/Inputs!$C$49)+Inputs!$C$47*0.137))+0.35*COS(2*PI()*(((Inputs!$C$6)/Inputs!$C$50)+Inputs!$C$47*0.173))+0.20*SIN(2*PI()*(((A181)+(Inputs!$C$6))/(0.5*(Inputs!$C$49+Inputs!$C$50))+Inputs!$C$47*0.097)))+0.30*(2*((SIN(((A181)*12.9898+(Inputs!$C$6)*78.233+Inputs!$C$47*37.719))*43758.5453)-INT((SIN(((A181)*12.9898+(Inputs!$C$6)*78.233+Inputs!$C$47*37.719))*43758.5453)))-1)))</x:f>
        <x:v>263.5246591496981</x:v>
      </x:c>
      <x:c r="Z181" s="48" t="n">
        <x:f>B181-X181/1000</x:f>
        <x:v>400.94649861445544</x:v>
      </x:c>
      <x:c r="AA181" s="48" t="n">
        <x:f>SQRT((Inputs!$C$52+B181)^2+(Inputs!$C$52+Y181/1000)^2-2*(Inputs!$C$52+B181)*(Inputs!$C$52+Y181/1000)*COS(SQRT(A181^2+Inputs!$C$6^2)/Inputs!$C$52))</x:f>
        <x:v>403.0419693475962</x:v>
      </x:c>
      <x:c r="AB181" s="48" t="n">
        <x:f>(AA181-Z181)*1000</x:f>
        <x:v>2095.4707331407576</x:v>
      </x:c>
      <x:c r="AC181" s="48" t="n">
        <x:f>AB181/Inputs!$C$12</x:f>
        <x:v>1177.2307489554819</x:v>
      </x:c>
      <x:c r="AD181" s="48" t="n">
        <x:f>2*AB181/Inputs!$C$21*1000000</x:f>
        <x:v>13.979475982286104</x:v>
      </x:c>
      <x:c r="AE181" s="48" t="n">
        <x:f>DEGREES(ATAN(H181/(B181-Y181/1000)))</x:f>
        <x:v>5.512057909053376</x:v>
      </x:c>
      <x:c r="AF181" s="48" t="n">
        <x:f>DEGREES((2*PI()/Inputs!$C$13)*Inputs!$C$15*SIN(RADIANS(AE181)))</x:f>
        <x:v>34.57988342606035</x:v>
      </x:c>
      <x:c r="AG181" s="48" t="n">
        <x:f>(Z181/AA181)^4</x:f>
        <x:v>0.9793650736273108</x:v>
      </x:c>
      <x:c r="AH181" s="48" t="n">
        <x:f>10*LOG10(AG181)</x:f>
        <x:v>-0.0905538796472441</x:v>
      </x:c>
      <x:c r="AI181" s="48" t="n">
        <x:f>AC181-F181</x:f>
        <x:v>-135.48169541026164</x:v>
      </x:c>
      <x:c r="AJ181" s="48" t="n">
        <x:f>AD181-G181</x:f>
        <x:v>-1.608829117577507</x:v>
      </x:c>
      <x:c r="AK181" s="48" t="n">
        <x:f>Y181-X181</x:f>
        <x:v>243.0788291606886</x:v>
      </x:c>
      <x:c r="AL181" s="48" t="n">
        <x:f>1000*(AA182-AA180)/(A182-A180)*Inputs!$C$11</x:f>
        <x:v>730.6867699612667</x:v>
      </x:c>
      <x:c r="AM181" s="48" t="n">
        <x:f>-2*AL181/Inputs!$C$13</x:f>
        <x:v>-292.2747079845067</x:v>
      </x:c>
      <x:c r="AN181" s="48" t="n">
        <x:f>-2*AL181/Inputs!$C$14</x:f>
        <x:v>-43.88509128896497</x:v>
      </x:c>
      <x:c r="AO181" s="48" t="n">
        <x:f>ABS(AM181)</x:f>
        <x:v>292.2747079845067</x:v>
      </x:c>
      <x:c r="AP181" s="48" t="n">
        <x:f>ABS(AN181)</x:f>
        <x:v>43.88509128896497</x:v>
      </x:c>
      <x:c r="AQ181" s="48" t="n">
        <x:f>IF(OR(Inputs!$C$27=TRUE,Inputs!$C$27="TRUE",Inputs!$C$27=1),Inputs!$C$46/Inputs!$C$12,0)</x:f>
        <x:v>42.13483146067416</x:v>
      </x:c>
      <x:c r="AR181" s="48" t="n">
        <x:f>AC181-AQ181</x:f>
        <x:v>1135.0959174948077</x:v>
      </x:c>
      <x:c r="AS181" s="48" t="n">
        <x:f>AC181+AQ181</x:f>
        <x:v>1219.365580416156</x:v>
      </x:c>
    </x:row>
    <x:row r="182">
      <x:c r="A182" s="48" t="n">
        <x:f>Inputs!$C$7+180*(Inputs!$C$8-Inputs!$C$7)/240</x:f>
        <x:v>30</x:v>
      </x:c>
      <x:c r="B182" s="48" t="n">
        <x:f>Inputs!$C$5+Inputs!$C$9*(A182/Inputs!$C$10)^2</x:f>
        <x:v>401</x:v>
      </x:c>
      <x:c r="C182" s="48" t="n">
        <x:f>B182</x:f>
        <x:v>401</x:v>
      </x:c>
      <x:c r="D182" s="48" t="n">
        <x:f>SQRT((Inputs!$C$52+B182)^2+Inputs!$C$52^2-2*(Inputs!$C$52+B182)*Inputs!$C$52*COS(SQRT(A182^2+Inputs!$C$6^2)/Inputs!$C$52))</x:f>
        <x:v>403.3828234934545</x:v>
      </x:c>
      <x:c r="E182" s="48" t="n">
        <x:f>(D182-C182)*1000</x:f>
        <x:v>2382.8234934545094</x:v>
      </x:c>
      <x:c r="F182" s="48" t="n">
        <x:f>E182/Inputs!$C$12</x:f>
        <x:v>1338.6648839632076</x:v>
      </x:c>
      <x:c r="G182" s="48" t="n">
        <x:f>2*E182/Inputs!$C$21*1000000</x:f>
        <x:v>15.896487252221066</x:v>
      </x:c>
      <x:c r="H182" s="48" t="n">
        <x:f>SQRT(A182^2+Inputs!$C$6^2)</x:f>
        <x:v>39.05124837953327</x:v>
      </x:c>
      <x:c r="I182" s="48" t="n">
        <x:f>DEGREES(ATAN(H182/B182))</x:f>
        <x:v>5.562190700603825</x:v>
      </x:c>
      <x:c r="J182" s="48" t="n">
        <x:f>DEGREES((2*PI()/Inputs!$C$13)*Inputs!$C$15*SIN(RADIANS(I182)))</x:f>
        <x:v>34.893407239514076</x:v>
      </x:c>
      <x:c r="K182" s="48" t="n">
        <x:f>(C182/D182)^4</x:f>
        <x:v>0.9765801317578781</x:v>
      </x:c>
      <x:c r="L182" s="48" t="n">
        <x:f>10*LOG10(K182)</x:f>
        <x:v>-0.10292115558440401</x:v>
      </x:c>
      <x:c r="M182" s="48" t="n">
        <x:f>2*(Inputs!$C$9/(Inputs!$C$10^2))*A182</x:f>
        <x:v>0.06666666666666667</x:v>
      </x:c>
      <x:c r="N182" s="48" t="n">
        <x:f>M182*Inputs!$C$11</x:f>
        <x:v>0.26666666666666666</x:v>
      </x:c>
      <x:c r="O182" s="48" t="n">
        <x:f>1000*(D183-D181)/(A183-A181)*Inputs!$C$11</x:f>
        <x:v>639.2882542627376</x:v>
      </x:c>
      <x:c r="P182" s="48" t="n">
        <x:f>-2*O182/Inputs!$C$13</x:f>
        <x:v>-255.71530170509504</x:v>
      </x:c>
      <x:c r="Q182" s="48" t="n">
        <x:f>-2*O182/Inputs!$C$14</x:f>
        <x:v>-38.39569094671097</x:v>
      </x:c>
      <x:c r="R182" s="48" t="n">
        <x:f>F182-Inputs!$C$16/2</x:f>
        <x:v>1323.6648839632076</x:v>
      </x:c>
      <x:c r="S182" s="48" t="n">
        <x:f>F182+Inputs!$C$16/2</x:f>
        <x:v>1353.6648839632076</x:v>
      </x:c>
      <x:c r="T182" s="48" t="n">
        <x:f>F182-Inputs!$C$17/2</x:f>
        <x:v>1188.6648839632076</x:v>
      </x:c>
      <x:c r="U182" s="48" t="n">
        <x:f>F182+Inputs!$C$17/2</x:f>
        <x:v>1488.6648839632076</x:v>
      </x:c>
      <x:c r="V182" s="48" t="n">
        <x:f>ABS(P182)</x:f>
        <x:v>255.71530170509504</x:v>
      </x:c>
      <x:c r="W182" s="48" t="n">
        <x:f>ABS(Q182)</x:f>
        <x:v>38.39569094671097</x:v>
      </x:c>
      <x:c r="X182" s="48" t="n">
        <x: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(0.45*SIN(2*PI()*(((A182)/Inputs!$C$49)+Inputs!$C$47*0.137))+0.35*COS(2*PI()*(((0)/Inputs!$C$50)+Inputs!$C$47*0.173))+0.20*SIN(2*PI()*(((A182)+(0))/(0.5*(Inputs!$C$49+Inputs!$C$50))+Inputs!$C$47*0.097)))+0.30*(2*((SIN(((A182)*12.9898+(0)*78.233+Inputs!$C$47*37.719))*43758.5453)-INT((SIN(((A182)*12.9898+(0)*78.233+Inputs!$C$47*37.719))*43758.5453)))-1)))</x:f>
        <x:v>11.879118514207924</x:v>
      </x:c>
      <x:c r="Y182" s="48" t="n">
        <x: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(0.45*SIN(2*PI()*(((A182)/Inputs!$C$49)+Inputs!$C$47*0.137))+0.35*COS(2*PI()*(((Inputs!$C$6)/Inputs!$C$50)+Inputs!$C$47*0.173))+0.20*SIN(2*PI()*(((A182)+(Inputs!$C$6))/(0.5*(Inputs!$C$49+Inputs!$C$50))+Inputs!$C$47*0.097)))+0.30*(2*((SIN(((A182)*12.9898+(Inputs!$C$6)*78.233+Inputs!$C$47*37.719))*43758.5453)-INT((SIN(((A182)*12.9898+(Inputs!$C$6)*78.233+Inputs!$C$47*37.719))*43758.5453)))-1)))</x:f>
        <x:v>258.3810354027646</x:v>
      </x:c>
      <x:c r="Z182" s="48" t="n">
        <x:f>B182-X182/1000</x:f>
        <x:v>400.98812088148577</x:v>
      </x:c>
      <x:c r="AA182" s="48" t="n">
        <x:f>SQRT((Inputs!$C$52+B182)^2+(Inputs!$C$52+Y182/1000)^2-2*(Inputs!$C$52+B182)*(Inputs!$C$52+Y182/1000)*COS(SQRT(A182^2+Inputs!$C$6^2)/Inputs!$C$52))</x:f>
        <x:v>403.1263632639693</x:v>
      </x:c>
      <x:c r="AB182" s="48" t="n">
        <x:f>(AA182-Z182)*1000</x:f>
        <x:v>2138.242382483554</x:v>
      </x:c>
      <x:c r="AC182" s="48" t="n">
        <x:f>AB182/Inputs!$C$12</x:f>
        <x:v>1201.2597654401989</x:v>
      </x:c>
      <x:c r="AD182" s="48" t="n">
        <x:f>2*AB182/Inputs!$C$21*1000000</x:f>
        <x:v>14.264817712549354</x:v>
      </x:c>
      <x:c r="AE182" s="48" t="n">
        <x:f>DEGREES(ATAN(H182/(B182-Y182/1000)))</x:f>
        <x:v>5.565754451951442</x:v>
      </x:c>
      <x:c r="AF182" s="48" t="n">
        <x:f>DEGREES((2*PI()/Inputs!$C$13)*Inputs!$C$15*SIN(RADIANS(AE182)))</x:f>
        <x:v>34.91569345248656</x:v>
      </x:c>
      <x:c r="AG182" s="48" t="n">
        <x:f>(Z182/AA182)^4</x:f>
        <x:v>0.978951611024687</x:v>
      </x:c>
      <x:c r="AH182" s="48" t="n">
        <x:f>10*LOG10(AG182)</x:f>
        <x:v>-0.0923877457514175</x:v>
      </x:c>
      <x:c r="AI182" s="48" t="n">
        <x:f>AC182-F182</x:f>
        <x:v>-137.4051185230087</x:v>
      </x:c>
      <x:c r="AJ182" s="48" t="n">
        <x:f>AD182-G182</x:f>
        <x:v>-1.6316695396717122</x:v>
      </x:c>
      <x:c r="AK182" s="48" t="n">
        <x:f>Y182-X182</x:f>
        <x:v>246.50191688855668</x:v>
      </x:c>
      <x:c r="AL182" s="48" t="n">
        <x:f>1000*(AA183-AA181)/(A183-A181)*Inputs!$C$11</x:f>
        <x:v>733.0319858403982</x:v>
      </x:c>
      <x:c r="AM182" s="48" t="n">
        <x:f>-2*AL182/Inputs!$C$13</x:f>
        <x:v>-293.2127943361593</x:v>
      </x:c>
      <x:c r="AN182" s="48" t="n">
        <x:f>-2*AL182/Inputs!$C$14</x:f>
        <x:v>-44.02594509551942</x:v>
      </x:c>
      <x:c r="AO182" s="48" t="n">
        <x:f>ABS(AM182)</x:f>
        <x:v>293.2127943361593</x:v>
      </x:c>
      <x:c r="AP182" s="48" t="n">
        <x:f>ABS(AN182)</x:f>
        <x:v>44.02594509551942</x:v>
      </x:c>
      <x:c r="AQ182" s="48" t="n">
        <x:f>IF(OR(Inputs!$C$27=TRUE,Inputs!$C$27="TRUE",Inputs!$C$27=1),Inputs!$C$46/Inputs!$C$12,0)</x:f>
        <x:v>42.13483146067416</x:v>
      </x:c>
      <x:c r="AR182" s="48" t="n">
        <x:f>AC182-AQ182</x:f>
        <x:v>1159.1249339795247</x:v>
      </x:c>
      <x:c r="AS182" s="48" t="n">
        <x:f>AC182+AQ182</x:f>
        <x:v>1243.394596900873</x:v>
      </x:c>
    </x:row>
    <x:row r="183">
      <x:c r="A183" s="48" t="n">
        <x:f>Inputs!$C$7+181*(Inputs!$C$8-Inputs!$C$7)/240</x:f>
        <x:v>30.5</x:v>
      </x:c>
      <x:c r="B183" s="48" t="n">
        <x:f>Inputs!$C$5+Inputs!$C$9*(A183/Inputs!$C$10)^2</x:f>
        <x:v>401.0336111111111</x:v>
      </x:c>
      <x:c r="C183" s="48" t="n">
        <x:f>B183</x:f>
        <x:v>401.0336111111111</x:v>
      </x:c>
      <x:c r="D183" s="48" t="n">
        <x:f>SQRT((Inputs!$C$52+B183)^2+Inputs!$C$52^2-2*(Inputs!$C$52+B183)*Inputs!$C$52*COS(SQRT(A183^2+Inputs!$C$6^2)/Inputs!$C$52))</x:f>
        <x:v>403.46339465898114</x:v>
      </x:c>
      <x:c r="E183" s="48" t="n">
        <x:f>(D183-C183)*1000</x:f>
        <x:v>2429.783547870045</x:v>
      </x:c>
      <x:c r="F183" s="48" t="n">
        <x:f>E183/Inputs!$C$12</x:f>
        <x:v>1365.0469370056433</x:v>
      </x:c>
      <x:c r="G183" s="48" t="n">
        <x:f>2*E183/Inputs!$C$21*1000000</x:f>
        <x:v>16.209771013452546</x:v>
      </x:c>
      <x:c r="H183" s="48" t="n">
        <x:f>SQRT(A183^2+Inputs!$C$6^2)</x:f>
        <x:v>39.436658073421995</x:v>
      </x:c>
      <x:c r="I183" s="48" t="n">
        <x:f>DEGREES(ATAN(H183/B183))</x:f>
        <x:v>5.616268744710343</x:v>
      </x:c>
      <x:c r="J183" s="48" t="n">
        <x:f>DEGREES((2*PI()/Inputs!$C$13)*Inputs!$C$15*SIN(RADIANS(I183)))</x:f>
        <x:v>35.23157418054016</x:v>
      </x:c>
      <x:c r="K183" s="48" t="n">
        <x:f>(C183/D183)^4</x:f>
        <x:v>0.9761274783366204</x:v>
      </x:c>
      <x:c r="L183" s="48" t="n">
        <x:f>10*LOG10(K183)</x:f>
        <x:v>-0.104934615106677</x:v>
      </x:c>
      <x:c r="M183" s="48" t="n">
        <x:f>2*(Inputs!$C$9/(Inputs!$C$10^2))*A183</x:f>
        <x:v>0.06777777777777778</x:v>
      </x:c>
      <x:c r="N183" s="48" t="n">
        <x:f>M183*Inputs!$C$11</x:f>
        <x:v>0.27111111111111114</x:v>
      </x:c>
      <x:c r="O183" s="48" t="n">
        <x:f>1000*(D184-D182)/(A184-A182)*Inputs!$C$11</x:f>
        <x:v>649.8480869720424</x:v>
      </x:c>
      <x:c r="P183" s="48" t="n">
        <x:f>-2*O183/Inputs!$C$13</x:f>
        <x:v>-259.939234788817</x:v>
      </x:c>
      <x:c r="Q183" s="48" t="n">
        <x:f>-2*O183/Inputs!$C$14</x:f>
        <x:v>-39.02991513345601</x:v>
      </x:c>
      <x:c r="R183" s="48" t="n">
        <x:f>F183-Inputs!$C$16/2</x:f>
        <x:v>1350.0469370056433</x:v>
      </x:c>
      <x:c r="S183" s="48" t="n">
        <x:f>F183+Inputs!$C$16/2</x:f>
        <x:v>1380.0469370056433</x:v>
      </x:c>
      <x:c r="T183" s="48" t="n">
        <x:f>F183-Inputs!$C$17/2</x:f>
        <x:v>1215.0469370056433</x:v>
      </x:c>
      <x:c r="U183" s="48" t="n">
        <x:f>F183+Inputs!$C$17/2</x:f>
        <x:v>1515.0469370056433</x:v>
      </x:c>
      <x:c r="V183" s="48" t="n">
        <x:f>ABS(P183)</x:f>
        <x:v>259.939234788817</x:v>
      </x:c>
      <x:c r="W183" s="48" t="n">
        <x:f>ABS(Q183)</x:f>
        <x:v>39.02991513345601</x:v>
      </x:c>
      <x:c r="X183" s="48" t="n">
        <x: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(0.45*SIN(2*PI()*(((A183)/Inputs!$C$49)+Inputs!$C$47*0.137))+0.35*COS(2*PI()*(((0)/Inputs!$C$50)+Inputs!$C$47*0.173))+0.20*SIN(2*PI()*(((A183)+(0))/(0.5*(Inputs!$C$49+Inputs!$C$50))+Inputs!$C$47*0.097)))+0.30*(2*((SIN(((A183)*12.9898+(0)*78.233+Inputs!$C$47*37.719))*43758.5453)-INT((SIN(((A183)*12.9898+(0)*78.233+Inputs!$C$47*37.719))*43758.5453)))-1)))</x:f>
        <x:v>4.284803604386864</x:v>
      </x:c>
      <x:c r="Y183" s="48" t="n">
        <x: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(0.45*SIN(2*PI()*(((A183)/Inputs!$C$49)+Inputs!$C$47*0.137))+0.35*COS(2*PI()*(((Inputs!$C$6)/Inputs!$C$50)+Inputs!$C$47*0.173))+0.20*SIN(2*PI()*(((A183)+(Inputs!$C$6))/(0.5*(Inputs!$C$49+Inputs!$C$50))+Inputs!$C$47*0.097)))+0.30*(2*((SIN(((A183)*12.9898+(Inputs!$C$6)*78.233+Inputs!$C$47*37.719))*43758.5453)-INT((SIN(((A183)*12.9898+(Inputs!$C$6)*78.233+Inputs!$C$47*37.719))*43758.5453)))-1)))</x:f>
        <x:v>239.98613946224492</x:v>
      </x:c>
      <x:c r="Z183" s="48" t="n">
        <x:f>B183-X183/1000</x:f>
        <x:v>401.0293263075067</x:v>
      </x:c>
      <x:c r="AA183" s="48" t="n">
        <x:f>SQRT((Inputs!$C$52+B183)^2+(Inputs!$C$52+Y183/1000)^2-2*(Inputs!$C$52+B183)*(Inputs!$C$52+Y183/1000)*COS(SQRT(A183^2+Inputs!$C$6^2)/Inputs!$C$52))</x:f>
        <x:v>403.2252273440563</x:v>
      </x:c>
      <x:c r="AB183" s="48" t="n">
        <x:f>(AA183-Z183)*1000</x:f>
        <x:v>2195.9010365495715</x:v>
      </x:c>
      <x:c r="AC183" s="48" t="n">
        <x:f>AB183/Inputs!$C$12</x:f>
        <x:v>1233.6522677244784</x:v>
      </x:c>
      <x:c r="AD183" s="48" t="n">
        <x:f>2*AB183/Inputs!$C$21*1000000</x:f>
        <x:v>14.64947484802684</x:v>
      </x:c>
      <x:c r="AE183" s="48" t="n">
        <x:f>DEGREES(ATAN(H183/(B183-Y183/1000)))</x:f>
        <x:v>5.6196101200168185</x:v>
      </x:c>
      <x:c r="AF183" s="48" t="n">
        <x:f>DEGREES((2*PI()/Inputs!$C$13)*Inputs!$C$15*SIN(RADIANS(AE183)))</x:f>
        <x:v>35.252467820034624</x:v>
      </x:c>
      <x:c r="AG183" s="48" t="n">
        <x:f>(Z183/AA183)^4</x:f>
        <x:v>0.9783939284744009</x:v>
      </x:c>
      <x:c r="AH183" s="48" t="n">
        <x:f>10*LOG10(AG183)</x:f>
        <x:v>-0.09486251023126199</x:v>
      </x:c>
      <x:c r="AI183" s="48" t="n">
        <x:f>AC183-F183</x:f>
        <x:v>-131.39466928116485</x:v>
      </x:c>
      <x:c r="AJ183" s="48" t="n">
        <x:f>AD183-G183</x:f>
        <x:v>-1.5602961654257061</x:v>
      </x:c>
      <x:c r="AK183" s="48" t="n">
        <x:f>Y183-X183</x:f>
        <x:v>235.70133585785806</x:v>
      </x:c>
      <x:c r="AL183" s="48" t="n">
        <x:f>1000*(AA184-AA182)/(A184-A182)*Inputs!$C$11</x:f>
        <x:v>724.7712768219117</x:v>
      </x:c>
      <x:c r="AM183" s="48" t="n">
        <x:f>-2*AL183/Inputs!$C$13</x:f>
        <x:v>-289.90851072876467</x:v>
      </x:c>
      <x:c r="AN183" s="48" t="n">
        <x:f>-2*AL183/Inputs!$C$14</x:f>
        <x:v>-43.529806415730434</x:v>
      </x:c>
      <x:c r="AO183" s="48" t="n">
        <x:f>ABS(AM183)</x:f>
        <x:v>289.90851072876467</x:v>
      </x:c>
      <x:c r="AP183" s="48" t="n">
        <x:f>ABS(AN183)</x:f>
        <x:v>43.529806415730434</x:v>
      </x:c>
      <x:c r="AQ183" s="48" t="n">
        <x:f>IF(OR(Inputs!$C$27=TRUE,Inputs!$C$27="TRUE",Inputs!$C$27=1),Inputs!$C$46/Inputs!$C$12,0)</x:f>
        <x:v>42.13483146067416</x:v>
      </x:c>
      <x:c r="AR183" s="48" t="n">
        <x:f>AC183-AQ183</x:f>
        <x:v>1191.5174362638043</x:v>
      </x:c>
      <x:c r="AS183" s="48" t="n">
        <x:f>AC183+AQ183</x:f>
        <x:v>1275.7870991851526</x:v>
      </x:c>
    </x:row>
    <x:row r="184">
      <x:c r="A184" s="48" t="n">
        <x:f>Inputs!$C$7+182*(Inputs!$C$8-Inputs!$C$7)/240</x:f>
        <x:v>31</x:v>
      </x:c>
      <x:c r="B184" s="48" t="n">
        <x:f>Inputs!$C$5+Inputs!$C$9*(A184/Inputs!$C$10)^2</x:f>
        <x:v>401.0677777777778</x:v>
      </x:c>
      <x:c r="C184" s="48" t="n">
        <x:f>B184</x:f>
        <x:v>401.0677777777778</x:v>
      </x:c>
      <x:c r="D184" s="48" t="n">
        <x:f>SQRT((Inputs!$C$52+B184)^2+Inputs!$C$52^2-2*(Inputs!$C$52+B184)*Inputs!$C$52*COS(SQRT(A184^2+Inputs!$C$6^2)/Inputs!$C$52))</x:f>
        <x:v>403.5452855151975</x:v>
      </x:c>
      <x:c r="E184" s="48" t="n">
        <x:f>(D184-C184)*1000</x:f>
        <x:v>2477.507737419728</x:v>
      </x:c>
      <x:c r="F184" s="48" t="n">
        <x:f>E184/Inputs!$C$12</x:f>
        <x:v>1391.8582794492854</x:v>
      </x:c>
      <x:c r="G184" s="48" t="n">
        <x:f>2*E184/Inputs!$C$21*1000000</x:f>
        <x:v>16.52815253557665</x:v>
      </x:c>
      <x:c r="H184" s="48" t="n">
        <x:f>SQRT(A184^2+Inputs!$C$6^2)</x:f>
        <x:v>39.824615503479755</x:v>
      </x:c>
      <x:c r="I184" s="48" t="n">
        <x:f>DEGREES(ATAN(H184/B184))</x:f>
        <x:v>5.670680298867937</x:v>
      </x:c>
      <x:c r="J184" s="48" t="n">
        <x:f>DEGREES((2*PI()/Inputs!$C$13)*Inputs!$C$15*SIN(RADIANS(I184)))</x:f>
        <x:v>35.57179498729654</x:v>
      </x:c>
      <x:c r="K184" s="48" t="n">
        <x:f>(C184/D184)^4</x:f>
        <x:v>0.9756678061706995</x:v>
      </x:c>
      <x:c r="L184" s="48" t="n">
        <x:f>10*LOG10(K184)</x:f>
        <x:v>-0.106980250634333</x:v>
      </x:c>
      <x:c r="M184" s="48" t="n">
        <x:f>2*(Inputs!$C$9/(Inputs!$C$10^2))*A184</x:f>
        <x:v>0.06888888888888889</x:v>
      </x:c>
      <x:c r="N184" s="48" t="n">
        <x:f>M184*Inputs!$C$11</x:f>
        <x:v>0.27555555555555555</x:v>
      </x:c>
      <x:c r="O184" s="48" t="n">
        <x:f>1000*(D185-D183)/(A185-A183)*Inputs!$C$11</x:f>
        <x:v>660.4032695415754</x:v>
      </x:c>
      <x:c r="P184" s="48" t="n">
        <x:f>-2*O184/Inputs!$C$13</x:f>
        <x:v>-264.16130781663014</x:v>
      </x:c>
      <x:c r="Q184" s="48" t="n">
        <x:f>-2*O184/Inputs!$C$14</x:f>
        <x:v>-39.663860032527054</x:v>
      </x:c>
      <x:c r="R184" s="48" t="n">
        <x:f>F184-Inputs!$C$16/2</x:f>
        <x:v>1376.8582794492854</x:v>
      </x:c>
      <x:c r="S184" s="48" t="n">
        <x:f>F184+Inputs!$C$16/2</x:f>
        <x:v>1406.8582794492854</x:v>
      </x:c>
      <x:c r="T184" s="48" t="n">
        <x:f>F184-Inputs!$C$17/2</x:f>
        <x:v>1241.8582794492854</x:v>
      </x:c>
      <x:c r="U184" s="48" t="n">
        <x:f>F184+Inputs!$C$17/2</x:f>
        <x:v>1541.8582794492854</x:v>
      </x:c>
      <x:c r="V184" s="48" t="n">
        <x:f>ABS(P184)</x:f>
        <x:v>264.16130781663014</x:v>
      </x:c>
      <x:c r="W184" s="48" t="n">
        <x:f>ABS(Q184)</x:f>
        <x:v>39.663860032527054</x:v>
      </x:c>
      <x:c r="X184" s="48" t="n">
        <x: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(0.45*SIN(2*PI()*(((A184)/Inputs!$C$49)+Inputs!$C$47*0.137))+0.35*COS(2*PI()*(((0)/Inputs!$C$50)+Inputs!$C$47*0.173))+0.20*SIN(2*PI()*(((A184)+(0))/(0.5*(Inputs!$C$49+Inputs!$C$50))+Inputs!$C$47*0.097)))+0.30*(2*((SIN(((A184)*12.9898+(0)*78.233+Inputs!$C$47*37.719))*43758.5453)-INT((SIN(((A184)*12.9898+(0)*78.233+Inputs!$C$47*37.719))*43758.5453)))-1)))</x:f>
        <x:v>18.692329061381155</x:v>
      </x:c>
      <x:c r="Y184" s="48" t="n">
        <x: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(0.45*SIN(2*PI()*(((A184)/Inputs!$C$49)+Inputs!$C$47*0.137))+0.35*COS(2*PI()*(((Inputs!$C$6)/Inputs!$C$50)+Inputs!$C$47*0.173))+0.20*SIN(2*PI()*(((A184)+(Inputs!$C$6))/(0.5*(Inputs!$C$49+Inputs!$C$50))+Inputs!$C$47*0.097)))+0.30*(2*((SIN(((A184)*12.9898+(Inputs!$C$6)*78.233+Inputs!$C$47*37.719))*43758.5453)-INT((SIN(((A184)*12.9898+(Inputs!$C$6)*78.233+Inputs!$C$47*37.719))*43758.5453)))-1)))</x:f>
        <x:v>239.58052305996605</x:v>
      </x:c>
      <x:c r="Z184" s="48" t="n">
        <x:f>B184-X184/1000</x:f>
        <x:v>401.0490854487164</x:v>
      </x:c>
      <x:c r="AA184" s="48" t="n">
        <x:f>SQRT((Inputs!$C$52+B184)^2+(Inputs!$C$52+Y184/1000)^2-2*(Inputs!$C$52+B184)*(Inputs!$C$52+Y184/1000)*COS(SQRT(A184^2+Inputs!$C$6^2)/Inputs!$C$52))</x:f>
        <x:v>403.3075560831748</x:v>
      </x:c>
      <x:c r="AB184" s="48" t="n">
        <x:f>(AA184-Z184)*1000</x:f>
        <x:v>2258.4706344583765</x:v>
      </x:c>
      <x:c r="AC184" s="48" t="n">
        <x:f>AB184/Inputs!$C$12</x:f>
        <x:v>1268.803727223807</x:v>
      </x:c>
      <x:c r="AD184" s="48" t="n">
        <x:f>2*AB184/Inputs!$C$21*1000000</x:f>
        <x:v>15.066894274294095</x:v>
      </x:c>
      <x:c r="AE184" s="48" t="n">
        <x:f>DEGREES(ATAN(H184/(B184-Y184/1000)))</x:f>
        <x:v>5.674047631978591</x:v>
      </x:c>
      <x:c r="AF184" s="48" t="n">
        <x:f>DEGREES((2*PI()/Inputs!$C$13)*Inputs!$C$15*SIN(RADIANS(AE184)))</x:f>
        <x:v>35.592848964178</x:v>
      </x:c>
      <x:c r="AG184" s="48" t="n">
        <x:f>(Z184/AA184)^4</x:f>
        <x:v>0.9777879625144974</x:v>
      </x:c>
      <x:c r="AH184" s="48" t="n">
        <x:f>10*LOG10(AG184)</x:f>
        <x:v>-0.09755313611055459</x:v>
      </x:c>
      <x:c r="AI184" s="48" t="n">
        <x:f>AC184-F184</x:f>
        <x:v>-123.05455222547835</x:v>
      </x:c>
      <x:c r="AJ184" s="48" t="n">
        <x:f>AD184-G184</x:f>
        <x:v>-1.4612582612825538</x:v>
      </x:c>
      <x:c r="AK184" s="48" t="n">
        <x:f>Y184-X184</x:f>
        <x:v>220.8881939985849</x:v>
      </x:c>
      <x:c r="AL184" s="48" t="n">
        <x:f>1000*(AA185-AA183)/(A185-A183)*Inputs!$C$11</x:f>
        <x:v>753.6485797002115</x:v>
      </x:c>
      <x:c r="AM184" s="48" t="n">
        <x:f>-2*AL184/Inputs!$C$13</x:f>
        <x:v>-301.4594318800846</x:v>
      </x:c>
      <x:c r="AN184" s="48" t="n">
        <x:f>-2*AL184/Inputs!$C$14</x:f>
        <x:v>-45.264178960973666</x:v>
      </x:c>
      <x:c r="AO184" s="48" t="n">
        <x:f>ABS(AM184)</x:f>
        <x:v>301.4594318800846</x:v>
      </x:c>
      <x:c r="AP184" s="48" t="n">
        <x:f>ABS(AN184)</x:f>
        <x:v>45.264178960973666</x:v>
      </x:c>
      <x:c r="AQ184" s="48" t="n">
        <x:f>IF(OR(Inputs!$C$27=TRUE,Inputs!$C$27="TRUE",Inputs!$C$27=1),Inputs!$C$46/Inputs!$C$12,0)</x:f>
        <x:v>42.13483146067416</x:v>
      </x:c>
      <x:c r="AR184" s="48" t="n">
        <x:f>AC184-AQ184</x:f>
        <x:v>1226.668895763133</x:v>
      </x:c>
      <x:c r="AS184" s="48" t="n">
        <x:f>AC184+AQ184</x:f>
        <x:v>1310.9385586844812</x:v>
      </x:c>
    </x:row>
    <x:row r="185">
      <x:c r="A185" s="48" t="n">
        <x:f>Inputs!$C$7+183*(Inputs!$C$8-Inputs!$C$7)/240</x:f>
        <x:v>31.5</x:v>
      </x:c>
      <x:c r="B185" s="48" t="n">
        <x:f>Inputs!$C$5+Inputs!$C$9*(A185/Inputs!$C$10)^2</x:f>
        <x:v>401.1025</x:v>
      </x:c>
      <x:c r="C185" s="48" t="n">
        <x:f>B185</x:f>
        <x:v>401.1025</x:v>
      </x:c>
      <x:c r="D185" s="48" t="n">
        <x:f>SQRT((Inputs!$C$52+B185)^2+Inputs!$C$52^2-2*(Inputs!$C$52+B185)*Inputs!$C$52*COS(SQRT(A185^2+Inputs!$C$6^2)/Inputs!$C$52))</x:f>
        <x:v>403.62849547636654</x:v>
      </x:c>
      <x:c r="E185" s="48" t="n">
        <x:f>(D185-C185)*1000</x:f>
        <x:v>2525.995476366518</x:v>
      </x:c>
      <x:c r="F185" s="48" t="n">
        <x:f>E185/Inputs!$C$12</x:f>
        <x:v>1419.0985822283808</x:v>
      </x:c>
      <x:c r="G185" s="48" t="n">
        <x:f>2*E185/Inputs!$C$21*1000000</x:f>
        <x:v>16.85162791097645</x:v>
      </x:c>
      <x:c r="H185" s="48" t="n">
        <x:f>SQRT(A185^2+Inputs!$C$6^2)</x:f>
        <x:v>40.21504693519579</x:v>
      </x:c>
      <x:c r="I185" s="48" t="n">
        <x:f>DEGREES(ATAN(H185/B185))</x:f>
        <x:v>5.725414332711808</x:v>
      </x:c>
      <x:c r="J185" s="48" t="n">
        <x:f>DEGREES((2*PI()/Inputs!$C$13)*Inputs!$C$15*SIN(RADIANS(I185)))</x:f>
        <x:v>35.91399980576492</x:v>
      </x:c>
      <x:c r="K185" s="48" t="n">
        <x:f>(C185/D185)^4</x:f>
        <x:v>0.9752011373618527</x:v>
      </x:c>
      <x:c r="L185" s="48" t="n">
        <x:f>10*LOG10(K185)</x:f>
        <x:v>-0.109058008785091</x:v>
      </x:c>
      <x:c r="M185" s="48" t="n">
        <x:f>2*(Inputs!$C$9/(Inputs!$C$10^2))*A185</x:f>
        <x:v>0.07</x:v>
      </x:c>
      <x:c r="N185" s="48" t="n">
        <x:f>M185*Inputs!$C$11</x:f>
        <x:v>0.28</x:v>
      </x:c>
      <x:c r="O185" s="48" t="n">
        <x:f>1000*(D186-D184)/(A186-A184)*Inputs!$C$11</x:f>
        <x:v>670.9537305550839</x:v>
      </x:c>
      <x:c r="P185" s="48" t="n">
        <x:f>-2*O185/Inputs!$C$13</x:f>
        <x:v>-268.38149222203356</x:v>
      </x:c>
      <x:c r="Q185" s="48" t="n">
        <x:f>-2*O185/Inputs!$C$14</x:f>
        <x:v>-40.29752135465969</x:v>
      </x:c>
      <x:c r="R185" s="48" t="n">
        <x:f>F185-Inputs!$C$16/2</x:f>
        <x:v>1404.0985822283808</x:v>
      </x:c>
      <x:c r="S185" s="48" t="n">
        <x:f>F185+Inputs!$C$16/2</x:f>
        <x:v>1434.0985822283808</x:v>
      </x:c>
      <x:c r="T185" s="48" t="n">
        <x:f>F185-Inputs!$C$17/2</x:f>
        <x:v>1269.0985822283808</x:v>
      </x:c>
      <x:c r="U185" s="48" t="n">
        <x:f>F185+Inputs!$C$17/2</x:f>
        <x:v>1569.0985822283808</x:v>
      </x:c>
      <x:c r="V185" s="48" t="n">
        <x:f>ABS(P185)</x:f>
        <x:v>268.38149222203356</x:v>
      </x:c>
      <x:c r="W185" s="48" t="n">
        <x:f>ABS(Q185)</x:f>
        <x:v>40.29752135465969</x:v>
      </x:c>
      <x:c r="X185" s="48" t="n">
        <x: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(0.45*SIN(2*PI()*(((A185)/Inputs!$C$49)+Inputs!$C$47*0.137))+0.35*COS(2*PI()*(((0)/Inputs!$C$50)+Inputs!$C$47*0.173))+0.20*SIN(2*PI()*(((A185)+(0))/(0.5*(Inputs!$C$49+Inputs!$C$50))+Inputs!$C$47*0.097)))+0.30*(2*((SIN(((A185)*12.9898+(0)*78.233+Inputs!$C$47*37.719))*43758.5453)-INT((SIN(((A185)*12.9898+(0)*78.233+Inputs!$C$47*37.719))*43758.5453)))-1)))</x:f>
        <x:v>18.579807279306877</x:v>
      </x:c>
      <x:c r="Y185" s="48" t="n">
        <x: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(0.45*SIN(2*PI()*(((A185)/Inputs!$C$49)+Inputs!$C$47*0.137))+0.35*COS(2*PI()*(((Inputs!$C$6)/Inputs!$C$50)+Inputs!$C$47*0.173))+0.20*SIN(2*PI()*(((A185)+(Inputs!$C$6))/(0.5*(Inputs!$C$49+Inputs!$C$50))+Inputs!$C$47*0.097)))+0.30*(2*((SIN(((A185)*12.9898+(Inputs!$C$6)*78.233+Inputs!$C$47*37.719))*43758.5453)-INT((SIN(((A185)*12.9898+(Inputs!$C$6)*78.233+Inputs!$C$47*37.719))*43758.5453)))-1)))</x:f>
        <x:v>216.56157473369862</x:v>
      </x:c>
      <x:c r="Z185" s="48" t="n">
        <x:f>B185-X185/1000</x:f>
        <x:v>401.0839201927207</x:v>
      </x:c>
      <x:c r="AA185" s="48" t="n">
        <x:f>SQRT((Inputs!$C$52+B185)^2+(Inputs!$C$52+Y185/1000)^2-2*(Inputs!$C$52+B185)*(Inputs!$C$52+Y185/1000)*COS(SQRT(A185^2+Inputs!$C$6^2)/Inputs!$C$52))</x:f>
        <x:v>403.41363948898135</x:v>
      </x:c>
      <x:c r="AB185" s="48" t="n">
        <x:f>(AA185-Z185)*1000</x:f>
        <x:v>2329.7192962606346</x:v>
      </x:c>
      <x:c r="AC185" s="48" t="n">
        <x:f>AB185/Inputs!$C$12</x:f>
        <x:v>1308.8310653149633</x:v>
      </x:c>
      <x:c r="AD185" s="48" t="n">
        <x:f>2*AB185/Inputs!$C$21*1000000</x:f>
        <x:v>15.542214182457084</x:v>
      </x:c>
      <x:c r="AE185" s="48" t="n">
        <x:f>DEGREES(ATAN(H185/(B185-Y185/1000)))</x:f>
        <x:v>5.728486679354458</x:v>
      </x:c>
      <x:c r="AF185" s="48" t="n">
        <x:f>DEGREES((2*PI()/Inputs!$C$13)*Inputs!$C$15*SIN(RADIANS(AE185)))</x:f>
        <x:v>35.93320757719325</x:v>
      </x:c>
      <x:c r="AG185" s="48" t="n">
        <x:f>(Z185/AA185)^4</x:f>
        <x:v>0.9770992805926856</x:v>
      </x:c>
      <x:c r="AH185" s="48" t="n">
        <x:f>10*LOG10(AG185)</x:f>
        <x:v>-0.100613064726458</x:v>
      </x:c>
      <x:c r="AI185" s="48" t="n">
        <x:f>AC185-F185</x:f>
        <x:v>-110.26751691341747</x:v>
      </x:c>
      <x:c r="AJ185" s="48" t="n">
        <x:f>AD185-G185</x:f>
        <x:v>-1.3094137285193668</x:v>
      </x:c>
      <x:c r="AK185" s="48" t="n">
        <x:f>Y185-X185</x:f>
        <x:v>197.98176745439173</x:v>
      </x:c>
      <x:c r="AL185" s="48" t="n">
        <x:f>1000*(AA186-AA184)/(A186-A184)*Inputs!$C$11</x:f>
        <x:v>739.2635632863858</x:v>
      </x:c>
      <x:c r="AM185" s="48" t="n">
        <x:f>-2*AL185/Inputs!$C$13</x:f>
        <x:v>-295.7054253145543</x:v>
      </x:c>
      <x:c r="AN185" s="48" t="n">
        <x:f>-2*AL185/Inputs!$C$14</x:f>
        <x:v>-44.40021401119434</x:v>
      </x:c>
      <x:c r="AO185" s="48" t="n">
        <x:f>ABS(AM185)</x:f>
        <x:v>295.7054253145543</x:v>
      </x:c>
      <x:c r="AP185" s="48" t="n">
        <x:f>ABS(AN185)</x:f>
        <x:v>44.40021401119434</x:v>
      </x:c>
      <x:c r="AQ185" s="48" t="n">
        <x:f>IF(OR(Inputs!$C$27=TRUE,Inputs!$C$27="TRUE",Inputs!$C$27=1),Inputs!$C$46/Inputs!$C$12,0)</x:f>
        <x:v>42.13483146067416</x:v>
      </x:c>
      <x:c r="AR185" s="48" t="n">
        <x:f>AC185-AQ185</x:f>
        <x:v>1266.6962338542892</x:v>
      </x:c>
      <x:c r="AS185" s="48" t="n">
        <x:f>AC185+AQ185</x:f>
        <x:v>1350.9658967756375</x:v>
      </x:c>
    </x:row>
    <x:row r="186">
      <x:c r="A186" s="48" t="n">
        <x:f>Inputs!$C$7+184*(Inputs!$C$8-Inputs!$C$7)/240</x:f>
        <x:v>32</x:v>
      </x:c>
      <x:c r="B186" s="48" t="n">
        <x:f>Inputs!$C$5+Inputs!$C$9*(A186/Inputs!$C$10)^2</x:f>
        <x:v>401.1377777777778</x:v>
      </x:c>
      <x:c r="C186" s="48" t="n">
        <x:f>B186</x:f>
        <x:v>401.1377777777778</x:v>
      </x:c>
      <x:c r="D186" s="48" t="n">
        <x:f>SQRT((Inputs!$C$52+B186)^2+Inputs!$C$52^2-2*(Inputs!$C$52+B186)*Inputs!$C$52*COS(SQRT(A186^2+Inputs!$C$6^2)/Inputs!$C$52))</x:f>
        <x:v>403.7130239478363</x:v>
      </x:c>
      <x:c r="E186" s="48" t="n">
        <x:f>(D186-C186)*1000</x:f>
        <x:v>2575.246170058506</x:v>
      </x:c>
      <x:c r="F186" s="48" t="n">
        <x:f>E186/Inputs!$C$12</x:f>
        <x:v>1446.7675112688235</x:v>
      </x:c>
      <x:c r="G186" s="48" t="n">
        <x:f>2*E186/Inputs!$C$21*1000000</x:f>
        <x:v>17.180193172561438</x:v>
      </x:c>
      <x:c r="H186" s="48" t="n">
        <x:f>SQRT(A186^2+Inputs!$C$6^2)</x:f>
        <x:v>40.607881008493905</x:v>
      </x:c>
      <x:c r="I186" s="48" t="n">
        <x:f>DEGREES(ATAN(H186/B186))</x:f>
        <x:v>5.780460156082169</x:v>
      </x:c>
      <x:c r="J186" s="48" t="n">
        <x:f>DEGREES((2*PI()/Inputs!$C$13)*Inputs!$C$15*SIN(RADIANS(I186)))</x:f>
        <x:v>36.25812092039455</x:v>
      </x:c>
      <x:c r="K186" s="48" t="n">
        <x:f>(C186/D186)^4</x:f>
        <x:v>0.974727494317586</x:v>
      </x:c>
      <x:c r="L186" s="48" t="n">
        <x:f>10*LOG10(K186)</x:f>
        <x:v>-0.11116783538305501</x:v>
      </x:c>
      <x:c r="M186" s="48" t="n">
        <x:f>2*(Inputs!$C$9/(Inputs!$C$10^2))*A186</x:f>
        <x:v>0.07111111111111111</x:v>
      </x:c>
      <x:c r="N186" s="48" t="n">
        <x:f>M186*Inputs!$C$11</x:f>
        <x:v>0.28444444444444444</x:v>
      </x:c>
      <x:c r="O186" s="48" t="n">
        <x:f>1000*(D187-D185)/(A187-A185)*Inputs!$C$11</x:f>
        <x:v>681.499398799815</x:v>
      </x:c>
      <x:c r="P186" s="48" t="n">
        <x:f>-2*O186/Inputs!$C$13</x:f>
        <x:v>-272.599759519926</x:v>
      </x:c>
      <x:c r="Q186" s="48" t="n">
        <x:f>-2*O186/Inputs!$C$14</x:f>
        <x:v>-40.930894822811716</x:v>
      </x:c>
      <x:c r="R186" s="48" t="n">
        <x:f>F186-Inputs!$C$16/2</x:f>
        <x:v>1431.7675112688235</x:v>
      </x:c>
      <x:c r="S186" s="48" t="n">
        <x:f>F186+Inputs!$C$16/2</x:f>
        <x:v>1461.7675112688235</x:v>
      </x:c>
      <x:c r="T186" s="48" t="n">
        <x:f>F186-Inputs!$C$17/2</x:f>
        <x:v>1296.7675112688235</x:v>
      </x:c>
      <x:c r="U186" s="48" t="n">
        <x:f>F186+Inputs!$C$17/2</x:f>
        <x:v>1596.7675112688235</x:v>
      </x:c>
      <x:c r="V186" s="48" t="n">
        <x:f>ABS(P186)</x:f>
        <x:v>272.599759519926</x:v>
      </x:c>
      <x:c r="W186" s="48" t="n">
        <x:f>ABS(Q186)</x:f>
        <x:v>40.930894822811716</x:v>
      </x:c>
      <x:c r="X186" s="48" t="n">
        <x: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(0.45*SIN(2*PI()*(((A186)/Inputs!$C$49)+Inputs!$C$47*0.137))+0.35*COS(2*PI()*(((0)/Inputs!$C$50)+Inputs!$C$47*0.173))+0.20*SIN(2*PI()*(((A186)+(0))/(0.5*(Inputs!$C$49+Inputs!$C$50))+Inputs!$C$47*0.097)))+0.30*(2*((SIN(((A186)*12.9898+(0)*78.233+Inputs!$C$47*37.719))*43758.5453)-INT((SIN(((A186)*12.9898+(0)*78.233+Inputs!$C$47*37.719))*43758.5453)))-1)))</x:f>
        <x:v>-1.3588316603362678</x:v>
      </x:c>
      <x:c r="Y186" s="48" t="n">
        <x: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(0.45*SIN(2*PI()*(((A186)/Inputs!$C$49)+Inputs!$C$47*0.137))+0.35*COS(2*PI()*(((Inputs!$C$6)/Inputs!$C$50)+Inputs!$C$47*0.173))+0.20*SIN(2*PI()*(((A186)+(Inputs!$C$6))/(0.5*(Inputs!$C$49+Inputs!$C$50))+Inputs!$C$47*0.097)))+0.30*(2*((SIN(((A186)*12.9898+(Inputs!$C$6)*78.233+Inputs!$C$47*37.719))*43758.5453)-INT((SIN(((A186)*12.9898+(Inputs!$C$6)*78.233+Inputs!$C$47*37.719))*43758.5453)))-1)))</x:f>
        <x:v>222.43770342182788</x:v>
      </x:c>
      <x:c r="Z186" s="48" t="n">
        <x:f>B186-X186/1000</x:f>
        <x:v>401.13913660943814</x:v>
      </x:c>
      <x:c r="AA186" s="48" t="n">
        <x:f>SQRT((Inputs!$C$52+B186)^2+(Inputs!$C$52+Y186/1000)^2-2*(Inputs!$C$52+B186)*(Inputs!$C$52+Y186/1000)*COS(SQRT(A186^2+Inputs!$C$6^2)/Inputs!$C$52))</x:f>
        <x:v>403.4923719739964</x:v>
      </x:c>
      <x:c r="AB186" s="48" t="n">
        <x:f>(AA186-Z186)*1000</x:f>
        <x:v>2353.235364558259</x:v>
      </x:c>
      <x:c r="AC186" s="48" t="n">
        <x:f>AB186/Inputs!$C$12</x:f>
        <x:v>1322.0423396394713</x:v>
      </x:c>
      <x:c r="AD186" s="48" t="n">
        <x:f>2*AB186/Inputs!$C$21*1000000</x:f>
        <x:v>15.699096503343382</x:v>
      </x:c>
      <x:c r="AE186" s="48" t="n">
        <x:f>DEGREES(ATAN(H186/(B186-Y186/1000)))</x:f>
        <x:v>5.783645561668308</x:v>
      </x:c>
      <x:c r="AF186" s="48" t="n">
        <x:f>DEGREES((2*PI()/Inputs!$C$13)*Inputs!$C$15*SIN(RADIANS(AE186)))</x:f>
        <x:v>36.27803358652072</x:v>
      </x:c>
      <x:c r="AG186" s="48" t="n">
        <x:f>(Z186/AA186)^4</x:f>
        <x:v>0.9768746201245417</x:v>
      </x:c>
      <x:c r="AH186" s="48" t="n">
        <x:f>10*LOG10(AG186)</x:f>
        <x:v>-0.10161173520011</x:v>
      </x:c>
      <x:c r="AI186" s="48" t="n">
        <x:f>AC186-F186</x:f>
        <x:v>-124.72517162935219</x:v>
      </x:c>
      <x:c r="AJ186" s="48" t="n">
        <x:f>AD186-G186</x:f>
        <x:v>-1.481096669218056</x:v>
      </x:c>
      <x:c r="AK186" s="48" t="n">
        <x:f>Y186-X186</x:f>
        <x:v>223.79653508216416</x:v>
      </x:c>
      <x:c r="AL186" s="48" t="n">
        <x:f>1000*(AA187-AA185)/(A187-A185)*Inputs!$C$11</x:f>
        <x:v>636.4976866962024</x:v>
      </x:c>
      <x:c r="AM186" s="48" t="n">
        <x:f>-2*AL186/Inputs!$C$13</x:f>
        <x:v>-254.59907467848097</x:v>
      </x:c>
      <x:c r="AN186" s="48" t="n">
        <x:f>-2*AL186/Inputs!$C$14</x:f>
        <x:v>-38.22808929106321</x:v>
      </x:c>
      <x:c r="AO186" s="48" t="n">
        <x:f>ABS(AM186)</x:f>
        <x:v>254.59907467848097</x:v>
      </x:c>
      <x:c r="AP186" s="48" t="n">
        <x:f>ABS(AN186)</x:f>
        <x:v>38.22808929106321</x:v>
      </x:c>
      <x:c r="AQ186" s="48" t="n">
        <x:f>IF(OR(Inputs!$C$27=TRUE,Inputs!$C$27="TRUE",Inputs!$C$27=1),Inputs!$C$46/Inputs!$C$12,0)</x:f>
        <x:v>42.13483146067416</x:v>
      </x:c>
      <x:c r="AR186" s="48" t="n">
        <x:f>AC186-AQ186</x:f>
        <x:v>1279.9075081787971</x:v>
      </x:c>
      <x:c r="AS186" s="48" t="n">
        <x:f>AC186+AQ186</x:f>
        <x:v>1364.1771711001454</x:v>
      </x:c>
    </x:row>
    <x:row r="187">
      <x:c r="A187" s="48" t="n">
        <x:f>Inputs!$C$7+185*(Inputs!$C$8-Inputs!$C$7)/240</x:f>
        <x:v>32.5</x:v>
      </x:c>
      <x:c r="B187" s="48" t="n">
        <x:f>Inputs!$C$5+Inputs!$C$9*(A187/Inputs!$C$10)^2</x:f>
        <x:v>401.1736111111111</x:v>
      </x:c>
      <x:c r="C187" s="48" t="n">
        <x:f>B187</x:f>
        <x:v>401.1736111111111</x:v>
      </x:c>
      <x:c r="D187" s="48" t="n">
        <x:f>SQRT((Inputs!$C$52+B187)^2+Inputs!$C$52^2-2*(Inputs!$C$52+B187)*Inputs!$C$52*COS(SQRT(A187^2+Inputs!$C$6^2)/Inputs!$C$52))</x:f>
        <x:v>403.7988703260665</x:v>
      </x:c>
      <x:c r="E187" s="48" t="n">
        <x:f>(D187-C187)*1000</x:f>
        <x:v>2625.259214955406</x:v>
      </x:c>
      <x:c r="F187" s="48" t="n">
        <x:f>E187/Inputs!$C$12</x:f>
        <x:v>1474.864727503037</x:v>
      </x:c>
      <x:c r="G187" s="48" t="n">
        <x:f>2*E187/Inputs!$C$21*1000000</x:f>
        <x:v>17.51384429394422</x:v>
      </x:c>
      <x:c r="H187" s="48" t="n">
        <x:f>SQRT(A187^2+Inputs!$C$6^2)</x:f>
        <x:v>41.00304866714181</x:v>
      </x:c>
      <x:c r="I187" s="48" t="n">
        <x:f>DEGREES(ATAN(H187/B187))</x:f>
        <x:v>5.835807408982732</x:v>
      </x:c>
      <x:c r="J187" s="48" t="n">
        <x:f>DEGREES((2*PI()/Inputs!$C$13)*Inputs!$C$15*SIN(RADIANS(I187)))</x:f>
        <x:v>36.60409269114675</x:v>
      </x:c>
      <x:c r="K187" s="48" t="n">
        <x:f>(C187/D187)^4</x:f>
        <x:v>0.9742468997487461</x:v>
      </x:c>
      <x:c r="L187" s="48" t="n">
        <x:f>10*LOG10(K187)</x:f>
        <x:v>-0.11330967546208</x:v>
      </x:c>
      <x:c r="M187" s="48" t="n">
        <x:f>2*(Inputs!$C$9/(Inputs!$C$10^2))*A187</x:f>
        <x:v>0.07222222222222222</x:v>
      </x:c>
      <x:c r="N187" s="48" t="n">
        <x:f>M187*Inputs!$C$11</x:f>
        <x:v>0.28888888888888886</x:v>
      </x:c>
      <x:c r="O187" s="48" t="n">
        <x:f>1000*(D188-D186)/(A188-A186)*Inputs!$C$11</x:f>
        <x:v>692.0402032801576</x:v>
      </x:c>
      <x:c r="P187" s="48" t="n">
        <x:f>-2*O187/Inputs!$C$13</x:f>
        <x:v>-276.81608131206303</x:v>
      </x:c>
      <x:c r="Q187" s="48" t="n">
        <x:f>-2*O187/Inputs!$C$14</x:f>
        <x:v>-41.56397617298244</x:v>
      </x:c>
      <x:c r="R187" s="48" t="n">
        <x:f>F187-Inputs!$C$16/2</x:f>
        <x:v>1459.864727503037</x:v>
      </x:c>
      <x:c r="S187" s="48" t="n">
        <x:f>F187+Inputs!$C$16/2</x:f>
        <x:v>1489.864727503037</x:v>
      </x:c>
      <x:c r="T187" s="48" t="n">
        <x:f>F187-Inputs!$C$17/2</x:f>
        <x:v>1324.864727503037</x:v>
      </x:c>
      <x:c r="U187" s="48" t="n">
        <x:f>F187+Inputs!$C$17/2</x:f>
        <x:v>1624.864727503037</x:v>
      </x:c>
      <x:c r="V187" s="48" t="n">
        <x:f>ABS(P187)</x:f>
        <x:v>276.81608131206303</x:v>
      </x:c>
      <x:c r="W187" s="48" t="n">
        <x:f>ABS(Q187)</x:f>
        <x:v>41.56397617298244</x:v>
      </x:c>
      <x:c r="X187" s="48" t="n">
        <x: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(0.45*SIN(2*PI()*(((A187)/Inputs!$C$49)+Inputs!$C$47*0.137))+0.35*COS(2*PI()*(((0)/Inputs!$C$50)+Inputs!$C$47*0.173))+0.20*SIN(2*PI()*(((A187)+(0))/(0.5*(Inputs!$C$49+Inputs!$C$50))+Inputs!$C$47*0.097)))+0.30*(2*((SIN(((A187)*12.9898+(0)*78.233+Inputs!$C$47*37.719))*43758.5453)-INT((SIN(((A187)*12.9898+(0)*78.233+Inputs!$C$47*37.719))*43758.5453)))-1)))</x:f>
        <x:v>5.846843018322446</x:v>
      </x:c>
      <x:c r="Y187" s="48" t="n">
        <x: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(0.45*SIN(2*PI()*(((A187)/Inputs!$C$49)+Inputs!$C$47*0.137))+0.35*COS(2*PI()*(((Inputs!$C$6)/Inputs!$C$50)+Inputs!$C$47*0.173))+0.20*SIN(2*PI()*(((A187)+(Inputs!$C$6))/(0.5*(Inputs!$C$49+Inputs!$C$50))+Inputs!$C$47*0.097)))+0.30*(2*((SIN(((A187)*12.9898+(Inputs!$C$6)*78.233+Inputs!$C$47*37.719))*43758.5453)-INT((SIN(((A187)*12.9898+(Inputs!$C$6)*78.233+Inputs!$C$47*37.719))*43758.5453)))-1)))</x:f>
        <x:v>227.97180197677312</x:v>
      </x:c>
      <x:c r="Z187" s="48" t="n">
        <x:f>B187-X187/1000</x:f>
        <x:v>401.16776426809275</x:v>
      </x:c>
      <x:c r="AA187" s="48" t="n">
        <x:f>SQRT((Inputs!$C$52+B187)^2+(Inputs!$C$52+Y187/1000)^2-2*(Inputs!$C$52+B187)*(Inputs!$C$52+Y187/1000)*COS(SQRT(A187^2+Inputs!$C$6^2)/Inputs!$C$52))</x:f>
        <x:v>403.5727639106554</x:v>
      </x:c>
      <x:c r="AB187" s="48" t="n">
        <x:f>(AA187-Z187)*1000</x:f>
        <x:v>2404.999642562643</x:v>
      </x:c>
      <x:c r="AC187" s="48" t="n">
        <x:f>AB187/Inputs!$C$12</x:f>
        <x:v>1351.1233946981142</x:v>
      </x:c>
      <x:c r="AD187" s="48" t="n">
        <x:f>2*AB187/Inputs!$C$21*1000000</x:f>
        <x:v>16.044430594465744</x:v>
      </x:c>
      <x:c r="AE187" s="48" t="n">
        <x:f>DEGREES(ATAN(H187/(B187-Y187/1000)))</x:f>
        <x:v>5.839102642656873</x:v>
      </x:c>
      <x:c r="AF187" s="48" t="n">
        <x:f>DEGREES((2*PI()/Inputs!$C$13)*Inputs!$C$15*SIN(RADIANS(AE187)))</x:f>
        <x:v>36.624689890074926</x:v>
      </x:c>
      <x:c r="AG187" s="48" t="n">
        <x:f>(Z187/AA187)^4</x:f>
        <x:v>0.9763751465061417</x:v>
      </x:c>
      <x:c r="AH187" s="48" t="n">
        <x:f>10*LOG10(AG187)</x:f>
        <x:v>-0.103832840199187</x:v>
      </x:c>
      <x:c r="AI187" s="48" t="n">
        <x:f>AC187-F187</x:f>
        <x:v>-123.74133280492288</x:v>
      </x:c>
      <x:c r="AJ187" s="48" t="n">
        <x:f>AD187-G187</x:f>
        <x:v>-1.4694136994784763</x:v>
      </x:c>
      <x:c r="AK187" s="48" t="n">
        <x:f>Y187-X187</x:f>
        <x:v>222.1249589584507</x:v>
      </x:c>
      <x:c r="AL187" s="48" t="n">
        <x:f>1000*(AA188-AA186)/(A188-A186)*Inputs!$C$11</x:f>
        <x:v>677.8528249144529</x:v>
      </x:c>
      <x:c r="AM187" s="48" t="n">
        <x:f>-2*AL187/Inputs!$C$13</x:f>
        <x:v>-271.14112996578115</x:v>
      </x:c>
      <x:c r="AN187" s="48" t="n">
        <x:f>-2*AL187/Inputs!$C$14</x:f>
        <x:v>-40.71188137624342</x:v>
      </x:c>
      <x:c r="AO187" s="48" t="n">
        <x:f>ABS(AM187)</x:f>
        <x:v>271.14112996578115</x:v>
      </x:c>
      <x:c r="AP187" s="48" t="n">
        <x:f>ABS(AN187)</x:f>
        <x:v>40.71188137624342</x:v>
      </x:c>
      <x:c r="AQ187" s="48" t="n">
        <x:f>IF(OR(Inputs!$C$27=TRUE,Inputs!$C$27="TRUE",Inputs!$C$27=1),Inputs!$C$46/Inputs!$C$12,0)</x:f>
        <x:v>42.13483146067416</x:v>
      </x:c>
      <x:c r="AR187" s="48" t="n">
        <x:f>AC187-AQ187</x:f>
        <x:v>1308.98856323744</x:v>
      </x:c>
      <x:c r="AS187" s="48" t="n">
        <x:f>AC187+AQ187</x:f>
        <x:v>1393.2582261587884</x:v>
      </x:c>
    </x:row>
    <x:row r="188">
      <x:c r="A188" s="48" t="n">
        <x:f>Inputs!$C$7+186*(Inputs!$C$8-Inputs!$C$7)/240</x:f>
        <x:v>33</x:v>
      </x:c>
      <x:c r="B188" s="48" t="n">
        <x:f>Inputs!$C$5+Inputs!$C$9*(A188/Inputs!$C$10)^2</x:f>
        <x:v>401.21</x:v>
      </x:c>
      <x:c r="C188" s="48" t="n">
        <x:f>B188</x:f>
        <x:v>401.21</x:v>
      </x:c>
      <x:c r="D188" s="48" t="n">
        <x:f>SQRT((Inputs!$C$52+B188)^2+Inputs!$C$52^2-2*(Inputs!$C$52+B188)*Inputs!$C$52*COS(SQRT(A188^2+Inputs!$C$6^2)/Inputs!$C$52))</x:f>
        <x:v>403.88603399865633</x:v>
      </x:c>
      <x:c r="E188" s="48" t="n">
        <x:f>(D188-C188)*1000</x:f>
        <x:v>2676.033998656351</x:v>
      </x:c>
      <x:c r="F188" s="48" t="n">
        <x:f>E188/Inputs!$C$12</x:f>
        <x:v>1503.3898868855904</x:v>
      </x:c>
      <x:c r="G188" s="48" t="n">
        <x:f>2*E188/Inputs!$C$21*1000000</x:f>
        <x:v>17.852577189625972</x:v>
      </x:c>
      <x:c r="H188" s="48" t="n">
        <x:f>SQRT(A188^2+Inputs!$C$6^2)</x:f>
        <x:v>41.400483088968905</x:v>
      </x:c>
      <x:c r="I188" s="48" t="n">
        <x:f>DEGREES(ATAN(H188/B188))</x:f>
        <x:v>5.891446051651431</x:v>
      </x:c>
      <x:c r="J188" s="48" t="n">
        <x:f>DEGREES((2*PI()/Inputs!$C$13)*Inputs!$C$15*SIN(RADIANS(I188)))</x:f>
        <x:v>36.95185149123889</x:v>
      </x:c>
      <x:c r="K188" s="48" t="n">
        <x:f>(C188/D188)^4</x:f>
        <x:v>0.9737593766670476</x:v>
      </x:c>
      <x:c r="L188" s="48" t="n">
        <x:f>10*LOG10(K188)</x:f>
        <x:v>-0.115483473269264</x:v>
      </x:c>
      <x:c r="M188" s="48" t="n">
        <x:f>2*(Inputs!$C$9/(Inputs!$C$10^2))*A188</x:f>
        <x:v>0.07333333333333333</x:v>
      </x:c>
      <x:c r="N188" s="48" t="n">
        <x:f>M188*Inputs!$C$11</x:f>
        <x:v>0.29333333333333333</x:v>
      </x:c>
      <x:c r="O188" s="48" t="n">
        <x:f>1000*(D189-D187)/(A189-A187)*Inputs!$C$11</x:f>
        <x:v>702.5760732608433</x:v>
      </x:c>
      <x:c r="P188" s="48" t="n">
        <x:f>-2*O188/Inputs!$C$13</x:f>
        <x:v>-281.0304293043373</x:v>
      </x:c>
      <x:c r="Q188" s="48" t="n">
        <x:f>-2*O188/Inputs!$C$14</x:f>
        <x:v>-42.196761156807405</x:v>
      </x:c>
      <x:c r="R188" s="48" t="n">
        <x:f>F188-Inputs!$C$16/2</x:f>
        <x:v>1488.3898868855904</x:v>
      </x:c>
      <x:c r="S188" s="48" t="n">
        <x:f>F188+Inputs!$C$16/2</x:f>
        <x:v>1518.3898868855904</x:v>
      </x:c>
      <x:c r="T188" s="48" t="n">
        <x:f>F188-Inputs!$C$17/2</x:f>
        <x:v>1353.3898868855904</x:v>
      </x:c>
      <x:c r="U188" s="48" t="n">
        <x:f>F188+Inputs!$C$17/2</x:f>
        <x:v>1653.3898868855904</x:v>
      </x:c>
      <x:c r="V188" s="48" t="n">
        <x:f>ABS(P188)</x:f>
        <x:v>281.0304293043373</x:v>
      </x:c>
      <x:c r="W188" s="48" t="n">
        <x:f>ABS(Q188)</x:f>
        <x:v>42.196761156807405</x:v>
      </x:c>
      <x:c r="X188" s="48" t="n">
        <x: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(0.45*SIN(2*PI()*(((A188)/Inputs!$C$49)+Inputs!$C$47*0.137))+0.35*COS(2*PI()*(((0)/Inputs!$C$50)+Inputs!$C$47*0.173))+0.20*SIN(2*PI()*(((A188)+(0))/(0.5*(Inputs!$C$49+Inputs!$C$50))+Inputs!$C$47*0.097)))+0.30*(2*((SIN(((A188)*12.9898+(0)*78.233+Inputs!$C$47*37.719))*43758.5453)-INT((SIN(((A188)*12.9898+(0)*78.233+Inputs!$C$47*37.719))*43758.5453)))-1)))</x:f>
        <x:v>-3.610290991247414</x:v>
      </x:c>
      <x:c r="Y188" s="48" t="n">
        <x: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(0.45*SIN(2*PI()*(((A188)/Inputs!$C$49)+Inputs!$C$47*0.137))+0.35*COS(2*PI()*(((Inputs!$C$6)/Inputs!$C$50)+Inputs!$C$47*0.173))+0.20*SIN(2*PI()*(((A188)+(Inputs!$C$6))/(0.5*(Inputs!$C$49+Inputs!$C$50))+Inputs!$C$47*0.097)))+0.30*(2*((SIN(((A188)*12.9898+(Inputs!$C$6)*78.233+Inputs!$C$47*37.719))*43758.5453)-INT((SIN(((A188)*12.9898+(Inputs!$C$6)*78.233+Inputs!$C$47*37.719))*43758.5453)))-1)))</x:f>
        <x:v>226.0841822180117</x:v>
      </x:c>
      <x:c r="Z188" s="48" t="n">
        <x:f>B188-X188/1000</x:f>
        <x:v>401.21361029099126</x:v>
      </x:c>
      <x:c r="AA188" s="48" t="n">
        <x:f>SQRT((Inputs!$C$52+B188)^2+(Inputs!$C$52+Y188/1000)^2-2*(Inputs!$C$52+B188)*(Inputs!$C$52+Y188/1000)*COS(SQRT(A188^2+Inputs!$C$6^2)/Inputs!$C$52))</x:f>
        <x:v>403.661835180225</x:v>
      </x:c>
      <x:c r="AB188" s="48" t="n">
        <x:f>(AA188-Z188)*1000</x:f>
        <x:v>2448.2248892337566</x:v>
      </x:c>
      <x:c r="AC188" s="48" t="n">
        <x:f>AB188/Inputs!$C$12</x:f>
        <x:v>1375.4072411425598</x:v>
      </x:c>
      <x:c r="AD188" s="48" t="n">
        <x:f>2*AB188/Inputs!$C$21*1000000</x:f>
        <x:v>16.33279840037708</x:v>
      </x:c>
      <x:c r="AE188" s="48" t="n">
        <x:f>DEGREES(ATAN(H188/(B188-Y188/1000)))</x:f>
        <x:v>5.894744403822772</x:v>
      </x:c>
      <x:c r="AF188" s="48" t="n">
        <x:f>DEGREES((2*PI()/Inputs!$C$13)*Inputs!$C$15*SIN(RADIANS(AE188)))</x:f>
        <x:v>36.972466126055984</x:v>
      </x:c>
      <x:c r="AG188" s="48" t="n">
        <x:f>(Z188/AA188)^4</x:f>
        <x:v>0.975959660009814</x:v>
      </x:c>
      <x:c r="AH188" s="48" t="n">
        <x:f>10*LOG10(AG188)</x:f>
        <x:v>-0.105681329451976</x:v>
      </x:c>
      <x:c r="AI188" s="48" t="n">
        <x:f>AC188-F188</x:f>
        <x:v>-127.98264574303062</x:v>
      </x:c>
      <x:c r="AJ188" s="48" t="n">
        <x:f>AD188-G188</x:f>
        <x:v>-1.5197787892488925</x:v>
      </x:c>
      <x:c r="AK188" s="48" t="n">
        <x:f>Y188-X188</x:f>
        <x:v>229.69447320925912</x:v>
      </x:c>
      <x:c r="AL188" s="48" t="n">
        <x:f>1000*(AA189-AA187)/(A189-A187)*Inputs!$C$11</x:f>
        <x:v>709.7345668057642</x:v>
      </x:c>
      <x:c r="AM188" s="48" t="n">
        <x:f>-2*AL188/Inputs!$C$13</x:f>
        <x:v>-283.8938267223057</x:v>
      </x:c>
      <x:c r="AN188" s="48" t="n">
        <x:f>-2*AL188/Inputs!$C$14</x:f>
        <x:v>-42.62670070905491</x:v>
      </x:c>
      <x:c r="AO188" s="48" t="n">
        <x:f>ABS(AM188)</x:f>
        <x:v>283.8938267223057</x:v>
      </x:c>
      <x:c r="AP188" s="48" t="n">
        <x:f>ABS(AN188)</x:f>
        <x:v>42.62670070905491</x:v>
      </x:c>
      <x:c r="AQ188" s="48" t="n">
        <x:f>IF(OR(Inputs!$C$27=TRUE,Inputs!$C$27="TRUE",Inputs!$C$27=1),Inputs!$C$46/Inputs!$C$12,0)</x:f>
        <x:v>42.13483146067416</x:v>
      </x:c>
      <x:c r="AR188" s="48" t="n">
        <x:f>AC188-AQ188</x:f>
        <x:v>1333.2724096818856</x:v>
      </x:c>
      <x:c r="AS188" s="48" t="n">
        <x:f>AC188+AQ188</x:f>
        <x:v>1417.542072603234</x:v>
      </x:c>
    </x:row>
    <x:row r="189">
      <x:c r="A189" s="48" t="n">
        <x:f>Inputs!$C$7+187*(Inputs!$C$8-Inputs!$C$7)/240</x:f>
        <x:v>33.5</x:v>
      </x:c>
      <x:c r="B189" s="48" t="n">
        <x:f>Inputs!$C$5+Inputs!$C$9*(A189/Inputs!$C$10)^2</x:f>
        <x:v>401.24694444444447</x:v>
      </x:c>
      <x:c r="C189" s="48" t="n">
        <x:f>B189</x:f>
        <x:v>401.24694444444447</x:v>
      </x:c>
      <x:c r="D189" s="48" t="n">
        <x:f>SQRT((Inputs!$C$52+B189)^2+Inputs!$C$52^2-2*(Inputs!$C$52+B189)*Inputs!$C$52*COS(SQRT(A189^2+Inputs!$C$6^2)/Inputs!$C$52))</x:f>
        <x:v>403.9745143443817</x:v>
      </x:c>
      <x:c r="E189" s="48" t="n">
        <x:f>(D189-C189)*1000</x:f>
        <x:v>2727.5698999372366</x:v>
      </x:c>
      <x:c r="F189" s="48" t="n">
        <x:f>E189/Inputs!$C$12</x:f>
        <x:v>1532.3426404141778</x:v>
      </x:c>
      <x:c r="G189" s="48" t="n">
        <x:f>2*E189/Inputs!$C$21*1000000</x:f>
        <x:v>18.19638771524557</x:v>
      </x:c>
      <x:c r="H189" s="48" t="n">
        <x:f>SQRT(A189^2+Inputs!$C$6^2)</x:f>
        <x:v>41.80011961705373</x:v>
      </x:c>
      <x:c r="I189" s="48" t="n">
        <x:f>DEGREES(ATAN(H189/B189))</x:f>
        <x:v>5.947366354766674</x:v>
      </x:c>
      <x:c r="J189" s="48" t="n">
        <x:f>DEGREES((2*PI()/Inputs!$C$13)*Inputs!$C$15*SIN(RADIANS(I189)))</x:f>
        <x:v>37.30133564573529</x:v>
      </x:c>
      <x:c r="K189" s="48" t="n">
        <x:f>(C189/D189)^4</x:f>
        <x:v>0.9732649483824933</x:v>
      </x:c>
      <x:c r="L189" s="48" t="n">
        <x:f>10*LOG10(K189)</x:f>
        <x:v>-0.117689172268828</x:v>
      </x:c>
      <x:c r="M189" s="48" t="n">
        <x:f>2*(Inputs!$C$9/(Inputs!$C$10^2))*A189</x:f>
        <x:v>0.07444444444444444</x:v>
      </x:c>
      <x:c r="N189" s="48" t="n">
        <x:f>M189*Inputs!$C$11</x:f>
        <x:v>0.29777777777777775</x:v>
      </x:c>
      <x:c r="O189" s="48" t="n">
        <x:f>1000*(D190-D188)/(A190-A188)*Inputs!$C$11</x:f>
        <x:v>713.1069382348869</x:v>
      </x:c>
      <x:c r="P189" s="48" t="n">
        <x:f>-2*O189/Inputs!$C$13</x:f>
        <x:v>-285.24277529395476</x:v>
      </x:c>
      <x:c r="Q189" s="48" t="n">
        <x:f>-2*O189/Inputs!$C$14</x:f>
        <x:v>-42.82924553963285</x:v>
      </x:c>
      <x:c r="R189" s="48" t="n">
        <x:f>F189-Inputs!$C$16/2</x:f>
        <x:v>1517.3426404141778</x:v>
      </x:c>
      <x:c r="S189" s="48" t="n">
        <x:f>F189+Inputs!$C$16/2</x:f>
        <x:v>1547.3426404141778</x:v>
      </x:c>
      <x:c r="T189" s="48" t="n">
        <x:f>F189-Inputs!$C$17/2</x:f>
        <x:v>1382.3426404141778</x:v>
      </x:c>
      <x:c r="U189" s="48" t="n">
        <x:f>F189+Inputs!$C$17/2</x:f>
        <x:v>1682.3426404141778</x:v>
      </x:c>
      <x:c r="V189" s="48" t="n">
        <x:f>ABS(P189)</x:f>
        <x:v>285.24277529395476</x:v>
      </x:c>
      <x:c r="W189" s="48" t="n">
        <x:f>ABS(Q189)</x:f>
        <x:v>42.82924553963285</x:v>
      </x:c>
      <x:c r="X189" s="48" t="n">
        <x: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(0.45*SIN(2*PI()*(((A189)/Inputs!$C$49)+Inputs!$C$47*0.137))+0.35*COS(2*PI()*(((0)/Inputs!$C$50)+Inputs!$C$47*0.173))+0.20*SIN(2*PI()*(((A189)+(0))/(0.5*(Inputs!$C$49+Inputs!$C$50))+Inputs!$C$47*0.097)))+0.30*(2*((SIN(((A189)*12.9898+(0)*78.233+Inputs!$C$47*37.719))*43758.5453)-INT((SIN(((A189)*12.9898+(0)*78.233+Inputs!$C$47*37.719))*43758.5453)))-1)))</x:f>
        <x:v>2.8193818928466783</x:v>
      </x:c>
      <x:c r="Y189" s="48" t="n">
        <x: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(0.45*SIN(2*PI()*(((A189)/Inputs!$C$49)+Inputs!$C$47*0.137))+0.35*COS(2*PI()*(((Inputs!$C$6)/Inputs!$C$50)+Inputs!$C$47*0.173))+0.20*SIN(2*PI()*(((A189)+(Inputs!$C$6))/(0.5*(Inputs!$C$49+Inputs!$C$50))+Inputs!$C$47*0.097)))+0.30*(2*((SIN(((A189)*12.9898+(Inputs!$C$6)*78.233+Inputs!$C$47*37.719))*43758.5453)-INT((SIN(((A189)*12.9898+(Inputs!$C$6)*78.233+Inputs!$C$47*37.719))*43758.5453)))-1)))</x:f>
        <x:v>226.23942491253771</x:v>
      </x:c>
      <x:c r="Z189" s="48" t="n">
        <x:f>B189-X189/1000</x:f>
        <x:v>401.24412506255163</x:v>
      </x:c>
      <x:c r="AA189" s="48" t="n">
        <x:f>SQRT((Inputs!$C$52+B189)^2+(Inputs!$C$52+Y189/1000)^2-2*(Inputs!$C$52+B189)*(Inputs!$C$52+Y189/1000)*COS(SQRT(A189^2+Inputs!$C$6^2)/Inputs!$C$52))</x:f>
        <x:v>403.75019755235684</x:v>
      </x:c>
      <x:c r="AB189" s="48" t="n">
        <x:f>(AA189-Z189)*1000</x:f>
        <x:v>2506.072489805206</x:v>
      </x:c>
      <x:c r="AC189" s="48" t="n">
        <x:f>AB189/Inputs!$C$12</x:f>
        <x:v>1407.905893148992</x:v>
      </x:c>
      <x:c r="AD189" s="48" t="n">
        <x:f>2*AB189/Inputs!$C$21*1000000</x:f>
        <x:v>16.718716051257072</x:v>
      </x:c>
      <x:c r="AE189" s="48" t="n">
        <x:f>DEGREES(ATAN(H189/(B189-Y189/1000)))</x:f>
        <x:v>5.9506975452816</x:v>
      </x:c>
      <x:c r="AF189" s="48" t="n">
        <x:f>DEGREES((2*PI()/Inputs!$C$13)*Inputs!$C$15*SIN(RADIANS(AE189)))</x:f>
        <x:v>37.322153411603686</x:v>
      </x:c>
      <x:c r="AG189" s="48" t="n">
        <x:f>(Z189/AA189)^4</x:f>
        <x:v>0.9754022545203818</x:v>
      </x:c>
      <x:c r="AH189" s="48" t="n">
        <x:f>10*LOG10(AG189)</x:f>
        <x:v>-0.10816244925886201</x:v>
      </x:c>
      <x:c r="AI189" s="48" t="n">
        <x:f>AC189-F189</x:f>
        <x:v>-124.43674726518589</x:v>
      </x:c>
      <x:c r="AJ189" s="48" t="n">
        <x:f>AD189-G189</x:f>
        <x:v>-1.4776716639884988</x:v>
      </x:c>
      <x:c r="AK189" s="48" t="n">
        <x:f>Y189-X189</x:f>
        <x:v>223.42004301969104</x:v>
      </x:c>
      <x:c r="AL189" s="48" t="n">
        <x:f>1000*(AA190-AA188)/(A190-A188)*Inputs!$C$11</x:f>
        <x:v>645.2472716500779</x:v>
      </x:c>
      <x:c r="AM189" s="48" t="n">
        <x:f>-2*AL189/Inputs!$C$13</x:f>
        <x:v>-258.09890866003116</x:v>
      </x:c>
      <x:c r="AN189" s="48" t="n">
        <x:f>-2*AL189/Inputs!$C$14</x:f>
        <x:v>-38.75358988889357</x:v>
      </x:c>
      <x:c r="AO189" s="48" t="n">
        <x:f>ABS(AM189)</x:f>
        <x:v>258.09890866003116</x:v>
      </x:c>
      <x:c r="AP189" s="48" t="n">
        <x:f>ABS(AN189)</x:f>
        <x:v>38.75358988889357</x:v>
      </x:c>
      <x:c r="AQ189" s="48" t="n">
        <x:f>IF(OR(Inputs!$C$27=TRUE,Inputs!$C$27="TRUE",Inputs!$C$27=1),Inputs!$C$46/Inputs!$C$12,0)</x:f>
        <x:v>42.13483146067416</x:v>
      </x:c>
      <x:c r="AR189" s="48" t="n">
        <x:f>AC189-AQ189</x:f>
        <x:v>1365.7710616883178</x:v>
      </x:c>
      <x:c r="AS189" s="48" t="n">
        <x:f>AC189+AQ189</x:f>
        <x:v>1450.040724609666</x:v>
      </x:c>
    </x:row>
    <x:row r="190">
      <x:c r="A190" s="48" t="n">
        <x:f>Inputs!$C$7+188*(Inputs!$C$8-Inputs!$C$7)/240</x:f>
        <x:v>34</x:v>
      </x:c>
      <x:c r="B190" s="48" t="n">
        <x:f>Inputs!$C$5+Inputs!$C$9*(A190/Inputs!$C$10)^2</x:f>
        <x:v>401.28444444444443</x:v>
      </x:c>
      <x:c r="C190" s="48" t="n">
        <x:f>B190</x:f>
        <x:v>401.28444444444443</x:v>
      </x:c>
      <x:c r="D190" s="48" t="n">
        <x:f>SQRT((Inputs!$C$52+B190)^2+Inputs!$C$52^2-2*(Inputs!$C$52+B190)*Inputs!$C$52*COS(SQRT(A190^2+Inputs!$C$6^2)/Inputs!$C$52))</x:f>
        <x:v>404.06431073321505</x:v>
      </x:c>
      <x:c r="E190" s="48" t="n">
        <x:f>(D190-C190)*1000</x:f>
        <x:v>2779.86628877062</x:v>
      </x:c>
      <x:c r="F190" s="48" t="n">
        <x:f>E190/Inputs!$C$12</x:f>
        <x:v>1561.7226341407977</x:v>
      </x:c>
      <x:c r="G190" s="48" t="n">
        <x:f>2*E190/Inputs!$C$21*1000000</x:f>
        <x:v>18.545271667712335</x:v>
      </x:c>
      <x:c r="H190" s="48" t="n">
        <x:f>SQRT(A190^2+Inputs!$C$6^2)</x:f>
        <x:v>42.20189569201838</x:v>
      </x:c>
      <x:c r="I190" s="48" t="n">
        <x:f>DEGREES(ATAN(H190/B190))</x:f>
        <x:v>6.003558889809033</x:v>
      </x:c>
      <x:c r="J190" s="48" t="n">
        <x:f>DEGREES((2*PI()/Inputs!$C$13)*Inputs!$C$15*SIN(RADIANS(I190)))</x:f>
        <x:v>37.65248537110963</x:v>
      </x:c>
      <x:c r="K190" s="48" t="n">
        <x:f>(C190/D190)^4</x:f>
        <x:v>0.9727636385009326</x:v>
      </x:c>
      <x:c r="L190" s="48" t="n">
        <x:f>10*LOG10(K190)</x:f>
        <x:v>-0.11992671514531801</x:v>
      </x:c>
      <x:c r="M190" s="48" t="n">
        <x:f>2*(Inputs!$C$9/(Inputs!$C$10^2))*A190</x:f>
        <x:v>0.07555555555555556</x:v>
      </x:c>
      <x:c r="N190" s="48" t="n">
        <x:f>M190*Inputs!$C$11</x:f>
        <x:v>0.3022222222222222</x:v>
      </x:c>
      <x:c r="O190" s="48" t="n">
        <x:f>1000*(D191-D189)/(A191-A189)*Inputs!$C$11</x:f>
        <x:v>723.632727916538</x:v>
      </x:c>
      <x:c r="P190" s="48" t="n">
        <x:f>-2*O190/Inputs!$C$13</x:f>
        <x:v>-289.4530911666152</x:v>
      </x:c>
      <x:c r="Q190" s="48" t="n">
        <x:f>-2*O190/Inputs!$C$14</x:f>
        <x:v>-43.46142510009238</x:v>
      </x:c>
      <x:c r="R190" s="48" t="n">
        <x:f>F190-Inputs!$C$16/2</x:f>
        <x:v>1546.7226341407977</x:v>
      </x:c>
      <x:c r="S190" s="48" t="n">
        <x:f>F190+Inputs!$C$16/2</x:f>
        <x:v>1576.7226341407977</x:v>
      </x:c>
      <x:c r="T190" s="48" t="n">
        <x:f>F190-Inputs!$C$17/2</x:f>
        <x:v>1411.7226341407977</x:v>
      </x:c>
      <x:c r="U190" s="48" t="n">
        <x:f>F190+Inputs!$C$17/2</x:f>
        <x:v>1711.7226341407977</x:v>
      </x:c>
      <x:c r="V190" s="48" t="n">
        <x:f>ABS(P190)</x:f>
        <x:v>289.4530911666152</x:v>
      </x:c>
      <x:c r="W190" s="48" t="n">
        <x:f>ABS(Q190)</x:f>
        <x:v>43.46142510009238</x:v>
      </x:c>
      <x:c r="X190" s="48" t="n">
        <x: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(0.45*SIN(2*PI()*(((A190)/Inputs!$C$49)+Inputs!$C$47*0.137))+0.35*COS(2*PI()*(((0)/Inputs!$C$50)+Inputs!$C$47*0.173))+0.20*SIN(2*PI()*(((A190)+(0))/(0.5*(Inputs!$C$49+Inputs!$C$50))+Inputs!$C$47*0.097)))+0.30*(2*((SIN(((A190)*12.9898+(0)*78.233+Inputs!$C$47*37.719))*43758.5453)-INT((SIN(((A190)*12.9898+(0)*78.233+Inputs!$C$47*37.719))*43758.5453)))-1)))</x:f>
        <x:v>9.90157819415245</x:v>
      </x:c>
      <x:c r="Y190" s="48" t="n">
        <x: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(0.45*SIN(2*PI()*(((A190)/Inputs!$C$49)+Inputs!$C$47*0.137))+0.35*COS(2*PI()*(((Inputs!$C$6)/Inputs!$C$50)+Inputs!$C$47*0.173))+0.20*SIN(2*PI()*(((A190)+(Inputs!$C$6))/(0.5*(Inputs!$C$49+Inputs!$C$50))+Inputs!$C$47*0.097)))+0.30*(2*((SIN(((A190)*12.9898+(Inputs!$C$6)*78.233+Inputs!$C$47*37.719))*43758.5453)-INT((SIN(((A190)*12.9898+(Inputs!$C$6)*78.233+Inputs!$C$47*37.719))*43758.5453)))-1)))</x:f>
        <x:v>243.2704274883201</x:v>
      </x:c>
      <x:c r="Z190" s="48" t="n">
        <x:f>B190-X190/1000</x:f>
        <x:v>401.2745428662503</x:v>
      </x:c>
      <x:c r="AA190" s="48" t="n">
        <x:f>SQRT((Inputs!$C$52+B190)^2+(Inputs!$C$52+Y190/1000)^2-2*(Inputs!$C$52+B190)*(Inputs!$C$52+Y190/1000)*COS(SQRT(A190^2+Inputs!$C$6^2)/Inputs!$C$52))</x:f>
        <x:v>403.82314699813753</x:v>
      </x:c>
      <x:c r="AB190" s="48" t="n">
        <x:f>(AA190-Z190)*1000</x:f>
        <x:v>2548.6041318872594</x:v>
      </x:c>
      <x:c r="AC190" s="48" t="n">
        <x:f>AB190/Inputs!$C$12</x:f>
        <x:v>1431.800074093966</x:v>
      </x:c>
      <x:c r="AD190" s="48" t="n">
        <x:f>2*AB190/Inputs!$C$21*1000000</x:f>
        <x:v>17.00245662542491</x:v>
      </x:c>
      <x:c r="AE190" s="48" t="n">
        <x:f>DEGREES(ATAN(H190/(B190-Y190/1000)))</x:f>
        <x:v>6.007174010209388</x:v>
      </x:c>
      <x:c r="AF190" s="48" t="n">
        <x:f>DEGREES((2*PI()/Inputs!$C$13)*Inputs!$C$15*SIN(RADIANS(AE190)))</x:f>
        <x:v>37.67507518775607</x:v>
      </x:c>
      <x:c r="AG190" s="48" t="n">
        <x:f>(Z190/AA190)^4</x:f>
        <x:v>0.9749932273933761</x:v>
      </x:c>
      <x:c r="AH190" s="48" t="n">
        <x:f>10*LOG10(AG190)</x:f>
        <x:v>-0.1099840103572</x:v>
      </x:c>
      <x:c r="AI190" s="48" t="n">
        <x:f>AC190-F190</x:f>
        <x:v>-129.92256004683168</x:v>
      </x:c>
      <x:c r="AJ190" s="48" t="n">
        <x:f>AD190-G190</x:f>
        <x:v>-1.542815042287426</x:v>
      </x:c>
      <x:c r="AK190" s="48" t="n">
        <x:f>Y190-X190</x:f>
        <x:v>233.36884929416766</x:v>
      </x:c>
      <x:c r="AL190" s="48" t="n">
        <x:f>1000*(AA191-AA189)/(A191-A189)*Inputs!$C$11</x:f>
        <x:v>634.316841919599</x:v>
      </x:c>
      <x:c r="AM190" s="48" t="n">
        <x:f>-2*AL190/Inputs!$C$13</x:f>
        <x:v>-253.7267367678396</x:v>
      </x:c>
      <x:c r="AN190" s="48" t="n">
        <x:f>-2*AL190/Inputs!$C$14</x:f>
        <x:v>-38.097107622798745</x:v>
      </x:c>
      <x:c r="AO190" s="48" t="n">
        <x:f>ABS(AM190)</x:f>
        <x:v>253.7267367678396</x:v>
      </x:c>
      <x:c r="AP190" s="48" t="n">
        <x:f>ABS(AN190)</x:f>
        <x:v>38.097107622798745</x:v>
      </x:c>
      <x:c r="AQ190" s="48" t="n">
        <x:f>IF(OR(Inputs!$C$27=TRUE,Inputs!$C$27="TRUE",Inputs!$C$27=1),Inputs!$C$46/Inputs!$C$12,0)</x:f>
        <x:v>42.13483146067416</x:v>
      </x:c>
      <x:c r="AR190" s="48" t="n">
        <x:f>AC190-AQ190</x:f>
        <x:v>1389.6652426332919</x:v>
      </x:c>
      <x:c r="AS190" s="48" t="n">
        <x:f>AC190+AQ190</x:f>
        <x:v>1473.9349055546402</x:v>
      </x:c>
    </x:row>
    <x:row r="191">
      <x:c r="A191" s="48" t="n">
        <x:f>Inputs!$C$7+189*(Inputs!$C$8-Inputs!$C$7)/240</x:f>
        <x:v>34.5</x:v>
      </x:c>
      <x:c r="B191" s="48" t="n">
        <x:f>Inputs!$C$5+Inputs!$C$9*(A191/Inputs!$C$10)^2</x:f>
        <x:v>401.3225</x:v>
      </x:c>
      <x:c r="C191" s="48" t="n">
        <x:f>B191</x:f>
        <x:v>401.3225</x:v>
      </x:c>
      <x:c r="D191" s="48" t="n">
        <x:f>SQRT((Inputs!$C$52+B191)^2+Inputs!$C$52^2-2*(Inputs!$C$52+B191)*Inputs!$C$52*COS(SQRT(A191^2+Inputs!$C$6^2)/Inputs!$C$52))</x:f>
        <x:v>404.15542252636084</x:v>
      </x:c>
      <x:c r="E191" s="48" t="n">
        <x:f>(D191-C191)*1000</x:f>
        <x:v>2832.9225263608464</x:v>
      </x:c>
      <x:c r="F191" s="48" t="n">
        <x:f>E191/Inputs!$C$12</x:f>
        <x:v>1591.5295091914868</x:v>
      </x:c>
      <x:c r="G191" s="48" t="n">
        <x:f>2*E191/Inputs!$C$21*1000000</x:f>
        <x:v>18.899224785440378</x:v>
      </x:c>
      <x:c r="H191" s="48" t="n">
        <x:f>SQRT(A191^2+Inputs!$C$6^2)</x:f>
        <x:v>42.60575078554537</x:v>
      </x:c>
      <x:c r="I191" s="48" t="n">
        <x:f>DEGREES(ATAN(H191/B191))</x:f>
        <x:v>6.060014519595078</x:v>
      </x:c>
      <x:c r="J191" s="48" t="n">
        <x:f>DEGREES((2*PI()/Inputs!$C$13)*Inputs!$C$15*SIN(RADIANS(I191)))</x:f>
        <x:v>38.005242715884584</x:v>
      </x:c>
      <x:c r="K191" s="48" t="n">
        <x:f>(C191/D191)^4</x:f>
        <x:v>0.972255470921452</x:v>
      </x:c>
      <x:c r="L191" s="48" t="n">
        <x:f>10*LOG10(K191)</x:f>
        <x:v>-0.12219604380746801</x:v>
      </x:c>
      <x:c r="M191" s="48" t="n">
        <x:f>2*(Inputs!$C$9/(Inputs!$C$10^2))*A191</x:f>
        <x:v>0.07666666666666666</x:v>
      </x:c>
      <x:c r="N191" s="48" t="n">
        <x:f>M191*Inputs!$C$11</x:f>
        <x:v>0.30666666666666664</x:v>
      </x:c>
      <x:c r="O191" s="48" t="n">
        <x:f>1000*(D192-D190)/(A192-A190)*Inputs!$C$11</x:f>
        <x:v>734.1533722806162</x:v>
      </x:c>
      <x:c r="P191" s="48" t="n">
        <x:f>-2*O191/Inputs!$C$13</x:f>
        <x:v>-293.66134891224647</x:v>
      </x:c>
      <x:c r="Q191" s="48" t="n">
        <x:f>-2*O191/Inputs!$C$14</x:f>
        <x:v>-44.09329563246944</x:v>
      </x:c>
      <x:c r="R191" s="48" t="n">
        <x:f>F191-Inputs!$C$16/2</x:f>
        <x:v>1576.5295091914868</x:v>
      </x:c>
      <x:c r="S191" s="48" t="n">
        <x:f>F191+Inputs!$C$16/2</x:f>
        <x:v>1606.5295091914868</x:v>
      </x:c>
      <x:c r="T191" s="48" t="n">
        <x:f>F191-Inputs!$C$17/2</x:f>
        <x:v>1441.5295091914868</x:v>
      </x:c>
      <x:c r="U191" s="48" t="n">
        <x:f>F191+Inputs!$C$17/2</x:f>
        <x:v>1741.5295091914868</x:v>
      </x:c>
      <x:c r="V191" s="48" t="n">
        <x:f>ABS(P191)</x:f>
        <x:v>293.66134891224647</x:v>
      </x:c>
      <x:c r="W191" s="48" t="n">
        <x:f>ABS(Q191)</x:f>
        <x:v>44.09329563246944</x:v>
      </x:c>
      <x:c r="X191" s="48" t="n">
        <x: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(0.45*SIN(2*PI()*(((A191)/Inputs!$C$49)+Inputs!$C$47*0.137))+0.35*COS(2*PI()*(((0)/Inputs!$C$50)+Inputs!$C$47*0.173))+0.20*SIN(2*PI()*(((A191)+(0))/(0.5*(Inputs!$C$49+Inputs!$C$50))+Inputs!$C$47*0.097)))+0.30*(2*((SIN(((A191)*12.9898+(0)*78.233+Inputs!$C$47*37.719))*43758.5453)-INT((SIN(((A191)*12.9898+(0)*78.233+Inputs!$C$47*37.719))*43758.5453)))-1)))</x:f>
        <x:v>22.306190725387925</x:v>
      </x:c>
      <x:c r="Y191" s="48" t="n">
        <x: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(0.45*SIN(2*PI()*(((A191)/Inputs!$C$49)+Inputs!$C$47*0.137))+0.35*COS(2*PI()*(((Inputs!$C$6)/Inputs!$C$50)+Inputs!$C$47*0.173))+0.20*SIN(2*PI()*(((A191)+(Inputs!$C$6))/(0.5*(Inputs!$C$49+Inputs!$C$50))+Inputs!$C$47*0.097)))+0.30*(2*((SIN(((A191)*12.9898+(Inputs!$C$6)*78.233+Inputs!$C$47*37.719))*43758.5453)-INT((SIN(((A191)*12.9898+(Inputs!$C$6)*78.233+Inputs!$C$47*37.719))*43758.5453)))-1)))</x:f>
        <x:v>248.8414359782273</x:v>
      </x:c>
      <x:c r="Z191" s="48" t="n">
        <x:f>B191-X191/1000</x:f>
        <x:v>401.3001938092746</x:v>
      </x:c>
      <x:c r="AA191" s="48" t="n">
        <x:f>SQRT((Inputs!$C$52+B191)^2+(Inputs!$C$52+Y191/1000)^2-2*(Inputs!$C$52+B191)*(Inputs!$C$52+Y191/1000)*COS(SQRT(A191^2+Inputs!$C$6^2)/Inputs!$C$52))</x:f>
        <x:v>403.90877676283674</x:v>
      </x:c>
      <x:c r="AB191" s="48" t="n">
        <x:f>(AA191-Z191)*1000</x:f>
        <x:v>2608.58295356212</x:v>
      </x:c>
      <x:c r="AC191" s="48" t="n">
        <x:f>AB191/Inputs!$C$12</x:f>
        <x:v>1465.4960413270337</x:v>
      </x:c>
      <x:c r="AD191" s="48" t="n">
        <x:f>2*AB191/Inputs!$C$21*1000000</x:f>
        <x:v>17.402592253085434</x:v>
      </x:c>
      <x:c r="AE191" s="48" t="n">
        <x:f>DEGREES(ATAN(H191/(B191-Y191/1000)))</x:f>
        <x:v>6.063746380889756</x:v>
      </x:c>
      <x:c r="AF191" s="48" t="n">
        <x:f>DEGREES((2*PI()/Inputs!$C$13)*Inputs!$C$15*SIN(RADIANS(AE191)))</x:f>
        <x:v>38.028559580767</x:v>
      </x:c>
      <x:c r="AG191" s="48" t="n">
        <x:f>(Z191/AA191)^4</x:f>
        <x:v>0.9744157985059001</x:v>
      </x:c>
      <x:c r="AH191" s="48" t="n">
        <x:f>10*LOG10(AG191)</x:f>
        <x:v>-0.112556833028326</x:v>
      </x:c>
      <x:c r="AI191" s="48" t="n">
        <x:f>AC191-F191</x:f>
        <x:v>-126.03346786445309</x:v>
      </x:c>
      <x:c r="AJ191" s="48" t="n">
        <x:f>AD191-G191</x:f>
        <x:v>-1.496632532354944</x:v>
      </x:c>
      <x:c r="AK191" s="48" t="n">
        <x:f>Y191-X191</x:f>
        <x:v>226.5352452528394</x:v>
      </x:c>
      <x:c r="AL191" s="48" t="n">
        <x:f>1000*(AA192-AA190)/(A192-A190)*Inputs!$C$11</x:f>
        <x:v>739.4746314976146</x:v>
      </x:c>
      <x:c r="AM191" s="48" t="n">
        <x:f>-2*AL191/Inputs!$C$13</x:f>
        <x:v>-295.78985259904584</x:v>
      </x:c>
      <x:c r="AN191" s="48" t="n">
        <x:f>-2*AL191/Inputs!$C$14</x:f>
        <x:v>-44.41289078063752</x:v>
      </x:c>
      <x:c r="AO191" s="48" t="n">
        <x:f>ABS(AM191)</x:f>
        <x:v>295.78985259904584</x:v>
      </x:c>
      <x:c r="AP191" s="48" t="n">
        <x:f>ABS(AN191)</x:f>
        <x:v>44.41289078063752</x:v>
      </x:c>
      <x:c r="AQ191" s="48" t="n">
        <x:f>IF(OR(Inputs!$C$27=TRUE,Inputs!$C$27="TRUE",Inputs!$C$27=1),Inputs!$C$46/Inputs!$C$12,0)</x:f>
        <x:v>42.13483146067416</x:v>
      </x:c>
      <x:c r="AR191" s="48" t="n">
        <x:f>AC191-AQ191</x:f>
        <x:v>1423.3612098663596</x:v>
      </x:c>
      <x:c r="AS191" s="48" t="n">
        <x:f>AC191+AQ191</x:f>
        <x:v>1507.6308727877079</x:v>
      </x:c>
    </x:row>
    <x:row r="192">
      <x:c r="A192" s="48" t="n">
        <x:f>Inputs!$C$7+190*(Inputs!$C$8-Inputs!$C$7)/240</x:f>
        <x:v>35</x:v>
      </x:c>
      <x:c r="B192" s="48" t="n">
        <x:f>Inputs!$C$5+Inputs!$C$9*(A192/Inputs!$C$10)^2</x:f>
        <x:v>401.3611111111111</x:v>
      </x:c>
      <x:c r="C192" s="48" t="n">
        <x:f>B192</x:f>
        <x:v>401.3611111111111</x:v>
      </x:c>
      <x:c r="D192" s="48" t="n">
        <x:f>SQRT((Inputs!$C$52+B192)^2+Inputs!$C$52^2-2*(Inputs!$C$52+B192)*Inputs!$C$52*COS(SQRT(A192^2+Inputs!$C$6^2)/Inputs!$C$52))</x:f>
        <x:v>404.2478490762852</x:v>
      </x:c>
      <x:c r="E192" s="48" t="n">
        <x:f>(D192-C192)*1000</x:f>
        <x:v>2886.7379651741203</x:v>
      </x:c>
      <x:c r="F192" s="48" t="n">
        <x:f>E192/Inputs!$C$12</x:f>
        <x:v>1621.7629017832137</x:v>
      </x:c>
      <x:c r="G192" s="48" t="n">
        <x:f>2*E192/Inputs!$C$21*1000000</x:f>
        <x:v>19.258242748549197</x:v>
      </x:c>
      <x:c r="H192" s="48" t="n">
        <x:f>SQRT(A192^2+Inputs!$C$6^2)</x:f>
        <x:v>43.01162633521314</x:v>
      </x:c>
      <x:c r="I192" s="48" t="n">
        <x:f>DEGREES(ATAN(H192/B192))</x:f>
        <x:v>6.116724388997361</x:v>
      </x:c>
      <x:c r="J192" s="48" t="n">
        <x:f>DEGREES((2*PI()/Inputs!$C$13)*Inputs!$C$15*SIN(RADIANS(I192)))</x:f>
        <x:v>38.35955150243656</x:v>
      </x:c>
      <x:c r="K192" s="48" t="n">
        <x:f>(C192/D192)^4</x:f>
        <x:v>0.971740469833793</x:v>
      </x:c>
      <x:c r="L192" s="48" t="n">
        <x:f>10*LOG10(K192)</x:f>
        <x:v>-0.124497099391873</x:v>
      </x:c>
      <x:c r="M192" s="48" t="n">
        <x:f>2*(Inputs!$C$9/(Inputs!$C$10^2))*A192</x:f>
        <x:v>0.07777777777777778</x:v>
      </x:c>
      <x:c r="N192" s="48" t="n">
        <x:f>M192*Inputs!$C$11</x:f>
        <x:v>0.3111111111111111</x:v>
      </x:c>
      <x:c r="O192" s="48" t="n">
        <x:f>1000*(D193-D191)/(A193-A191)*Inputs!$C$11</x:f>
        <x:v>744.6688015527343</x:v>
      </x:c>
      <x:c r="P192" s="48" t="n">
        <x:f>-2*O192/Inputs!$C$13</x:f>
        <x:v>-297.8675206210937</x:v>
      </x:c>
      <x:c r="Q192" s="48" t="n">
        <x:f>-2*O192/Inputs!$C$14</x:f>
        <x:v>-44.72485294611017</x:v>
      </x:c>
      <x:c r="R192" s="48" t="n">
        <x:f>F192-Inputs!$C$16/2</x:f>
        <x:v>1606.7629017832137</x:v>
      </x:c>
      <x:c r="S192" s="48" t="n">
        <x:f>F192+Inputs!$C$16/2</x:f>
        <x:v>1636.7629017832137</x:v>
      </x:c>
      <x:c r="T192" s="48" t="n">
        <x:f>F192-Inputs!$C$17/2</x:f>
        <x:v>1471.7629017832137</x:v>
      </x:c>
      <x:c r="U192" s="48" t="n">
        <x:f>F192+Inputs!$C$17/2</x:f>
        <x:v>1771.7629017832137</x:v>
      </x:c>
      <x:c r="V192" s="48" t="n">
        <x:f>ABS(P192)</x:f>
        <x:v>297.8675206210937</x:v>
      </x:c>
      <x:c r="W192" s="48" t="n">
        <x:f>ABS(Q192)</x:f>
        <x:v>44.72485294611017</x:v>
      </x:c>
      <x:c r="X192" s="48" t="n">
        <x: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(0.45*SIN(2*PI()*(((A192)/Inputs!$C$49)+Inputs!$C$47*0.137))+0.35*COS(2*PI()*(((0)/Inputs!$C$50)+Inputs!$C$47*0.173))+0.20*SIN(2*PI()*(((A192)+(0))/(0.5*(Inputs!$C$49+Inputs!$C$50))+Inputs!$C$47*0.097)))+0.30*(2*((SIN(((A192)*12.9898+(0)*78.233+Inputs!$C$47*37.719))*43758.5453)-INT((SIN(((A192)*12.9898+(0)*78.233+Inputs!$C$47*37.719))*43758.5453)))-1)))</x:f>
        <x:v>28.92396994213728</x:v>
      </x:c>
      <x:c r="Y192" s="48" t="n">
        <x: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(0.45*SIN(2*PI()*(((A192)/Inputs!$C$49)+Inputs!$C$47*0.137))+0.35*COS(2*PI()*(((Inputs!$C$6)/Inputs!$C$50)+Inputs!$C$47*0.173))+0.20*SIN(2*PI()*(((A192)+(Inputs!$C$6))/(0.5*(Inputs!$C$49+Inputs!$C$50))+Inputs!$C$47*0.097)))+0.30*(2*((SIN(((A192)*12.9898+(Inputs!$C$6)*78.233+Inputs!$C$47*37.719))*43758.5453)-INT((SIN(((A192)*12.9898+(Inputs!$C$6)*78.233+Inputs!$C$47*37.719))*43758.5453)))-1)))</x:f>
        <x:v>242.00890812042311</x:v>
      </x:c>
      <x:c r="Z192" s="48" t="n">
        <x:f>B192-X192/1000</x:f>
        <x:v>401.33218714116896</x:v>
      </x:c>
      <x:c r="AA192" s="48" t="n">
        <x:f>SQRT((Inputs!$C$52+B192)^2+(Inputs!$C$52+Y192/1000)^2-2*(Inputs!$C$52+B192)*(Inputs!$C$52+Y192/1000)*COS(SQRT(A192^2+Inputs!$C$6^2)/Inputs!$C$52))</x:f>
        <x:v>404.00801565601193</x:v>
      </x:c>
      <x:c r="AB192" s="48" t="n">
        <x:f>(AA192-Z192)*1000</x:f>
        <x:v>2675.8285148429763</x:v>
      </x:c>
      <x:c r="AC192" s="48" t="n">
        <x:f>AB192/Inputs!$C$12</x:f>
        <x:v>1503.2744465409978</x:v>
      </x:c>
      <x:c r="AD192" s="48" t="n">
        <x:f>2*AB192/Inputs!$C$21*1000000</x:f>
        <x:v>17.85120634918025</x:v>
      </x:c>
      <x:c r="AE192" s="48" t="n">
        <x:f>DEGREES(ATAN(H192/(B192-Y192/1000)))</x:f>
        <x:v>6.120386817292944</x:v>
      </x:c>
      <x:c r="AF192" s="48" t="n">
        <x:f>DEGREES((2*PI()/Inputs!$C$13)*Inputs!$C$15*SIN(RADIANS(AE192)))</x:f>
        <x:v>38.382432131336515</x:v>
      </x:c>
      <x:c r="AG192" s="48" t="n">
        <x:f>(Z192/AA192)^4</x:f>
        <x:v>0.9737692149580199</x:v>
      </x:c>
      <x:c r="AH192" s="48" t="n">
        <x:f>10*LOG10(AG192)</x:f>
        <x:v>-0.115439594935471</x:v>
      </x:c>
      <x:c r="AI192" s="48" t="n">
        <x:f>AC192-F192</x:f>
        <x:v>-118.48845524221588</x:v>
      </x:c>
      <x:c r="AJ192" s="48" t="n">
        <x:f>AD192-G192</x:f>
        <x:v>-1.4070363993689483</x:v>
      </x:c>
      <x:c r="AK192" s="48" t="n">
        <x:f>Y192-X192</x:f>
        <x:v>213.08493817828582</x:v>
      </x:c>
      <x:c r="AL192" s="48" t="n">
        <x:f>1000*(AA193-AA191)/(A193-A191)*Inputs!$C$11</x:f>
        <x:v>769.5880829046473</x:v>
      </x:c>
      <x:c r="AM192" s="48" t="n">
        <x:f>-2*AL192/Inputs!$C$13</x:f>
        <x:v>-307.8352331618589</x:v>
      </x:c>
      <x:c r="AN192" s="48" t="n">
        <x:f>-2*AL192/Inputs!$C$14</x:f>
        <x:v>-46.2215064807596</x:v>
      </x:c>
      <x:c r="AO192" s="48" t="n">
        <x:f>ABS(AM192)</x:f>
        <x:v>307.8352331618589</x:v>
      </x:c>
      <x:c r="AP192" s="48" t="n">
        <x:f>ABS(AN192)</x:f>
        <x:v>46.2215064807596</x:v>
      </x:c>
      <x:c r="AQ192" s="48" t="n">
        <x:f>IF(OR(Inputs!$C$27=TRUE,Inputs!$C$27="TRUE",Inputs!$C$27=1),Inputs!$C$46/Inputs!$C$12,0)</x:f>
        <x:v>42.13483146067416</x:v>
      </x:c>
      <x:c r="AR192" s="48" t="n">
        <x:f>AC192-AQ192</x:f>
        <x:v>1461.1396150803237</x:v>
      </x:c>
      <x:c r="AS192" s="48" t="n">
        <x:f>AC192+AQ192</x:f>
        <x:v>1545.409278001672</x:v>
      </x:c>
    </x:row>
    <x:row r="193">
      <x:c r="A193" s="48" t="n">
        <x:f>Inputs!$C$7+191*(Inputs!$C$8-Inputs!$C$7)/240</x:f>
        <x:v>35.5</x:v>
      </x:c>
      <x:c r="B193" s="48" t="n">
        <x:f>Inputs!$C$5+Inputs!$C$9*(A193/Inputs!$C$10)^2</x:f>
        <x:v>401.4002777777778</x:v>
      </x:c>
      <x:c r="C193" s="48" t="n">
        <x:f>B193</x:f>
        <x:v>401.4002777777778</x:v>
      </x:c>
      <x:c r="D193" s="48" t="n">
        <x:f>SQRT((Inputs!$C$52+B193)^2+Inputs!$C$52^2-2*(Inputs!$C$52+B193)*Inputs!$C$52*COS(SQRT(A193^2+Inputs!$C$6^2)/Inputs!$C$52))</x:f>
        <x:v>404.341589726749</x:v>
      </x:c>
      <x:c r="E193" s="48" t="n">
        <x:f>(D193-C193)*1000</x:f>
        <x:v>2941.311948971247</x:v>
      </x:c>
      <x:c r="F193" s="48" t="n">
        <x:f>E193/Inputs!$C$12</x:f>
        <x:v>1652.4224432422736</x:v>
      </x:c>
      <x:c r="G193" s="48" t="n">
        <x:f>2*E193/Inputs!$C$21*1000000</x:f>
        <x:v>19.622321179082146</x:v>
      </x:c>
      <x:c r="H193" s="48" t="n">
        <x:f>SQRT(A193^2+Inputs!$C$6^2)</x:f>
        <x:v>43.41946568072896</x:v>
      </x:c>
      <x:c r="I193" s="48" t="n">
        <x:f>DEGREES(ATAN(H193/B193))</x:f>
        <x:v>6.173679915861962</x:v>
      </x:c>
      <x:c r="J193" s="48" t="n">
        <x:f>DEGREES((2*PI()/Inputs!$C$13)*Inputs!$C$15*SIN(RADIANS(I193)))</x:f>
        <x:v>38.71535727003771</x:v>
      </x:c>
      <x:c r="K193" s="48" t="n">
        <x:f>(C193/D193)^4</x:f>
        <x:v>0.9712186597157199</x:v>
      </x:c>
      <x:c r="L193" s="48" t="n">
        <x:f>10*LOG10(K193)</x:f>
        <x:v>-0.126829822266816</x:v>
      </x:c>
      <x:c r="M193" s="48" t="n">
        <x:f>2*(Inputs!$C$9/(Inputs!$C$10^2))*A193</x:f>
        <x:v>0.07888888888888888</x:v>
      </x:c>
      <x:c r="N193" s="48" t="n">
        <x:f>M193*Inputs!$C$11</x:f>
        <x:v>0.31555555555555553</x:v>
      </x:c>
      <x:c r="O193" s="48" t="n">
        <x:f>1000*(D194-D192)/(A194-A192)*Inputs!$C$11</x:f>
        <x:v>755.1789462022498</x:v>
      </x:c>
      <x:c r="P193" s="48" t="n">
        <x:f>-2*O193/Inputs!$C$13</x:f>
        <x:v>-302.0715784808999</x:v>
      </x:c>
      <x:c r="Q193" s="48" t="n">
        <x:f>-2*O193/Inputs!$C$14</x:f>
        <x:v>-45.356092864999994</x:v>
      </x:c>
      <x:c r="R193" s="48" t="n">
        <x:f>F193-Inputs!$C$16/2</x:f>
        <x:v>1637.4224432422736</x:v>
      </x:c>
      <x:c r="S193" s="48" t="n">
        <x:f>F193+Inputs!$C$16/2</x:f>
        <x:v>1667.4224432422736</x:v>
      </x:c>
      <x:c r="T193" s="48" t="n">
        <x:f>F193-Inputs!$C$17/2</x:f>
        <x:v>1502.4224432422736</x:v>
      </x:c>
      <x:c r="U193" s="48" t="n">
        <x:f>F193+Inputs!$C$17/2</x:f>
        <x:v>1802.4224432422736</x:v>
      </x:c>
      <x:c r="V193" s="48" t="n">
        <x:f>ABS(P193)</x:f>
        <x:v>302.0715784808999</x:v>
      </x:c>
      <x:c r="W193" s="48" t="n">
        <x:f>ABS(Q193)</x:f>
        <x:v>45.356092864999994</x:v>
      </x:c>
      <x:c r="X193" s="48" t="n">
        <x: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(0.45*SIN(2*PI()*(((A193)/Inputs!$C$49)+Inputs!$C$47*0.137))+0.35*COS(2*PI()*(((0)/Inputs!$C$50)+Inputs!$C$47*0.173))+0.20*SIN(2*PI()*(((A193)+(0))/(0.5*(Inputs!$C$49+Inputs!$C$50))+Inputs!$C$47*0.097)))+0.30*(2*((SIN(((A193)*12.9898+(0)*78.233+Inputs!$C$47*37.719))*43758.5453)-INT((SIN(((A193)*12.9898+(0)*78.233+Inputs!$C$47*37.719))*43758.5453)))-1)))</x:f>
        <x:v>32.227616256478356</x:v>
      </x:c>
      <x:c r="Y193" s="48" t="n">
        <x: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(0.45*SIN(2*PI()*(((A193)/Inputs!$C$49)+Inputs!$C$47*0.137))+0.35*COS(2*PI()*(((Inputs!$C$6)/Inputs!$C$50)+Inputs!$C$47*0.173))+0.20*SIN(2*PI()*(((A193)+(Inputs!$C$6))/(0.5*(Inputs!$C$49+Inputs!$C$50))+Inputs!$C$47*0.097)))+0.30*(2*((SIN(((A193)*12.9898+(Inputs!$C$6)*78.233+Inputs!$C$47*37.719))*43758.5453)-INT((SIN(((A193)*12.9898+(Inputs!$C$6)*78.233+Inputs!$C$47*37.719))*43758.5453)))-1)))</x:f>
        <x:v>242.63788270086079</x:v>
      </x:c>
      <x:c r="Z193" s="48" t="n">
        <x:f>B193-X193/1000</x:f>
        <x:v>401.3680501615213</x:v>
      </x:c>
      <x:c r="AA193" s="48" t="n">
        <x:f>SQRT((Inputs!$C$52+B193)^2+(Inputs!$C$52+Y193/1000)^2-2*(Inputs!$C$52+B193)*(Inputs!$C$52+Y193/1000)*COS(SQRT(A193^2+Inputs!$C$6^2)/Inputs!$C$52))</x:f>
        <x:v>404.1011737835629</x:v>
      </x:c>
      <x:c r="AB193" s="48" t="n">
        <x:f>(AA193-Z193)*1000</x:f>
        <x:v>2733.123622041603</x:v>
      </x:c>
      <x:c r="AC193" s="48" t="n">
        <x:f>AB193/Inputs!$C$12</x:f>
        <x:v>1535.4627090121364</x:v>
      </x:c>
      <x:c r="AD193" s="48" t="n">
        <x:f>2*AB193/Inputs!$C$21*1000000</x:f>
        <x:v>18.23343816102007</x:v>
      </x:c>
      <x:c r="AE193" s="48" t="n">
        <x:f>DEGREES(ATAN(H193/(B193-Y193/1000)))</x:f>
        <x:v>6.177385168873344</x:v>
      </x:c>
      <x:c r="AF193" s="48" t="n">
        <x:f>DEGREES((2*PI()/Inputs!$C$13)*Inputs!$C$15*SIN(RADIANS(AE193)))</x:f>
        <x:v>38.738502962722194</x:v>
      </x:c>
      <x:c r="AG193" s="48" t="n">
        <x:f>(Z193/AA193)^4</x:f>
        <x:v>0.9732193763567304</x:v>
      </x:c>
      <x:c r="AH193" s="48" t="n">
        <x:f>10*LOG10(AG193)</x:f>
        <x:v>-0.11789253048826</x:v>
      </x:c>
      <x:c r="AI193" s="48" t="n">
        <x:f>AC193-F193</x:f>
        <x:v>-116.9597342301372</x:v>
      </x:c>
      <x:c r="AJ193" s="48" t="n">
        <x:f>AD193-G193</x:f>
        <x:v>-1.3888830180620744</x:v>
      </x:c>
      <x:c r="AK193" s="48" t="n">
        <x:f>Y193-X193</x:f>
        <x:v>210.41026644438244</x:v>
      </x:c>
      <x:c r="AL193" s="48" t="n">
        <x:f>1000*(AA194-AA192)/(A194-A192)*Inputs!$C$11</x:f>
        <x:v>716.517485978784</x:v>
      </x:c>
      <x:c r="AM193" s="48" t="n">
        <x:f>-2*AL193/Inputs!$C$13</x:f>
        <x:v>-286.6069943915136</x:v>
      </x:c>
      <x:c r="AN193" s="48" t="n">
        <x:f>-2*AL193/Inputs!$C$14</x:f>
        <x:v>-43.03408324196901</x:v>
      </x:c>
      <x:c r="AO193" s="48" t="n">
        <x:f>ABS(AM193)</x:f>
        <x:v>286.6069943915136</x:v>
      </x:c>
      <x:c r="AP193" s="48" t="n">
        <x:f>ABS(AN193)</x:f>
        <x:v>43.03408324196901</x:v>
      </x:c>
      <x:c r="AQ193" s="48" t="n">
        <x:f>IF(OR(Inputs!$C$27=TRUE,Inputs!$C$27="TRUE",Inputs!$C$27=1),Inputs!$C$46/Inputs!$C$12,0)</x:f>
        <x:v>42.13483146067416</x:v>
      </x:c>
      <x:c r="AR193" s="48" t="n">
        <x:f>AC193-AQ193</x:f>
        <x:v>1493.3278775514623</x:v>
      </x:c>
      <x:c r="AS193" s="48" t="n">
        <x:f>AC193+AQ193</x:f>
        <x:v>1577.5975404728106</x:v>
      </x:c>
    </x:row>
    <x:row r="194">
      <x:c r="A194" s="48" t="n">
        <x:f>Inputs!$C$7+192*(Inputs!$C$8-Inputs!$C$7)/240</x:f>
        <x:v>36</x:v>
      </x:c>
      <x:c r="B194" s="48" t="n">
        <x:f>Inputs!$C$5+Inputs!$C$9*(A194/Inputs!$C$10)^2</x:f>
        <x:v>401.44</x:v>
      </x:c>
      <x:c r="C194" s="48" t="n">
        <x:f>B194</x:f>
        <x:v>401.44</x:v>
      </x:c>
      <x:c r="D194" s="48" t="n">
        <x:f>SQRT((Inputs!$C$52+B194)^2+Inputs!$C$52^2-2*(Inputs!$C$52+B194)*Inputs!$C$52*COS(SQRT(A194^2+Inputs!$C$6^2)/Inputs!$C$52))</x:f>
        <x:v>404.43664381283577</x:v>
      </x:c>
      <x:c r="E194" s="48" t="n">
        <x:f>(D194-C194)*1000</x:f>
        <x:v>2996.643812835771</x:v>
      </x:c>
      <x:c r="F194" s="48" t="n">
        <x:f>E194/Inputs!$C$12</x:f>
        <x:v>1683.507760020096</x:v>
      </x:c>
      <x:c r="G194" s="48" t="n">
        <x:f>2*E194/Inputs!$C$21*1000000</x:f>
        <x:v>19.99145564119409</x:v>
      </x:c>
      <x:c r="H194" s="48" t="n">
        <x:f>SQRT(A194^2+Inputs!$C$6^2)</x:f>
        <x:v>43.829214001622255</x:v>
      </x:c>
      <x:c r="I194" s="48" t="n">
        <x:f>DEGREES(ATAN(H194/B194))</x:f>
        <x:v>6.23087278213282</x:v>
      </x:c>
      <x:c r="J194" s="48" t="n">
        <x:f>DEGREES((2*PI()/Inputs!$C$13)*Inputs!$C$15*SIN(RADIANS(I194)))</x:f>
        <x:v>39.0726072191931</x:v>
      </x:c>
      <x:c r="K194" s="48" t="n">
        <x:f>(C194/D194)^4</x:f>
        <x:v>0.970690065330411</x:v>
      </x:c>
      <x:c r="L194" s="48" t="n">
        <x:f>10*LOG10(K194)</x:f>
        <x:v>-0.12919415203591</x:v>
      </x:c>
      <x:c r="M194" s="48" t="n">
        <x:f>2*(Inputs!$C$9/(Inputs!$C$10^2))*A194</x:f>
        <x:v>0.08</x:v>
      </x:c>
      <x:c r="N194" s="48" t="n">
        <x:f>M194*Inputs!$C$11</x:f>
        <x:v>0.32</x:v>
      </x:c>
      <x:c r="O194" s="48" t="n">
        <x:f>1000*(D195-D193)/(A195-A193)*Inputs!$C$11</x:f>
        <x:v>765.6837369277127</x:v>
      </x:c>
      <x:c r="P194" s="48" t="n">
        <x:f>-2*O194/Inputs!$C$13</x:f>
        <x:v>-306.2734947710851</x:v>
      </x:c>
      <x:c r="Q194" s="48" t="n">
        <x:f>-2*O194/Inputs!$C$14</x:f>
        <x:v>-45.987011226889656</x:v>
      </x:c>
      <x:c r="R194" s="48" t="n">
        <x:f>F194-Inputs!$C$16/2</x:f>
        <x:v>1668.507760020096</x:v>
      </x:c>
      <x:c r="S194" s="48" t="n">
        <x:f>F194+Inputs!$C$16/2</x:f>
        <x:v>1698.507760020096</x:v>
      </x:c>
      <x:c r="T194" s="48" t="n">
        <x:f>F194-Inputs!$C$17/2</x:f>
        <x:v>1533.507760020096</x:v>
      </x:c>
      <x:c r="U194" s="48" t="n">
        <x:f>F194+Inputs!$C$17/2</x:f>
        <x:v>1833.507760020096</x:v>
      </x:c>
      <x:c r="V194" s="48" t="n">
        <x:f>ABS(P194)</x:f>
        <x:v>306.2734947710851</x:v>
      </x:c>
      <x:c r="W194" s="48" t="n">
        <x:f>ABS(Q194)</x:f>
        <x:v>45.987011226889656</x:v>
      </x:c>
      <x:c r="X194" s="48" t="n">
        <x: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(0.45*SIN(2*PI()*(((A194)/Inputs!$C$49)+Inputs!$C$47*0.137))+0.35*COS(2*PI()*(((0)/Inputs!$C$50)+Inputs!$C$47*0.173))+0.20*SIN(2*PI()*(((A194)+(0))/(0.5*(Inputs!$C$49+Inputs!$C$50))+Inputs!$C$47*0.097)))+0.30*(2*((SIN(((A194)*12.9898+(0)*78.233+Inputs!$C$47*37.719))*43758.5453)-INT((SIN(((A194)*12.9898+(0)*78.233+Inputs!$C$47*37.719))*43758.5453)))-1)))</x:f>
        <x:v>45.422536466318</x:v>
      </x:c>
      <x:c r="Y194" s="48" t="n">
        <x: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(0.45*SIN(2*PI()*(((A194)/Inputs!$C$49)+Inputs!$C$47*0.137))+0.35*COS(2*PI()*(((Inputs!$C$6)/Inputs!$C$50)+Inputs!$C$47*0.173))+0.20*SIN(2*PI()*(((A194)+(Inputs!$C$6))/(0.5*(Inputs!$C$49+Inputs!$C$50))+Inputs!$C$47*0.097)))+0.30*(2*((SIN(((A194)*12.9898+(Inputs!$C$6)*78.233+Inputs!$C$47*37.719))*43758.5453)-INT((SIN(((A194)*12.9898+(Inputs!$C$6)*78.233+Inputs!$C$47*37.719))*43758.5453)))-1)))</x:f>
        <x:v>251.8480330414438</x:v>
      </x:c>
      <x:c r="Z194" s="48" t="n">
        <x:f>B194-X194/1000</x:f>
        <x:v>401.39457746353366</x:v>
      </x:c>
      <x:c r="AA194" s="48" t="n">
        <x:f>SQRT((Inputs!$C$52+B194)^2+(Inputs!$C$52+Y194/1000)^2-2*(Inputs!$C$52+B194)*(Inputs!$C$52+Y194/1000)*COS(SQRT(A194^2+Inputs!$C$6^2)/Inputs!$C$52))</x:f>
        <x:v>404.18714502750663</x:v>
      </x:c>
      <x:c r="AB194" s="48" t="n">
        <x:f>(AA194-Z194)*1000</x:f>
        <x:v>2792.567563972966</x:v>
      </x:c>
      <x:c r="AC194" s="48" t="n">
        <x:f>AB194/Inputs!$C$12</x:f>
        <x:v>1568.8581820072843</x:v>
      </x:c>
      <x:c r="AD194" s="48" t="n">
        <x:f>2*AB194/Inputs!$C$21*1000000</x:f>
        <x:v>18.630005455127</x:v>
      </x:c>
      <x:c r="AE194" s="48" t="n">
        <x:f>DEGREES(ATAN(H194/(B194-Y194/1000)))</x:f>
        <x:v>6.234753451370284</x:v>
      </x:c>
      <x:c r="AF194" s="48" t="n">
        <x:f>DEGREES((2*PI()/Inputs!$C$13)*Inputs!$C$15*SIN(RADIANS(AE194)))</x:f>
        <x:v>39.09684605420546</x:v>
      </x:c>
      <x:c r="AG194" s="48" t="n">
        <x:f>(Z194/AA194)^4</x:f>
        <x:v>0.9726487148456855</x:v>
      </x:c>
      <x:c r="AH194" s="48" t="n">
        <x:f>10*LOG10(AG194)</x:f>
        <x:v>-0.12043982702400201</x:v>
      </x:c>
      <x:c r="AI194" s="48" t="n">
        <x:f>AC194-F194</x:f>
        <x:v>-114.64957801281162</x:v>
      </x:c>
      <x:c r="AJ194" s="48" t="n">
        <x:f>AD194-G194</x:f>
        <x:v>-1.3614501860670885</x:v>
      </x:c>
      <x:c r="AK194" s="48" t="n">
        <x:f>Y194-X194</x:f>
        <x:v>206.4254965751258</x:v>
      </x:c>
      <x:c r="AL194" s="48" t="n">
        <x:f>1000*(AA195-AA193)/(A195-A193)*Inputs!$C$11</x:f>
        <x:v>640.5202104870114</x:v>
      </x:c>
      <x:c r="AM194" s="48" t="n">
        <x:f>-2*AL194/Inputs!$C$13</x:f>
        <x:v>-256.20808419480454</x:v>
      </x:c>
      <x:c r="AN194" s="48" t="n">
        <x:f>-2*AL194/Inputs!$C$14</x:f>
        <x:v>-38.46968231153222</x:v>
      </x:c>
      <x:c r="AO194" s="48" t="n">
        <x:f>ABS(AM194)</x:f>
        <x:v>256.20808419480454</x:v>
      </x:c>
      <x:c r="AP194" s="48" t="n">
        <x:f>ABS(AN194)</x:f>
        <x:v>38.46968231153222</x:v>
      </x:c>
      <x:c r="AQ194" s="48" t="n">
        <x:f>IF(OR(Inputs!$C$27=TRUE,Inputs!$C$27="TRUE",Inputs!$C$27=1),Inputs!$C$46/Inputs!$C$12,0)</x:f>
        <x:v>42.13483146067416</x:v>
      </x:c>
      <x:c r="AR194" s="48" t="n">
        <x:f>AC194-AQ194</x:f>
        <x:v>1526.7233505466102</x:v>
      </x:c>
      <x:c r="AS194" s="48" t="n">
        <x:f>AC194+AQ194</x:f>
        <x:v>1610.9930134679585</x:v>
      </x:c>
    </x:row>
    <x:row r="195">
      <x:c r="A195" s="48" t="n">
        <x:f>Inputs!$C$7+193*(Inputs!$C$8-Inputs!$C$7)/240</x:f>
        <x:v>36.5</x:v>
      </x:c>
      <x:c r="B195" s="48" t="n">
        <x:f>Inputs!$C$5+Inputs!$C$9*(A195/Inputs!$C$10)^2</x:f>
        <x:v>401.48027777777776</x:v>
      </x:c>
      <x:c r="C195" s="48" t="n">
        <x:f>B195</x:f>
        <x:v>401.48027777777776</x:v>
      </x:c>
      <x:c r="D195" s="48" t="n">
        <x:f>SQRT((Inputs!$C$52+B195)^2+Inputs!$C$52^2-2*(Inputs!$C$52+B195)*Inputs!$C$52*COS(SQRT(A195^2+Inputs!$C$6^2)/Inputs!$C$52))</x:f>
        <x:v>404.53301066098095</x:v>
      </x:c>
      <x:c r="E195" s="48" t="n">
        <x:f>(D195-C195)*1000</x:f>
        <x:v>3052.7328832031912</x:v>
      </x:c>
      <x:c r="F195" s="48" t="n">
        <x:f>E195/Inputs!$C$12</x:f>
        <x:v>1715.0184737096579</x:v>
      </x:c>
      <x:c r="G195" s="48" t="n">
        <x:f>2*E195/Inputs!$C$21*1000000</x:f>
        <x:v>20.36564164134637</x:v>
      </x:c>
      <x:c r="H195" s="48" t="n">
        <x:f>SQRT(A195^2+Inputs!$C$6^2)</x:f>
        <x:v>44.24081825644729</x:v>
      </x:c>
      <x:c r="I195" s="48" t="n">
        <x:f>DEGREES(ATAN(H195/B195))</x:f>
        <x:v>6.288294925190011</x:v>
      </x:c>
      <x:c r="J195" s="48" t="n">
        <x:f>DEGREES((2*PI()/Inputs!$C$13)*Inputs!$C$15*SIN(RADIANS(I195)))</x:f>
        <x:v>39.43125015731848</x:v>
      </x:c>
      <x:c r="K195" s="48" t="n">
        <x:f>(C195/D195)^4</x:f>
        <x:v>0.9701547117238182</x:v>
      </x:c>
      <x:c r="L195" s="48" t="n">
        <x:f>10*LOG10(K195)</x:f>
        <x:v>-0.131590027541831</x:v>
      </x:c>
      <x:c r="M195" s="48" t="n">
        <x:f>2*(Inputs!$C$9/(Inputs!$C$10^2))*A195</x:f>
        <x:v>0.0811111111111111</x:v>
      </x:c>
      <x:c r="N195" s="48" t="n">
        <x:f>M195*Inputs!$C$11</x:f>
        <x:v>0.3244444444444444</x:v>
      </x:c>
      <x:c r="O195" s="48" t="n">
        <x:f>1000*(D196-D194)/(A196-A194)*Inputs!$C$11</x:f>
        <x:v>776.1831047143914</x:v>
      </x:c>
      <x:c r="P195" s="48" t="n">
        <x:f>-2*O195/Inputs!$C$13</x:f>
        <x:v>-310.4732418857566</x:v>
      </x:c>
      <x:c r="Q195" s="48" t="n">
        <x:f>-2*O195/Inputs!$C$14</x:f>
        <x:v>-46.61760388675024</x:v>
      </x:c>
      <x:c r="R195" s="48" t="n">
        <x:f>F195-Inputs!$C$16/2</x:f>
        <x:v>1700.0184737096579</x:v>
      </x:c>
      <x:c r="S195" s="48" t="n">
        <x:f>F195+Inputs!$C$16/2</x:f>
        <x:v>1730.0184737096579</x:v>
      </x:c>
      <x:c r="T195" s="48" t="n">
        <x:f>F195-Inputs!$C$17/2</x:f>
        <x:v>1565.0184737096579</x:v>
      </x:c>
      <x:c r="U195" s="48" t="n">
        <x:f>F195+Inputs!$C$17/2</x:f>
        <x:v>1865.0184737096579</x:v>
      </x:c>
      <x:c r="V195" s="48" t="n">
        <x:f>ABS(P195)</x:f>
        <x:v>310.4732418857566</x:v>
      </x:c>
      <x:c r="W195" s="48" t="n">
        <x:f>ABS(Q195)</x:f>
        <x:v>46.61760388675024</x:v>
      </x:c>
      <x:c r="X195" s="48" t="n">
        <x: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(0.45*SIN(2*PI()*(((A195)/Inputs!$C$49)+Inputs!$C$47*0.137))+0.35*COS(2*PI()*(((0)/Inputs!$C$50)+Inputs!$C$47*0.173))+0.20*SIN(2*PI()*(((A195)+(0))/(0.5*(Inputs!$C$49+Inputs!$C$50))+Inputs!$C$47*0.097)))+0.30*(2*((SIN(((A195)*12.9898+(0)*78.233+Inputs!$C$47*37.719))*43758.5453)-INT((SIN(((A195)*12.9898+(0)*78.233+Inputs!$C$47*37.719))*43758.5453)))-1)))</x:f>
        <x:v>44.98219479967033</x:v>
      </x:c>
      <x:c r="Y195" s="48" t="n">
        <x: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(0.45*SIN(2*PI()*(((A195)/Inputs!$C$49)+Inputs!$C$47*0.137))+0.35*COS(2*PI()*(((Inputs!$C$6)/Inputs!$C$50)+Inputs!$C$47*0.173))+0.20*SIN(2*PI()*(((A195)+(Inputs!$C$6))/(0.5*(Inputs!$C$49+Inputs!$C$50))+Inputs!$C$47*0.097)))+0.30*(2*((SIN(((A195)*12.9898+(Inputs!$C$6)*78.233+Inputs!$C$47*37.719))*43758.5453)-INT((SIN(((A195)*12.9898+(Inputs!$C$6)*78.233+Inputs!$C$47*37.719))*43758.5453)))-1)))</x:f>
        <x:v>274.3131350022337</x:v>
      </x:c>
      <x:c r="Z195" s="48" t="n">
        <x:f>B195-X195/1000</x:f>
        <x:v>401.4352955829781</x:v>
      </x:c>
      <x:c r="AA195" s="48" t="n">
        <x:f>SQRT((Inputs!$C$52+B195)^2+(Inputs!$C$52+Y195/1000)^2-2*(Inputs!$C$52+B195)*(Inputs!$C$52+Y195/1000)*COS(SQRT(A195^2+Inputs!$C$6^2)/Inputs!$C$52))</x:f>
        <x:v>404.26130383618465</x:v>
      </x:c>
      <x:c r="AB195" s="48" t="n">
        <x:f>(AA195-Z195)*1000</x:f>
        <x:v>2826.0082532065667</x:v>
      </x:c>
      <x:c r="AC195" s="48" t="n">
        <x:f>AB195/Inputs!$C$12</x:f>
        <x:v>1587.6450860711047</x:v>
      </x:c>
      <x:c r="AD195" s="48" t="n">
        <x:f>2*AB195/Inputs!$C$21*1000000</x:f>
        <x:v>18.853097720067172</x:v>
      </x:c>
      <x:c r="AE195" s="48" t="n">
        <x:f>DEGREES(ATAN(H195/(B195-Y195/1000)))</x:f>
        <x:v>6.292559889962323</x:v>
      </x:c>
      <x:c r="AF195" s="48" t="n">
        <x:f>DEGREES((2*PI()/Inputs!$C$13)*Inputs!$C$15*SIN(RADIANS(AE195)))</x:f>
        <x:v>39.457886380548615</x:v>
      </x:c>
      <x:c r="AG195" s="48" t="n">
        <x:f>(Z195/AA195)^4</x:f>
        <x:v>0.9723296485280044</x:v>
      </x:c>
      <x:c r="AH195" s="48" t="n">
        <x:f>10*LOG10(AG195)</x:f>
        <x:v>-0.121864714261644</x:v>
      </x:c>
      <x:c r="AI195" s="48" t="n">
        <x:f>AC195-F195</x:f>
        <x:v>-127.37338763855314</x:v>
      </x:c>
      <x:c r="AJ195" s="48" t="n">
        <x:f>AD195-G195</x:f>
        <x:v>-1.5125439212791996</x:v>
      </x:c>
      <x:c r="AK195" s="48" t="n">
        <x:f>Y195-X195</x:f>
        <x:v>229.33094020256337</x:v>
      </x:c>
      <x:c r="AL195" s="48" t="n">
        <x:f>1000*(AA196-AA194)/(A196-A194)*Inputs!$C$11</x:f>
        <x:v>675.8302911002829</x:v>
      </x:c>
      <x:c r="AM195" s="48" t="n">
        <x:f>-2*AL195/Inputs!$C$13</x:f>
        <x:v>-270.33211644011317</x:v>
      </x:c>
      <x:c r="AN195" s="48" t="n">
        <x:f>-2*AL195/Inputs!$C$14</x:f>
        <x:v>-40.59040787389087</x:v>
      </x:c>
      <x:c r="AO195" s="48" t="n">
        <x:f>ABS(AM195)</x:f>
        <x:v>270.33211644011317</x:v>
      </x:c>
      <x:c r="AP195" s="48" t="n">
        <x:f>ABS(AN195)</x:f>
        <x:v>40.59040787389087</x:v>
      </x:c>
      <x:c r="AQ195" s="48" t="n">
        <x:f>IF(OR(Inputs!$C$27=TRUE,Inputs!$C$27="TRUE",Inputs!$C$27=1),Inputs!$C$46/Inputs!$C$12,0)</x:f>
        <x:v>42.13483146067416</x:v>
      </x:c>
      <x:c r="AR195" s="48" t="n">
        <x:f>AC195-AQ195</x:f>
        <x:v>1545.5102546104306</x:v>
      </x:c>
      <x:c r="AS195" s="48" t="n">
        <x:f>AC195+AQ195</x:f>
        <x:v>1629.779917531779</x:v>
      </x:c>
    </x:row>
    <x:row r="196">
      <x:c r="A196" s="48" t="n">
        <x:f>Inputs!$C$7+194*(Inputs!$C$8-Inputs!$C$7)/240</x:f>
        <x:v>37</x:v>
      </x:c>
      <x:c r="B196" s="48" t="n">
        <x:f>Inputs!$C$5+Inputs!$C$9*(A196/Inputs!$C$10)^2</x:f>
        <x:v>401.5211111111111</x:v>
      </x:c>
      <x:c r="C196" s="48" t="n">
        <x:f>B196</x:f>
        <x:v>401.5211111111111</x:v>
      </x:c>
      <x:c r="D196" s="48" t="n">
        <x:f>SQRT((Inputs!$C$52+B196)^2+Inputs!$C$52^2-2*(Inputs!$C$52+B196)*Inputs!$C$52*COS(SQRT(A196^2+Inputs!$C$6^2)/Inputs!$C$52))</x:f>
        <x:v>404.63068958901437</x:v>
      </x:c>
      <x:c r="E196" s="48" t="n">
        <x:f>(D196-C196)*1000</x:f>
        <x:v>3109.5784779032556</x:v>
      </x:c>
      <x:c r="F196" s="48" t="n">
        <x:f>E196/Inputs!$C$12</x:f>
        <x:v>1746.9542010692446</x:v>
      </x:c>
      <x:c r="G196" s="48" t="n">
        <x:f>2*E196/Inputs!$C$21*1000000</x:f>
        <x:v>20.744874628588924</x:v>
      </x:c>
      <x:c r="H196" s="48" t="n">
        <x:f>SQRT(A196^2+Inputs!$C$6^2)</x:f>
        <x:v>44.654227123532216</x:v>
      </x:c>
      <x:c r="I196" s="48" t="n">
        <x:f>DEGREES(ATAN(H196/B196))</x:f>
        <x:v>6.345938529407371</x:v>
      </x:c>
      <x:c r="J196" s="48" t="n">
        <x:f>DEGREES((2*PI()/Inputs!$C$13)*Inputs!$C$15*SIN(RADIANS(I196)))</x:f>
        <x:v>39.791236445792514</x:v>
      </x:c>
      <x:c r="K196" s="48" t="n">
        <x:f>(C196/D196)^4</x:f>
        <x:v>0.9696126242218804</x:v>
      </x:c>
      <x:c r="L196" s="48" t="n">
        <x:f>10*LOG10(K196)</x:f>
        <x:v>-0.134017386870616</x:v>
      </x:c>
      <x:c r="M196" s="48" t="n">
        <x:f>2*(Inputs!$C$9/(Inputs!$C$10^2))*A196</x:f>
        <x:v>0.08222222222222222</x:v>
      </x:c>
      <x:c r="N196" s="48" t="n">
        <x:f>M196*Inputs!$C$11</x:f>
        <x:v>0.3288888888888889</x:v>
      </x:c>
      <x:c r="O196" s="48" t="n">
        <x:f>1000*(D197-D195)/(A197-A195)*Inputs!$C$11</x:f>
        <x:v>786.6769807858418</x:v>
      </x:c>
      <x:c r="P196" s="48" t="n">
        <x:f>-2*O196/Inputs!$C$13</x:f>
        <x:v>-314.6707923143367</x:v>
      </x:c>
      <x:c r="Q196" s="48" t="n">
        <x:f>-2*O196/Inputs!$C$14</x:f>
        <x:v>-47.247866713864376</x:v>
      </x:c>
      <x:c r="R196" s="48" t="n">
        <x:f>F196-Inputs!$C$16/2</x:f>
        <x:v>1731.9542010692446</x:v>
      </x:c>
      <x:c r="S196" s="48" t="n">
        <x:f>F196+Inputs!$C$16/2</x:f>
        <x:v>1761.9542010692446</x:v>
      </x:c>
      <x:c r="T196" s="48" t="n">
        <x:f>F196-Inputs!$C$17/2</x:f>
        <x:v>1596.9542010692446</x:v>
      </x:c>
      <x:c r="U196" s="48" t="n">
        <x:f>F196+Inputs!$C$17/2</x:f>
        <x:v>1896.9542010692446</x:v>
      </x:c>
      <x:c r="V196" s="48" t="n">
        <x:f>ABS(P196)</x:f>
        <x:v>314.6707923143367</x:v>
      </x:c>
      <x:c r="W196" s="48" t="n">
        <x:f>ABS(Q196)</x:f>
        <x:v>47.247866713864376</x:v>
      </x:c>
      <x:c r="X196" s="48" t="n">
        <x: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(0.45*SIN(2*PI()*(((A196)/Inputs!$C$49)+Inputs!$C$47*0.137))+0.35*COS(2*PI()*(((0)/Inputs!$C$50)+Inputs!$C$47*0.173))+0.20*SIN(2*PI()*(((A196)+(0))/(0.5*(Inputs!$C$49+Inputs!$C$50))+Inputs!$C$47*0.097)))+0.30*(2*((SIN(((A196)*12.9898+(0)*78.233+Inputs!$C$47*37.719))*43758.5453)-INT((SIN(((A196)*12.9898+(0)*78.233+Inputs!$C$47*37.719))*43758.5453)))-1)))</x:f>
        <x:v>58.36098804305038</x:v>
      </x:c>
      <x:c r="Y196" s="48" t="n">
        <x: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(0.45*SIN(2*PI()*(((A196)/Inputs!$C$49)+Inputs!$C$47*0.137))+0.35*COS(2*PI()*(((Inputs!$C$6)/Inputs!$C$50)+Inputs!$C$47*0.173))+0.20*SIN(2*PI()*(((A196)+(Inputs!$C$6))/(0.5*(Inputs!$C$49+Inputs!$C$50))+Inputs!$C$47*0.097)))+0.30*(2*((SIN(((A196)*12.9898+(Inputs!$C$6)*78.233+Inputs!$C$47*37.719))*43758.5453)-INT((SIN(((A196)*12.9898+(Inputs!$C$6)*78.233+Inputs!$C$47*37.719))*43758.5453)))-1)))</x:f>
        <x:v>277.26991348245565</x:v>
      </x:c>
      <x:c r="Z196" s="48" t="n">
        <x:f>B196-X196/1000</x:f>
        <x:v>401.4627501230681</x:v>
      </x:c>
      <x:c r="AA196" s="48" t="n">
        <x:f>SQRT((Inputs!$C$52+B196)^2+(Inputs!$C$52+Y196/1000)^2-2*(Inputs!$C$52+B196)*(Inputs!$C$52+Y196/1000)*COS(SQRT(A196^2+Inputs!$C$6^2)/Inputs!$C$52))</x:f>
        <x:v>404.3561026002817</x:v>
      </x:c>
      <x:c r="AB196" s="48" t="n">
        <x:f>(AA196-Z196)*1000</x:f>
        <x:v>2893.352477213625</x:v>
      </x:c>
      <x:c r="AC196" s="48" t="n">
        <x:f>AB196/Inputs!$C$12</x:f>
        <x:v>1625.4789197829355</x:v>
      </x:c>
      <x:c r="AD196" s="48" t="n">
        <x:f>2*AB196/Inputs!$C$21*1000000</x:f>
        <x:v>19.302370023021897</x:v>
      </x:c>
      <x:c r="AE196" s="48" t="n">
        <x:f>DEGREES(ATAN(H196/(B196-Y196/1000)))</x:f>
        <x:v>6.350287925973654</x:v>
      </x:c>
      <x:c r="AF196" s="48" t="n">
        <x:f>DEGREES((2*PI()/Inputs!$C$13)*Inputs!$C$15*SIN(RADIANS(AE196)))</x:f>
        <x:v>39.818396947193</x:v>
      </x:c>
      <x:c r="AG196" s="48" t="n">
        <x:f>(Z196/AA196)^4</x:f>
        <x:v>0.9716839147607972</x:v>
      </x:c>
      <x:c r="AH196" s="48" t="n">
        <x:f>10*LOG10(AG196)</x:f>
        <x:v>-0.124749865142137</x:v>
      </x:c>
      <x:c r="AI196" s="48" t="n">
        <x:f>AC196-F196</x:f>
        <x:v>-121.47528128630915</x:v>
      </x:c>
      <x:c r="AJ196" s="48" t="n">
        <x:f>AD196-G196</x:f>
        <x:v>-1.4425046055670272</x:v>
      </x:c>
      <x:c r="AK196" s="48" t="n">
        <x:f>Y196-X196</x:f>
        <x:v>218.90892543940527</x:v>
      </x:c>
      <x:c r="AL196" s="48" t="n">
        <x:f>1000*(AA197-AA195)/(A197-A195)*Inputs!$C$11</x:f>
        <x:v>761.8300064207233</x:v>
      </x:c>
      <x:c r="AM196" s="48" t="n">
        <x:f>-2*AL196/Inputs!$C$13</x:f>
        <x:v>-304.7320025682893</x:v>
      </x:c>
      <x:c r="AN196" s="48" t="n">
        <x:f>-2*AL196/Inputs!$C$14</x:f>
        <x:v>-45.75555594118459</x:v>
      </x:c>
      <x:c r="AO196" s="48" t="n">
        <x:f>ABS(AM196)</x:f>
        <x:v>304.7320025682893</x:v>
      </x:c>
      <x:c r="AP196" s="48" t="n">
        <x:f>ABS(AN196)</x:f>
        <x:v>45.75555594118459</x:v>
      </x:c>
      <x:c r="AQ196" s="48" t="n">
        <x:f>IF(OR(Inputs!$C$27=TRUE,Inputs!$C$27="TRUE",Inputs!$C$27=1),Inputs!$C$46/Inputs!$C$12,0)</x:f>
        <x:v>42.13483146067416</x:v>
      </x:c>
      <x:c r="AR196" s="48" t="n">
        <x:f>AC196-AQ196</x:f>
        <x:v>1583.3440883222613</x:v>
      </x:c>
      <x:c r="AS196" s="48" t="n">
        <x:f>AC196+AQ196</x:f>
        <x:v>1667.6137512436096</x:v>
      </x:c>
    </x:row>
    <x:row r="197">
      <x:c r="A197" s="48" t="n">
        <x:f>Inputs!$C$7+195*(Inputs!$C$8-Inputs!$C$7)/240</x:f>
        <x:v>37.5</x:v>
      </x:c>
      <x:c r="B197" s="48" t="n">
        <x:f>Inputs!$C$5+Inputs!$C$9*(A197/Inputs!$C$10)^2</x:f>
        <x:v>401.5625</x:v>
      </x:c>
      <x:c r="C197" s="48" t="n">
        <x:f>B197</x:f>
        <x:v>401.5625</x:v>
      </x:c>
      <x:c r="D197" s="48" t="n">
        <x:f>SQRT((Inputs!$C$52+B197)^2+Inputs!$C$52^2-2*(Inputs!$C$52+B197)*Inputs!$C$52*COS(SQRT(A197^2+Inputs!$C$6^2)/Inputs!$C$52))</x:f>
        <x:v>404.7296799061774</x:v>
      </x:c>
      <x:c r="E197" s="48" t="n">
        <x:f>(D197-C197)*1000</x:f>
        <x:v>3167.1799061774095</x:v>
      </x:c>
      <x:c r="F197" s="48" t="n">
        <x:f>E197/Inputs!$C$12</x:f>
        <x:v>1779.3145540322525</x:v>
      </x:c>
      <x:c r="G197" s="48" t="n">
        <x:f>2*E197/Inputs!$C$21*1000000</x:f>
        <x:v>21.129149994676713</x:v>
      </x:c>
      <x:c r="H197" s="48" t="n">
        <x:f>SQRT(A197^2+Inputs!$C$6^2)</x:f>
        <x:v>45.069390943299865</x:v>
      </x:c>
      <x:c r="I197" s="48" t="n">
        <x:f>DEGREES(ATAN(H197/B197))</x:f>
        <x:v>6.403796017933305</x:v>
      </x:c>
      <x:c r="J197" s="48" t="n">
        <x:f>DEGREES((2*PI()/Inputs!$C$13)*Inputs!$C$15*SIN(RADIANS(I197)))</x:f>
        <x:v>40.15251794840797</x:v>
      </x:c>
      <x:c r="K197" s="48" t="n">
        <x:f>(C197/D197)^4</x:f>
        <x:v>0.9690638284279562</x:v>
      </x:c>
      <x:c r="L197" s="48" t="n">
        <x:f>10*LOG10(K197)</x:f>
        <x:v>-0.136476167354935</x:v>
      </x:c>
      <x:c r="M197" s="48" t="n">
        <x:f>2*(Inputs!$C$9/(Inputs!$C$10^2))*A197</x:f>
        <x:v>0.08333333333333333</x:v>
      </x:c>
      <x:c r="N197" s="48" t="n">
        <x:f>M197*Inputs!$C$11</x:f>
        <x:v>0.3333333333333333</x:v>
      </x:c>
      <x:c r="O197" s="48" t="n">
        <x:f>1000*(D198-D196)/(A198-A196)*Inputs!$C$11</x:f>
        <x:v>797.165296622552</x:v>
      </x:c>
      <x:c r="P197" s="48" t="n">
        <x:f>-2*O197/Inputs!$C$13</x:f>
        <x:v>-318.8661186490208</x:v>
      </x:c>
      <x:c r="Q197" s="48" t="n">
        <x:f>-2*O197/Inputs!$C$14</x:f>
        <x:v>-47.87779559294607</x:v>
      </x:c>
      <x:c r="R197" s="48" t="n">
        <x:f>F197-Inputs!$C$16/2</x:f>
        <x:v>1764.3145540322525</x:v>
      </x:c>
      <x:c r="S197" s="48" t="n">
        <x:f>F197+Inputs!$C$16/2</x:f>
        <x:v>1794.3145540322525</x:v>
      </x:c>
      <x:c r="T197" s="48" t="n">
        <x:f>F197-Inputs!$C$17/2</x:f>
        <x:v>1629.3145540322525</x:v>
      </x:c>
      <x:c r="U197" s="48" t="n">
        <x:f>F197+Inputs!$C$17/2</x:f>
        <x:v>1929.3145540322525</x:v>
      </x:c>
      <x:c r="V197" s="48" t="n">
        <x:f>ABS(P197)</x:f>
        <x:v>318.8661186490208</x:v>
      </x:c>
      <x:c r="W197" s="48" t="n">
        <x:f>ABS(Q197)</x:f>
        <x:v>47.87779559294607</x:v>
      </x:c>
      <x:c r="X197" s="48" t="n">
        <x: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(0.45*SIN(2*PI()*(((A197)/Inputs!$C$49)+Inputs!$C$47*0.137))+0.35*COS(2*PI()*(((0)/Inputs!$C$50)+Inputs!$C$47*0.173))+0.20*SIN(2*PI()*(((A197)+(0))/(0.5*(Inputs!$C$49+Inputs!$C$50))+Inputs!$C$47*0.097)))+0.30*(2*((SIN(((A197)*12.9898+(0)*78.233+Inputs!$C$47*37.719))*43758.5453)-INT((SIN(((A197)*12.9898+(0)*78.233+Inputs!$C$47*37.719))*43758.5453)))-1)))</x:f>
        <x:v>56.08108474403666</x:v>
      </x:c>
      <x:c r="Y197" s="48" t="n">
        <x: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(0.45*SIN(2*PI()*(((A197)/Inputs!$C$49)+Inputs!$C$47*0.137))+0.35*COS(2*PI()*(((Inputs!$C$6)/Inputs!$C$50)+Inputs!$C$47*0.173))+0.20*SIN(2*PI()*(((A197)+(Inputs!$C$6))/(0.5*(Inputs!$C$49+Inputs!$C$50))+Inputs!$C$47*0.097)))+0.30*(2*((SIN(((A197)*12.9898+(Inputs!$C$6)*78.233+Inputs!$C$47*37.719))*43758.5453)-INT((SIN(((A197)*12.9898+(Inputs!$C$6)*78.233+Inputs!$C$47*37.719))*43758.5453)))-1)))</x:f>
        <x:v>280.6842863692354</x:v>
      </x:c>
      <x:c r="Z197" s="48" t="n">
        <x:f>B197-X197/1000</x:f>
        <x:v>401.50641891525595</x:v>
      </x:c>
      <x:c r="AA197" s="48" t="n">
        <x:f>SQRT((Inputs!$C$52+B197)^2+(Inputs!$C$52+Y197/1000)^2-2*(Inputs!$C$52+B197)*(Inputs!$C$52+Y197/1000)*COS(SQRT(A197^2+Inputs!$C$6^2)/Inputs!$C$52))</x:f>
        <x:v>404.45176133778983</x:v>
      </x:c>
      <x:c r="AB197" s="48" t="n">
        <x:f>(AA197-Z197)*1000</x:f>
        <x:v>2945.3424225338836</x:v>
      </x:c>
      <x:c r="AC197" s="48" t="n">
        <x:f>AB197/Inputs!$C$12</x:f>
        <x:v>1654.6867542325188</x:v>
      </x:c>
      <x:c r="AD197" s="48" t="n">
        <x:f>2*AB197/Inputs!$C$21*1000000</x:f>
        <x:v>19.649209604424964</x:v>
      </x:c>
      <x:c r="AE197" s="48" t="n">
        <x:f>DEGREES(ATAN(H197/(B197-Y197/1000)))</x:f>
        <x:v>6.408238027619321</x:v>
      </x:c>
      <x:c r="AF197" s="48" t="n">
        <x:f>DEGREES((2*PI()/Inputs!$C$13)*Inputs!$C$15*SIN(RADIANS(AE197)))</x:f>
        <x:v>40.180253654335004</x:v>
      </x:c>
      <x:c r="AG197" s="48" t="n">
        <x:f>(Z197/AA197)^4</x:f>
        <x:v>0.9711874168768995</x:v>
      </x:c>
      <x:c r="AH197" s="48" t="n">
        <x:f>10*LOG10(AG197)</x:f>
        <x:v>-0.12696953139008701</x:v>
      </x:c>
      <x:c r="AI197" s="48" t="n">
        <x:f>AC197-F197</x:f>
        <x:v>-124.6277997997338</x:v>
      </x:c>
      <x:c r="AJ197" s="48" t="n">
        <x:f>AD197-G197</x:f>
        <x:v>-1.4799403902517483</x:v>
      </x:c>
      <x:c r="AK197" s="48" t="n">
        <x:f>Y197-X197</x:f>
        <x:v>224.60320162519872</x:v>
      </x:c>
      <x:c r="AL197" s="48" t="n">
        <x:f>1000*(AA198-AA196)/(A198-A196)*Inputs!$C$11</x:f>
        <x:v>777.3582721436014</x:v>
      </x:c>
      <x:c r="AM197" s="48" t="n">
        <x:f>-2*AL197/Inputs!$C$13</x:f>
        <x:v>-310.94330885744057</x:v>
      </x:c>
      <x:c r="AN197" s="48" t="n">
        <x:f>-2*AL197/Inputs!$C$14</x:f>
        <x:v>-46.688184513129215</x:v>
      </x:c>
      <x:c r="AO197" s="48" t="n">
        <x:f>ABS(AM197)</x:f>
        <x:v>310.94330885744057</x:v>
      </x:c>
      <x:c r="AP197" s="48" t="n">
        <x:f>ABS(AN197)</x:f>
        <x:v>46.688184513129215</x:v>
      </x:c>
      <x:c r="AQ197" s="48" t="n">
        <x:f>IF(OR(Inputs!$C$27=TRUE,Inputs!$C$27="TRUE",Inputs!$C$27=1),Inputs!$C$46/Inputs!$C$12,0)</x:f>
        <x:v>42.13483146067416</x:v>
      </x:c>
      <x:c r="AR197" s="48" t="n">
        <x:f>AC197-AQ197</x:f>
        <x:v>1612.5519227718446</x:v>
      </x:c>
      <x:c r="AS197" s="48" t="n">
        <x:f>AC197+AQ197</x:f>
        <x:v>1696.821585693193</x:v>
      </x:c>
    </x:row>
    <x:row r="198">
      <x:c r="A198" s="48" t="n">
        <x:f>Inputs!$C$7+196*(Inputs!$C$8-Inputs!$C$7)/240</x:f>
        <x:v>38</x:v>
      </x:c>
      <x:c r="B198" s="48" t="n">
        <x:f>Inputs!$C$5+Inputs!$C$9*(A198/Inputs!$C$10)^2</x:f>
        <x:v>401.6044444444444</x:v>
      </x:c>
      <x:c r="C198" s="48" t="n">
        <x:f>B198</x:f>
        <x:v>401.6044444444444</x:v>
      </x:c>
      <x:c r="D198" s="48" t="n">
        <x:f>SQRT((Inputs!$C$52+B198)^2+Inputs!$C$52^2-2*(Inputs!$C$52+B198)*Inputs!$C$52*COS(SQRT(A198^2+Inputs!$C$6^2)/Inputs!$C$52))</x:f>
        <x:v>404.82998091317</x:v>
      </x:c>
      <x:c r="E198" s="48" t="n">
        <x:f>(D198-C198)*1000</x:f>
        <x:v>3225.536468725579</x:v>
      </x:c>
      <x:c r="F198" s="48" t="n">
        <x:f>E198/Inputs!$C$12</x:f>
        <x:v>1812.0991397334715</x:v>
      </x:c>
      <x:c r="G198" s="48" t="n">
        <x:f>2*E198/Inputs!$C$21*1000000</x:f>
        <x:v>21.518463074381806</x:v>
      </x:c>
      <x:c r="H198" s="48" t="n">
        <x:f>SQRT(A198^2+Inputs!$C$6^2)</x:f>
        <x:v>45.48626166217664</x:v>
      </x:c>
      <x:c r="I198" s="48" t="n">
        <x:f>DEGREES(ATAN(H198/B198))</x:f>
        <x:v>6.4618600446971834</x:v>
      </x:c>
      <x:c r="J198" s="48" t="n">
        <x:f>DEGREES((2*PI()/Inputs!$C$13)*Inputs!$C$15*SIN(RADIANS(I198)))</x:f>
        <x:v>40.51504798123695</x:v>
      </x:c>
      <x:c r="K198" s="48" t="n">
        <x:f>(C198/D198)^4</x:f>
        <x:v>0.9685083502199494</x:v>
      </x:c>
      <x:c r="L198" s="48" t="n">
        <x:f>10*LOG10(K198)</x:f>
        <x:v>-0.138966305578663</x:v>
      </x:c>
      <x:c r="M198" s="48" t="n">
        <x:f>2*(Inputs!$C$9/(Inputs!$C$10^2))*A198</x:f>
        <x:v>0.08444444444444445</x:v>
      </x:c>
      <x:c r="N198" s="48" t="n">
        <x:f>M198*Inputs!$C$11</x:f>
        <x:v>0.3377777777777778</x:v>
      </x:c>
      <x:c r="O198" s="48" t="n">
        <x:f>1000*(D199-D197)/(A199-A197)*Inputs!$C$11</x:f>
        <x:v>807.647983991501</x:v>
      </x:c>
      <x:c r="P198" s="48" t="n">
        <x:f>-2*O198/Inputs!$C$13</x:f>
        <x:v>-323.0591935966004</x:v>
      </x:c>
      <x:c r="Q198" s="48" t="n">
        <x:f>-2*O198/Inputs!$C$14</x:f>
        <x:v>-48.507386425915975</x:v>
      </x:c>
      <x:c r="R198" s="48" t="n">
        <x:f>F198-Inputs!$C$16/2</x:f>
        <x:v>1797.0991397334715</x:v>
      </x:c>
      <x:c r="S198" s="48" t="n">
        <x:f>F198+Inputs!$C$16/2</x:f>
        <x:v>1827.0991397334715</x:v>
      </x:c>
      <x:c r="T198" s="48" t="n">
        <x:f>F198-Inputs!$C$17/2</x:f>
        <x:v>1662.0991397334715</x:v>
      </x:c>
      <x:c r="U198" s="48" t="n">
        <x:f>F198+Inputs!$C$17/2</x:f>
        <x:v>1962.0991397334715</x:v>
      </x:c>
      <x:c r="V198" s="48" t="n">
        <x:f>ABS(P198)</x:f>
        <x:v>323.0591935966004</x:v>
      </x:c>
      <x:c r="W198" s="48" t="n">
        <x:f>ABS(Q198)</x:f>
        <x:v>48.507386425915975</x:v>
      </x:c>
      <x:c r="X198" s="48" t="n">
        <x: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(0.45*SIN(2*PI()*(((A198)/Inputs!$C$49)+Inputs!$C$47*0.137))+0.35*COS(2*PI()*(((0)/Inputs!$C$50)+Inputs!$C$47*0.173))+0.20*SIN(2*PI()*(((A198)+(0))/(0.5*(Inputs!$C$49+Inputs!$C$50))+Inputs!$C$47*0.097)))+0.30*(2*((SIN(((A198)*12.9898+(0)*78.233+Inputs!$C$47*37.719))*43758.5453)-INT((SIN(((A198)*12.9898+(0)*78.233+Inputs!$C$47*37.719))*43758.5453)))-1)))</x:f>
        <x:v>74.89136844725374</x:v>
      </x:c>
      <x:c r="Y198" s="48" t="n">
        <x: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(0.45*SIN(2*PI()*(((A198)/Inputs!$C$49)+Inputs!$C$47*0.137))+0.35*COS(2*PI()*(((Inputs!$C$6)/Inputs!$C$50)+Inputs!$C$47*0.173))+0.20*SIN(2*PI()*(((A198)+(Inputs!$C$6))/(0.5*(Inputs!$C$49+Inputs!$C$50))+Inputs!$C$47*0.097)))+0.30*(2*((SIN(((A198)*12.9898+(Inputs!$C$6)*78.233+Inputs!$C$47*37.719))*43758.5453)-INT((SIN(((A198)*12.9898+(Inputs!$C$6)*78.233+Inputs!$C$47*37.719))*43758.5453)))-1)))</x:f>
        <x:v>282.3717678695042</x:v>
      </x:c>
      <x:c r="Z198" s="48" t="n">
        <x:f>B198-X198/1000</x:f>
        <x:v>401.52955307599717</x:v>
      </x:c>
      <x:c r="AA198" s="48" t="n">
        <x:f>SQRT((Inputs!$C$52+B198)^2+(Inputs!$C$52+Y198/1000)^2-2*(Inputs!$C$52+B198)*(Inputs!$C$52+Y198/1000)*COS(SQRT(A198^2+Inputs!$C$6^2)/Inputs!$C$52))</x:f>
        <x:v>404.5504421683176</x:v>
      </x:c>
      <x:c r="AB198" s="48" t="n">
        <x:f>(AA198-Z198)*1000</x:f>
        <x:v>3020.889092320431</x:v>
      </x:c>
      <x:c r="AC198" s="48" t="n">
        <x:f>AB198/Inputs!$C$12</x:f>
        <x:v>1697.1287035508037</x:v>
      </x:c>
      <x:c r="AD198" s="48" t="n">
        <x:f>2*AB198/Inputs!$C$21*1000000</x:f>
        <x:v>20.153202735476626</x:v>
      </x:c>
      <x:c r="AE198" s="48" t="n">
        <x:f>DEGREES(ATAN(H198/(B198-Y198/1000)))</x:f>
        <x:v>6.46636813872967</x:v>
      </x:c>
      <x:c r="AF198" s="48" t="n">
        <x:f>DEGREES((2*PI()/Inputs!$C$13)*Inputs!$C$15*SIN(RADIANS(AE198)))</x:f>
        <x:v>40.543193095807204</x:v>
      </x:c>
      <x:c r="AG198" s="48" t="n">
        <x:f>(Z198/AA198)^4</x:f>
        <x:v>0.9704638017818429</x:v>
      </x:c>
      <x:c r="AH198" s="48" t="n">
        <x:f>10*LOG10(AG198)</x:f>
        <x:v>-0.130206591211484</x:v>
      </x:c>
      <x:c r="AI198" s="48" t="n">
        <x:f>AC198-F198</x:f>
        <x:v>-114.97043618266775</x:v>
      </x:c>
      <x:c r="AJ198" s="48" t="n">
        <x:f>AD198-G198</x:f>
        <x:v>-1.3652603389051805</x:v>
      </x:c>
      <x:c r="AK198" s="48" t="n">
        <x:f>Y198-X198</x:f>
        <x:v>207.48039942225046</x:v>
      </x:c>
      <x:c r="AL198" s="48" t="n">
        <x:f>1000*(AA199-AA197)/(A199-A197)*Inputs!$C$11</x:f>
        <x:v>687.309908687439</x:v>
      </x:c>
      <x:c r="AM198" s="48" t="n">
        <x:f>-2*AL198/Inputs!$C$13</x:f>
        <x:v>-274.9239634749756</x:v>
      </x:c>
      <x:c r="AN198" s="48" t="n">
        <x:f>-2*AL198/Inputs!$C$14</x:f>
        <x:v>-41.27987439564199</x:v>
      </x:c>
      <x:c r="AO198" s="48" t="n">
        <x:f>ABS(AM198)</x:f>
        <x:v>274.9239634749756</x:v>
      </x:c>
      <x:c r="AP198" s="48" t="n">
        <x:f>ABS(AN198)</x:f>
        <x:v>41.27987439564199</x:v>
      </x:c>
      <x:c r="AQ198" s="48" t="n">
        <x:f>IF(OR(Inputs!$C$27=TRUE,Inputs!$C$27="TRUE",Inputs!$C$27=1),Inputs!$C$46/Inputs!$C$12,0)</x:f>
        <x:v>42.13483146067416</x:v>
      </x:c>
      <x:c r="AR198" s="48" t="n">
        <x:f>AC198-AQ198</x:f>
        <x:v>1654.9938720901296</x:v>
      </x:c>
      <x:c r="AS198" s="48" t="n">
        <x:f>AC198+AQ198</x:f>
        <x:v>1739.2635350114779</x:v>
      </x:c>
    </x:row>
    <x:row r="199">
      <x:c r="A199" s="48" t="n">
        <x:f>Inputs!$C$7+197*(Inputs!$C$8-Inputs!$C$7)/240</x:f>
        <x:v>38.5</x:v>
      </x:c>
      <x:c r="B199" s="48" t="n">
        <x:f>Inputs!$C$5+Inputs!$C$9*(A199/Inputs!$C$10)^2</x:f>
        <x:v>401.64694444444444</x:v>
      </x:c>
      <x:c r="C199" s="48" t="n">
        <x:f>B199</x:f>
        <x:v>401.64694444444444</x:v>
      </x:c>
      <x:c r="D199" s="48" t="n">
        <x:f>SQRT((Inputs!$C$52+B199)^2+Inputs!$C$52^2-2*(Inputs!$C$52+B199)*Inputs!$C$52*COS(SQRT(A199^2+Inputs!$C$6^2)/Inputs!$C$52))</x:f>
        <x:v>404.9315919021753</x:v>
      </x:c>
      <x:c r="E199" s="48" t="n">
        <x:f>(D199-C199)*1000</x:f>
        <x:v>3284.6474577308413</x:v>
      </x:c>
      <x:c r="F199" s="48" t="n">
        <x:f>E199/Inputs!$C$12</x:f>
        <x:v>1845.3075605229446</x:v>
      </x:c>
      <x:c r="G199" s="48" t="n">
        <x:f>2*E199/Inputs!$C$21*1000000</x:f>
        <x:v>21.91280914565797</x:v>
      </x:c>
      <x:c r="H199" s="48" t="n">
        <x:f>SQRT(A199^2+Inputs!$C$6^2)</x:f>
        <x:v>45.90479277809671</x:v>
      </x:c>
      <x:c r="I199" s="48" t="n">
        <x:f>DEGREES(ATAN(H199/B199))</x:f>
        <x:v>6.520123486642501</x:v>
      </x:c>
      <x:c r="J199" s="48" t="n">
        <x:f>DEGREES((2*PI()/Inputs!$C$13)*Inputs!$C$15*SIN(RADIANS(I199)))</x:f>
        <x:v>40.87878126391779</x:v>
      </x:c>
      <x:c r="K199" s="48" t="n">
        <x:f>(C199/D199)^4</x:f>
        <x:v>0.9679462157476372</x:v>
      </x:c>
      <x:c r="L199" s="48" t="n">
        <x:f>10*LOG10(K199)</x:f>
        <x:v>-0.141487737380481</x:v>
      </x:c>
      <x:c r="M199" s="48" t="n">
        <x:f>2*(Inputs!$C$9/(Inputs!$C$10^2))*A199</x:f>
        <x:v>0.08555555555555555</x:v>
      </x:c>
      <x:c r="N199" s="48" t="n">
        <x:f>M199*Inputs!$C$11</x:f>
        <x:v>0.3422222222222222</x:v>
      </x:c>
      <x:c r="O199" s="48" t="n">
        <x:f>1000*(D200-D198)/(A200-A198)*Inputs!$C$11</x:f>
        <x:v>818.1249749061408</x:v>
      </x:c>
      <x:c r="P199" s="48" t="n">
        <x:f>-2*O199/Inputs!$C$13</x:f>
        <x:v>-327.2499899624563</x:v>
      </x:c>
      <x:c r="Q199" s="48" t="n">
        <x:f>-2*O199/Inputs!$C$14</x:f>
        <x:v>-49.13663512949795</x:v>
      </x:c>
      <x:c r="R199" s="48" t="n">
        <x:f>F199-Inputs!$C$16/2</x:f>
        <x:v>1830.3075605229446</x:v>
      </x:c>
      <x:c r="S199" s="48" t="n">
        <x:f>F199+Inputs!$C$16/2</x:f>
        <x:v>1860.3075605229446</x:v>
      </x:c>
      <x:c r="T199" s="48" t="n">
        <x:f>F199-Inputs!$C$17/2</x:f>
        <x:v>1695.3075605229446</x:v>
      </x:c>
      <x:c r="U199" s="48" t="n">
        <x:f>F199+Inputs!$C$17/2</x:f>
        <x:v>1995.3075605229446</x:v>
      </x:c>
      <x:c r="V199" s="48" t="n">
        <x:f>ABS(P199)</x:f>
        <x:v>327.2499899624563</x:v>
      </x:c>
      <x:c r="W199" s="48" t="n">
        <x:f>ABS(Q199)</x:f>
        <x:v>49.13663512949795</x:v>
      </x:c>
      <x:c r="X199" s="48" t="n">
        <x: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(0.45*SIN(2*PI()*(((A199)/Inputs!$C$49)+Inputs!$C$47*0.137))+0.35*COS(2*PI()*(((0)/Inputs!$C$50)+Inputs!$C$47*0.173))+0.20*SIN(2*PI()*(((A199)+(0))/(0.5*(Inputs!$C$49+Inputs!$C$50))+Inputs!$C$47*0.097)))+0.30*(2*((SIN(((A199)*12.9898+(0)*78.233+Inputs!$C$47*37.719))*43758.5453)-INT((SIN(((A199)*12.9898+(0)*78.233+Inputs!$C$47*37.719))*43758.5453)))-1)))</x:f>
        <x:v>81.22943665181958</x:v>
      </x:c>
      <x:c r="Y199" s="48" t="n">
        <x: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(0.45*SIN(2*PI()*(((A199)/Inputs!$C$49)+Inputs!$C$47*0.137))+0.35*COS(2*PI()*(((Inputs!$C$6)/Inputs!$C$50)+Inputs!$C$47*0.173))+0.20*SIN(2*PI()*(((A199)+(Inputs!$C$6))/(0.5*(Inputs!$C$49+Inputs!$C$50))+Inputs!$C$47*0.097)))+0.30*(2*((SIN(((A199)*12.9898+(Inputs!$C$6)*78.233+Inputs!$C$47*37.719))*43758.5453)-INT((SIN(((A199)*12.9898+(Inputs!$C$6)*78.233+Inputs!$C$47*37.719))*43758.5453)))-1)))</x:f>
        <x:v>311.18191933727104</x:v>
      </x:c>
      <x:c r="Z199" s="48" t="n">
        <x:f>B199-X199/1000</x:f>
        <x:v>401.5657150077926</x:v>
      </x:c>
      <x:c r="AA199" s="48" t="n">
        <x:f>SQRT((Inputs!$C$52+B199)^2+(Inputs!$C$52+Y199/1000)^2-2*(Inputs!$C$52+B199)*(Inputs!$C$52+Y199/1000)*COS(SQRT(A199^2+Inputs!$C$6^2)/Inputs!$C$52))</x:f>
        <x:v>404.6235888149617</x:v>
      </x:c>
      <x:c r="AB199" s="48" t="n">
        <x:f>(AA199-Z199)*1000</x:f>
        <x:v>3057.8738071690736</x:v>
      </x:c>
      <x:c r="AC199" s="48" t="n">
        <x:f>AB199/Inputs!$C$12</x:f>
        <x:v>1717.9066332410525</x:v>
      </x:c>
      <x:c r="AD199" s="48" t="n">
        <x:f>2*AB199/Inputs!$C$21*1000000</x:f>
        <x:v>20.39993819436961</x:v>
      </x:c>
      <x:c r="AE199" s="48" t="n">
        <x:f>DEGREES(ATAN(H199/(B199-Y199/1000)))</x:f>
        <x:v>6.525135383182239</x:v>
      </x:c>
      <x:c r="AF199" s="48" t="n">
        <x:f>DEGREES((2*PI()/Inputs!$C$13)*Inputs!$C$15*SIN(RADIANS(AE199)))</x:f>
        <x:v>40.91006810160046</x:v>
      </x:c>
      <x:c r="AG199" s="48" t="n">
        <x:f>(Z199/AA199)^4</x:f>
        <x:v>0.9701116379205166</x:v>
      </x:c>
      <x:c r="AH199" s="48" t="n">
        <x:f>10*LOG10(AG199)</x:f>
        <x:v>-0.131782853800916</x:v>
      </x:c>
      <x:c r="AI199" s="48" t="n">
        <x:f>AC199-F199</x:f>
        <x:v>-127.40092728189211</x:v>
      </x:c>
      <x:c r="AJ199" s="48" t="n">
        <x:f>AD199-G199</x:f>
        <x:v>-1.5128709512883596</x:v>
      </x:c>
      <x:c r="AK199" s="48" t="n">
        <x:f>Y199-X199</x:f>
        <x:v>229.95248268545146</x:v>
      </x:c>
      <x:c r="AL199" s="48" t="n">
        <x:f>1000*(AA200-AA198)/(A200-A198)*Inputs!$C$11</x:f>
        <x:v>737.502906333475</x:v>
      </x:c>
      <x:c r="AM199" s="48" t="n">
        <x:f>-2*AL199/Inputs!$C$13</x:f>
        <x:v>-295.00116253339</x:v>
      </x:c>
      <x:c r="AN199" s="48" t="n">
        <x:f>-2*AL199/Inputs!$C$14</x:f>
        <x:v>-44.29446884885736</x:v>
      </x:c>
      <x:c r="AO199" s="48" t="n">
        <x:f>ABS(AM199)</x:f>
        <x:v>295.00116253339</x:v>
      </x:c>
      <x:c r="AP199" s="48" t="n">
        <x:f>ABS(AN199)</x:f>
        <x:v>44.29446884885736</x:v>
      </x:c>
      <x:c r="AQ199" s="48" t="n">
        <x:f>IF(OR(Inputs!$C$27=TRUE,Inputs!$C$27="TRUE",Inputs!$C$27=1),Inputs!$C$46/Inputs!$C$12,0)</x:f>
        <x:v>42.13483146067416</x:v>
      </x:c>
      <x:c r="AR199" s="48" t="n">
        <x:f>AC199-AQ199</x:f>
        <x:v>1675.7718017803784</x:v>
      </x:c>
      <x:c r="AS199" s="48" t="n">
        <x:f>AC199+AQ199</x:f>
        <x:v>1760.0414647017267</x:v>
      </x:c>
    </x:row>
    <x:row r="200">
      <x:c r="A200" s="48" t="n">
        <x:f>Inputs!$C$7+198*(Inputs!$C$8-Inputs!$C$7)/240</x:f>
        <x:v>39</x:v>
      </x:c>
      <x:c r="B200" s="48" t="n">
        <x:f>Inputs!$C$5+Inputs!$C$9*(A200/Inputs!$C$10)^2</x:f>
        <x:v>401.69</x:v>
      </x:c>
      <x:c r="C200" s="48" t="n">
        <x:f>B200</x:f>
        <x:v>401.69</x:v>
      </x:c>
      <x:c r="D200" s="48" t="n">
        <x:f>SQRT((Inputs!$C$52+B200)^2+Inputs!$C$52^2-2*(Inputs!$C$52+B200)*Inputs!$C$52*COS(SQRT(A200^2+Inputs!$C$6^2)/Inputs!$C$52))</x:f>
        <x:v>405.03451215689654</x:v>
      </x:c>
      <x:c r="E200" s="48" t="n">
        <x:f>(D200-C200)*1000</x:f>
        <x:v>3344.512156896542</x:v>
      </x:c>
      <x:c r="F200" s="48" t="n">
        <x:f>E200/Inputs!$C$12</x:f>
        <x:v>1878.9394139868214</x:v>
      </x:c>
      <x:c r="G200" s="48" t="n">
        <x:f>2*E200/Inputs!$C$21*1000000</x:f>
        <x:v>22.3121834298883</x:v>
      </x:c>
      <x:c r="H200" s="48" t="n">
        <x:f>SQRT(A200^2+Inputs!$C$6^2)</x:f>
        <x:v>46.32493928760188</x:v>
      </x:c>
      <x:c r="I200" s="48" t="n">
        <x:f>DEGREES(ATAN(H200/B200))</x:f>
        <x:v>6.57857943618696</x:v>
      </x:c>
      <x:c r="J200" s="48" t="n">
        <x:f>DEGREES((2*PI()/Inputs!$C$13)*Inputs!$C$15*SIN(RADIANS(I200)))</x:f>
        <x:v>41.2436738723648</x:v>
      </x:c>
      <x:c r="K200" s="48" t="n">
        <x:f>(C200/D200)^4</x:f>
        <x:v>0.9673774514298505</x:v>
      </x:c>
      <x:c r="L200" s="48" t="n">
        <x:f>10*LOG10(K200)</x:f>
        <x:v>-0.144040397858093</x:v>
      </x:c>
      <x:c r="M200" s="48" t="n">
        <x:f>2*(Inputs!$C$9/(Inputs!$C$10^2))*A200</x:f>
        <x:v>0.08666666666666667</x:v>
      </x:c>
      <x:c r="N200" s="48" t="n">
        <x:f>M200*Inputs!$C$11</x:f>
        <x:v>0.3466666666666667</x:v>
      </x:c>
      <x:c r="O200" s="48" t="n">
        <x:f>1000*(D201-D199)/(A201-A199)*Inputs!$C$11</x:f>
        <x:v>828.5962016493613</x:v>
      </x:c>
      <x:c r="P200" s="48" t="n">
        <x:f>-2*O200/Inputs!$C$13</x:f>
        <x:v>-331.4384806597445</x:v>
      </x:c>
      <x:c r="Q200" s="48" t="n">
        <x:f>-2*O200/Inputs!$C$14</x:f>
        <x:v>-49.76553763659828</x:v>
      </x:c>
      <x:c r="R200" s="48" t="n">
        <x:f>F200-Inputs!$C$16/2</x:f>
        <x:v>1863.9394139868214</x:v>
      </x:c>
      <x:c r="S200" s="48" t="n">
        <x:f>F200+Inputs!$C$16/2</x:f>
        <x:v>1893.9394139868214</x:v>
      </x:c>
      <x:c r="T200" s="48" t="n">
        <x:f>F200-Inputs!$C$17/2</x:f>
        <x:v>1728.9394139868214</x:v>
      </x:c>
      <x:c r="U200" s="48" t="n">
        <x:f>F200+Inputs!$C$17/2</x:f>
        <x:v>2028.9394139868214</x:v>
      </x:c>
      <x:c r="V200" s="48" t="n">
        <x:f>ABS(P200)</x:f>
        <x:v>331.4384806597445</x:v>
      </x:c>
      <x:c r="W200" s="48" t="n">
        <x:f>ABS(Q200)</x:f>
        <x:v>49.76553763659828</x:v>
      </x:c>
      <x:c r="X200" s="48" t="n">
        <x: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(0.45*SIN(2*PI()*(((A200)/Inputs!$C$49)+Inputs!$C$47*0.137))+0.35*COS(2*PI()*(((0)/Inputs!$C$50)+Inputs!$C$47*0.173))+0.20*SIN(2*PI()*(((A200)+(0))/(0.5*(Inputs!$C$49+Inputs!$C$50))+Inputs!$C$47*0.097)))+0.30*(2*((SIN(((A200)*12.9898+(0)*78.233+Inputs!$C$47*37.719))*43758.5453)-INT((SIN(((A200)*12.9898+(0)*78.233+Inputs!$C$47*37.719))*43758.5453)))-1)))</x:f>
        <x:v>82.75771702731363</x:v>
      </x:c>
      <x:c r="Y200" s="48" t="n">
        <x: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(0.45*SIN(2*PI()*(((A200)/Inputs!$C$49)+Inputs!$C$47*0.137))+0.35*COS(2*PI()*(((Inputs!$C$6)/Inputs!$C$50)+Inputs!$C$47*0.173))+0.20*SIN(2*PI()*(((A200)+(Inputs!$C$6))/(0.5*(Inputs!$C$49+Inputs!$C$50))+Inputs!$C$47*0.097)))+0.30*(2*((SIN(((A200)*12.9898+(Inputs!$C$6)*78.233+Inputs!$C$47*37.719))*43758.5453)-INT((SIN(((A200)*12.9898+(Inputs!$C$6)*78.233+Inputs!$C$47*37.719))*43758.5453)))-1)))</x:f>
        <x:v>302.8435496777789</x:v>
      </x:c>
      <x:c r="Z200" s="48" t="n">
        <x:f>B200-X200/1000</x:f>
        <x:v>401.60724228297266</x:v>
      </x:c>
      <x:c r="AA200" s="48" t="n">
        <x:f>SQRT((Inputs!$C$52+B200)^2+(Inputs!$C$52+Y200/1000)^2-2*(Inputs!$C$52+B200)*(Inputs!$C$52+Y200/1000)*COS(SQRT(A200^2+Inputs!$C$6^2)/Inputs!$C$52))</x:f>
        <x:v>404.73481789490097</x:v>
      </x:c>
      <x:c r="AB200" s="48" t="n">
        <x:f>(AA200-Z200)*1000</x:f>
        <x:v>3127.5756119283074</x:v>
      </x:c>
      <x:c r="AC200" s="48" t="n">
        <x:f>AB200/Inputs!$C$12</x:f>
        <x:v>1757.064950521521</x:v>
      </x:c>
      <x:c r="AD200" s="48" t="n">
        <x:f>2*AB200/Inputs!$C$21*1000000</x:f>
        <x:v>20.86493858313345</x:v>
      </x:c>
      <x:c r="AE200" s="48" t="n">
        <x:f>DEGREES(ATAN(H200/(B200-Y200/1000)))</x:f>
        <x:v>6.583499367443908</x:v>
      </x:c>
      <x:c r="AF200" s="48" t="n">
        <x:f>DEGREES((2*PI()/Inputs!$C$13)*Inputs!$C$15*SIN(RADIANS(AE200)))</x:f>
        <x:v>41.27438301961188</x:v>
      </x:c>
      <x:c r="AG200" s="48" t="n">
        <x:f>(Z200/AA200)^4</x:f>
        <x:v>0.9694465658984454</x:v>
      </x:c>
      <x:c r="AH200" s="48" t="n">
        <x:f>10*LOG10(AG200)</x:f>
        <x:v>-0.134761234341448</x:v>
      </x:c>
      <x:c r="AI200" s="48" t="n">
        <x:f>AC200-F200</x:f>
        <x:v>-121.87446346530032</x:v>
      </x:c>
      <x:c r="AJ200" s="48" t="n">
        <x:f>AD200-G200</x:f>
        <x:v>-1.4472448467548489</x:v>
      </x:c>
      <x:c r="AK200" s="48" t="n">
        <x:f>Y200-X200</x:f>
        <x:v>220.0858326504653</x:v>
      </x:c>
      <x:c r="AL200" s="48" t="n">
        <x:f>1000*(AA201-AA199)/(A201-A199)*Inputs!$C$11</x:f>
        <x:v>877.5477287108515</x:v>
      </x:c>
      <x:c r="AM200" s="48" t="n">
        <x:f>-2*AL200/Inputs!$C$13</x:f>
        <x:v>-351.0190914843406</x:v>
      </x:c>
      <x:c r="AN200" s="48" t="n">
        <x:f>-2*AL200/Inputs!$C$14</x:f>
        <x:v>-52.705569291943036</x:v>
      </x:c>
      <x:c r="AO200" s="48" t="n">
        <x:f>ABS(AM200)</x:f>
        <x:v>351.0190914843406</x:v>
      </x:c>
      <x:c r="AP200" s="48" t="n">
        <x:f>ABS(AN200)</x:f>
        <x:v>52.705569291943036</x:v>
      </x:c>
      <x:c r="AQ200" s="48" t="n">
        <x:f>IF(OR(Inputs!$C$27=TRUE,Inputs!$C$27="TRUE",Inputs!$C$27=1),Inputs!$C$46/Inputs!$C$12,0)</x:f>
        <x:v>42.13483146067416</x:v>
      </x:c>
      <x:c r="AR200" s="48" t="n">
        <x:f>AC200-AQ200</x:f>
        <x:v>1714.930119060847</x:v>
      </x:c>
      <x:c r="AS200" s="48" t="n">
        <x:f>AC200+AQ200</x:f>
        <x:v>1799.1997819821952</x:v>
      </x:c>
    </x:row>
    <x:row r="201">
      <x:c r="A201" s="48" t="n">
        <x:f>Inputs!$C$7+199*(Inputs!$C$8-Inputs!$C$7)/240</x:f>
        <x:v>39.5</x:v>
      </x:c>
      <x:c r="B201" s="48" t="n">
        <x:f>Inputs!$C$5+Inputs!$C$9*(A201/Inputs!$C$10)^2</x:f>
        <x:v>401.7336111111111</x:v>
      </x:c>
      <x:c r="C201" s="48" t="n">
        <x:f>B201</x:f>
        <x:v>401.7336111111111</x:v>
      </x:c>
      <x:c r="D201" s="48" t="n">
        <x:f>SQRT((Inputs!$C$52+B201)^2+Inputs!$C$52^2-2*(Inputs!$C$52+B201)*Inputs!$C$52*COS(SQRT(A201^2+Inputs!$C$6^2)/Inputs!$C$52))</x:f>
        <x:v>405.1387409525876</x:v>
      </x:c>
      <x:c r="E201" s="48" t="n">
        <x:f>(D201-C201)*1000</x:f>
        <x:v>3405.129841476537</x:v>
      </x:c>
      <x:c r="F201" s="48" t="n">
        <x:f>E201/Inputs!$C$12</x:f>
        <x:v>1912.9942929643466</x:v>
      </x:c>
      <x:c r="G201" s="48" t="n">
        <x:f>2*E201/Inputs!$C$21*1000000</x:f>
        <x:v>22.716581092086958</x:v>
      </x:c>
      <x:c r="H201" s="48" t="n">
        <x:f>SQRT(A201^2+Inputs!$C$6^2)</x:f>
        <x:v>46.74665763453041</x:v>
      </x:c>
      <x:c r="I201" s="48" t="n">
        <x:f>DEGREES(ATAN(H201/B201))</x:f>
        <x:v>6.637221193908625</x:v>
      </x:c>
      <x:c r="J201" s="48" t="n">
        <x:f>DEGREES((2*PI()/Inputs!$C$13)*Inputs!$C$15*SIN(RADIANS(I201)))</x:f>
        <x:v>41.609683192895545</x:v>
      </x:c>
      <x:c r="K201" s="48" t="n">
        <x:f>(C201/D201)^4</x:f>
        <x:v>0.9668020839517065</x:v>
      </x:c>
      <x:c r="L201" s="48" t="n">
        <x:f>10*LOG10(K201)</x:f>
        <x:v>-0.146624221372138</x:v>
      </x:c>
      <x:c r="M201" s="48" t="n">
        <x:f>2*(Inputs!$C$9/(Inputs!$C$10^2))*A201</x:f>
        <x:v>0.08777777777777777</x:v>
      </x:c>
      <x:c r="N201" s="48" t="n">
        <x:f>M201*Inputs!$C$11</x:f>
        <x:v>0.3511111111111111</x:v>
      </x:c>
      <x:c r="O201" s="48" t="n">
        <x:f>1000*(D202-D200)/(A202-A200)*Inputs!$C$11</x:f>
        <x:v>839.0615967759913</x:v>
      </x:c>
      <x:c r="P201" s="48" t="n">
        <x:f>-2*O201/Inputs!$C$13</x:f>
        <x:v>-335.62463871039654</x:v>
      </x:c>
      <x:c r="Q201" s="48" t="n">
        <x:f>-2*O201/Inputs!$C$14</x:f>
        <x:v>-50.39408989645594</x:v>
      </x:c>
      <x:c r="R201" s="48" t="n">
        <x:f>F201-Inputs!$C$16/2</x:f>
        <x:v>1897.9942929643466</x:v>
      </x:c>
      <x:c r="S201" s="48" t="n">
        <x:f>F201+Inputs!$C$16/2</x:f>
        <x:v>1927.9942929643466</x:v>
      </x:c>
      <x:c r="T201" s="48" t="n">
        <x:f>F201-Inputs!$C$17/2</x:f>
        <x:v>1762.9942929643466</x:v>
      </x:c>
      <x:c r="U201" s="48" t="n">
        <x:f>F201+Inputs!$C$17/2</x:f>
        <x:v>2062.9942929643466</x:v>
      </x:c>
      <x:c r="V201" s="48" t="n">
        <x:f>ABS(P201)</x:f>
        <x:v>335.62463871039654</x:v>
      </x:c>
      <x:c r="W201" s="48" t="n">
        <x:f>ABS(Q201)</x:f>
        <x:v>50.39408989645594</x:v>
      </x:c>
      <x:c r="X201" s="48" t="n">
        <x: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(0.45*SIN(2*PI()*(((A201)/Inputs!$C$49)+Inputs!$C$47*0.137))+0.35*COS(2*PI()*(((0)/Inputs!$C$50)+Inputs!$C$47*0.173))+0.20*SIN(2*PI()*(((A201)+(0))/(0.5*(Inputs!$C$49+Inputs!$C$50))+Inputs!$C$47*0.097)))+0.30*(2*((SIN(((A201)*12.9898+(0)*78.233+Inputs!$C$47*37.719))*43758.5453)-INT((SIN(((A201)*12.9898+(0)*78.233+Inputs!$C$47*37.719))*43758.5453)))-1)))</x:f>
        <x:v>76.31271490051972</x:v>
      </x:c>
      <x:c r="Y201" s="48" t="n">
        <x: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(0.45*SIN(2*PI()*(((A201)/Inputs!$C$49)+Inputs!$C$47*0.137))+0.35*COS(2*PI()*(((Inputs!$C$6)/Inputs!$C$50)+Inputs!$C$47*0.173))+0.20*SIN(2*PI()*(((A201)+(Inputs!$C$6))/(0.5*(Inputs!$C$49+Inputs!$C$50))+Inputs!$C$47*0.097)))+0.30*(2*((SIN(((A201)*12.9898+(Inputs!$C$6)*78.233+Inputs!$C$47*37.719))*43758.5453)-INT((SIN(((A201)*12.9898+(Inputs!$C$6)*78.233+Inputs!$C$47*37.719))*43758.5453)))-1)))</x:f>
        <x:v>298.92940490783735</x:v>
      </x:c>
      <x:c r="Z201" s="48" t="n">
        <x:f>B201-X201/1000</x:f>
        <x:v>401.6572983962106</x:v>
      </x:c>
      <x:c r="AA201" s="48" t="n">
        <x:f>SQRT((Inputs!$C$52+B201)^2+(Inputs!$C$52+Y201/1000)^2-2*(Inputs!$C$52+B201)*(Inputs!$C$52+Y201/1000)*COS(SQRT(A201^2+Inputs!$C$6^2)/Inputs!$C$52))</x:f>
        <x:v>404.8429757471394</x:v>
      </x:c>
      <x:c r="AB201" s="48" t="n">
        <x:f>(AA201-Z201)*1000</x:f>
        <x:v>3185.677350928813</x:v>
      </x:c>
      <x:c r="AC201" s="48" t="n">
        <x:f>AB201/Inputs!$C$12</x:f>
        <x:v>1789.7063769262995</x:v>
      </x:c>
      <x:c r="AD201" s="48" t="n">
        <x:f>2*AB201/Inputs!$C$21*1000000</x:f>
        <x:v>21.25255166311631</x:v>
      </x:c>
      <x:c r="AE201" s="48" t="n">
        <x:f>DEGREES(ATAN(H201/(B201-Y201/1000)))</x:f>
        <x:v>6.642119472465843</x:v>
      </x:c>
      <x:c r="AF201" s="48" t="n">
        <x:f>DEGREES((2*PI()/Inputs!$C$13)*Inputs!$C$15*SIN(RADIANS(AE201)))</x:f>
        <x:v>41.64025356319033</x:v>
      </x:c>
      <x:c r="AG201" s="48" t="n">
        <x:f>(Z201/AA201)^4</x:f>
        <x:v>0.9688938907798773</x:v>
      </x:c>
      <x:c r="AH201" s="48" t="n">
        <x:f>10*LOG10(AG201)</x:f>
        <x:v>-0.13723782466341</x:v>
      </x:c>
      <x:c r="AI201" s="48" t="n">
        <x:f>AC201-F201</x:f>
        <x:v>-123.28791603804711</x:v>
      </x:c>
      <x:c r="AJ201" s="48" t="n">
        <x:f>AD201-G201</x:f>
        <x:v>-1.4640294289706475</x:v>
      </x:c>
      <x:c r="AK201" s="48" t="n">
        <x:f>Y201-X201</x:f>
        <x:v>222.61669000731763</x:v>
      </x:c>
      <x:c r="AL201" s="48" t="n">
        <x:f>1000*(AA202-AA200)/(A202-A200)*Inputs!$C$11</x:f>
        <x:v>831.6900835675369</x:v>
      </x:c>
      <x:c r="AM201" s="48" t="n">
        <x:f>-2*AL201/Inputs!$C$13</x:f>
        <x:v>-332.6760334270148</x:v>
      </x:c>
      <x:c r="AN201" s="48" t="n">
        <x:f>-2*AL201/Inputs!$C$14</x:f>
        <x:v>-49.951356370422644</x:v>
      </x:c>
      <x:c r="AO201" s="48" t="n">
        <x:f>ABS(AM201)</x:f>
        <x:v>332.6760334270148</x:v>
      </x:c>
      <x:c r="AP201" s="48" t="n">
        <x:f>ABS(AN201)</x:f>
        <x:v>49.951356370422644</x:v>
      </x:c>
      <x:c r="AQ201" s="48" t="n">
        <x:f>IF(OR(Inputs!$C$27=TRUE,Inputs!$C$27="TRUE",Inputs!$C$27=1),Inputs!$C$46/Inputs!$C$12,0)</x:f>
        <x:v>42.13483146067416</x:v>
      </x:c>
      <x:c r="AR201" s="48" t="n">
        <x:f>AC201-AQ201</x:f>
        <x:v>1747.5715454656254</x:v>
      </x:c>
      <x:c r="AS201" s="48" t="n">
        <x:f>AC201+AQ201</x:f>
        <x:v>1831.8412083869737</x:v>
      </x:c>
    </x:row>
    <x:row r="202">
      <x:c r="A202" s="48" t="n">
        <x:f>Inputs!$C$7+200*(Inputs!$C$8-Inputs!$C$7)/240</x:f>
        <x:v>40</x:v>
      </x:c>
      <x:c r="B202" s="48" t="n">
        <x:f>Inputs!$C$5+Inputs!$C$9*(A202/Inputs!$C$10)^2</x:f>
        <x:v>401.77777777777777</x:v>
      </x:c>
      <x:c r="C202" s="48" t="n">
        <x:f>B202</x:f>
        <x:v>401.77777777777777</x:v>
      </x:c>
      <x:c r="D202" s="48" t="n">
        <x:f>SQRT((Inputs!$C$52+B202)^2+Inputs!$C$52^2-2*(Inputs!$C$52+B202)*Inputs!$C$52*COS(SQRT(A202^2+Inputs!$C$6^2)/Inputs!$C$52))</x:f>
        <x:v>405.24427755609054</x:v>
      </x:c>
      <x:c r="E202" s="48" t="n">
        <x:f>(D202-C202)*1000</x:f>
        <x:v>3466.499778312766</x:v>
      </x:c>
      <x:c r="F202" s="48" t="n">
        <x:f>E202/Inputs!$C$12</x:f>
        <x:v>1947.4717855689696</x:v>
      </x:c>
      <x:c r="G202" s="48" t="n">
        <x:f>2*E202/Inputs!$C$21*1000000</x:f>
        <x:v>23.12599724114985</x:v>
      </x:c>
      <x:c r="H202" s="48" t="n">
        <x:f>SQRT(A202^2+Inputs!$C$6^2)</x:f>
        <x:v>47.16990566028302</x:v>
      </x:c>
      <x:c r="I202" s="48" t="n">
        <x:f>DEGREES(ATAN(H202/B202))</x:f>
        <x:v>6.696042261456512</x:v>
      </x:c>
      <x:c r="J202" s="48" t="n">
        <x:f>DEGREES((2*PI()/Inputs!$C$13)*Inputs!$C$15*SIN(RADIANS(I202)))</x:f>
        <x:v>41.976767877765525</x:v>
      </x:c>
      <x:c r="K202" s="48" t="n">
        <x:f>(C202/D202)^4</x:f>
        <x:v>0.9662201402617542</x:v>
      </x:c>
      <x:c r="L202" s="48" t="n">
        <x:f>10*LOG10(K202)</x:f>
        <x:v>-0.14923914155044</x:v>
      </x:c>
      <x:c r="M202" s="48" t="n">
        <x:f>2*(Inputs!$C$9/(Inputs!$C$10^2))*A202</x:f>
        <x:v>0.08888888888888889</x:v>
      </x:c>
      <x:c r="N202" s="48" t="n">
        <x:f>M202*Inputs!$C$11</x:f>
        <x:v>0.35555555555555557</x:v>
      </x:c>
      <x:c r="O202" s="48" t="n">
        <x:f>1000*(D203-D201)/(A203-A201)*Inputs!$C$11</x:f>
        <x:v>849.5210931248494</x:v>
      </x:c>
      <x:c r="P202" s="48" t="n">
        <x:f>-2*O202/Inputs!$C$13</x:f>
        <x:v>-339.80843724993974</x:v>
      </x:c>
      <x:c r="Q202" s="48" t="n">
        <x:f>-2*O202/Inputs!$C$14</x:f>
        <x:v>-51.02228787536633</x:v>
      </x:c>
      <x:c r="R202" s="48" t="n">
        <x:f>F202-Inputs!$C$16/2</x:f>
        <x:v>1932.4717855689696</x:v>
      </x:c>
      <x:c r="S202" s="48" t="n">
        <x:f>F202+Inputs!$C$16/2</x:f>
        <x:v>1962.4717855689696</x:v>
      </x:c>
      <x:c r="T202" s="48" t="n">
        <x:f>F202-Inputs!$C$17/2</x:f>
        <x:v>1797.4717855689696</x:v>
      </x:c>
      <x:c r="U202" s="48" t="n">
        <x:f>F202+Inputs!$C$17/2</x:f>
        <x:v>2097.4717855689696</x:v>
      </x:c>
      <x:c r="V202" s="48" t="n">
        <x:f>ABS(P202)</x:f>
        <x:v>339.80843724993974</x:v>
      </x:c>
      <x:c r="W202" s="48" t="n">
        <x:f>ABS(Q202)</x:f>
        <x:v>51.02228787536633</x:v>
      </x:c>
      <x:c r="X202" s="48" t="n">
        <x: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(0.45*SIN(2*PI()*(((A202)/Inputs!$C$49)+Inputs!$C$47*0.137))+0.35*COS(2*PI()*(((0)/Inputs!$C$50)+Inputs!$C$47*0.173))+0.20*SIN(2*PI()*(((A202)+(0))/(0.5*(Inputs!$C$49+Inputs!$C$50))+Inputs!$C$47*0.097)))+0.30*(2*((SIN(((A202)*12.9898+(0)*78.233+Inputs!$C$47*37.719))*43758.5453)-INT((SIN(((A202)*12.9898+(0)*78.233+Inputs!$C$47*37.719))*43758.5453)))-1)))</x:f>
        <x:v>66.26609020115302</x:v>
      </x:c>
      <x:c r="Y202" s="48" t="n">
        <x: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(0.45*SIN(2*PI()*(((A202)/Inputs!$C$49)+Inputs!$C$47*0.137))+0.35*COS(2*PI()*(((Inputs!$C$6)/Inputs!$C$50)+Inputs!$C$47*0.173))+0.20*SIN(2*PI()*(((A202)+(Inputs!$C$6))/(0.5*(Inputs!$C$49+Inputs!$C$50))+Inputs!$C$47*0.097)))+0.30*(2*((SIN(((A202)*12.9898+(Inputs!$C$6)*78.233+Inputs!$C$47*37.719))*43758.5453)-INT((SIN(((A202)*12.9898+(Inputs!$C$6)*78.233+Inputs!$C$47*37.719))*43758.5453)))-1)))</x:f>
        <x:v>304.82117281231683</x:v>
      </x:c>
      <x:c r="Z202" s="48" t="n">
        <x:f>B202-X202/1000</x:f>
        <x:v>401.7115116875766</x:v>
      </x:c>
      <x:c r="AA202" s="48" t="n">
        <x:f>SQRT((Inputs!$C$52+B202)^2+(Inputs!$C$52+Y202/1000)^2-2*(Inputs!$C$52+B202)*(Inputs!$C$52+Y202/1000)*COS(SQRT(A202^2+Inputs!$C$6^2)/Inputs!$C$52))</x:f>
        <x:v>404.94274041579285</x:v>
      </x:c>
      <x:c r="AB202" s="48" t="n">
        <x:f>(AA202-Z202)*1000</x:f>
        <x:v>3231.2287282162515</x:v>
      </x:c>
      <x:c r="AC202" s="48" t="n">
        <x:f>AB202/Inputs!$C$12</x:f>
        <x:v>1815.2970383237368</x:v>
      </x:c>
      <x:c r="AD202" s="48" t="n">
        <x:f>2*AB202/Inputs!$C$21*1000000</x:f>
        <x:v>21.556437742114593</x:v>
      </x:c>
      <x:c r="AE202" s="48" t="n">
        <x:f>DEGREES(ATAN(H202/(B202-Y202/1000)))</x:f>
        <x:v>6.7010800609249275</x:v>
      </x:c>
      <x:c r="AF202" s="48" t="n">
        <x:f>DEGREES((2*PI()/Inputs!$C$13)*Inputs!$C$15*SIN(RADIANS(AE202)))</x:f>
        <x:v>42.008205225736646</x:v>
      </x:c>
      <x:c r="AG202" s="48" t="n">
        <x:f>(Z202/AA202)^4</x:f>
        <x:v>0.9684621207357355</x:v>
      </x:c>
      <x:c r="AH202" s="48" t="n">
        <x:f>10*LOG10(AG202)</x:f>
        <x:v>-0.13917361085461</x:v>
      </x:c>
      <x:c r="AI202" s="48" t="n">
        <x:f>AC202-F202</x:f>
        <x:v>-132.17474724523277</x:v>
      </x:c>
      <x:c r="AJ202" s="48" t="n">
        <x:f>AD202-G202</x:f>
        <x:v>-1.5695594990352575</x:v>
      </x:c>
      <x:c r="AK202" s="48" t="n">
        <x:f>Y202-X202</x:f>
        <x:v>238.5550826111638</x:v>
      </x:c>
      <x:c r="AL202" s="48" t="n">
        <x:f>1000*(AA203-AA201)/(A203-A201)*Inputs!$C$11</x:f>
        <x:v>842.9794297849185</x:v>
      </x:c>
      <x:c r="AM202" s="48" t="n">
        <x:f>-2*AL202/Inputs!$C$13</x:f>
        <x:v>-337.1917719139674</x:v>
      </x:c>
      <x:c r="AN202" s="48" t="n">
        <x:f>-2*AL202/Inputs!$C$14</x:f>
        <x:v>-50.62939518227739</x:v>
      </x:c>
      <x:c r="AO202" s="48" t="n">
        <x:f>ABS(AM202)</x:f>
        <x:v>337.1917719139674</x:v>
      </x:c>
      <x:c r="AP202" s="48" t="n">
        <x:f>ABS(AN202)</x:f>
        <x:v>50.62939518227739</x:v>
      </x:c>
      <x:c r="AQ202" s="48" t="n">
        <x:f>IF(OR(Inputs!$C$27=TRUE,Inputs!$C$27="TRUE",Inputs!$C$27=1),Inputs!$C$46/Inputs!$C$12,0)</x:f>
        <x:v>42.13483146067416</x:v>
      </x:c>
      <x:c r="AR202" s="48" t="n">
        <x:f>AC202-AQ202</x:f>
        <x:v>1773.1622068630627</x:v>
      </x:c>
      <x:c r="AS202" s="48" t="n">
        <x:f>AC202+AQ202</x:f>
        <x:v>1857.431869784411</x:v>
      </x:c>
    </x:row>
    <x:row r="203">
      <x:c r="A203" s="48" t="n">
        <x:f>Inputs!$C$7+201*(Inputs!$C$8-Inputs!$C$7)/240</x:f>
        <x:v>40.5</x:v>
      </x:c>
      <x:c r="B203" s="48" t="n">
        <x:f>Inputs!$C$5+Inputs!$C$9*(A203/Inputs!$C$10)^2</x:f>
        <x:v>401.8225</x:v>
      </x:c>
      <x:c r="C203" s="48" t="n">
        <x:f>B203</x:f>
        <x:v>401.8225</x:v>
      </x:c>
      <x:c r="D203" s="48" t="n">
        <x:f>SQRT((Inputs!$C$52+B203)^2+Inputs!$C$52^2-2*(Inputs!$C$52+B203)*Inputs!$C$52*COS(SQRT(A203^2+Inputs!$C$6^2)/Inputs!$C$52))</x:f>
        <x:v>405.35112122586884</x:v>
      </x:c>
      <x:c r="E203" s="48" t="n">
        <x:f>(D203-C203)*1000</x:f>
        <x:v>3528.6212258688465</x:v>
      </x:c>
      <x:c r="F203" s="48" t="n">
        <x:f>E203/Inputs!$C$12</x:f>
        <x:v>1982.3714752072171</x:v>
      </x:c>
      <x:c r="G203" s="48" t="n">
        <x:f>2*E203/Inputs!$C$21*1000000</x:f>
        <x:v>23.540426930078716</x:v>
      </x:c>
      <x:c r="H203" s="48" t="n">
        <x:f>SQRT(A203^2+Inputs!$C$6^2)</x:f>
        <x:v>47.59464255564905</x:v>
      </x:c>
      <x:c r="I203" s="48" t="n">
        <x:f>DEGREES(ATAN(H203/B203))</x:f>
        <x:v>6.755036334683316</x:v>
      </x:c>
      <x:c r="J203" s="48" t="n">
        <x:f>DEGREES((2*PI()/Inputs!$C$13)*Inputs!$C$15*SIN(RADIANS(I203)))</x:f>
        <x:v>42.34488780209607</x:v>
      </x:c>
      <x:c r="K203" s="48" t="n">
        <x:f>(C203/D203)^4</x:f>
        <x:v>0.9656316475691362</x:v>
      </x:c>
      <x:c r="L203" s="48" t="n">
        <x:f>10*LOG10(K203)</x:f>
        <x:v>-0.151885091292134</x:v>
      </x:c>
      <x:c r="M203" s="48" t="n">
        <x:f>2*(Inputs!$C$9/(Inputs!$C$10^2))*A203</x:f>
        <x:v>0.09</x:v>
      </x:c>
      <x:c r="N203" s="48" t="n">
        <x:f>M203*Inputs!$C$11</x:f>
        <x:v>0.36</x:v>
      </x:c>
      <x:c r="O203" s="48" t="n">
        <x:f>1000*(D204-D202)/(A204-A202)*Inputs!$C$11</x:f>
        <x:v>859.9746238114676</x:v>
      </x:c>
      <x:c r="P203" s="48" t="n">
        <x:f>-2*O203/Inputs!$C$13</x:f>
        <x:v>-343.98984952458704</x:v>
      </x:c>
      <x:c r="Q203" s="48" t="n">
        <x:f>-2*O203/Inputs!$C$14</x:f>
        <x:v>-51.65012755624431</x:v>
      </x:c>
      <x:c r="R203" s="48" t="n">
        <x:f>F203-Inputs!$C$16/2</x:f>
        <x:v>1967.3714752072171</x:v>
      </x:c>
      <x:c r="S203" s="48" t="n">
        <x:f>F203+Inputs!$C$16/2</x:f>
        <x:v>1997.3714752072171</x:v>
      </x:c>
      <x:c r="T203" s="48" t="n">
        <x:f>F203-Inputs!$C$17/2</x:f>
        <x:v>1832.3714752072171</x:v>
      </x:c>
      <x:c r="U203" s="48" t="n">
        <x:f>F203+Inputs!$C$17/2</x:f>
        <x:v>2132.3714752072174</x:v>
      </x:c>
      <x:c r="V203" s="48" t="n">
        <x:f>ABS(P203)</x:f>
        <x:v>343.98984952458704</x:v>
      </x:c>
      <x:c r="W203" s="48" t="n">
        <x:f>ABS(Q203)</x:f>
        <x:v>51.65012755624431</x:v>
      </x:c>
      <x:c r="X203" s="48" t="n">
        <x: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(0.45*SIN(2*PI()*(((A203)/Inputs!$C$49)+Inputs!$C$47*0.137))+0.35*COS(2*PI()*(((0)/Inputs!$C$50)+Inputs!$C$47*0.173))+0.20*SIN(2*PI()*(((A203)+(0))/(0.5*(Inputs!$C$49+Inputs!$C$50))+Inputs!$C$47*0.097)))+0.30*(2*((SIN(((A203)*12.9898+(0)*78.233+Inputs!$C$47*37.719))*43758.5453)-INT((SIN(((A203)*12.9898+(0)*78.233+Inputs!$C$47*37.719))*43758.5453)))-1)))</x:f>
        <x:v>60.152205166209214</x:v>
      </x:c>
      <x:c r="Y203" s="48" t="n">
        <x: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(0.45*SIN(2*PI()*(((A203)/Inputs!$C$49)+Inputs!$C$47*0.137))+0.35*COS(2*PI()*(((Inputs!$C$6)/Inputs!$C$50)+Inputs!$C$47*0.173))+0.20*SIN(2*PI()*(((A203)+(Inputs!$C$6))/(0.5*(Inputs!$C$49+Inputs!$C$50))+Inputs!$C$47*0.097)))+0.30*(2*((SIN(((A203)*12.9898+(Inputs!$C$6)*78.233+Inputs!$C$47*37.719))*43758.5453)-INT((SIN(((A203)*12.9898+(Inputs!$C$6)*78.233+Inputs!$C$47*37.719))*43758.5453)))-1)))</x:f>
        <x:v>300.6975060152245</x:v>
      </x:c>
      <x:c r="Z203" s="48" t="n">
        <x:f>B203-X203/1000</x:f>
        <x:v>401.7623477948338</x:v>
      </x:c>
      <x:c r="AA203" s="48" t="n">
        <x:f>SQRT((Inputs!$C$52+B203)^2+(Inputs!$C$52+Y203/1000)^2-2*(Inputs!$C$52+B203)*(Inputs!$C$52+Y203/1000)*COS(SQRT(A203^2+Inputs!$C$6^2)/Inputs!$C$52))</x:f>
        <x:v>405.05372060458564</x:v>
      </x:c>
      <x:c r="AB203" s="48" t="n">
        <x:f>(AA203-Z203)*1000</x:f>
        <x:v>3291.372809751863</x:v>
      </x:c>
      <x:c r="AC203" s="48" t="n">
        <x:f>AB203/Inputs!$C$12</x:f>
        <x:v>1849.0858481752039</x:v>
      </x:c>
      <x:c r="AD203" s="48" t="n">
        <x:f>2*AB203/Inputs!$C$21*1000000</x:f>
        <x:v>21.95767586489359</x:v>
      </x:c>
      <x:c r="AE203" s="48" t="n">
        <x:f>DEGREES(ATAN(H203/(B203-Y203/1000)))</x:f>
        <x:v>6.760048345256284</x:v>
      </x:c>
      <x:c r="AF203" s="48" t="n">
        <x:f>DEGREES((2*PI()/Inputs!$C$13)*Inputs!$C$15*SIN(RADIANS(AE203)))</x:f>
        <x:v>42.37616042182356</x:v>
      </x:c>
      <x:c r="AG203" s="48" t="n">
        <x:f>(Z203/AA203)^4</x:f>
        <x:v>0.9678909524815293</x:v>
      </x:c>
      <x:c r="AH203" s="48" t="n">
        <x:f>10*LOG10(AG203)</x:f>
        <x:v>-0.141735697611052</x:v>
      </x:c>
      <x:c r="AI203" s="48" t="n">
        <x:f>AC203-F203</x:f>
        <x:v>-133.28562703201328</x:v>
      </x:c>
      <x:c r="AJ203" s="48" t="n">
        <x:f>AD203-G203</x:f>
        <x:v>-1.5827510651851249</x:v>
      </x:c>
      <x:c r="AK203" s="48" t="n">
        <x:f>Y203-X203</x:f>
        <x:v>240.5453008490153</x:v>
      </x:c>
      <x:c r="AL203" s="48" t="n">
        <x:f>1000*(AA204-AA202)/(A204-A202)*Inputs!$C$11</x:f>
        <x:v>972.2361430960973</x:v>
      </x:c>
      <x:c r="AM203" s="48" t="n">
        <x:f>-2*AL203/Inputs!$C$13</x:f>
        <x:v>-388.8944572384389</x:v>
      </x:c>
      <x:c r="AN203" s="48" t="n">
        <x:f>-2*AL203/Inputs!$C$14</x:f>
        <x:v>-58.392561146912755</x:v>
      </x:c>
      <x:c r="AO203" s="48" t="n">
        <x:f>ABS(AM203)</x:f>
        <x:v>388.8944572384389</x:v>
      </x:c>
      <x:c r="AP203" s="48" t="n">
        <x:f>ABS(AN203)</x:f>
        <x:v>58.392561146912755</x:v>
      </x:c>
      <x:c r="AQ203" s="48" t="n">
        <x:f>IF(OR(Inputs!$C$27=TRUE,Inputs!$C$27="TRUE",Inputs!$C$27=1),Inputs!$C$46/Inputs!$C$12,0)</x:f>
        <x:v>42.13483146067416</x:v>
      </x:c>
      <x:c r="AR203" s="48" t="n">
        <x:f>AC203-AQ203</x:f>
        <x:v>1806.9510167145297</x:v>
      </x:c>
      <x:c r="AS203" s="48" t="n">
        <x:f>AC203+AQ203</x:f>
        <x:v>1891.220679635878</x:v>
      </x:c>
    </x:row>
    <x:row r="204">
      <x:c r="A204" s="48" t="n">
        <x:f>Inputs!$C$7+202*(Inputs!$C$8-Inputs!$C$7)/240</x:f>
        <x:v>41</x:v>
      </x:c>
      <x:c r="B204" s="48" t="n">
        <x:f>Inputs!$C$5+Inputs!$C$9*(A204/Inputs!$C$10)^2</x:f>
        <x:v>401.8677777777778</x:v>
      </x:c>
      <x:c r="C204" s="48" t="n">
        <x:f>B204</x:f>
        <x:v>401.8677777777778</x:v>
      </x:c>
      <x:c r="D204" s="48" t="n">
        <x:f>SQRT((Inputs!$C$52+B204)^2+Inputs!$C$52^2-2*(Inputs!$C$52+B204)*Inputs!$C$52*COS(SQRT(A204^2+Inputs!$C$6^2)/Inputs!$C$52))</x:f>
        <x:v>405.4592712120434</x:v>
      </x:c>
      <x:c r="E204" s="48" t="n">
        <x:f>(D204-C204)*1000</x:f>
        <x:v>3591.493434265601</x:v>
      </x:c>
      <x:c r="F204" s="48" t="n">
        <x:f>E204/Inputs!$C$12</x:f>
        <x:v>2017.6929405986523</x:v>
      </x:c>
      <x:c r="G204" s="48" t="n">
        <x:f>2*E204/Inputs!$C$21*1000000</x:f>
        <x:v>23.95986515621818</x:v>
      </x:c>
      <x:c r="H204" s="48" t="n">
        <x:f>SQRT(A204^2+Inputs!$C$6^2)</x:f>
        <x:v>48.02082881417188</x:v>
      </x:c>
      <x:c r="I204" s="48" t="n">
        <x:f>DEGREES(ATAN(H204/B204))</x:f>
        <x:v>6.814197296997338</x:v>
      </x:c>
      <x:c r="J204" s="48" t="n">
        <x:f>DEGREES((2*PI()/Inputs!$C$13)*Inputs!$C$15*SIN(RADIANS(I204)))</x:f>
        <x:v>42.71400402217685</x:v>
      </x:c>
      <x:c r="K204" s="48" t="n">
        <x:f>(C204/D204)^4</x:f>
        <x:v>0.965036633340718</x:v>
      </x:c>
      <x:c r="L204" s="48" t="n">
        <x:f>10*LOG10(K204)</x:f>
        <x:v>-0.15456200277187898</x:v>
      </x:c>
      <x:c r="M204" s="48" t="n">
        <x:f>2*(Inputs!$C$9/(Inputs!$C$10^2))*A204</x:f>
        <x:v>0.09111111111111111</x:v>
      </x:c>
      <x:c r="N204" s="48" t="n">
        <x:f>M204*Inputs!$C$11</x:f>
        <x:v>0.36444444444444446</x:v>
      </x:c>
      <x:c r="O204" s="48" t="n">
        <x:f>1000*(D205-D203)/(A205-A203)*Inputs!$C$11</x:f>
        <x:v>870.4221222078559</x:v>
      </x:c>
      <x:c r="P204" s="48" t="n">
        <x:f>-2*O204/Inputs!$C$13</x:f>
        <x:v>-348.16884888314235</x:v>
      </x:c>
      <x:c r="Q204" s="48" t="n">
        <x:f>-2*O204/Inputs!$C$14</x:f>
        <x:v>-52.27760493740877</x:v>
      </x:c>
      <x:c r="R204" s="48" t="n">
        <x:f>F204-Inputs!$C$16/2</x:f>
        <x:v>2002.6929405986523</x:v>
      </x:c>
      <x:c r="S204" s="48" t="n">
        <x:f>F204+Inputs!$C$16/2</x:f>
        <x:v>2032.6929405986523</x:v>
      </x:c>
      <x:c r="T204" s="48" t="n">
        <x:f>F204-Inputs!$C$17/2</x:f>
        <x:v>1867.6929405986523</x:v>
      </x:c>
      <x:c r="U204" s="48" t="n">
        <x:f>F204+Inputs!$C$17/2</x:f>
        <x:v>2167.692940598652</x:v>
      </x:c>
      <x:c r="V204" s="48" t="n">
        <x:f>ABS(P204)</x:f>
        <x:v>348.16884888314235</x:v>
      </x:c>
      <x:c r="W204" s="48" t="n">
        <x:f>ABS(Q204)</x:f>
        <x:v>52.27760493740877</x:v>
      </x:c>
      <x:c r="X204" s="48" t="n">
        <x: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(0.45*SIN(2*PI()*(((A204)/Inputs!$C$49)+Inputs!$C$47*0.137))+0.35*COS(2*PI()*(((0)/Inputs!$C$50)+Inputs!$C$47*0.173))+0.20*SIN(2*PI()*(((A204)+(0))/(0.5*(Inputs!$C$49+Inputs!$C$50))+Inputs!$C$47*0.097)))+0.30*(2*((SIN(((A204)*12.9898+(0)*78.233+Inputs!$C$47*37.719))*43758.5453)-INT((SIN(((A204)*12.9898+(0)*78.233+Inputs!$C$47*37.719))*43758.5453)))-1)))</x:f>
        <x:v>52.60933898915909</x:v>
      </x:c>
      <x:c r="Y204" s="48" t="n">
        <x: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(0.45*SIN(2*PI()*(((A204)/Inputs!$C$49)+Inputs!$C$47*0.137))+0.35*COS(2*PI()*(((Inputs!$C$6)/Inputs!$C$50)+Inputs!$C$47*0.173))+0.20*SIN(2*PI()*(((A204)+(Inputs!$C$6))/(0.5*(Inputs!$C$49+Inputs!$C$50))+Inputs!$C$47*0.097)))+0.30*(2*((SIN(((A204)*12.9898+(Inputs!$C$6)*78.233+Inputs!$C$47*37.719))*43758.5453)-INT((SIN(((A204)*12.9898+(Inputs!$C$6)*78.233+Inputs!$C$47*37.719))*43758.5453)))-1)))</x:f>
        <x:v>276.55710773836364</x:v>
      </x:c>
      <x:c r="Z204" s="48" t="n">
        <x:f>B204-X204/1000</x:f>
        <x:v>401.81516843878865</x:v>
      </x:c>
      <x:c r="AA204" s="48" t="n">
        <x:f>SQRT((Inputs!$C$52+B204)^2+(Inputs!$C$52+Y204/1000)^2-2*(Inputs!$C$52+B204)*(Inputs!$C$52+Y204/1000)*COS(SQRT(A204^2+Inputs!$C$6^2)/Inputs!$C$52))</x:f>
        <x:v>405.1857994515669</x:v>
      </x:c>
      <x:c r="AB204" s="48" t="n">
        <x:f>(AA204-Z204)*1000</x:f>
        <x:v>3370.631012778233</x:v>
      </x:c>
      <x:c r="AC204" s="48" t="n">
        <x:f>AB204/Inputs!$C$12</x:f>
        <x:v>1893.6129285270972</x:v>
      </x:c>
      <x:c r="AD204" s="48" t="n">
        <x:f>2*AB204/Inputs!$C$21*1000000</x:f>
        <x:v>22.486429680484044</x:v>
      </x:c>
      <x:c r="AE204" s="48" t="n">
        <x:f>DEGREES(ATAN(H204/(B204-Y204/1000)))</x:f>
        <x:v>6.818845746704476</x:v>
      </x:c>
      <x:c r="AF204" s="48" t="n">
        <x:f>DEGREES((2*PI()/Inputs!$C$13)*Inputs!$C$15*SIN(RADIANS(AE204)))</x:f>
        <x:v>42.743004637762105</x:v>
      </x:c>
      <x:c r="AG204" s="48" t="n">
        <x:f>(Z204/AA204)^4</x:f>
        <x:v>0.9671379921678639</x:v>
      </x:c>
      <x:c r="AH204" s="48" t="n">
        <x:f>10*LOG10(AG204)</x:f>
        <x:v>-0.145115559465065</x:v>
      </x:c>
      <x:c r="AI204" s="48" t="n">
        <x:f>AC204-F204</x:f>
        <x:v>-124.08001207155507</x:v>
      </x:c>
      <x:c r="AJ204" s="48" t="n">
        <x:f>AD204-G204</x:f>
        <x:v>-1.473435475734135</x:v>
      </x:c>
      <x:c r="AK204" s="48" t="n">
        <x:f>Y204-X204</x:f>
        <x:v>223.94776874920456</x:v>
      </x:c>
      <x:c r="AL204" s="48" t="n">
        <x:f>1000*(AA205-AA203)/(A205-A203)*Inputs!$C$11</x:f>
        <x:v>995.3859946210741</x:v>
      </x:c>
      <x:c r="AM204" s="48" t="n">
        <x:f>-2*AL204/Inputs!$C$13</x:f>
        <x:v>-398.15439784842965</x:v>
      </x:c>
      <x:c r="AN204" s="48" t="n">
        <x:f>-2*AL204/Inputs!$C$14</x:f>
        <x:v>-59.78294261988434</x:v>
      </x:c>
      <x:c r="AO204" s="48" t="n">
        <x:f>ABS(AM204)</x:f>
        <x:v>398.15439784842965</x:v>
      </x:c>
      <x:c r="AP204" s="48" t="n">
        <x:f>ABS(AN204)</x:f>
        <x:v>59.78294261988434</x:v>
      </x:c>
      <x:c r="AQ204" s="48" t="n">
        <x:f>IF(OR(Inputs!$C$27=TRUE,Inputs!$C$27="TRUE",Inputs!$C$27=1),Inputs!$C$46/Inputs!$C$12,0)</x:f>
        <x:v>42.13483146067416</x:v>
      </x:c>
      <x:c r="AR204" s="48" t="n">
        <x:f>AC204-AQ204</x:f>
        <x:v>1851.478097066423</x:v>
      </x:c>
      <x:c r="AS204" s="48" t="n">
        <x:f>AC204+AQ204</x:f>
        <x:v>1935.7477599877714</x:v>
      </x:c>
    </x:row>
    <x:row r="205">
      <x:c r="A205" s="48" t="n">
        <x:f>Inputs!$C$7+203*(Inputs!$C$8-Inputs!$C$7)/240</x:f>
        <x:v>41.5</x:v>
      </x:c>
      <x:c r="B205" s="48" t="n">
        <x:f>Inputs!$C$5+Inputs!$C$9*(A205/Inputs!$C$10)^2</x:f>
        <x:v>401.9136111111111</x:v>
      </x:c>
      <x:c r="C205" s="48" t="n">
        <x:f>B205</x:f>
        <x:v>401.9136111111111</x:v>
      </x:c>
      <x:c r="D205" s="48" t="n">
        <x:f>SQRT((Inputs!$C$52+B205)^2+Inputs!$C$52^2-2*(Inputs!$C$52+B205)*Inputs!$C$52*COS(SQRT(A205^2+Inputs!$C$6^2)/Inputs!$C$52))</x:f>
        <x:v>405.5687267564208</x:v>
      </x:c>
      <x:c r="E205" s="48" t="n">
        <x:f>(D205-C205)*1000</x:f>
        <x:v>3655.1156453097065</x:v>
      </x:c>
      <x:c r="F205" s="48" t="n">
        <x:f>E205/Inputs!$C$12</x:f>
        <x:v>2053.4357557919698</x:v>
      </x:c>
      <x:c r="G205" s="48" t="n">
        <x:f>2*E205/Inputs!$C$21*1000000</x:f>
        <x:v>24.384306861446838</x:v>
      </x:c>
      <x:c r="H205" s="48" t="n">
        <x:f>SQRT(A205^2+Inputs!$C$6^2)</x:f>
        <x:v>48.44842618702903</x:v>
      </x:c>
      <x:c r="I205" s="48" t="n">
        <x:f>DEGREES(ATAN(H205/B205))</x:f>
        <x:v>6.873519212930159</x:v>
      </x:c>
      <x:c r="J205" s="48" t="n">
        <x:f>DEGREES((2*PI()/Inputs!$C$13)*Inputs!$C$15*SIN(RADIANS(I205)))</x:f>
        <x:v>43.0840787351217</x:v>
      </x:c>
      <x:c r="K205" s="48" t="n">
        <x:f>(C205/D205)^4</x:f>
        <x:v>0.9644351252982665</x:v>
      </x:c>
      <x:c r="L205" s="48" t="n">
        <x:f>10*LOG10(K205)</x:f>
        <x:v>-0.15726980744380803</x:v>
      </x:c>
      <x:c r="M205" s="48" t="n">
        <x:f>2*(Inputs!$C$9/(Inputs!$C$10^2))*A205</x:f>
        <x:v>0.09222222222222222</x:v>
      </x:c>
      <x:c r="N205" s="48" t="n">
        <x:f>M205*Inputs!$C$11</x:f>
        <x:v>0.3688888888888889</x:v>
      </x:c>
      <x:c r="O205" s="48" t="n">
        <x:f>1000*(D206-D204)/(A206-A204)*Inputs!$C$11</x:f>
        <x:v>880.8635219918415</x:v>
      </x:c>
      <x:c r="P205" s="48" t="n">
        <x:f>-2*O205/Inputs!$C$13</x:f>
        <x:v>-352.3454087967366</x:v>
      </x:c>
      <x:c r="Q205" s="48" t="n">
        <x:f>-2*O205/Inputs!$C$14</x:f>
        <x:v>-52.90471603554604</x:v>
      </x:c>
      <x:c r="R205" s="48" t="n">
        <x:f>F205-Inputs!$C$16/2</x:f>
        <x:v>2038.4357557919698</x:v>
      </x:c>
      <x:c r="S205" s="48" t="n">
        <x:f>F205+Inputs!$C$16/2</x:f>
        <x:v>2068.4357557919698</x:v>
      </x:c>
      <x:c r="T205" s="48" t="n">
        <x:f>F205-Inputs!$C$17/2</x:f>
        <x:v>1903.4357557919698</x:v>
      </x:c>
      <x:c r="U205" s="48" t="n">
        <x:f>F205+Inputs!$C$17/2</x:f>
        <x:v>2203.4357557919698</x:v>
      </x:c>
      <x:c r="V205" s="48" t="n">
        <x:f>ABS(P205)</x:f>
        <x:v>352.3454087967366</x:v>
      </x:c>
      <x:c r="W205" s="48" t="n">
        <x:f>ABS(Q205)</x:f>
        <x:v>52.90471603554604</x:v>
      </x:c>
      <x:c r="X205" s="48" t="n">
        <x: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(0.45*SIN(2*PI()*(((A205)/Inputs!$C$49)+Inputs!$C$47*0.137))+0.35*COS(2*PI()*(((0)/Inputs!$C$50)+Inputs!$C$47*0.173))+0.20*SIN(2*PI()*(((A205)+(0))/(0.5*(Inputs!$C$49+Inputs!$C$50))+Inputs!$C$47*0.097)))+0.30*(2*((SIN(((A205)*12.9898+(0)*78.233+Inputs!$C$47*37.719))*43758.5453)-INT((SIN(((A205)*12.9898+(0)*78.233+Inputs!$C$47*37.719))*43758.5453)))-1)))</x:f>
        <x:v>58.38095189793533</x:v>
      </x:c>
      <x:c r="Y205" s="48" t="n">
        <x: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(0.45*SIN(2*PI()*(((A205)/Inputs!$C$49)+Inputs!$C$47*0.137))+0.35*COS(2*PI()*(((Inputs!$C$6)/Inputs!$C$50)+Inputs!$C$47*0.173))+0.20*SIN(2*PI()*(((A205)+(Inputs!$C$6))/(0.5*(Inputs!$C$49+Inputs!$C$50))+Inputs!$C$47*0.097)))+0.30*(2*((SIN(((A205)*12.9898+(Inputs!$C$6)*78.233+Inputs!$C$47*37.719))*43758.5453)-INT((SIN(((A205)*12.9898+(Inputs!$C$6)*78.233+Inputs!$C$47*37.719))*43758.5453)))-1)))</x:f>
        <x:v>269.21554101681534</x:v>
      </x:c>
      <x:c r="Z205" s="48" t="n">
        <x:f>B205-X205/1000</x:f>
        <x:v>401.85523015921314</x:v>
      </x:c>
      <x:c r="AA205" s="48" t="n">
        <x:f>SQRT((Inputs!$C$52+B205)^2+(Inputs!$C$52+Y205/1000)^2-2*(Inputs!$C$52+B205)*(Inputs!$C$52+Y205/1000)*COS(SQRT(A205^2+Inputs!$C$6^2)/Inputs!$C$52))</x:f>
        <x:v>405.3025671032409</x:v>
      </x:c>
      <x:c r="AB205" s="48" t="n">
        <x:f>(AA205-Z205)*1000</x:f>
        <x:v>3447.336944027768</x:v>
      </x:c>
      <x:c r="AC205" s="48" t="n">
        <x:f>AB205/Inputs!$C$12</x:f>
        <x:v>1936.7061483302066</x:v>
      </x:c>
      <x:c r="AD205" s="48" t="n">
        <x:f>2*AB205/Inputs!$C$21*1000000</x:f>
        <x:v>22.998156571555697</x:v>
      </x:c>
      <x:c r="AE205" s="48" t="n">
        <x:f>DEGREES(ATAN(H205/(B205-Y205/1000)))</x:f>
        <x:v>6.878082297713337</x:v>
      </x:c>
      <x:c r="AF205" s="48" t="n">
        <x:f>DEGREES((2*PI()/Inputs!$C$13)*Inputs!$C$15*SIN(RADIANS(AE205)))</x:f>
        <x:v>43.112543242479305</x:v>
      </x:c>
      <x:c r="AG205" s="48" t="n">
        <x:f>(Z205/AA205)^4</x:f>
        <x:v>0.9664092592315805</x:v>
      </x:c>
      <x:c r="AH205" s="48" t="n">
        <x:f>10*LOG10(AG205)</x:f>
        <x:v>-0.148389176986075</x:v>
      </x:c>
      <x:c r="AI205" s="48" t="n">
        <x:f>AC205-F205</x:f>
        <x:v>-116.72960746176318</x:v>
      </x:c>
      <x:c r="AJ205" s="48" t="n">
        <x:f>AD205-G205</x:f>
        <x:v>-1.386150289891141</x:v>
      </x:c>
      <x:c r="AK205" s="48" t="n">
        <x:f>Y205-X205</x:f>
        <x:v>210.83458911888</x:v>
      </x:c>
      <x:c r="AL205" s="48" t="n">
        <x:f>1000*(AA206-AA204)/(A206-A204)*Inputs!$C$11</x:f>
        <x:v>902.7699962027782</x:v>
      </x:c>
      <x:c r="AM205" s="48" t="n">
        <x:f>-2*AL205/Inputs!$C$13</x:f>
        <x:v>-361.1079984811113</x:v>
      </x:c>
      <x:c r="AN205" s="48" t="n">
        <x:f>-2*AL205/Inputs!$C$14</x:f>
        <x:v>-54.22042019235906</x:v>
      </x:c>
      <x:c r="AO205" s="48" t="n">
        <x:f>ABS(AM205)</x:f>
        <x:v>361.1079984811113</x:v>
      </x:c>
      <x:c r="AP205" s="48" t="n">
        <x:f>ABS(AN205)</x:f>
        <x:v>54.22042019235906</x:v>
      </x:c>
      <x:c r="AQ205" s="48" t="n">
        <x:f>IF(OR(Inputs!$C$27=TRUE,Inputs!$C$27="TRUE",Inputs!$C$27=1),Inputs!$C$46/Inputs!$C$12,0)</x:f>
        <x:v>42.13483146067416</x:v>
      </x:c>
      <x:c r="AR205" s="48" t="n">
        <x:f>AC205-AQ205</x:f>
        <x:v>1894.5713168695324</x:v>
      </x:c>
      <x:c r="AS205" s="48" t="n">
        <x:f>AC205+AQ205</x:f>
        <x:v>1978.8409797908807</x:v>
      </x:c>
    </x:row>
    <x:row r="206">
      <x:c r="A206" s="48" t="n">
        <x:f>Inputs!$C$7+204*(Inputs!$C$8-Inputs!$C$7)/240</x:f>
        <x:v>42</x:v>
      </x:c>
      <x:c r="B206" s="48" t="n">
        <x:f>Inputs!$C$5+Inputs!$C$9*(A206/Inputs!$C$10)^2</x:f>
        <x:v>401.96</x:v>
      </x:c>
      <x:c r="C206" s="48" t="n">
        <x:f>B206</x:f>
        <x:v>401.96</x:v>
      </x:c>
      <x:c r="D206" s="48" t="n">
        <x:f>SQRT((Inputs!$C$52+B206)^2+Inputs!$C$52^2-2*(Inputs!$C$52+B206)*Inputs!$C$52*COS(SQRT(A206^2+Inputs!$C$6^2)/Inputs!$C$52))</x:f>
        <x:v>405.67948709254136</x:v>
      </x:c>
      <x:c r="E206" s="48" t="n">
        <x:f>(D206-C206)*1000</x:f>
        <x:v>3719.487092541385</x:v>
      </x:c>
      <x:c r="F206" s="48" t="n">
        <x:f>E206/Inputs!$C$12</x:f>
        <x:v>2089.5994901917893</x:v>
      </x:c>
      <x:c r="G206" s="48" t="n">
        <x:f>2*E206/Inputs!$C$21*1000000</x:f>
        <x:v>24.813746932495448</x:v>
      </x:c>
      <x:c r="H206" s="48" t="n">
        <x:f>SQRT(A206^2+Inputs!$C$6^2)</x:f>
        <x:v>48.877397639399746</x:v>
      </x:c>
      <x:c r="I206" s="48" t="n">
        <x:f>DEGREES(ATAN(H206/B206))</x:f>
        <x:v>6.932996321916247</x:v>
      </x:c>
      <x:c r="J206" s="48" t="n">
        <x:f>DEGREES((2*PI()/Inputs!$C$13)*Inputs!$C$15*SIN(RADIANS(I206)))</x:f>
        <x:v>43.45507523985368</x:v>
      </x:c>
      <x:c r="K206" s="48" t="n">
        <x:f>(C206/D206)^4</x:f>
        <x:v>0.96382715141543</x:v>
      </x:c>
      <x:c r="L206" s="48" t="n">
        <x:f>10*LOG10(K206)</x:f>
        <x:v>-0.16000843604631</x:v>
      </x:c>
      <x:c r="M206" s="48" t="n">
        <x:f>2*(Inputs!$C$9/(Inputs!$C$10^2))*A206</x:f>
        <x:v>0.09333333333333334</x:v>
      </x:c>
      <x:c r="N206" s="48" t="n">
        <x:f>M206*Inputs!$C$11</x:f>
        <x:v>0.37333333333333335</x:v>
      </x:c>
      <x:c r="O206" s="48" t="n">
        <x:f>1000*(D207-D205)/(A207-A205)*Inputs!$C$11</x:f>
        <x:v>891.298757131608</x:v>
      </x:c>
      <x:c r="P206" s="48" t="n">
        <x:f>-2*O206/Inputs!$C$13</x:f>
        <x:v>-356.5195028526432</x:v>
      </x:c>
      <x:c r="Q206" s="48" t="n">
        <x:f>-2*O206/Inputs!$C$14</x:f>
        <x:v>-53.531456884781264</x:v>
      </x:c>
      <x:c r="R206" s="48" t="n">
        <x:f>F206-Inputs!$C$16/2</x:f>
        <x:v>2074.5994901917893</x:v>
      </x:c>
      <x:c r="S206" s="48" t="n">
        <x:f>F206+Inputs!$C$16/2</x:f>
        <x:v>2104.5994901917893</x:v>
      </x:c>
      <x:c r="T206" s="48" t="n">
        <x:f>F206-Inputs!$C$17/2</x:f>
        <x:v>1939.5994901917893</x:v>
      </x:c>
      <x:c r="U206" s="48" t="n">
        <x:f>F206+Inputs!$C$17/2</x:f>
        <x:v>2239.5994901917893</x:v>
      </x:c>
      <x:c r="V206" s="48" t="n">
        <x:f>ABS(P206)</x:f>
        <x:v>356.5195028526432</x:v>
      </x:c>
      <x:c r="W206" s="48" t="n">
        <x:f>ABS(Q206)</x:f>
        <x:v>53.531456884781264</x:v>
      </x:c>
      <x:c r="X206" s="48" t="n">
        <x: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(0.45*SIN(2*PI()*(((A206)/Inputs!$C$49)+Inputs!$C$47*0.137))+0.35*COS(2*PI()*(((0)/Inputs!$C$50)+Inputs!$C$47*0.173))+0.20*SIN(2*PI()*(((A206)+(0))/(0.5*(Inputs!$C$49+Inputs!$C$50))+Inputs!$C$47*0.097)))+0.30*(2*((SIN(((A206)*12.9898+(0)*78.233+Inputs!$C$47*37.719))*43758.5453)-INT((SIN(((A206)*12.9898+(0)*78.233+Inputs!$C$47*37.719))*43758.5453)))-1)))</x:f>
        <x:v>34.52124211278962</x:v>
      </x:c>
      <x:c r="Y206" s="48" t="n">
        <x: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(0.45*SIN(2*PI()*(((A206)/Inputs!$C$49)+Inputs!$C$47*0.137))+0.35*COS(2*PI()*(((Inputs!$C$6)/Inputs!$C$50)+Inputs!$C$47*0.173))+0.20*SIN(2*PI()*(((A206)+(Inputs!$C$6))/(0.5*(Inputs!$C$49+Inputs!$C$50))+Inputs!$C$47*0.097)))+0.30*(2*((SIN(((A206)*12.9898+(Inputs!$C$6)*78.233+Inputs!$C$47*37.719))*43758.5453)-INT((SIN(((A206)*12.9898+(Inputs!$C$6)*78.233+Inputs!$C$47*37.719))*43758.5453)))-1)))</x:f>
        <x:v>271.1262021129023</x:v>
      </x:c>
      <x:c r="Z206" s="48" t="n">
        <x:f>B206-X206/1000</x:f>
        <x:v>401.92547875788716</x:v>
      </x:c>
      <x:c r="AA206" s="48" t="n">
        <x:f>SQRT((Inputs!$C$52+B206)^2+(Inputs!$C$52+Y206/1000)^2-2*(Inputs!$C$52+B206)*(Inputs!$C$52+Y206/1000)*COS(SQRT(A206^2+Inputs!$C$6^2)/Inputs!$C$52))</x:f>
        <x:v>405.4114919506176</x:v>
      </x:c>
      <x:c r="AB206" s="48" t="n">
        <x:f>(AA206-Z206)*1000</x:f>
        <x:v>3486.013192730411</x:v>
      </x:c>
      <x:c r="AC206" s="48" t="n">
        <x:f>AB206/Inputs!$C$12</x:f>
        <x:v>1958.434377938433</x:v>
      </x:c>
      <x:c r="AD206" s="48" t="n">
        <x:f>2*AB206/Inputs!$C$21*1000000</x:f>
        <x:v>23.256176729638817</x:v>
      </x:c>
      <x:c r="AE206" s="48" t="n">
        <x:f>DEGREES(ATAN(H206/(B206-Y206/1000)))</x:f>
        <x:v>6.937630266351659</x:v>
      </x:c>
      <x:c r="AF206" s="48" t="n">
        <x:f>DEGREES((2*PI()/Inputs!$C$13)*Inputs!$C$15*SIN(RADIANS(AE206)))</x:f>
        <x:v>43.48397813334025</x:v>
      </x:c>
      <x:c r="AG206" s="48" t="n">
        <x:f>(Z206/AA206)^4</x:f>
        <x:v>0.9660462748165156</x:v>
      </x:c>
      <x:c r="AH206" s="48" t="n">
        <x:f>10*LOG10(AG206)</x:f>
        <x:v>-0.150020698411082</x:v>
      </x:c>
      <x:c r="AI206" s="48" t="n">
        <x:f>AC206-F206</x:f>
        <x:v>-131.16511225335626</x:v>
      </x:c>
      <x:c r="AJ206" s="48" t="n">
        <x:f>AD206-G206</x:f>
        <x:v>-1.5575702028566312</x:v>
      </x:c>
      <x:c r="AK206" s="48" t="n">
        <x:f>Y206-X206</x:f>
        <x:v>236.6049600001127</x:v>
      </x:c>
      <x:c r="AL206" s="48" t="n">
        <x:f>1000*(AA207-AA205)/(A207-A205)*Inputs!$C$11</x:f>
        <x:v>929.0367972541844</x:v>
      </x:c>
      <x:c r="AM206" s="48" t="n">
        <x:f>-2*AL206/Inputs!$C$13</x:f>
        <x:v>-371.61471890167377</x:v>
      </x:c>
      <x:c r="AN206" s="48" t="n">
        <x:f>-2*AL206/Inputs!$C$14</x:f>
        <x:v>-55.79800584109216</x:v>
      </x:c>
      <x:c r="AO206" s="48" t="n">
        <x:f>ABS(AM206)</x:f>
        <x:v>371.61471890167377</x:v>
      </x:c>
      <x:c r="AP206" s="48" t="n">
        <x:f>ABS(AN206)</x:f>
        <x:v>55.79800584109216</x:v>
      </x:c>
      <x:c r="AQ206" s="48" t="n">
        <x:f>IF(OR(Inputs!$C$27=TRUE,Inputs!$C$27="TRUE",Inputs!$C$27=1),Inputs!$C$46/Inputs!$C$12,0)</x:f>
        <x:v>42.13483146067416</x:v>
      </x:c>
      <x:c r="AR206" s="48" t="n">
        <x:f>AC206-AQ206</x:f>
        <x:v>1916.299546477759</x:v>
      </x:c>
      <x:c r="AS206" s="48" t="n">
        <x:f>AC206+AQ206</x:f>
        <x:v>2000.5692093991072</x:v>
      </x:c>
    </x:row>
    <x:row r="207">
      <x:c r="A207" s="48" t="n">
        <x:f>Inputs!$C$7+205*(Inputs!$C$8-Inputs!$C$7)/240</x:f>
        <x:v>42.5</x:v>
      </x:c>
      <x:c r="B207" s="48" t="n">
        <x:f>Inputs!$C$5+Inputs!$C$9*(A207/Inputs!$C$10)^2</x:f>
        <x:v>402.00694444444446</x:v>
      </x:c>
      <x:c r="C207" s="48" t="n">
        <x:f>B207</x:f>
        <x:v>402.00694444444446</x:v>
      </x:c>
      <x:c r="D207" s="48" t="n">
        <x:f>SQRT((Inputs!$C$52+B207)^2+Inputs!$C$52^2-2*(Inputs!$C$52+B207)*Inputs!$C$52*COS(SQRT(A207^2+Inputs!$C$6^2)/Inputs!$C$52))</x:f>
        <x:v>405.7915514457037</x:v>
      </x:c>
      <x:c r="E207" s="48" t="n">
        <x:f>(D207-C207)*1000</x:f>
        <x:v>3784.6070012592463</x:v>
      </x:c>
      <x:c r="F207" s="48" t="n">
        <x:f>E207/Inputs!$C$12</x:f>
        <x:v>2126.18370857261</x:v>
      </x:c>
      <x:c r="G207" s="48" t="n">
        <x:f>2*E207/Inputs!$C$21*1000000</x:f>
        <x:v>25.24818020111264</x:v>
      </x:c>
      <x:c r="H207" s="48" t="n">
        <x:f>SQRT(A207^2+Inputs!$C$6^2)</x:f>
        <x:v>49.30770730829005</x:v>
      </x:c>
      <x:c r="I207" s="48" t="n">
        <x:f>DEGREES(ATAN(H207/B207))</x:f>
        <x:v>6.992623032280269</x:v>
      </x:c>
      <x:c r="J207" s="48" t="n">
        <x:f>DEGREES((2*PI()/Inputs!$C$13)*Inputs!$C$15*SIN(RADIANS(I207)))</x:f>
        <x:v>43.82695789939304</x:v>
      </x:c>
      <x:c r="K207" s="48" t="n">
        <x:f>(C207/D207)^4</x:f>
        <x:v>0.9632127399149205</x:v>
      </x:c>
      <x:c r="L207" s="48" t="n">
        <x:f>10*LOG10(K207)</x:f>
        <x:v>-0.16277781860586701</x:v>
      </x:c>
      <x:c r="M207" s="48" t="n">
        <x:f>2*(Inputs!$C$9/(Inputs!$C$10^2))*A207</x:f>
        <x:v>0.09444444444444444</x:v>
      </x:c>
      <x:c r="N207" s="48" t="n">
        <x:f>M207*Inputs!$C$11</x:f>
        <x:v>0.37777777777777777</x:v>
      </x:c>
      <x:c r="O207" s="48" t="n">
        <x:f>1000*(D208-D206)/(A208-A206)*Inputs!$C$11</x:f>
        <x:v>901.7277618504522</x:v>
      </x:c>
      <x:c r="P207" s="48" t="n">
        <x:f>-2*O207/Inputs!$C$13</x:f>
        <x:v>-360.6911047401809</x:v>
      </x:c>
      <x:c r="Q207" s="48" t="n">
        <x:f>-2*O207/Inputs!$C$14</x:f>
        <x:v>-54.1578235345617</x:v>
      </x:c>
      <x:c r="R207" s="48" t="n">
        <x:f>F207-Inputs!$C$16/2</x:f>
        <x:v>2111.18370857261</x:v>
      </x:c>
      <x:c r="S207" s="48" t="n">
        <x:f>F207+Inputs!$C$16/2</x:f>
        <x:v>2141.18370857261</x:v>
      </x:c>
      <x:c r="T207" s="48" t="n">
        <x:f>F207-Inputs!$C$17/2</x:f>
        <x:v>1976.1837085726102</x:v>
      </x:c>
      <x:c r="U207" s="48" t="n">
        <x:f>F207+Inputs!$C$17/2</x:f>
        <x:v>2276.18370857261</x:v>
      </x:c>
      <x:c r="V207" s="48" t="n">
        <x:f>ABS(P207)</x:f>
        <x:v>360.6911047401809</x:v>
      </x:c>
      <x:c r="W207" s="48" t="n">
        <x:f>ABS(Q207)</x:f>
        <x:v>54.1578235345617</x:v>
      </x:c>
      <x:c r="X207" s="48" t="n">
        <x: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(0.45*SIN(2*PI()*(((A207)/Inputs!$C$49)+Inputs!$C$47*0.137))+0.35*COS(2*PI()*(((0)/Inputs!$C$50)+Inputs!$C$47*0.173))+0.20*SIN(2*PI()*(((A207)+(0))/(0.5*(Inputs!$C$49+Inputs!$C$50))+Inputs!$C$47*0.097)))+0.30*(2*((SIN(((A207)*12.9898+(0)*78.233+Inputs!$C$47*37.719))*43758.5453)-INT((SIN(((A207)*12.9898+(0)*78.233+Inputs!$C$47*37.719))*43758.5453)))-1)))</x:f>
        <x:v>40.25127636090155</x:v>
      </x:c>
      <x:c r="Y207" s="48" t="n">
        <x: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(0.45*SIN(2*PI()*(((A207)/Inputs!$C$49)+Inputs!$C$47*0.137))+0.35*COS(2*PI()*(((Inputs!$C$6)/Inputs!$C$50)+Inputs!$C$47*0.173))+0.20*SIN(2*PI()*(((A207)+(Inputs!$C$6))/(0.5*(Inputs!$C$49+Inputs!$C$50))+Inputs!$C$47*0.097)))+0.30*(2*((SIN(((A207)*12.9898+(Inputs!$C$6)*78.233+Inputs!$C$47*37.719))*43758.5453)-INT((SIN(((A207)*12.9898+(Inputs!$C$6)*78.233+Inputs!$C$47*37.719))*43758.5453)))-1)))</x:f>
        <x:v>259.7768551367322</x:v>
      </x:c>
      <x:c r="Z207" s="48" t="n">
        <x:f>B207-X207/1000</x:f>
        <x:v>401.96669316808357</x:v>
      </x:c>
      <x:c r="AA207" s="48" t="n">
        <x:f>SQRT((Inputs!$C$52+B207)^2+(Inputs!$C$52+Y207/1000)^2-2*(Inputs!$C$52+B207)*(Inputs!$C$52+Y207/1000)*COS(SQRT(A207^2+Inputs!$C$6^2)/Inputs!$C$52))</x:f>
        <x:v>405.53482630255445</x:v>
      </x:c>
      <x:c r="AB207" s="48" t="n">
        <x:f>(AA207-Z207)*1000</x:f>
        <x:v>3568.1331344708838</x:v>
      </x:c>
      <x:c r="AC207" s="48" t="n">
        <x:f>AB207/Inputs!$C$12</x:f>
        <x:v>2004.5691766690359</x:v>
      </x:c>
      <x:c r="AD207" s="48" t="n">
        <x:f>2*AB207/Inputs!$C$21*1000000</x:f>
        <x:v>23.80402201092653</x:v>
      </x:c>
      <x:c r="AE207" s="48" t="n">
        <x:f>DEGREES(ATAN(H207/(B207-Y207/1000)))</x:f>
        <x:v>6.997099778736734</x:v>
      </x:c>
      <x:c r="AF207" s="48" t="n">
        <x:f>DEGREES((2*PI()/Inputs!$C$13)*Inputs!$C$15*SIN(RADIANS(AE207)))</x:f>
        <x:v>43.85487677072877</x:v>
      </x:c>
      <x:c r="AG207" s="48" t="n">
        <x:f>(Z207/AA207)^4</x:f>
        <x:v>0.9652674272551742</x:v>
      </x:c>
      <x:c r="AH207" s="48" t="n">
        <x:f>10*LOG10(AG207)</x:f>
        <x:v>-0.153523487379109</x:v>
      </x:c>
      <x:c r="AI207" s="48" t="n">
        <x:f>AC207-F207</x:f>
        <x:v>-121.61453190357429</x:v>
      </x:c>
      <x:c r="AJ207" s="48" t="n">
        <x:f>AD207-G207</x:f>
        <x:v>-1.4441581901861085</x:v>
      </x:c>
      <x:c r="AK207" s="48" t="n">
        <x:f>Y207-X207</x:f>
        <x:v>219.52557877583064</x:v>
      </x:c>
      <x:c r="AL207" s="48" t="n">
        <x:f>1000*(AA208-AA206)/(A208-A206)*Inputs!$C$11</x:f>
        <x:v>996.4743057389569</x:v>
      </x:c>
      <x:c r="AM207" s="48" t="n">
        <x:f>-2*AL207/Inputs!$C$13</x:f>
        <x:v>-398.58972229558276</x:v>
      </x:c>
      <x:c r="AN207" s="48" t="n">
        <x:f>-2*AL207/Inputs!$C$14</x:f>
        <x:v>-59.848306650988405</x:v>
      </x:c>
      <x:c r="AO207" s="48" t="n">
        <x:f>ABS(AM207)</x:f>
        <x:v>398.58972229558276</x:v>
      </x:c>
      <x:c r="AP207" s="48" t="n">
        <x:f>ABS(AN207)</x:f>
        <x:v>59.848306650988405</x:v>
      </x:c>
      <x:c r="AQ207" s="48" t="n">
        <x:f>IF(OR(Inputs!$C$27=TRUE,Inputs!$C$27="TRUE",Inputs!$C$27=1),Inputs!$C$46/Inputs!$C$12,0)</x:f>
        <x:v>42.13483146067416</x:v>
      </x:c>
      <x:c r="AR207" s="48" t="n">
        <x:f>AC207-AQ207</x:f>
        <x:v>1962.4343452083617</x:v>
      </x:c>
      <x:c r="AS207" s="48" t="n">
        <x:f>AC207+AQ207</x:f>
        <x:v>2046.70400812971</x:v>
      </x:c>
    </x:row>
    <x:row r="208">
      <x:c r="A208" s="48" t="n">
        <x:f>Inputs!$C$7+206*(Inputs!$C$8-Inputs!$C$7)/240</x:f>
        <x:v>43</x:v>
      </x:c>
      <x:c r="B208" s="48" t="n">
        <x:f>Inputs!$C$5+Inputs!$C$9*(A208/Inputs!$C$10)^2</x:f>
        <x:v>402.05444444444447</x:v>
      </x:c>
      <x:c r="C208" s="48" t="n">
        <x:f>B208</x:f>
        <x:v>402.05444444444447</x:v>
      </x:c>
      <x:c r="D208" s="48" t="n">
        <x:f>SQRT((Inputs!$C$52+B208)^2+Inputs!$C$52^2-2*(Inputs!$C$52+B208)*Inputs!$C$52*COS(SQRT(A208^2+Inputs!$C$6^2)/Inputs!$C$52))</x:f>
        <x:v>405.904919033004</x:v>
      </x:c>
      <x:c r="E208" s="48" t="n">
        <x:f>(D208-C208)*1000</x:f>
        <x:v>3850.474588559507</x:v>
      </x:c>
      <x:c r="F208" s="48" t="n">
        <x:f>E208/Inputs!$C$12</x:f>
        <x:v>2163.1879711008464</x:v>
      </x:c>
      <x:c r="G208" s="48" t="n">
        <x:f>2*E208/Inputs!$C$21*1000000</x:f>
        <x:v>25.687601444326575</x:v>
      </x:c>
      <x:c r="H208" s="48" t="n">
        <x:f>SQRT(A208^2+Inputs!$C$6^2)</x:f>
        <x:v>49.73932046178355</x:v>
      </x:c>
      <x:c r="I208" s="48" t="n">
        <x:f>DEGREES(ATAN(H208/B208))</x:f>
        <x:v>7.05239391542762</x:v>
      </x:c>
      <x:c r="J208" s="48" t="n">
        <x:f>DEGREES((2*PI()/Inputs!$C$13)*Inputs!$C$15*SIN(RADIANS(I208)))</x:f>
        <x:v>44.1996921044198</x:v>
      </x:c>
      <x:c r="K208" s="48" t="n">
        <x:f>(C208/D208)^4</x:f>
        <x:v>0.9625919192655438</x:v>
      </x:c>
      <x:c r="L208" s="48" t="n">
        <x:f>10*LOG10(K208)</x:f>
        <x:v>-0.165577884441521</x:v>
      </x:c>
      <x:c r="M208" s="48" t="n">
        <x:f>2*(Inputs!$C$9/(Inputs!$C$10^2))*A208</x:f>
        <x:v>0.09555555555555556</x:v>
      </x:c>
      <x:c r="N208" s="48" t="n">
        <x:f>M208*Inputs!$C$11</x:f>
        <x:v>0.38222222222222224</x:v>
      </x:c>
      <x:c r="O208" s="48" t="n">
        <x:f>1000*(D209-D207)/(A209-A207)*Inputs!$C$11</x:f>
        <x:v>912.1504706984069</x:v>
      </x:c>
      <x:c r="P208" s="48" t="n">
        <x:f>-2*O208/Inputs!$C$13</x:f>
        <x:v>-364.8601882793628</x:v>
      </x:c>
      <x:c r="Q208" s="48" t="n">
        <x:f>-2*O208/Inputs!$C$14</x:f>
        <x:v>-54.78381205395838</x:v>
      </x:c>
      <x:c r="R208" s="48" t="n">
        <x:f>F208-Inputs!$C$16/2</x:f>
        <x:v>2148.1879711008464</x:v>
      </x:c>
      <x:c r="S208" s="48" t="n">
        <x:f>F208+Inputs!$C$16/2</x:f>
        <x:v>2178.1879711008464</x:v>
      </x:c>
      <x:c r="T208" s="48" t="n">
        <x:f>F208-Inputs!$C$17/2</x:f>
        <x:v>2013.1879711008464</x:v>
      </x:c>
      <x:c r="U208" s="48" t="n">
        <x:f>F208+Inputs!$C$17/2</x:f>
        <x:v>2313.1879711008464</x:v>
      </x:c>
      <x:c r="V208" s="48" t="n">
        <x:f>ABS(P208)</x:f>
        <x:v>364.8601882793628</x:v>
      </x:c>
      <x:c r="W208" s="48" t="n">
        <x:f>ABS(Q208)</x:f>
        <x:v>54.78381205395838</x:v>
      </x:c>
      <x:c r="X208" s="48" t="n">
        <x: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(0.45*SIN(2*PI()*(((A208)/Inputs!$C$49)+Inputs!$C$47*0.137))+0.35*COS(2*PI()*(((0)/Inputs!$C$50)+Inputs!$C$47*0.173))+0.20*SIN(2*PI()*(((A208)+(0))/(0.5*(Inputs!$C$49+Inputs!$C$50))+Inputs!$C$47*0.097)))+0.30*(2*((SIN(((A208)*12.9898+(0)*78.233+Inputs!$C$47*37.719))*43758.5453)-INT((SIN(((A208)*12.9898+(0)*78.233+Inputs!$C$47*37.719))*43758.5453)))-1)))</x:f>
        <x:v>33.32797910139238</x:v>
      </x:c>
      <x:c r="Y208" s="48" t="n">
        <x: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(0.45*SIN(2*PI()*(((A208)/Inputs!$C$49)+Inputs!$C$47*0.137))+0.35*COS(2*PI()*(((Inputs!$C$6)/Inputs!$C$50)+Inputs!$C$47*0.173))+0.20*SIN(2*PI()*(((A208)+(Inputs!$C$6))/(0.5*(Inputs!$C$49+Inputs!$C$50))+Inputs!$C$47*0.097)))+0.30*(2*((SIN(((A208)*12.9898+(Inputs!$C$6)*78.233+Inputs!$C$47*37.719))*43758.5453)-INT((SIN(((A208)*12.9898+(Inputs!$C$6)*78.233+Inputs!$C$47*37.719))*43758.5453)))-1)))</x:f>
        <x:v>247.2629698422237</x:v>
      </x:c>
      <x:c r="Z208" s="48" t="n">
        <x:f>B208-X208/1000</x:f>
        <x:v>402.0211164653431</x:v>
      </x:c>
      <x:c r="AA208" s="48" t="n">
        <x:f>SQRT((Inputs!$C$52+B208)^2+(Inputs!$C$52+Y208/1000)^2-2*(Inputs!$C$52+B208)*(Inputs!$C$52+Y208/1000)*COS(SQRT(A208^2+Inputs!$C$6^2)/Inputs!$C$52))</x:f>
        <x:v>405.6606105270523</x:v>
      </x:c>
      <x:c r="AB208" s="48" t="n">
        <x:f>(AA208-Z208)*1000</x:f>
        <x:v>3639.494061709229</x:v>
      </x:c>
      <x:c r="AC208" s="48" t="n">
        <x:f>AB208/Inputs!$C$12</x:f>
        <x:v>2044.6595852299038</x:v>
      </x:c>
      <x:c r="AD208" s="48" t="n">
        <x:f>2*AB208/Inputs!$C$21*1000000</x:f>
        <x:v>24.280090873461724</x:v>
      </x:c>
      <x:c r="AE208" s="48" t="n">
        <x:f>DEGREES(ATAN(H208/(B208-Y208/1000)))</x:f>
        <x:v>7.056690056123688</x:v>
      </x:c>
      <x:c r="AF208" s="48" t="n">
        <x:f>DEGREES((2*PI()/Inputs!$C$13)*Inputs!$C$15*SIN(RADIANS(AE208)))</x:f>
        <x:v>44.226481203741976</x:v>
      </x:c>
      <x:c r="AG208" s="48" t="n">
        <x:f>(Z208/AA208)^4</x:f>
        <x:v>0.964592990261576</x:v>
      </x:c>
      <x:c r="AH208" s="48" t="n">
        <x:f>10*LOG10(AG208)</x:f>
        <x:v>-0.15655898439202098</x:v>
      </x:c>
      <x:c r="AI208" s="48" t="n">
        <x:f>AC208-F208</x:f>
        <x:v>-118.52838587094266</x:v>
      </x:c>
      <x:c r="AJ208" s="48" t="n">
        <x:f>AD208-G208</x:f>
        <x:v>-1.4075105708648508</x:v>
      </x:c>
      <x:c r="AK208" s="48" t="n">
        <x:f>Y208-X208</x:f>
        <x:v>213.93499074083132</x:v>
      </x:c>
      <x:c r="AL208" s="48" t="n">
        <x:f>1000*(AA209-AA207)/(A209-A207)*Inputs!$C$11</x:f>
        <x:v>1048.583804247528</x:v>
      </x:c>
      <x:c r="AM208" s="48" t="n">
        <x:f>-2*AL208/Inputs!$C$13</x:f>
        <x:v>-419.4335216990112</x:v>
      </x:c>
      <x:c r="AN208" s="48" t="n">
        <x:f>-2*AL208/Inputs!$C$14</x:f>
        <x:v>-62.978006261112796</x:v>
      </x:c>
      <x:c r="AO208" s="48" t="n">
        <x:f>ABS(AM208)</x:f>
        <x:v>419.4335216990112</x:v>
      </x:c>
      <x:c r="AP208" s="48" t="n">
        <x:f>ABS(AN208)</x:f>
        <x:v>62.978006261112796</x:v>
      </x:c>
      <x:c r="AQ208" s="48" t="n">
        <x:f>IF(OR(Inputs!$C$27=TRUE,Inputs!$C$27="TRUE",Inputs!$C$27=1),Inputs!$C$46/Inputs!$C$12,0)</x:f>
        <x:v>42.13483146067416</x:v>
      </x:c>
      <x:c r="AR208" s="48" t="n">
        <x:f>AC208-AQ208</x:f>
        <x:v>2002.5247537692296</x:v>
      </x:c>
      <x:c r="AS208" s="48" t="n">
        <x:f>AC208+AQ208</x:f>
        <x:v>2086.794416690578</x:v>
      </x:c>
    </x:row>
    <x:row r="209">
      <x:c r="A209" s="48" t="n">
        <x:f>Inputs!$C$7+207*(Inputs!$C$8-Inputs!$C$7)/240</x:f>
        <x:v>43.5</x:v>
      </x:c>
      <x:c r="B209" s="48" t="n">
        <x:f>Inputs!$C$5+Inputs!$C$9*(A209/Inputs!$C$10)^2</x:f>
        <x:v>402.1025</x:v>
      </x:c>
      <x:c r="C209" s="48" t="n">
        <x:f>B209</x:f>
        <x:v>402.1025</x:v>
      </x:c>
      <x:c r="D209" s="48" t="n">
        <x:f>SQRT((Inputs!$C$52+B209)^2+Inputs!$C$52^2-2*(Inputs!$C$52+B209)*Inputs!$C$52*COS(SQRT(A209^2+Inputs!$C$6^2)/Inputs!$C$52))</x:f>
        <x:v>406.0195890633783</x:v>
      </x:c>
      <x:c r="E209" s="48" t="n">
        <x:f>(D209-C209)*1000</x:f>
        <x:v>3917.0890633782847</x:v>
      </x:c>
      <x:c r="F209" s="48" t="n">
        <x:f>E209/Inputs!$C$12</x:f>
        <x:v>2200.611833358587</x:v>
      </x:c>
      <x:c r="G209" s="48" t="n">
        <x:f>2*E209/Inputs!$C$21*1000000</x:f>
        <x:v>26.132005384727087</x:v>
      </x:c>
      <x:c r="H209" s="48" t="n">
        <x:f>SQRT(A209^2+Inputs!$C$6^2)</x:f>
        <x:v>50.172203459684724</x:v>
      </x:c>
      <x:c r="I209" s="48" t="n">
        <x:f>DEGREES(ATAN(H209/B209))</x:f>
        <x:v>7.1123037002334435</x:v>
      </x:c>
      <x:c r="J209" s="48" t="n">
        <x:f>DEGREES((2*PI()/Inputs!$C$13)*Inputs!$C$15*SIN(RADIANS(I209)))</x:f>
        <x:v>44.57324423808168</x:v>
      </x:c>
      <x:c r="K209" s="48" t="n">
        <x:f>(C209/D209)^4</x:f>
        <x:v>0.9619647181791856</x:v>
      </x:c>
      <x:c r="L209" s="48" t="n">
        <x:f>10*LOG10(K209)</x:f>
        <x:v>-0.168408562169498</x:v>
      </x:c>
      <x:c r="M209" s="48" t="n">
        <x:f>2*(Inputs!$C$9/(Inputs!$C$10^2))*A209</x:f>
        <x:v>0.09666666666666666</x:v>
      </x:c>
      <x:c r="N209" s="48" t="n">
        <x:f>M209*Inputs!$C$11</x:f>
        <x:v>0.38666666666666666</x:v>
      </x:c>
      <x:c r="O209" s="48" t="n">
        <x:f>1000*(D210-D208)/(A210-A208)*Inputs!$C$11</x:f>
        <x:v>922.566818496307</x:v>
      </x:c>
      <x:c r="P209" s="48" t="n">
        <x:f>-2*O209/Inputs!$C$13</x:f>
        <x:v>-369.0267273985228</x:v>
      </x:c>
      <x:c r="Q209" s="48" t="n">
        <x:f>-2*O209/Inputs!$C$14</x:f>
        <x:v>-55.40941852830673</x:v>
      </x:c>
      <x:c r="R209" s="48" t="n">
        <x:f>F209-Inputs!$C$16/2</x:f>
        <x:v>2185.611833358587</x:v>
      </x:c>
      <x:c r="S209" s="48" t="n">
        <x:f>F209+Inputs!$C$16/2</x:f>
        <x:v>2215.611833358587</x:v>
      </x:c>
      <x:c r="T209" s="48" t="n">
        <x:f>F209-Inputs!$C$17/2</x:f>
        <x:v>2050.611833358587</x:v>
      </x:c>
      <x:c r="U209" s="48" t="n">
        <x:f>F209+Inputs!$C$17/2</x:f>
        <x:v>2350.611833358587</x:v>
      </x:c>
      <x:c r="V209" s="48" t="n">
        <x:f>ABS(P209)</x:f>
        <x:v>369.0267273985228</x:v>
      </x:c>
      <x:c r="W209" s="48" t="n">
        <x:f>ABS(Q209)</x:f>
        <x:v>55.40941852830673</x:v>
      </x:c>
      <x:c r="X209" s="48" t="n">
        <x: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(0.45*SIN(2*PI()*(((A209)/Inputs!$C$49)+Inputs!$C$47*0.137))+0.35*COS(2*PI()*(((0)/Inputs!$C$50)+Inputs!$C$47*0.173))+0.20*SIN(2*PI()*(((A209)+(0))/(0.5*(Inputs!$C$49+Inputs!$C$50))+Inputs!$C$47*0.097)))+0.30*(2*((SIN(((A209)*12.9898+(0)*78.233+Inputs!$C$47*37.719))*43758.5453)-INT((SIN(((A209)*12.9898+(0)*78.233+Inputs!$C$47*37.719))*43758.5453)))-1)))</x:f>
        <x:v>20.522948331606614</x:v>
      </x:c>
      <x:c r="Y209" s="48" t="n">
        <x: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(0.45*SIN(2*PI()*(((A209)/Inputs!$C$49)+Inputs!$C$47*0.137))+0.35*COS(2*PI()*(((Inputs!$C$6)/Inputs!$C$50)+Inputs!$C$47*0.173))+0.20*SIN(2*PI()*(((A209)+(Inputs!$C$6))/(0.5*(Inputs!$C$49+Inputs!$C$50))+Inputs!$C$47*0.097)))+0.30*(2*((SIN(((A209)*12.9898+(Inputs!$C$6)*78.233+Inputs!$C$47*37.719))*43758.5453)-INT((SIN(((A209)*12.9898+(Inputs!$C$6)*78.233+Inputs!$C$47*37.719))*43758.5453)))-1)))</x:f>
        <x:v>225.35528260314678</x:v>
      </x:c>
      <x:c r="Z209" s="48" t="n">
        <x:f>B209-X209/1000</x:f>
        <x:v>402.0819770516684</x:v>
      </x:c>
      <x:c r="AA209" s="48" t="n">
        <x:f>SQRT((Inputs!$C$52+B209)^2+(Inputs!$C$52+Y209/1000)^2-2*(Inputs!$C$52+B209)*(Inputs!$C$52+Y209/1000)*COS(SQRT(A209^2+Inputs!$C$6^2)/Inputs!$C$52))</x:f>
        <x:v>405.79697225361633</x:v>
      </x:c>
      <x:c r="AB209" s="48" t="n">
        <x:f>(AA209-Z209)*1000</x:f>
        <x:v>3714.995201947943</x:v>
      </x:c>
      <x:c r="AC209" s="48" t="n">
        <x:f>AB209/Inputs!$C$12</x:f>
        <x:v>2087.0759561505297</x:v>
      </x:c>
      <x:c r="AD209" s="48" t="n">
        <x:f>2*AB209/Inputs!$C$21*1000000</x:f>
        <x:v>24.783780264064834</x:v>
      </x:c>
      <x:c r="AE209" s="48" t="n">
        <x:f>DEGREES(ATAN(H209/(B209-Y209/1000)))</x:f>
        <x:v>7.116251093722708</x:v>
      </x:c>
      <x:c r="AF209" s="48" t="n">
        <x:f>DEGREES((2*PI()/Inputs!$C$13)*Inputs!$C$15*SIN(RADIANS(AE209)))</x:f>
        <x:v>44.59785549333255</x:v>
      </x:c>
      <x:c r="AG209" s="48" t="n">
        <x:f>(Z209/AA209)^4</x:f>
        <x:v>0.9638805514189215</x:v>
      </x:c>
      <x:c r="AH209" s="48" t="n">
        <x:f>10*LOG10(AG209)</x:f>
        <x:v>-0.159767825638189</x:v>
      </x:c>
      <x:c r="AI209" s="48" t="n">
        <x:f>AC209-F209</x:f>
        <x:v>-113.53587720805717</x:v>
      </x:c>
      <x:c r="AJ209" s="48" t="n">
        <x:f>AD209-G209</x:f>
        <x:v>-1.3482251206622529</x:v>
      </x:c>
      <x:c r="AK209" s="48" t="n">
        <x:f>Y209-X209</x:f>
        <x:v>204.83233427154016</x:v>
      </x:c>
      <x:c r="AL209" s="48" t="n">
        <x:f>1000*(AA210-AA208)/(A210-A208)*Inputs!$C$11</x:f>
        <x:v>1074.7629693883027</x:v>
      </x:c>
      <x:c r="AM209" s="48" t="n">
        <x:f>-2*AL209/Inputs!$C$13</x:f>
        <x:v>-429.9051877553211</x:v>
      </x:c>
      <x:c r="AN209" s="48" t="n">
        <x:f>-2*AL209/Inputs!$C$14</x:f>
        <x:v>-64.55032849178995</x:v>
      </x:c>
      <x:c r="AO209" s="48" t="n">
        <x:f>ABS(AM209)</x:f>
        <x:v>429.9051877553211</x:v>
      </x:c>
      <x:c r="AP209" s="48" t="n">
        <x:f>ABS(AN209)</x:f>
        <x:v>64.55032849178995</x:v>
      </x:c>
      <x:c r="AQ209" s="48" t="n">
        <x:f>IF(OR(Inputs!$C$27=TRUE,Inputs!$C$27="TRUE",Inputs!$C$27=1),Inputs!$C$46/Inputs!$C$12,0)</x:f>
        <x:v>42.13483146067416</x:v>
      </x:c>
      <x:c r="AR209" s="48" t="n">
        <x:f>AC209-AQ209</x:f>
        <x:v>2044.9411246898555</x:v>
      </x:c>
      <x:c r="AS209" s="48" t="n">
        <x:f>AC209+AQ209</x:f>
        <x:v>2129.210787611204</x:v>
      </x:c>
    </x:row>
    <x:row r="210">
      <x:c r="A210" s="48" t="n">
        <x:f>Inputs!$C$7+208*(Inputs!$C$8-Inputs!$C$7)/240</x:f>
        <x:v>44</x:v>
      </x:c>
      <x:c r="B210" s="48" t="n">
        <x:f>Inputs!$C$5+Inputs!$C$9*(A210/Inputs!$C$10)^2</x:f>
        <x:v>402.1511111111111</x:v>
      </x:c>
      <x:c r="C210" s="48" t="n">
        <x:f>B210</x:f>
        <x:v>402.1511111111111</x:v>
      </x:c>
      <x:c r="D210" s="48" t="n">
        <x:f>SQRT((Inputs!$C$52+B210)^2+Inputs!$C$52^2-2*(Inputs!$C$52+B210)*Inputs!$C$52*COS(SQRT(A210^2+Inputs!$C$6^2)/Inputs!$C$52))</x:f>
        <x:v>406.13556073762805</x:v>
      </x:c>
      <x:c r="E210" s="48" t="n">
        <x:f>(D210-C210)*1000</x:f>
        <x:v>3984.4496265169482</x:v>
      </x:c>
      <x:c r="F210" s="48" t="n">
        <x:f>E210/Inputs!$C$12</x:f>
        <x:v>2238.4548463578362</x:v>
      </x:c>
      <x:c r="G210" s="48" t="n">
        <x:f>2*E210/Inputs!$C$21*1000000</x:f>
        <x:v>26.58138669063481</x:v>
      </x:c>
      <x:c r="H210" s="48" t="n">
        <x:f>SQRT(A210^2+Inputs!$C$6^2)</x:f>
        <x:v>50.60632371551998</x:v>
      </x:c>
      <x:c r="I210" s="48" t="n">
        <x:f>DEGREES(ATAN(H210/B210))</x:f>
        <x:v>7.172347267625263</x:v>
      </x:c>
      <x:c r="J210" s="48" t="n">
        <x:f>DEGREES((2*PI()/Inputs!$C$13)*Inputs!$C$15*SIN(RADIANS(I210)))</x:f>
        <x:v>44.94758164201636</x:v>
      </x:c>
      <x:c r="K210" s="48" t="n">
        <x:f>(C210/D210)^4</x:f>
        <x:v>0.9613311656079478</x:v>
      </x:c>
      <x:c r="L210" s="48" t="n">
        <x:f>10*LOG10(K210)</x:f>
        <x:v>-0.17126977970711998</x:v>
      </x:c>
      <x:c r="M210" s="48" t="n">
        <x:f>2*(Inputs!$C$9/(Inputs!$C$10^2))*A210</x:f>
        <x:v>0.09777777777777778</x:v>
      </x:c>
      <x:c r="N210" s="48" t="n">
        <x:f>M210*Inputs!$C$11</x:f>
        <x:v>0.39111111111111113</x:v>
      </x:c>
      <x:c r="O210" s="48" t="n">
        <x:f>1000*(D211-D209)/(A211-A209)*Inputs!$C$11</x:f>
        <x:v>932.9767403644382</x:v>
      </x:c>
      <x:c r="P210" s="48" t="n">
        <x:f>-2*O210/Inputs!$C$13</x:f>
        <x:v>-373.1906961457753</x:v>
      </x:c>
      <x:c r="Q210" s="48" t="n">
        <x:f>-2*O210/Inputs!$C$14</x:f>
        <x:v>-56.034639060927226</x:v>
      </x:c>
      <x:c r="R210" s="48" t="n">
        <x:f>F210-Inputs!$C$16/2</x:f>
        <x:v>2223.4548463578362</x:v>
      </x:c>
      <x:c r="S210" s="48" t="n">
        <x:f>F210+Inputs!$C$16/2</x:f>
        <x:v>2253.4548463578362</x:v>
      </x:c>
      <x:c r="T210" s="48" t="n">
        <x:f>F210-Inputs!$C$17/2</x:f>
        <x:v>2088.4548463578362</x:v>
      </x:c>
      <x:c r="U210" s="48" t="n">
        <x:f>F210+Inputs!$C$17/2</x:f>
        <x:v>2388.4548463578362</x:v>
      </x:c>
      <x:c r="V210" s="48" t="n">
        <x:f>ABS(P210)</x:f>
        <x:v>373.1906961457753</x:v>
      </x:c>
      <x:c r="W210" s="48" t="n">
        <x:f>ABS(Q210)</x:f>
        <x:v>56.034639060927226</x:v>
      </x:c>
      <x:c r="X210" s="48" t="n">
        <x: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(0.45*SIN(2*PI()*(((A210)/Inputs!$C$49)+Inputs!$C$47*0.137))+0.35*COS(2*PI()*(((0)/Inputs!$C$50)+Inputs!$C$47*0.173))+0.20*SIN(2*PI()*(((A210)+(0))/(0.5*(Inputs!$C$49+Inputs!$C$50))+Inputs!$C$47*0.097)))+0.30*(2*((SIN(((A210)*12.9898+(0)*78.233+Inputs!$C$47*37.719))*43758.5453)-INT((SIN(((A210)*12.9898+(0)*78.233+Inputs!$C$47*37.719))*43758.5453)))-1)))</x:f>
        <x:v>7.051899638170276</x:v>
      </x:c>
      <x:c r="Y210" s="48" t="n">
        <x: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(0.45*SIN(2*PI()*(((A210)/Inputs!$C$49)+Inputs!$C$47*0.137))+0.35*COS(2*PI()*(((Inputs!$C$6)/Inputs!$C$50)+Inputs!$C$47*0.173))+0.20*SIN(2*PI()*(((A210)+(Inputs!$C$6))/(0.5*(Inputs!$C$49+Inputs!$C$50))+Inputs!$C$47*0.097)))+0.30*(2*((SIN(((A210)*12.9898+(Inputs!$C$6)*78.233+Inputs!$C$47*37.719))*43758.5453)-INT((SIN(((A210)*12.9898+(Inputs!$C$6)*78.233+Inputs!$C$47*37.719))*43758.5453)))-1)))</x:f>
        <x:v>208.84015984832814</x:v>
      </x:c>
      <x:c r="Z210" s="48" t="n">
        <x:f>B210-X210/1000</x:f>
        <x:v>402.14405921147295</x:v>
      </x:c>
      <x:c r="AA210" s="48" t="n">
        <x:f>SQRT((Inputs!$C$52+B210)^2+(Inputs!$C$52+Y210/1000)^2-2*(Inputs!$C$52+B210)*(Inputs!$C$52+Y210/1000)*COS(SQRT(A210^2+Inputs!$C$6^2)/Inputs!$C$52))</x:f>
        <x:v>405.9293012693994</x:v>
      </x:c>
      <x:c r="AB210" s="48" t="n">
        <x:f>(AA210-Z210)*1000</x:f>
        <x:v>3785.242057926439</x:v>
      </x:c>
      <x:c r="AC210" s="48" t="n">
        <x:f>AB210/Inputs!$C$12</x:f>
        <x:v>2126.5404819811456</x:v>
      </x:c>
      <x:c r="AD210" s="48" t="n">
        <x:f>2*AB210/Inputs!$C$21*1000000</x:f>
        <x:v>25.25241684316447</x:v>
      </x:c>
      <x:c r="AE210" s="48" t="n">
        <x:f>DEGREES(ATAN(H210/(B210-Y210/1000)))</x:f>
        <x:v>7.176035018641395</x:v>
      </x:c>
      <x:c r="AF210" s="48" t="n">
        <x:f>DEGREES((2*PI()/Inputs!$C$13)*Inputs!$C$15*SIN(RADIANS(AE210)))</x:f>
        <x:v>44.97057106195993</x:v>
      </x:c>
      <x:c r="AG210" s="48" t="n">
        <x:f>(Z210/AA210)^4</x:f>
        <x:v>0.9632189642270403</x:v>
      </x:c>
      <x:c r="AH210" s="48" t="n">
        <x:f>10*LOG10(AG210)</x:f>
        <x:v>-0.16274975444557</x:v>
      </x:c>
      <x:c r="AI210" s="48" t="n">
        <x:f>AC210-F210</x:f>
        <x:v>-111.91436437669063</x:v>
      </x:c>
      <x:c r="AJ210" s="48" t="n">
        <x:f>AD210-G210</x:f>
        <x:v>-1.32896984747034</x:v>
      </x:c>
      <x:c r="AK210" s="48" t="n">
        <x:f>Y210-X210</x:f>
        <x:v>201.78826021015786</x:v>
      </x:c>
      <x:c r="AL210" s="48" t="n">
        <x:f>1000*(AA211-AA209)/(A211-A209)*Inputs!$C$11</x:f>
        <x:v>1116.5864190365937</x:v>
      </x:c>
      <x:c r="AM210" s="48" t="n">
        <x:f>-2*AL210/Inputs!$C$13</x:f>
        <x:v>-446.6345676146375</x:v>
      </x:c>
      <x:c r="AN210" s="48" t="n">
        <x:f>-2*AL210/Inputs!$C$14</x:f>
        <x:v>-67.06224738958521</x:v>
      </x:c>
      <x:c r="AO210" s="48" t="n">
        <x:f>ABS(AM210)</x:f>
        <x:v>446.6345676146375</x:v>
      </x:c>
      <x:c r="AP210" s="48" t="n">
        <x:f>ABS(AN210)</x:f>
        <x:v>67.06224738958521</x:v>
      </x:c>
      <x:c r="AQ210" s="48" t="n">
        <x:f>IF(OR(Inputs!$C$27=TRUE,Inputs!$C$27="TRUE",Inputs!$C$27=1),Inputs!$C$46/Inputs!$C$12,0)</x:f>
        <x:v>42.13483146067416</x:v>
      </x:c>
      <x:c r="AR210" s="48" t="n">
        <x:f>AC210-AQ210</x:f>
        <x:v>2084.405650520471</x:v>
      </x:c>
      <x:c r="AS210" s="48" t="n">
        <x:f>AC210+AQ210</x:f>
        <x:v>2168.67531344182</x:v>
      </x:c>
    </x:row>
    <x:row r="211">
      <x:c r="A211" s="48" t="n">
        <x:f>Inputs!$C$7+209*(Inputs!$C$8-Inputs!$C$7)/240</x:f>
        <x:v>44.5</x:v>
      </x:c>
      <x:c r="B211" s="48" t="n">
        <x:f>Inputs!$C$5+Inputs!$C$9*(A211/Inputs!$C$10)^2</x:f>
        <x:v>402.2002777777778</x:v>
      </x:c>
      <x:c r="C211" s="48" t="n">
        <x:f>B211</x:f>
        <x:v>402.2002777777778</x:v>
      </x:c>
      <x:c r="D211" s="48" t="n">
        <x:f>SQRT((Inputs!$C$52+B211)^2+Inputs!$C$52^2-2*(Inputs!$C$52+B211)*Inputs!$C$52*COS(SQRT(A211^2+Inputs!$C$6^2)/Inputs!$C$52))</x:f>
        <x:v>406.2528332484694</x:v>
      </x:c>
      <x:c r="E211" s="48" t="n">
        <x:f>(D211-C211)*1000</x:f>
        <x:v>4052.5554706916296</x:v>
      </x:c>
      <x:c r="F211" s="48" t="n">
        <x:f>E211/Inputs!$C$12</x:f>
        <x:v>2276.7165565683313</x:v>
      </x:c>
      <x:c r="G211" s="48" t="n">
        <x:f>2*E211/Inputs!$C$21*1000000</x:f>
        <x:v>27.035739976431493</x:v>
      </x:c>
      <x:c r="H211" s="48" t="n">
        <x:f>SQRT(A211^2+Inputs!$C$6^2)</x:f>
        <x:v>51.041649659861115</x:v>
      </x:c>
      <x:c r="I211" s="48" t="n">
        <x:f>DEGREES(ATAN(H211/B211))</x:f>
        <x:v>7.232519645354166</x:v>
      </x:c>
      <x:c r="J211" s="48" t="n">
        <x:f>DEGREES((2*PI()/Inputs!$C$13)*Inputs!$C$15*SIN(RADIANS(I211)))</x:f>
        <x:v>45.32267258355667</x:v>
      </x:c>
      <x:c r="K211" s="48" t="n">
        <x:f>(C211/D211)^4</x:f>
        <x:v>0.9606912907410361</x:v>
      </x:c>
      <x:c r="L211" s="48" t="n">
        <x:f>10*LOG10(K211)</x:f>
        <x:v>-0.174161464277788</x:v>
      </x:c>
      <x:c r="M211" s="48" t="n">
        <x:f>2*(Inputs!$C$9/(Inputs!$C$10^2))*A211</x:f>
        <x:v>0.09888888888888889</x:v>
      </x:c>
      <x:c r="N211" s="48" t="n">
        <x:f>M211*Inputs!$C$11</x:f>
        <x:v>0.39555555555555555</x:v>
      </x:c>
      <x:c r="O211" s="48" t="n">
        <x:f>1000*(D212-D210)/(A212-A210)*Inputs!$C$11</x:f>
        <x:v>943.3801717254937</x:v>
      </x:c>
      <x:c r="P211" s="48" t="n">
        <x:f>-2*O211/Inputs!$C$13</x:f>
        <x:v>-377.3520686901975</x:v>
      </x:c>
      <x:c r="Q211" s="48" t="n">
        <x:f>-2*O211/Inputs!$C$14</x:f>
        <x:v>-56.65946977330293</x:v>
      </x:c>
      <x:c r="R211" s="48" t="n">
        <x:f>F211-Inputs!$C$16/2</x:f>
        <x:v>2261.7165565683313</x:v>
      </x:c>
      <x:c r="S211" s="48" t="n">
        <x:f>F211+Inputs!$C$16/2</x:f>
        <x:v>2291.7165565683313</x:v>
      </x:c>
      <x:c r="T211" s="48" t="n">
        <x:f>F211-Inputs!$C$17/2</x:f>
        <x:v>2126.7165565683313</x:v>
      </x:c>
      <x:c r="U211" s="48" t="n">
        <x:f>F211+Inputs!$C$17/2</x:f>
        <x:v>2426.7165565683313</x:v>
      </x:c>
      <x:c r="V211" s="48" t="n">
        <x:f>ABS(P211)</x:f>
        <x:v>377.3520686901975</x:v>
      </x:c>
      <x:c r="W211" s="48" t="n">
        <x:f>ABS(Q211)</x:f>
        <x:v>56.65946977330293</x:v>
      </x:c>
      <x:c r="X211" s="48" t="n">
        <x: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(0.45*SIN(2*PI()*(((A211)/Inputs!$C$49)+Inputs!$C$47*0.137))+0.35*COS(2*PI()*(((0)/Inputs!$C$50)+Inputs!$C$47*0.173))+0.20*SIN(2*PI()*(((A211)+(0))/(0.5*(Inputs!$C$49+Inputs!$C$50))+Inputs!$C$47*0.097)))+0.30*(2*((SIN(((A211)*12.9898+(0)*78.233+Inputs!$C$47*37.719))*43758.5453)-INT((SIN(((A211)*12.9898+(0)*78.233+Inputs!$C$47*37.719))*43758.5453)))-1)))</x:f>
        <x:v>-3.283716108943903</x:v>
      </x:c>
      <x:c r="Y211" s="48" t="n">
        <x: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(0.45*SIN(2*PI()*(((A211)/Inputs!$C$49)+Inputs!$C$47*0.137))+0.35*COS(2*PI()*(((Inputs!$C$6)/Inputs!$C$50)+Inputs!$C$47*0.173))+0.20*SIN(2*PI()*(((A211)+(Inputs!$C$6))/(0.5*(Inputs!$C$49+Inputs!$C$50))+Inputs!$C$47*0.097)))+0.30*(2*((SIN(((A211)*12.9898+(Inputs!$C$6)*78.233+Inputs!$C$47*37.719))*43758.5453)-INT((SIN(((A211)*12.9898+(Inputs!$C$6)*78.233+Inputs!$C$47*37.719))*43758.5453)))-1)))</x:f>
        <x:v>178.96296340227542</x:v>
      </x:c>
      <x:c r="Z211" s="48" t="n">
        <x:f>B211-X211/1000</x:f>
        <x:v>402.20356149388675</x:v>
      </x:c>
      <x:c r="AA211" s="48" t="n">
        <x:f>SQRT((Inputs!$C$52+B211)^2+(Inputs!$C$52+Y211/1000)^2-2*(Inputs!$C$52+B211)*(Inputs!$C$52+Y211/1000)*COS(SQRT(A211^2+Inputs!$C$6^2)/Inputs!$C$52))</x:f>
        <x:v>406.0761188583755</x:v>
      </x:c>
      <x:c r="AB211" s="48" t="n">
        <x:f>(AA211-Z211)*1000</x:f>
        <x:v>3872.5573644887277</x:v>
      </x:c>
      <x:c r="AC211" s="48" t="n">
        <x:f>AB211/Inputs!$C$12</x:f>
        <x:v>2175.594024993667</x:v>
      </x:c>
      <x:c r="AD211" s="48" t="n">
        <x:f>2*AB211/Inputs!$C$21*1000000</x:f>
        <x:v>25.834921867772454</x:v>
      </x:c>
      <x:c r="AE211" s="48" t="n">
        <x:f>DEGREES(ATAN(H211/(B211-Y211/1000)))</x:f>
        <x:v>7.235705143347186</x:v>
      </x:c>
      <x:c r="AF211" s="48" t="n">
        <x:f>DEGREES((2*PI()/Inputs!$C$13)*Inputs!$C$15*SIN(RADIANS(AE211)))</x:f>
        <x:v>45.342528335855626</x:v>
      </x:c>
      <x:c r="AG211" s="48" t="n">
        <x:f>(Z211/AA211)^4</x:f>
        <x:v>0.9623960888540652</x:v>
      </x:c>
      <x:c r="AH211" s="48" t="n">
        <x:f>10*LOG10(AG211)</x:f>
        <x:v>-0.16646150623063</x:v>
      </x:c>
      <x:c r="AI211" s="48" t="n">
        <x:f>AC211-F211</x:f>
        <x:v>-101.12253157466421</x:v>
      </x:c>
      <x:c r="AJ211" s="48" t="n">
        <x:f>AD211-G211</x:f>
        <x:v>-1.200818108659039</x:v>
      </x:c>
      <x:c r="AK211" s="48" t="n">
        <x:f>Y211-X211</x:f>
        <x:v>182.24667951121933</x:v>
      </x:c>
      <x:c r="AL211" s="48" t="n">
        <x:f>1000*(AA212-AA210)/(A212-A210)*Inputs!$C$11</x:f>
        <x:v>1115.7997388834247</x:v>
      </x:c>
      <x:c r="AM211" s="48" t="n">
        <x:f>-2*AL211/Inputs!$C$13</x:f>
        <x:v>-446.31989555336986</x:v>
      </x:c>
      <x:c r="AN211" s="48" t="n">
        <x:f>-2*AL211/Inputs!$C$14</x:f>
        <x:v>-67.01499933233782</x:v>
      </x:c>
      <x:c r="AO211" s="48" t="n">
        <x:f>ABS(AM211)</x:f>
        <x:v>446.31989555336986</x:v>
      </x:c>
      <x:c r="AP211" s="48" t="n">
        <x:f>ABS(AN211)</x:f>
        <x:v>67.01499933233782</x:v>
      </x:c>
      <x:c r="AQ211" s="48" t="n">
        <x:f>IF(OR(Inputs!$C$27=TRUE,Inputs!$C$27="TRUE",Inputs!$C$27=1),Inputs!$C$46/Inputs!$C$12,0)</x:f>
        <x:v>42.13483146067416</x:v>
      </x:c>
      <x:c r="AR211" s="48" t="n">
        <x:f>AC211-AQ211</x:f>
        <x:v>2133.4591935329927</x:v>
      </x:c>
      <x:c r="AS211" s="48" t="n">
        <x:f>AC211+AQ211</x:f>
        <x:v>2217.7288564543414</x:v>
      </x:c>
    </x:row>
    <x:row r="212">
      <x:c r="A212" s="48" t="n">
        <x:f>Inputs!$C$7+210*(Inputs!$C$8-Inputs!$C$7)/240</x:f>
        <x:v>45</x:v>
      </x:c>
      <x:c r="B212" s="48" t="n">
        <x:f>Inputs!$C$5+Inputs!$C$9*(A212/Inputs!$C$10)^2</x:f>
        <x:v>402.25</x:v>
      </x:c>
      <x:c r="C212" s="48" t="n">
        <x:f>B212</x:f>
        <x:v>402.25</x:v>
      </x:c>
      <x:c r="D212" s="48" t="n">
        <x:f>SQRT((Inputs!$C$52+B212)^2+Inputs!$C$52^2-2*(Inputs!$C$52+B212)*Inputs!$C$52*COS(SQRT(A212^2+Inputs!$C$6^2)/Inputs!$C$52))</x:f>
        <x:v>406.3714057805594</x:v>
      </x:c>
      <x:c r="E212" s="48" t="n">
        <x:f>(D212-C212)*1000</x:f>
        <x:v>4121.4057805594275</x:v>
      </x:c>
      <x:c r="F212" s="48" t="n">
        <x:f>E212/Inputs!$C$12</x:f>
        <x:v>2315.3965059322627</x:v>
      </x:c>
      <x:c r="G212" s="48" t="n">
        <x:f>2*E212/Inputs!$C$21*1000000</x:f>
        <x:v>27.49505980273478</x:v>
      </x:c>
      <x:c r="H212" s="48" t="n">
        <x:f>SQRT(A212^2+Inputs!$C$6^2)</x:f>
        <x:v>51.478150704935004</x:v>
      </x:c>
      <x:c r="I212" s="48" t="n">
        <x:f>DEGREES(ATAN(H212/B212))</x:f>
        <x:v>7.292816002949435</x:v>
      </x:c>
      <x:c r="J212" s="48" t="n">
        <x:f>DEGREES((2*PI()/Inputs!$C$13)*Inputs!$C$15*SIN(RADIANS(I212)))</x:f>
        <x:v>45.69848622408668</x:v>
      </x:c>
      <x:c r="K212" s="48" t="n">
        <x:f>(C212/D212)^4</x:f>
        <x:v>0.9600451230018592</x:v>
      </x:c>
      <x:c r="L212" s="48" t="n">
        <x:f>10*LOG10(K212)</x:f>
        <x:v>-0.177083542414979</x:v>
      </x:c>
      <x:c r="M212" s="48" t="n">
        <x:f>2*(Inputs!$C$9/(Inputs!$C$10^2))*A212</x:f>
        <x:v>0.1</x:v>
      </x:c>
      <x:c r="N212" s="48" t="n">
        <x:f>M212*Inputs!$C$11</x:f>
        <x:v>0.4</x:v>
      </x:c>
      <x:c r="O212" s="48" t="n">
        <x:f>1000*(D213-D211)/(A213-A211)*Inputs!$C$11</x:f>
        <x:v>953.7770482984342</x:v>
      </x:c>
      <x:c r="P212" s="48" t="n">
        <x:f>-2*O212/Inputs!$C$13</x:f>
        <x:v>-381.5108193193737</x:v>
      </x:c>
      <x:c r="Q212" s="48" t="n">
        <x:f>-2*O212/Inputs!$C$14</x:f>
        <x:v>-57.28390680471077</x:v>
      </x:c>
      <x:c r="R212" s="48" t="n">
        <x:f>F212-Inputs!$C$16/2</x:f>
        <x:v>2300.3965059322627</x:v>
      </x:c>
      <x:c r="S212" s="48" t="n">
        <x:f>F212+Inputs!$C$16/2</x:f>
        <x:v>2330.3965059322627</x:v>
      </x:c>
      <x:c r="T212" s="48" t="n">
        <x:f>F212-Inputs!$C$17/2</x:f>
        <x:v>2165.3965059322627</x:v>
      </x:c>
      <x:c r="U212" s="48" t="n">
        <x:f>F212+Inputs!$C$17/2</x:f>
        <x:v>2465.3965059322627</x:v>
      </x:c>
      <x:c r="V212" s="48" t="n">
        <x:f>ABS(P212)</x:f>
        <x:v>381.5108193193737</x:v>
      </x:c>
      <x:c r="W212" s="48" t="n">
        <x:f>ABS(Q212)</x:f>
        <x:v>57.28390680471077</x:v>
      </x:c>
      <x:c r="X212" s="48" t="n">
        <x: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(0.45*SIN(2*PI()*(((A212)/Inputs!$C$49)+Inputs!$C$47*0.137))+0.35*COS(2*PI()*(((0)/Inputs!$C$50)+Inputs!$C$47*0.173))+0.20*SIN(2*PI()*(((A212)+(0))/(0.5*(Inputs!$C$49+Inputs!$C$50))+Inputs!$C$47*0.097)))+0.30*(2*((SIN(((A212)*12.9898+(0)*78.233+Inputs!$C$47*37.719))*43758.5453)-INT((SIN(((A212)*12.9898+(0)*78.233+Inputs!$C$47*37.719))*43758.5453)))-1)))</x:f>
        <x:v>-4.746207968267804</x:v>
      </x:c>
      <x:c r="Y212" s="48" t="n">
        <x: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(0.45*SIN(2*PI()*(((A212)/Inputs!$C$49)+Inputs!$C$47*0.137))+0.35*COS(2*PI()*(((Inputs!$C$6)/Inputs!$C$50)+Inputs!$C$47*0.173))+0.20*SIN(2*PI()*(((A212)+(Inputs!$C$6))/(0.5*(Inputs!$C$49+Inputs!$C$50))+Inputs!$C$47*0.097)))+0.30*(2*((SIN(((A212)*12.9898+(Inputs!$C$6)*78.233+Inputs!$C$47*37.719))*43758.5453)-INT((SIN(((A212)*12.9898+(Inputs!$C$6)*78.233+Inputs!$C$47*37.719))*43758.5453)))-1)))</x:f>
        <x:v>165.26573251393552</x:v>
      </x:c>
      <x:c r="Z212" s="48" t="n">
        <x:f>B212-X212/1000</x:f>
        <x:v>402.25474620796825</x:v>
      </x:c>
      <x:c r="AA212" s="48" t="n">
        <x:f>SQRT((Inputs!$C$52+B212)^2+(Inputs!$C$52+Y212/1000)^2-2*(Inputs!$C$52+B212)*(Inputs!$C$52+Y212/1000)*COS(SQRT(A212^2+Inputs!$C$6^2)/Inputs!$C$52))</x:f>
        <x:v>406.20825120412024</x:v>
      </x:c>
      <x:c r="AB212" s="48" t="n">
        <x:f>(AA212-Z212)*1000</x:f>
        <x:v>3953.5049961519917</x:v>
      </x:c>
      <x:c r="AC212" s="48" t="n">
        <x:f>AB212/Inputs!$C$12</x:f>
        <x:v>2221.0702225572986</x:v>
      </x:c>
      <x:c r="AD212" s="48" t="n">
        <x:f>2*AB212/Inputs!$C$21*1000000</x:f>
        <x:v>26.374946338056255</x:v>
      </x:c>
      <x:c r="AE212" s="48" t="n">
        <x:f>DEGREES(ATAN(H212/(B212-Y212/1000)))</x:f>
        <x:v>7.295781221622455</x:v>
      </x:c>
      <x:c r="AF212" s="48" t="n">
        <x:f>DEGREES((2*PI()/Inputs!$C$13)*Inputs!$C$15*SIN(RADIANS(AE212)))</x:f>
        <x:v>45.716966463172334</x:v>
      </x:c>
      <x:c r="AG212" s="48" t="n">
        <x:f>(Z212/AA212)^4</x:f>
        <x:v>0.9616338552876523</x:v>
      </x:c>
      <x:c r="AH212" s="48" t="n">
        <x:f>10*LOG10(AG212)</x:f>
        <x:v>-0.169902552978792</x:v>
      </x:c>
      <x:c r="AI212" s="48" t="n">
        <x:f>AC212-F212</x:f>
        <x:v>-94.32628337496408</x:v>
      </x:c>
      <x:c r="AJ212" s="48" t="n">
        <x:f>AD212-G212</x:f>
        <x:v>-1.120113464678525</x:v>
      </x:c>
      <x:c r="AK212" s="48" t="n">
        <x:f>Y212-X212</x:f>
        <x:v>170.01194048220333</x:v>
      </x:c>
      <x:c r="AL212" s="48" t="n">
        <x:f>1000*(AA213-AA211)/(A213-A211)*Inputs!$C$11</x:f>
        <x:v>994.2748757757727</x:v>
      </x:c>
      <x:c r="AM212" s="48" t="n">
        <x:f>-2*AL212/Inputs!$C$13</x:f>
        <x:v>-397.70995031030907</x:v>
      </x:c>
      <x:c r="AN212" s="48" t="n">
        <x:f>-2*AL212/Inputs!$C$14</x:f>
        <x:v>-59.716208755301665</x:v>
      </x:c>
      <x:c r="AO212" s="48" t="n">
        <x:f>ABS(AM212)</x:f>
        <x:v>397.70995031030907</x:v>
      </x:c>
      <x:c r="AP212" s="48" t="n">
        <x:f>ABS(AN212)</x:f>
        <x:v>59.716208755301665</x:v>
      </x:c>
      <x:c r="AQ212" s="48" t="n">
        <x:f>IF(OR(Inputs!$C$27=TRUE,Inputs!$C$27="TRUE",Inputs!$C$27=1),Inputs!$C$46/Inputs!$C$12,0)</x:f>
        <x:v>42.13483146067416</x:v>
      </x:c>
      <x:c r="AR212" s="48" t="n">
        <x:f>AC212-AQ212</x:f>
        <x:v>2178.9353910966242</x:v>
      </x:c>
      <x:c r="AS212" s="48" t="n">
        <x:f>AC212+AQ212</x:f>
        <x:v>2263.205054017973</x:v>
      </x:c>
    </x:row>
    <x:row r="213">
      <x:c r="A213" s="48" t="n">
        <x:f>Inputs!$C$7+211*(Inputs!$C$8-Inputs!$C$7)/240</x:f>
        <x:v>45.5</x:v>
      </x:c>
      <x:c r="B213" s="48" t="n">
        <x:f>Inputs!$C$5+Inputs!$C$9*(A213/Inputs!$C$10)^2</x:f>
        <x:v>402.30027777777775</x:v>
      </x:c>
      <x:c r="C213" s="48" t="n">
        <x:f>B213</x:f>
        <x:v>402.30027777777775</x:v>
      </x:c>
      <x:c r="D213" s="48" t="n">
        <x:f>SQRT((Inputs!$C$52+B213)^2+Inputs!$C$52^2-2*(Inputs!$C$52+B213)*Inputs!$C$52*COS(SQRT(A213^2+Inputs!$C$6^2)/Inputs!$C$52))</x:f>
        <x:v>406.491277510544</x:v>
      </x:c>
      <x:c r="E213" s="48" t="n">
        <x:f>(D213-C213)*1000</x:f>
        <x:v>4190.999732766272</x:v>
      </x:c>
      <x:c r="F213" s="48" t="n">
        <x:f>E213/Inputs!$C$12</x:f>
        <x:v>2354.494231891164</x:v>
      </x:c>
      <x:c r="G213" s="48" t="n">
        <x:f>2*E213/Inputs!$C$21*1000000</x:f>
        <x:v>27.959340676717574</x:v>
      </x:c>
      <x:c r="H213" s="48" t="n">
        <x:f>SQRT(A213^2+Inputs!$C$6^2)</x:f>
        <x:v>51.915797210483056</x:v>
      </x:c>
      <x:c r="I213" s="48" t="n">
        <x:f>DEGREES(ATAN(H213/B213))</x:f>
        <x:v>7.353231646851434</x:v>
      </x:c>
      <x:c r="J213" s="48" t="n">
        <x:f>DEGREES((2*PI()/Inputs!$C$13)*Inputs!$C$15*SIN(RADIANS(I213)))</x:f>
        <x:v>46.07499258851599</x:v>
      </x:c>
      <x:c r="K213" s="48" t="n">
        <x:f>(C213/D213)^4</x:f>
        <x:v>0.9593926920449115</x:v>
      </x:c>
      <x:c r="L213" s="48" t="n">
        <x:f>10*LOG10(K213)</x:f>
        <x:v>-0.180035939967183</x:v>
      </x:c>
      <x:c r="M213" s="48" t="n">
        <x:f>2*(Inputs!$C$9/(Inputs!$C$10^2))*A213</x:f>
        <x:v>0.10111111111111111</x:v>
      </x:c>
      <x:c r="N213" s="48" t="n">
        <x:f>M213*Inputs!$C$11</x:f>
        <x:v>0.40444444444444444</x:v>
      </x:c>
      <x:c r="O213" s="48" t="n">
        <x:f>1000*(D214-D212)/(A214-A212)*Inputs!$C$11</x:f>
        <x:v>964.1673060955327</x:v>
      </x:c>
      <x:c r="P213" s="48" t="n">
        <x:f>-2*O213/Inputs!$C$13</x:f>
        <x:v>-385.6669224382131</x:v>
      </x:c>
      <x:c r="Q213" s="48" t="n">
        <x:f>-2*O213/Inputs!$C$14</x:f>
        <x:v>-57.90794631204401</x:v>
      </x:c>
      <x:c r="R213" s="48" t="n">
        <x:f>F213-Inputs!$C$16/2</x:f>
        <x:v>2339.494231891164</x:v>
      </x:c>
      <x:c r="S213" s="48" t="n">
        <x:f>F213+Inputs!$C$16/2</x:f>
        <x:v>2369.494231891164</x:v>
      </x:c>
      <x:c r="T213" s="48" t="n">
        <x:f>F213-Inputs!$C$17/2</x:f>
        <x:v>2204.494231891164</x:v>
      </x:c>
      <x:c r="U213" s="48" t="n">
        <x:f>F213+Inputs!$C$17/2</x:f>
        <x:v>2504.494231891164</x:v>
      </x:c>
      <x:c r="V213" s="48" t="n">
        <x:f>ABS(P213)</x:f>
        <x:v>385.6669224382131</x:v>
      </x:c>
      <x:c r="W213" s="48" t="n">
        <x:f>ABS(Q213)</x:f>
        <x:v>57.90794631204401</x:v>
      </x:c>
      <x:c r="X213" s="48" t="n">
        <x: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(0.45*SIN(2*PI()*(((A213)/Inputs!$C$49)+Inputs!$C$47*0.137))+0.35*COS(2*PI()*(((0)/Inputs!$C$50)+Inputs!$C$47*0.173))+0.20*SIN(2*PI()*(((A213)+(0))/(0.5*(Inputs!$C$49+Inputs!$C$50))+Inputs!$C$47*0.097)))+0.30*(2*((SIN(((A213)*12.9898+(0)*78.233+Inputs!$C$47*37.719))*43758.5453)-INT((SIN(((A213)*12.9898+(0)*78.233+Inputs!$C$47*37.719))*43758.5453)))-1)))</x:f>
        <x:v>-4.954776418919145</x:v>
      </x:c>
      <x:c r="Y213" s="48" t="n">
        <x: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(0.45*SIN(2*PI()*(((A213)/Inputs!$C$49)+Inputs!$C$47*0.137))+0.35*COS(2*PI()*(((Inputs!$C$6)/Inputs!$C$50)+Inputs!$C$47*0.173))+0.20*SIN(2*PI()*(((A213)+(Inputs!$C$6))/(0.5*(Inputs!$C$49+Inputs!$C$50))+Inputs!$C$47*0.097)))+0.30*(2*((SIN(((A213)*12.9898+(Inputs!$C$6)*78.233+Inputs!$C$47*37.719))*43758.5453)-INT((SIN(((A213)*12.9898+(Inputs!$C$6)*78.233+Inputs!$C$47*37.719))*43758.5453)))-1)))</x:f>
        <x:v>168.78187987738474</x:v>
      </x:c>
      <x:c r="Z213" s="48" t="n">
        <x:f>B213-X213/1000</x:f>
        <x:v>402.30523255419666</x:v>
      </x:c>
      <x:c r="AA213" s="48" t="n">
        <x:f>SQRT((Inputs!$C$52+B213)^2+(Inputs!$C$52+Y213/1000)^2-2*(Inputs!$C$52+B213)*(Inputs!$C$52+Y213/1000)*COS(SQRT(A213^2+Inputs!$C$6^2)/Inputs!$C$52))</x:f>
        <x:v>406.3246875773194</x:v>
      </x:c>
      <x:c r="AB213" s="48" t="n">
        <x:f>(AA213-Z213)*1000</x:f>
        <x:v>4019.4550231227595</x:v>
      </x:c>
      <x:c r="AC213" s="48" t="n">
        <x:f>AB213/Inputs!$C$12</x:f>
        <x:v>2258.120799507168</x:v>
      </x:c>
      <x:c r="AD213" s="48" t="n">
        <x:f>2*AB213/Inputs!$C$21*1000000</x:f>
        <x:v>26.81491755955221</x:v>
      </x:c>
      <x:c r="AE213" s="48" t="n">
        <x:f>DEGREES(ATAN(H213/(B213-Y213/1000)))</x:f>
        <x:v>7.356284133183934</x:v>
      </x:c>
      <x:c r="AF213" s="48" t="n">
        <x:f>DEGREES((2*PI()/Inputs!$C$13)*Inputs!$C$15*SIN(RADIANS(AE213)))</x:f>
        <x:v>46.09401412881295</x:v>
      </x:c>
      <x:c r="AG213" s="48" t="n">
        <x:f>(Z213/AA213)^4</x:f>
        <x:v>0.9610143762109568</x:v>
      </x:c>
      <x:c r="AH213" s="48" t="n">
        <x:f>10*LOG10(AG213)</x:f>
        <x:v>-0.172701154923398</x:v>
      </x:c>
      <x:c r="AI213" s="48" t="n">
        <x:f>AC213-F213</x:f>
        <x:v>-96.3734323839958</x:v>
      </x:c>
      <x:c r="AJ213" s="48" t="n">
        <x:f>AD213-G213</x:f>
        <x:v>-1.1444231171653634</x:v>
      </x:c>
      <x:c r="AK213" s="48" t="n">
        <x:f>Y213-X213</x:f>
        <x:v>173.7366562963039</x:v>
      </x:c>
      <x:c r="AL213" s="48" t="n">
        <x:f>1000*(AA214-AA212)/(A214-A212)*Inputs!$C$11</x:f>
        <x:v>1035.664864365117</x:v>
      </x:c>
      <x:c r="AM213" s="48" t="n">
        <x:f>-2*AL213/Inputs!$C$13</x:f>
        <x:v>-414.2659457460468</x:v>
      </x:c>
      <x:c r="AN213" s="48" t="n">
        <x:f>-2*AL213/Inputs!$C$14</x:f>
        <x:v>-62.202093955862885</x:v>
      </x:c>
      <x:c r="AO213" s="48" t="n">
        <x:f>ABS(AM213)</x:f>
        <x:v>414.2659457460468</x:v>
      </x:c>
      <x:c r="AP213" s="48" t="n">
        <x:f>ABS(AN213)</x:f>
        <x:v>62.202093955862885</x:v>
      </x:c>
      <x:c r="AQ213" s="48" t="n">
        <x:f>IF(OR(Inputs!$C$27=TRUE,Inputs!$C$27="TRUE",Inputs!$C$27=1),Inputs!$C$46/Inputs!$C$12,0)</x:f>
        <x:v>42.13483146067416</x:v>
      </x:c>
      <x:c r="AR213" s="48" t="n">
        <x:f>AC213-AQ213</x:f>
        <x:v>2215.985968046494</x:v>
      </x:c>
      <x:c r="AS213" s="48" t="n">
        <x:f>AC213+AQ213</x:f>
        <x:v>2300.2556309678425</x:v>
      </x:c>
    </x:row>
    <x:row r="214">
      <x:c r="A214" s="48" t="n">
        <x:f>Inputs!$C$7+212*(Inputs!$C$8-Inputs!$C$7)/240</x:f>
        <x:v>46</x:v>
      </x:c>
      <x:c r="B214" s="48" t="n">
        <x:f>Inputs!$C$5+Inputs!$C$9*(A214/Inputs!$C$10)^2</x:f>
        <x:v>402.3511111111111</x:v>
      </x:c>
      <x:c r="C214" s="48" t="n">
        <x:f>B214</x:f>
        <x:v>402.3511111111111</x:v>
      </x:c>
      <x:c r="D214" s="48" t="n">
        <x:f>SQRT((Inputs!$C$52+B214)^2+Inputs!$C$52^2-2*(Inputs!$C$52+B214)*Inputs!$C$52*COS(SQRT(A214^2+Inputs!$C$6^2)/Inputs!$C$52))</x:f>
        <x:v>406.6124476070833</x:v>
      </x:c>
      <x:c r="E214" s="48" t="n">
        <x:f>(D214-C214)*1000</x:f>
        <x:v>4261.336495972217</x:v>
      </x:c>
      <x:c r="F214" s="48" t="n">
        <x:f>E214/Inputs!$C$12</x:f>
        <x:v>2394.0092674001216</x:v>
      </x:c>
      <x:c r="G214" s="48" t="n">
        <x:f>2*E214/Inputs!$C$21*1000000</x:f>
        <x:v>28.428577052276722</x:v>
      </x:c>
      <x:c r="H214" s="48" t="n">
        <x:f>SQRT(A214^2+Inputs!$C$6^2)</x:f>
        <x:v>52.354560450833695</x:v>
      </x:c>
      <x:c r="I214" s="48" t="n">
        <x:f>DEGREES(ATAN(H214/B214))</x:f>
        <x:v>7.413762015717533</x:v>
      </x:c>
      <x:c r="J214" s="48" t="n">
        <x:f>DEGREES((2*PI()/Inputs!$C$13)*Inputs!$C$15*SIN(RADIANS(I214)))</x:f>
        <x:v>46.45216253583958</x:v>
      </x:c>
      <x:c r="K214" s="48" t="n">
        <x:f>(C214/D214)^4</x:f>
        <x:v>0.9587340277528538</x:v>
      </x:c>
      <x:c r="L214" s="48" t="n">
        <x:f>10*LOG10(K214)</x:f>
        <x:v>-0.18301858210191102</x:v>
      </x:c>
      <x:c r="M214" s="48" t="n">
        <x:f>2*(Inputs!$C$9/(Inputs!$C$10^2))*A214</x:f>
        <x:v>0.10222222222222223</x:v>
      </x:c>
      <x:c r="N214" s="48" t="n">
        <x:f>M214*Inputs!$C$11</x:f>
        <x:v>0.4088888888888889</x:v>
      </x:c>
      <x:c r="O214" s="48" t="n">
        <x:f>1000*(D215-D213)/(A215-A213)*Inputs!$C$11</x:f>
        <x:v>974.5508814573896</x:v>
      </x:c>
      <x:c r="P214" s="48" t="n">
        <x:f>-2*O214/Inputs!$C$13</x:f>
        <x:v>-389.8203525829558</x:v>
      </x:c>
      <x:c r="Q214" s="48" t="n">
        <x:f>-2*O214/Inputs!$C$14</x:f>
        <x:v>-58.531584471915295</x:v>
      </x:c>
      <x:c r="R214" s="48" t="n">
        <x:f>F214-Inputs!$C$16/2</x:f>
        <x:v>2379.0092674001216</x:v>
      </x:c>
      <x:c r="S214" s="48" t="n">
        <x:f>F214+Inputs!$C$16/2</x:f>
        <x:v>2409.0092674001216</x:v>
      </x:c>
      <x:c r="T214" s="48" t="n">
        <x:f>F214-Inputs!$C$17/2</x:f>
        <x:v>2244.0092674001216</x:v>
      </x:c>
      <x:c r="U214" s="48" t="n">
        <x:f>F214+Inputs!$C$17/2</x:f>
        <x:v>2544.0092674001216</x:v>
      </x:c>
      <x:c r="V214" s="48" t="n">
        <x:f>ABS(P214)</x:f>
        <x:v>389.8203525829558</x:v>
      </x:c>
      <x:c r="W214" s="48" t="n">
        <x:f>ABS(Q214)</x:f>
        <x:v>58.531584471915295</x:v>
      </x:c>
      <x:c r="X214" s="48" t="n">
        <x: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(0.45*SIN(2*PI()*(((A214)/Inputs!$C$49)+Inputs!$C$47*0.137))+0.35*COS(2*PI()*(((0)/Inputs!$C$50)+Inputs!$C$47*0.173))+0.20*SIN(2*PI()*(((A214)+(0))/(0.5*(Inputs!$C$49+Inputs!$C$50))+Inputs!$C$47*0.097)))+0.30*(2*((SIN(((A214)*12.9898+(0)*78.233+Inputs!$C$47*37.719))*43758.5453)-INT((SIN(((A214)*12.9898+(0)*78.233+Inputs!$C$47*37.719))*43758.5453)))-1)))</x:f>
        <x:v>-0.04819256513620118</x:v>
      </x:c>
      <x:c r="Y214" s="48" t="n">
        <x: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(0.45*SIN(2*PI()*(((A214)/Inputs!$C$49)+Inputs!$C$47*0.137))+0.35*COS(2*PI()*(((Inputs!$C$6)/Inputs!$C$50)+Inputs!$C$47*0.173))+0.20*SIN(2*PI()*(((A214)+(Inputs!$C$6))/(0.5*(Inputs!$C$49+Inputs!$C$50))+Inputs!$C$47*0.097)))+0.30*(2*((SIN(((A214)*12.9898+(Inputs!$C$6)*78.233+Inputs!$C$47*37.719))*43758.5453)-INT((SIN(((A214)*12.9898+(Inputs!$C$6)*78.233+Inputs!$C$47*37.719))*43758.5453)))-1)))</x:f>
        <x:v>147.2236511039814</x:v>
      </x:c>
      <x:c r="Z214" s="48" t="n">
        <x:f>B214-X214/1000</x:f>
        <x:v>402.35115930367624</x:v>
      </x:c>
      <x:c r="AA214" s="48" t="n">
        <x:f>SQRT((Inputs!$C$52+B214)^2+(Inputs!$C$52+Y214/1000)^2-2*(Inputs!$C$52+B214)*(Inputs!$C$52+Y214/1000)*COS(SQRT(A214^2+Inputs!$C$6^2)/Inputs!$C$52))</x:f>
        <x:v>406.4671674202115</x:v>
      </x:c>
      <x:c r="AB214" s="48" t="n">
        <x:f>(AA214-Z214)*1000</x:f>
        <x:v>4116.008116535284</x:v>
      </x:c>
      <x:c r="AC214" s="48" t="n">
        <x:f>AB214/Inputs!$C$12</x:f>
        <x:v>2312.3641104130807</x:v>
      </x:c>
      <x:c r="AD214" s="48" t="n">
        <x:f>2*AB214/Inputs!$C$21*1000000</x:f>
        <x:v>27.45905046440684</x:v>
      </x:c>
      <x:c r="AE214" s="48" t="n">
        <x:f>DEGREES(ATAN(H214/(B214-Y214/1000)))</x:f>
        <x:v>7.416445560609959</x:v>
      </x:c>
      <x:c r="AF214" s="48" t="n">
        <x:f>DEGREES((2*PI()/Inputs!$C$13)*Inputs!$C$15*SIN(RADIANS(AE214)))</x:f>
        <x:v>46.468882738347205</x:v>
      </x:c>
      <x:c r="AG214" s="48" t="n">
        <x:f>(Z214/AA214)^4</x:f>
        <x:v>0.9601059121876191</x:v>
      </x:c>
      <x:c r="AH214" s="48" t="n">
        <x:f>10*LOG10(AG214)</x:f>
        <x:v>-0.176808559796842</x:v>
      </x:c>
      <x:c r="AI214" s="48" t="n">
        <x:f>AC214-F214</x:f>
        <x:v>-81.64515698704099</x:v>
      </x:c>
      <x:c r="AJ214" s="48" t="n">
        <x:f>AD214-G214</x:f>
        <x:v>-0.9695265878698827</x:v>
      </x:c>
      <x:c r="AK214" s="48" t="n">
        <x:f>Y214-X214</x:f>
        <x:v>147.2718436691176</x:v>
      </x:c>
      <x:c r="AL214" s="48" t="n">
        <x:f>1000*(AA215-AA213)/(A215-A213)*Inputs!$C$11</x:f>
        <x:v>1146.5767878601127</x:v>
      </x:c>
      <x:c r="AM214" s="48" t="n">
        <x:f>-2*AL214/Inputs!$C$13</x:f>
        <x:v>-458.6307151440451</x:v>
      </x:c>
      <x:c r="AN214" s="48" t="n">
        <x:f>-2*AL214/Inputs!$C$14</x:f>
        <x:v>-68.86347074234912</x:v>
      </x:c>
      <x:c r="AO214" s="48" t="n">
        <x:f>ABS(AM214)</x:f>
        <x:v>458.6307151440451</x:v>
      </x:c>
      <x:c r="AP214" s="48" t="n">
        <x:f>ABS(AN214)</x:f>
        <x:v>68.86347074234912</x:v>
      </x:c>
      <x:c r="AQ214" s="48" t="n">
        <x:f>IF(OR(Inputs!$C$27=TRUE,Inputs!$C$27="TRUE",Inputs!$C$27=1),Inputs!$C$46/Inputs!$C$12,0)</x:f>
        <x:v>42.13483146067416</x:v>
      </x:c>
      <x:c r="AR214" s="48" t="n">
        <x:f>AC214-AQ214</x:f>
        <x:v>2270.2292789524063</x:v>
      </x:c>
      <x:c r="AS214" s="48" t="n">
        <x:f>AC214+AQ214</x:f>
        <x:v>2354.498941873755</x:v>
      </x:c>
    </x:row>
    <x:row r="215">
      <x:c r="A215" s="48" t="n">
        <x:f>Inputs!$C$7+213*(Inputs!$C$8-Inputs!$C$7)/240</x:f>
        <x:v>46.5</x:v>
      </x:c>
      <x:c r="B215" s="48" t="n">
        <x:f>Inputs!$C$5+Inputs!$C$9*(A215/Inputs!$C$10)^2</x:f>
        <x:v>402.4025</x:v>
      </x:c>
      <x:c r="C215" s="48" t="n">
        <x:f>B215</x:f>
        <x:v>402.4025</x:v>
      </x:c>
      <x:c r="D215" s="48" t="n">
        <x:f>SQRT((Inputs!$C$52+B215)^2+Inputs!$C$52^2-2*(Inputs!$C$52+B215)*Inputs!$C$52*COS(SQRT(A215^2+Inputs!$C$6^2)/Inputs!$C$52))</x:f>
        <x:v>406.73491523090837</x:v>
      </x:c>
      <x:c r="E215" s="48" t="n">
        <x:f>(D215-C215)*1000</x:f>
        <x:v>4332.415230908396</x:v>
      </x:c>
      <x:c r="F215" s="48" t="n">
        <x:f>E215/Inputs!$C$12</x:f>
        <x:v>2433.941140959773</x:v>
      </x:c>
      <x:c r="G215" s="48" t="n">
        <x:f>2*E215/Inputs!$C$21*1000000</x:f>
        <x:v>28.90276333041304</x:v>
      </x:c>
      <x:c r="H215" s="48" t="n">
        <x:f>SQRT(A215^2+Inputs!$C$6^2)</x:f>
        <x:v>52.79441258315126</x:v>
      </x:c>
      <x:c r="I215" s="48" t="n">
        <x:f>DEGREES(ATAN(H215/B215))</x:f>
        <x:v>7.4744026758958535</x:v>
      </x:c>
      <x:c r="J215" s="48" t="n">
        <x:f>DEGREES((2*PI()/Inputs!$C$13)*Inputs!$C$15*SIN(RADIANS(I215)))</x:f>
        <x:v>46.82996773075058</x:v>
      </x:c>
      <x:c r="K215" s="48" t="n">
        <x:f>(C215/D215)^4</x:f>
        <x:v>0.9580691602332851</x:v>
      </x:c>
      <x:c r="L215" s="48" t="n">
        <x:f>10*LOG10(K215)</x:f>
        <x:v>-0.186031393311067</x:v>
      </x:c>
      <x:c r="M215" s="48" t="n">
        <x:f>2*(Inputs!$C$9/(Inputs!$C$10^2))*A215</x:f>
        <x:v>0.10333333333333333</x:v>
      </x:c>
      <x:c r="N215" s="48" t="n">
        <x:f>M215*Inputs!$C$11</x:f>
        <x:v>0.41333333333333333</x:v>
      </x:c>
      <x:c r="O215" s="48" t="n">
        <x:f>1000*(D216-D214)/(A216-A214)*Inputs!$C$11</x:f>
        <x:v>984.927711027467</x:v>
      </x:c>
      <x:c r="P215" s="48" t="n">
        <x:f>-2*O215/Inputs!$C$13</x:f>
        <x:v>-393.9710844109868</x:v>
      </x:c>
      <x:c r="Q215" s="48" t="n">
        <x:f>-2*O215/Inputs!$C$14</x:f>
        <x:v>-59.15481747912715</x:v>
      </x:c>
      <x:c r="R215" s="48" t="n">
        <x:f>F215-Inputs!$C$16/2</x:f>
        <x:v>2418.941140959773</x:v>
      </x:c>
      <x:c r="S215" s="48" t="n">
        <x:f>F215+Inputs!$C$16/2</x:f>
        <x:v>2448.941140959773</x:v>
      </x:c>
      <x:c r="T215" s="48" t="n">
        <x:f>F215-Inputs!$C$17/2</x:f>
        <x:v>2283.941140959773</x:v>
      </x:c>
      <x:c r="U215" s="48" t="n">
        <x:f>F215+Inputs!$C$17/2</x:f>
        <x:v>2583.941140959773</x:v>
      </x:c>
      <x:c r="V215" s="48" t="n">
        <x:f>ABS(P215)</x:f>
        <x:v>393.9710844109868</x:v>
      </x:c>
      <x:c r="W215" s="48" t="n">
        <x:f>ABS(Q215)</x:f>
        <x:v>59.15481747912715</x:v>
      </x:c>
      <x:c r="X215" s="48" t="n">
        <x: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(0.45*SIN(2*PI()*(((A215)/Inputs!$C$49)+Inputs!$C$47*0.137))+0.35*COS(2*PI()*(((0)/Inputs!$C$50)+Inputs!$C$47*0.173))+0.20*SIN(2*PI()*(((A215)+(0))/(0.5*(Inputs!$C$49+Inputs!$C$50))+Inputs!$C$47*0.097)))+0.30*(2*((SIN(((A215)*12.9898+(0)*78.233+Inputs!$C$47*37.719))*43758.5453)-INT((SIN(((A215)*12.9898+(0)*78.233+Inputs!$C$47*37.719))*43758.5453)))-1)))</x:f>
        <x:v>-12.32376640540756</x:v>
      </x:c>
      <x:c r="Y215" s="48" t="n">
        <x: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(0.45*SIN(2*PI()*(((A215)/Inputs!$C$49)+Inputs!$C$47*0.137))+0.35*COS(2*PI()*(((Inputs!$C$6)/Inputs!$C$50)+Inputs!$C$47*0.173))+0.20*SIN(2*PI()*(((A215)+(Inputs!$C$6))/(0.5*(Inputs!$C$49+Inputs!$C$50))+Inputs!$C$47*0.097)))+0.30*(2*((SIN(((A215)*12.9898+(Inputs!$C$6)*78.233+Inputs!$C$47*37.719))*43758.5453)-INT((SIN(((A215)*12.9898+(Inputs!$C$6)*78.233+Inputs!$C$47*37.719))*43758.5453)))-1)))</x:f>
        <x:v>125.26409736726505</x:v>
      </x:c>
      <x:c r="Z215" s="48" t="n">
        <x:f>B215-X215/1000</x:f>
        <x:v>402.4148237664054</x:v>
      </x:c>
      <x:c r="AA215" s="48" t="n">
        <x:f>SQRT((Inputs!$C$52+B215)^2+(Inputs!$C$52+Y215/1000)^2-2*(Inputs!$C$52+B215)*(Inputs!$C$52+Y215/1000)*COS(SQRT(A215^2+Inputs!$C$6^2)/Inputs!$C$52))</x:f>
        <x:v>406.61133177428445</x:v>
      </x:c>
      <x:c r="AB215" s="48" t="n">
        <x:f>(AA215-Z215)*1000</x:f>
        <x:v>4196.508007879061</x:v>
      </x:c>
      <x:c r="AC215" s="48" t="n">
        <x:f>AB215/Inputs!$C$12</x:f>
        <x:v>2357.5887684713825</x:v>
      </x:c>
      <x:c r="AD215" s="48" t="n">
        <x:f>2*AB215/Inputs!$C$21*1000000</x:f>
        <x:v>27.99608793279957</x:v>
      </x:c>
      <x:c r="AE215" s="48" t="n">
        <x:f>DEGREES(ATAN(H215/(B215-Y215/1000)))</x:f>
        <x:v>7.47670378347765</x:v>
      </x:c>
      <x:c r="AF215" s="48" t="n">
        <x:f>DEGREES((2*PI()/Inputs!$C$13)*Inputs!$C$15*SIN(RADIANS(AE215)))</x:f>
        <x:v>46.84430312737521</x:v>
      </x:c>
      <x:c r="AG215" s="48" t="n">
        <x:f>(Z215/AA215)^4</x:f>
        <x:v>0.9593519681807091</x:v>
      </x:c>
      <x:c r="AH215" s="48" t="n">
        <x:f>10*LOG10(AG215)</x:f>
        <x:v>-0.180220291224274</x:v>
      </x:c>
      <x:c r="AI215" s="48" t="n">
        <x:f>AC215-F215</x:f>
        <x:v>-76.3523724883903</x:v>
      </x:c>
      <x:c r="AJ215" s="48" t="n">
        <x:f>AD215-G215</x:f>
        <x:v>-0.9066753976134727</x:v>
      </x:c>
      <x:c r="AK215" s="48" t="n">
        <x:f>Y215-X215</x:f>
        <x:v>137.58786377267262</x:v>
      </x:c>
      <x:c r="AL215" s="48" t="n">
        <x:f>1000*(AA216-AA214)/(A216-A214)*Inputs!$C$11</x:f>
        <x:v>1096.243634253824</x:v>
      </x:c>
      <x:c r="AM215" s="48" t="n">
        <x:f>-2*AL215/Inputs!$C$13</x:f>
        <x:v>-438.4974537015296</x:v>
      </x:c>
      <x:c r="AN215" s="48" t="n">
        <x:f>-2*AL215/Inputs!$C$14</x:f>
        <x:v>-65.84045851374319</x:v>
      </x:c>
      <x:c r="AO215" s="48" t="n">
        <x:f>ABS(AM215)</x:f>
        <x:v>438.4974537015296</x:v>
      </x:c>
      <x:c r="AP215" s="48" t="n">
        <x:f>ABS(AN215)</x:f>
        <x:v>65.84045851374319</x:v>
      </x:c>
      <x:c r="AQ215" s="48" t="n">
        <x:f>IF(OR(Inputs!$C$27=TRUE,Inputs!$C$27="TRUE",Inputs!$C$27=1),Inputs!$C$46/Inputs!$C$12,0)</x:f>
        <x:v>42.13483146067416</x:v>
      </x:c>
      <x:c r="AR215" s="48" t="n">
        <x:f>AC215-AQ215</x:f>
        <x:v>2315.453937010708</x:v>
      </x:c>
      <x:c r="AS215" s="48" t="n">
        <x:f>AC215+AQ215</x:f>
        <x:v>2399.723599932057</x:v>
      </x:c>
    </x:row>
    <x:row r="216">
      <x:c r="A216" s="48" t="n">
        <x:f>Inputs!$C$7+214*(Inputs!$C$8-Inputs!$C$7)/240</x:f>
        <x:v>47</x:v>
      </x:c>
      <x:c r="B216" s="48" t="n">
        <x:f>Inputs!$C$5+Inputs!$C$9*(A216/Inputs!$C$10)^2</x:f>
        <x:v>402.45444444444445</x:v>
      </x:c>
      <x:c r="C216" s="48" t="n">
        <x:f>B216</x:f>
        <x:v>402.45444444444445</x:v>
      </x:c>
      <x:c r="D216" s="48" t="n">
        <x:f>SQRT((Inputs!$C$52+B216)^2+Inputs!$C$52^2-2*(Inputs!$C$52+B216)*Inputs!$C$52*COS(SQRT(A216^2+Inputs!$C$6^2)/Inputs!$C$52))</x:f>
        <x:v>406.8586795348402</x:v>
      </x:c>
      <x:c r="E216" s="48" t="n">
        <x:f>(D216-C216)*1000</x:f>
        <x:v>4404.23509039573</x:v>
      </x:c>
      <x:c r="F216" s="48" t="n">
        <x:f>E216/Inputs!$C$12</x:f>
        <x:v>2474.289376626815</x:v>
      </x:c>
      <x:c r="G216" s="48" t="n">
        <x:f>2*E216/Inputs!$C$21*1000000</x:f>
        <x:v>29.381893859356065</x:v>
      </x:c>
      <x:c r="H216" s="48" t="n">
        <x:f>SQRT(A216^2+Inputs!$C$6^2)</x:f>
        <x:v>53.23532661682466</x:v>
      </x:c>
      <x:c r="I216" s="48" t="n">
        <x:f>DEGREES(ATAN(H216/B216))</x:f>
        <x:v>7.535149317061624</x:v>
      </x:c>
      <x:c r="J216" s="48" t="n">
        <x:f>DEGREES((2*PI()/Inputs!$C$13)*Inputs!$C$15*SIN(RADIANS(I216)))</x:f>
        <x:v>47.20838061627316</x:v>
      </x:c>
      <x:c r="K216" s="48" t="n">
        <x:f>(C216/D216)^4</x:f>
        <x:v>0.957398119815864</x:v>
      </x:c>
      <x:c r="L216" s="48" t="n">
        <x:f>10*LOG10(K216)</x:f>
        <x:v>-0.189074297414705</x:v>
      </x:c>
      <x:c r="M216" s="48" t="n">
        <x:f>2*(Inputs!$C$9/(Inputs!$C$10^2))*A216</x:f>
        <x:v>0.10444444444444445</x:v>
      </x:c>
      <x:c r="N216" s="48" t="n">
        <x:f>M216*Inputs!$C$11</x:f>
        <x:v>0.4177777777777778</x:v>
      </x:c>
      <x:c r="O216" s="48" t="n">
        <x:f>1000*(D217-D215)/(A217-A215)*Inputs!$C$11</x:f>
        <x:v>995.2977317227578</x:v>
      </x:c>
      <x:c r="P216" s="48" t="n">
        <x:f>-2*O216/Inputs!$C$13</x:f>
        <x:v>-398.1190926891031</x:v>
      </x:c>
      <x:c r="Q216" s="48" t="n">
        <x:f>-2*O216/Inputs!$C$14</x:f>
        <x:v>-59.77764154491039</x:v>
      </x:c>
      <x:c r="R216" s="48" t="n">
        <x:f>F216-Inputs!$C$16/2</x:f>
        <x:v>2459.289376626815</x:v>
      </x:c>
      <x:c r="S216" s="48" t="n">
        <x:f>F216+Inputs!$C$16/2</x:f>
        <x:v>2489.289376626815</x:v>
      </x:c>
      <x:c r="T216" s="48" t="n">
        <x:f>F216-Inputs!$C$17/2</x:f>
        <x:v>2324.289376626815</x:v>
      </x:c>
      <x:c r="U216" s="48" t="n">
        <x:f>F216+Inputs!$C$17/2</x:f>
        <x:v>2624.289376626815</x:v>
      </x:c>
      <x:c r="V216" s="48" t="n">
        <x:f>ABS(P216)</x:f>
        <x:v>398.1190926891031</x:v>
      </x:c>
      <x:c r="W216" s="48" t="n">
        <x:f>ABS(Q216)</x:f>
        <x:v>59.77764154491039</x:v>
      </x:c>
      <x:c r="X216" s="48" t="n">
        <x: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(0.45*SIN(2*PI()*(((A216)/Inputs!$C$49)+Inputs!$C$47*0.137))+0.35*COS(2*PI()*(((0)/Inputs!$C$50)+Inputs!$C$47*0.173))+0.20*SIN(2*PI()*(((A216)+(0))/(0.5*(Inputs!$C$49+Inputs!$C$50))+Inputs!$C$47*0.097)))+0.30*(2*((SIN(((A216)*12.9898+(0)*78.233+Inputs!$C$47*37.719))*43758.5453)-INT((SIN(((A216)*12.9898+(0)*78.233+Inputs!$C$47*37.719))*43758.5453)))-1)))</x:f>
        <x:v>5.624733438492097</x:v>
      </x:c>
      <x:c r="Y216" s="48" t="n">
        <x: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(0.45*SIN(2*PI()*(((A216)/Inputs!$C$49)+Inputs!$C$47*0.137))+0.35*COS(2*PI()*(((Inputs!$C$6)/Inputs!$C$50)+Inputs!$C$47*0.173))+0.20*SIN(2*PI()*(((A216)+(Inputs!$C$6))/(0.5*(Inputs!$C$49+Inputs!$C$50))+Inputs!$C$47*0.097)))+0.30*(2*((SIN(((A216)*12.9898+(Inputs!$C$6)*78.233+Inputs!$C$47*37.719))*43758.5453)-INT((SIN(((A216)*12.9898+(Inputs!$C$6)*78.233+Inputs!$C$47*37.719))*43758.5453)))-1)))</x:f>
        <x:v>119.07484471636309</x:v>
      </x:c>
      <x:c r="Z216" s="48" t="n">
        <x:f>B216-X216/1000</x:f>
        <x:v>402.44881971100597</x:v>
      </x:c>
      <x:c r="AA216" s="48" t="n">
        <x:f>SQRT((Inputs!$C$52+B216)^2+(Inputs!$C$52+Y216/1000)^2-2*(Inputs!$C$52+B216)*(Inputs!$C$52+Y216/1000)*COS(SQRT(A216^2+Inputs!$C$6^2)/Inputs!$C$52))</x:f>
        <x:v>406.741228328775</x:v>
      </x:c>
      <x:c r="AB216" s="48" t="n">
        <x:f>(AA216-Z216)*1000</x:f>
        <x:v>4292.408617769013</x:v>
      </x:c>
      <x:c r="AC216" s="48" t="n">
        <x:f>AB216/Inputs!$C$12</x:f>
        <x:v>2411.4655156005692</x:v>
      </x:c>
      <x:c r="AD216" s="48" t="n">
        <x:f>2*AB216/Inputs!$C$21*1000000</x:f>
        <x:v>28.63586793613743</x:v>
      </x:c>
      <x:c r="AE216" s="48" t="n">
        <x:f>DEGREES(ATAN(H216/(B216-Y216/1000)))</x:f>
        <x:v>7.537353777157998</x:v>
      </x:c>
      <x:c r="AF216" s="48" t="n">
        <x:f>DEGREES((2*PI()/Inputs!$C$13)*Inputs!$C$15*SIN(RADIANS(AE216)))</x:f>
        <x:v>47.2221120034302</x:v>
      </x:c>
      <x:c r="AG216" s="48" t="n">
        <x:f>(Z216/AA216)^4</x:f>
        <x:v>0.9584508543558683</x:v>
      </x:c>
      <x:c r="AH216" s="48" t="n">
        <x:f>10*LOG10(AG216)</x:f>
        <x:v>-0.184301511523842</x:v>
      </x:c>
      <x:c r="AI216" s="48" t="n">
        <x:f>AC216-F216</x:f>
        <x:v>-62.823861026245595</x:v>
      </x:c>
      <x:c r="AJ216" s="48" t="n">
        <x:f>AD216-G216</x:f>
        <x:v>-0.7460259232186353</x:v>
      </x:c>
      <x:c r="AK216" s="48" t="n">
        <x:f>Y216-X216</x:f>
        <x:v>113.45011127787099</x:v>
      </x:c>
      <x:c r="AL216" s="48" t="n">
        <x:f>1000*(AA217-AA215)/(A217-A215)*Inputs!$C$11</x:f>
        <x:v>1064.5928352605551</x:v>
      </x:c>
      <x:c r="AM216" s="48" t="n">
        <x:f>-2*AL216/Inputs!$C$13</x:f>
        <x:v>-425.83713410422206</x:v>
      </x:c>
      <x:c r="AN216" s="48" t="n">
        <x:f>-2*AL216/Inputs!$C$14</x:f>
        <x:v>-63.93950962525857</x:v>
      </x:c>
      <x:c r="AO216" s="48" t="n">
        <x:f>ABS(AM216)</x:f>
        <x:v>425.83713410422206</x:v>
      </x:c>
      <x:c r="AP216" s="48" t="n">
        <x:f>ABS(AN216)</x:f>
        <x:v>63.93950962525857</x:v>
      </x:c>
      <x:c r="AQ216" s="48" t="n">
        <x:f>IF(OR(Inputs!$C$27=TRUE,Inputs!$C$27="TRUE",Inputs!$C$27=1),Inputs!$C$46/Inputs!$C$12,0)</x:f>
        <x:v>42.13483146067416</x:v>
      </x:c>
      <x:c r="AR216" s="48" t="n">
        <x:f>AC216-AQ216</x:f>
        <x:v>2369.330684139895</x:v>
      </x:c>
      <x:c r="AS216" s="48" t="n">
        <x:f>AC216+AQ216</x:f>
        <x:v>2453.6003470612436</x:v>
      </x:c>
    </x:row>
    <x:row r="217">
      <x:c r="A217" s="48" t="n">
        <x:f>Inputs!$C$7+215*(Inputs!$C$8-Inputs!$C$7)/240</x:f>
        <x:v>47.5</x:v>
      </x:c>
      <x:c r="B217" s="48" t="n">
        <x:f>Inputs!$C$5+Inputs!$C$9*(A217/Inputs!$C$10)^2</x:f>
        <x:v>402.50694444444446</x:v>
      </x:c>
      <x:c r="C217" s="48" t="n">
        <x:f>B217</x:f>
        <x:v>402.50694444444446</x:v>
      </x:c>
      <x:c r="D217" s="48" t="n">
        <x:f>SQRT((Inputs!$C$52+B217)^2+Inputs!$C$52^2-2*(Inputs!$C$52+B217)*Inputs!$C$52*COS(SQRT(A217^2+Inputs!$C$6^2)/Inputs!$C$52))</x:f>
        <x:v>406.98373966383906</x:v>
      </x:c>
      <x:c r="E217" s="48" t="n">
        <x:f>(D217-C217)*1000</x:f>
        <x:v>4476.795219394603</x:v>
      </x:c>
      <x:c r="F217" s="48" t="n">
        <x:f>E217/Inputs!$C$12</x:f>
        <x:v>2515.0534940419116</x:v>
      </x:c>
      <x:c r="G217" s="48" t="n">
        <x:f>2*E217/Inputs!$C$21*1000000</x:f>
        <x:v>29.865962934895467</x:v>
      </x:c>
      <x:c r="H217" s="48" t="n">
        <x:f>SQRT(A217^2+Inputs!$C$6^2)</x:f>
        <x:v>53.67727638395972</x:v>
      </x:c>
      <x:c r="I217" s="48" t="n">
        <x:f>DEGREES(ATAN(H217/B217))</x:f>
        <x:v>7.595997748011028</x:v>
      </x:c>
      <x:c r="J217" s="48" t="n">
        <x:f>DEGREES((2*PI()/Inputs!$C$13)*Inputs!$C$15*SIN(RADIANS(I217)))</x:f>
        <x:v>47.58737438738348</x:v>
      </x:c>
      <x:c r="K217" s="48" t="n">
        <x:f>(C217/D217)^4</x:f>
        <x:v>0.956720937049129</x:v>
      </x:c>
      <x:c r="L217" s="48" t="n">
        <x:f>10*LOG10(K217)</x:f>
        <x:v>-0.192147217566126</x:v>
      </x:c>
      <x:c r="M217" s="48" t="n">
        <x:f>2*(Inputs!$C$9/(Inputs!$C$10^2))*A217</x:f>
        <x:v>0.10555555555555556</x:v>
      </x:c>
      <x:c r="N217" s="48" t="n">
        <x:f>M217*Inputs!$C$11</x:f>
        <x:v>0.4222222222222222</x:v>
      </x:c>
      <x:c r="O217" s="48" t="n">
        <x:f>1000*(D218-D216)/(A218-A216)*Inputs!$C$11</x:f>
        <x:v>1005.6608808090459</x:v>
      </x:c>
      <x:c r="P217" s="48" t="n">
        <x:f>-2*O217/Inputs!$C$13</x:f>
        <x:v>-402.26435232361837</x:v>
      </x:c>
      <x:c r="Q217" s="48" t="n">
        <x:f>-2*O217/Inputs!$C$14</x:f>
        <x:v>-60.400052901444205</x:v>
      </x:c>
      <x:c r="R217" s="48" t="n">
        <x:f>F217-Inputs!$C$16/2</x:f>
        <x:v>2500.0534940419116</x:v>
      </x:c>
      <x:c r="S217" s="48" t="n">
        <x:f>F217+Inputs!$C$16/2</x:f>
        <x:v>2530.0534940419116</x:v>
      </x:c>
      <x:c r="T217" s="48" t="n">
        <x:f>F217-Inputs!$C$17/2</x:f>
        <x:v>2365.0534940419116</x:v>
      </x:c>
      <x:c r="U217" s="48" t="n">
        <x:f>F217+Inputs!$C$17/2</x:f>
        <x:v>2665.0534940419116</x:v>
      </x:c>
      <x:c r="V217" s="48" t="n">
        <x:f>ABS(P217)</x:f>
        <x:v>402.26435232361837</x:v>
      </x:c>
      <x:c r="W217" s="48" t="n">
        <x:f>ABS(Q217)</x:f>
        <x:v>60.400052901444205</x:v>
      </x:c>
      <x:c r="X217" s="48" t="n">
        <x: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(0.45*SIN(2*PI()*(((A217)/Inputs!$C$49)+Inputs!$C$47*0.137))+0.35*COS(2*PI()*(((0)/Inputs!$C$50)+Inputs!$C$47*0.173))+0.20*SIN(2*PI()*(((A217)+(0))/(0.5*(Inputs!$C$49+Inputs!$C$50))+Inputs!$C$47*0.097)))+0.30*(2*((SIN(((A217)*12.9898+(0)*78.233+Inputs!$C$47*37.719))*43758.5453)-INT((SIN(((A217)*12.9898+(0)*78.233+Inputs!$C$47*37.719))*43758.5453)))-1)))</x:f>
        <x:v>4.725819493947935</x:v>
      </x:c>
      <x:c r="Y217" s="48" t="n">
        <x: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(0.45*SIN(2*PI()*(((A217)/Inputs!$C$49)+Inputs!$C$47*0.137))+0.35*COS(2*PI()*(((Inputs!$C$6)/Inputs!$C$50)+Inputs!$C$47*0.173))+0.20*SIN(2*PI()*(((A217)+(Inputs!$C$6))/(0.5*(Inputs!$C$49+Inputs!$C$50))+Inputs!$C$47*0.097)))+0.30*(2*((SIN(((A217)*12.9898+(Inputs!$C$6)*78.233+Inputs!$C$47*37.719))*43758.5453)-INT((SIN(((A217)*12.9898+(Inputs!$C$6)*78.233+Inputs!$C$47*37.719))*43758.5453)))-1)))</x:f>
        <x:v>107.75271022723112</x:v>
      </x:c>
      <x:c r="Z217" s="48" t="n">
        <x:f>B217-X217/1000</x:f>
        <x:v>402.5022186249505</x:v>
      </x:c>
      <x:c r="AA217" s="48" t="n">
        <x:f>SQRT((Inputs!$C$52+B217)^2+(Inputs!$C$52+Y217/1000)^2-2*(Inputs!$C$52+B217)*(Inputs!$C$52+Y217/1000)*COS(SQRT(A217^2+Inputs!$C$6^2)/Inputs!$C$52))</x:f>
        <x:v>406.8774799830996</x:v>
      </x:c>
      <x:c r="AB217" s="48" t="n">
        <x:f>(AA217-Z217)*1000</x:f>
        <x:v>4375.26135814909</x:v>
      </x:c>
      <x:c r="AC217" s="48" t="n">
        <x:f>AB217/Inputs!$C$12</x:f>
        <x:v>2458.0119989601626</x:v>
      </x:c>
      <x:c r="AD217" s="48" t="n">
        <x:f>2*AB217/Inputs!$C$21*1000000</x:f>
        <x:v>29.18860192372878</x:v>
      </x:c>
      <x:c r="AE217" s="48" t="n">
        <x:f>DEGREES(ATAN(H217/(B217-Y217/1000)))</x:f>
        <x:v>7.598008012007536</x:v>
      </x:c>
      <x:c r="AF217" s="48" t="n">
        <x:f>DEGREES((2*PI()/Inputs!$C$13)*Inputs!$C$15*SIN(RADIANS(AE217)))</x:f>
        <x:v>47.59989438066412</x:v>
      </x:c>
      <x:c r="AG217" s="48" t="n">
        <x:f>(Z217/AA217)^4</x:f>
        <x:v>0.9576757759664778</x:v>
      </x:c>
      <x:c r="AH217" s="48" t="n">
        <x:f>10*LOG10(AG217)</x:f>
        <x:v>-0.187814977498241</x:v>
      </x:c>
      <x:c r="AI217" s="48" t="n">
        <x:f>AC217-F217</x:f>
        <x:v>-57.04149508174896</x:v>
      </x:c>
      <x:c r="AJ217" s="48" t="n">
        <x:f>AD217-G217</x:f>
        <x:v>-0.6773610111666883</x:v>
      </x:c>
      <x:c r="AK217" s="48" t="n">
        <x:f>Y217-X217</x:f>
        <x:v>103.02689073328318</x:v>
      </x:c>
      <x:c r="AL217" s="48" t="n">
        <x:f>1000*(AA218-AA216)/(A218-A216)*Inputs!$C$11</x:f>
        <x:v>982.5168320905959</x:v>
      </x:c>
      <x:c r="AM217" s="48" t="n">
        <x:f>-2*AL217/Inputs!$C$13</x:f>
        <x:v>-393.00673283623837</x:v>
      </x:c>
      <x:c r="AN217" s="48" t="n">
        <x:f>-2*AL217/Inputs!$C$14</x:f>
        <x:v>-59.01001994538114</x:v>
      </x:c>
      <x:c r="AO217" s="48" t="n">
        <x:f>ABS(AM217)</x:f>
        <x:v>393.00673283623837</x:v>
      </x:c>
      <x:c r="AP217" s="48" t="n">
        <x:f>ABS(AN217)</x:f>
        <x:v>59.01001994538114</x:v>
      </x:c>
      <x:c r="AQ217" s="48" t="n">
        <x:f>IF(OR(Inputs!$C$27=TRUE,Inputs!$C$27="TRUE",Inputs!$C$27=1),Inputs!$C$46/Inputs!$C$12,0)</x:f>
        <x:v>42.13483146067416</x:v>
      </x:c>
      <x:c r="AR217" s="48" t="n">
        <x:f>AC217-AQ217</x:f>
        <x:v>2415.877167499488</x:v>
      </x:c>
      <x:c r="AS217" s="48" t="n">
        <x:f>AC217+AQ217</x:f>
        <x:v>2500.146830420837</x:v>
      </x:c>
    </x:row>
    <x:row r="218">
      <x:c r="A218" s="48" t="n">
        <x:f>Inputs!$C$7+216*(Inputs!$C$8-Inputs!$C$7)/240</x:f>
        <x:v>48</x:v>
      </x:c>
      <x:c r="B218" s="48" t="n">
        <x:f>Inputs!$C$5+Inputs!$C$9*(A218/Inputs!$C$10)^2</x:f>
        <x:v>402.56</x:v>
      </x:c>
      <x:c r="C218" s="48" t="n">
        <x:f>B218</x:f>
        <x:v>402.56</x:v>
      </x:c>
      <x:c r="D218" s="48" t="n">
        <x:f>SQRT((Inputs!$C$52+B218)^2+Inputs!$C$52^2-2*(Inputs!$C$52+B218)*Inputs!$C$52*COS(SQRT(A218^2+Inputs!$C$6^2)/Inputs!$C$52))</x:f>
        <x:v>407.11009475504244</x:v>
      </x:c>
      <x:c r="E218" s="48" t="n">
        <x:f>(D218-C218)*1000</x:f>
        <x:v>4550.094755042437</x:v>
      </x:c>
      <x:c r="F218" s="48" t="n">
        <x:f>E218/Inputs!$C$12</x:f>
        <x:v>2556.233008450807</x:v>
      </x:c>
      <x:c r="G218" s="48" t="n">
        <x:f>2*E218/Inputs!$C$21*1000000</x:f>
        <x:v>30.354964800631755</x:v>
      </x:c>
      <x:c r="H218" s="48" t="n">
        <x:f>SQRT(A218^2+Inputs!$C$6^2)</x:f>
        <x:v>54.120236510939236</x:v>
      </x:c>
      <x:c r="I218" s="48" t="n">
        <x:f>DEGREES(ATAN(H218/B218))</x:f>
        <x:v>7.656943892607386</x:v>
      </x:c>
      <x:c r="J218" s="48" t="n">
        <x:f>DEGREES((2*PI()/Inputs!$C$13)*Inputs!$C$15*SIN(RADIANS(I218)))</x:f>
        <x:v>47.96692296558639</x:v>
      </x:c>
      <x:c r="K218" s="48" t="n">
        <x:f>(C218/D218)^4</x:f>
        <x:v>0.9560376426974181</x:v>
      </x:c>
      <x:c r="L218" s="48" t="n">
        <x:f>10*LOG10(K218)</x:f>
        <x:v>-0.195250076256491</x:v>
      </x:c>
      <x:c r="M218" s="48" t="n">
        <x:f>2*(Inputs!$C$9/(Inputs!$C$10^2))*A218</x:f>
        <x:v>0.10666666666666666</x:v>
      </x:c>
      <x:c r="N218" s="48" t="n">
        <x:f>M218*Inputs!$C$11</x:f>
        <x:v>0.42666666666666664</x:v>
      </x:c>
      <x:c r="O218" s="48" t="n">
        <x:f>1000*(D219-D217)/(A219-A217)*Inputs!$C$11</x:f>
        <x:v>1016.0170958615709</x:v>
      </x:c>
      <x:c r="P218" s="48" t="n">
        <x:f>-2*O218/Inputs!$C$13</x:f>
        <x:v>-406.40683834462834</x:v>
      </x:c>
      <x:c r="Q218" s="48" t="n">
        <x:f>-2*O218/Inputs!$C$14</x:f>
        <x:v>-61.02204779949375</x:v>
      </x:c>
      <x:c r="R218" s="48" t="n">
        <x:f>F218-Inputs!$C$16/2</x:f>
        <x:v>2541.233008450807</x:v>
      </x:c>
      <x:c r="S218" s="48" t="n">
        <x:f>F218+Inputs!$C$16/2</x:f>
        <x:v>2571.233008450807</x:v>
      </x:c>
      <x:c r="T218" s="48" t="n">
        <x:f>F218-Inputs!$C$17/2</x:f>
        <x:v>2406.233008450807</x:v>
      </x:c>
      <x:c r="U218" s="48" t="n">
        <x:f>F218+Inputs!$C$17/2</x:f>
        <x:v>2706.233008450807</x:v>
      </x:c>
      <x:c r="V218" s="48" t="n">
        <x:f>ABS(P218)</x:f>
        <x:v>406.40683834462834</x:v>
      </x:c>
      <x:c r="W218" s="48" t="n">
        <x:f>ABS(Q218)</x:f>
        <x:v>61.02204779949375</x:v>
      </x:c>
      <x:c r="X218" s="48" t="n">
        <x: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(0.45*SIN(2*PI()*(((A218)/Inputs!$C$49)+Inputs!$C$47*0.137))+0.35*COS(2*PI()*(((0)/Inputs!$C$50)+Inputs!$C$47*0.173))+0.20*SIN(2*PI()*(((A218)+(0))/(0.5*(Inputs!$C$49+Inputs!$C$50))+Inputs!$C$47*0.097)))+0.30*(2*((SIN(((A218)*12.9898+(0)*78.233+Inputs!$C$47*37.719))*43758.5453)-INT((SIN(((A218)*12.9898+(0)*78.233+Inputs!$C$47*37.719))*43758.5453)))-1)))</x:f>
        <x:v>-9.076914728959792</x:v>
      </x:c>
      <x:c r="Y218" s="48" t="n">
        <x: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(0.45*SIN(2*PI()*(((A218)/Inputs!$C$49)+Inputs!$C$47*0.137))+0.35*COS(2*PI()*(((Inputs!$C$6)/Inputs!$C$50)+Inputs!$C$47*0.173))+0.20*SIN(2*PI()*(((A218)+(Inputs!$C$6))/(0.5*(Inputs!$C$49+Inputs!$C$50))+Inputs!$C$47*0.097)))+0.30*(2*((SIN(((A218)*12.9898+(Inputs!$C$6)*78.233+Inputs!$C$47*37.719))*43758.5453)-INT((SIN(((A218)*12.9898+(Inputs!$C$6)*78.233+Inputs!$C$47*37.719))*43758.5453)))-1)))</x:f>
        <x:v>124.99715373468393</x:v>
      </x:c>
      <x:c r="Z218" s="48" t="n">
        <x:f>B218-X218/1000</x:f>
        <x:v>402.56907691472895</x:v>
      </x:c>
      <x:c r="AA218" s="48" t="n">
        <x:f>SQRT((Inputs!$C$52+B218)^2+(Inputs!$C$52+Y218/1000)^2-2*(Inputs!$C$52+B218)*(Inputs!$C$52+Y218/1000)*COS(SQRT(A218^2+Inputs!$C$6^2)/Inputs!$C$52))</x:f>
        <x:v>406.98685753679763</x:v>
      </x:c>
      <x:c r="AB218" s="48" t="n">
        <x:f>(AA218-Z218)*1000</x:f>
        <x:v>4417.780622068676</x:v>
      </x:c>
      <x:c r="AC218" s="48" t="n">
        <x:f>AB218/Inputs!$C$12</x:f>
        <x:v>2481.8992258812787</x:v>
      </x:c>
      <x:c r="AD218" s="48" t="n">
        <x:f>2*AB218/Inputs!$C$21*1000000</x:f>
        <x:v>29.472259919685346</x:v>
      </x:c>
      <x:c r="AE218" s="48" t="n">
        <x:f>DEGREES(ATAN(H218/(B218-Y218/1000)))</x:f>
        <x:v>7.659293927255027</x:v>
      </x:c>
      <x:c r="AF218" s="48" t="n">
        <x:f>DEGREES((2*PI()/Inputs!$C$13)*Inputs!$C$15*SIN(RADIANS(AE218)))</x:f>
        <x:v>47.98155697158619</x:v>
      </x:c>
      <x:c r="AG218" s="48" t="n">
        <x:f>(Z218/AA218)^4</x:f>
        <x:v>0.9572824708417631</x:v>
      </x:c>
      <x:c r="AH218" s="48" t="n">
        <x:f>10*LOG10(AG218)</x:f>
        <x:v>-0.18959893543105</x:v>
      </x:c>
      <x:c r="AI218" s="48" t="n">
        <x:f>AC218-F218</x:f>
        <x:v>-74.33378256952847</x:v>
      </x:c>
      <x:c r="AJ218" s="48" t="n">
        <x:f>AD218-G218</x:f>
        <x:v>-0.8827048809464095</x:v>
      </x:c>
      <x:c r="AK218" s="48" t="n">
        <x:f>Y218-X218</x:f>
        <x:v>134.07406846364373</x:v>
      </x:c>
      <x:c r="AL218" s="48" t="n">
        <x:f>1000*(AA219-AA217)/(A219-A217)*Inputs!$C$11</x:f>
        <x:v>990.5345235411005</x:v>
      </x:c>
      <x:c r="AM218" s="48" t="n">
        <x:f>-2*AL218/Inputs!$C$13</x:f>
        <x:v>-396.2138094164402</x:v>
      </x:c>
      <x:c r="AN218" s="48" t="n">
        <x:f>-2*AL218/Inputs!$C$14</x:f>
        <x:v>-59.491562975441475</x:v>
      </x:c>
      <x:c r="AO218" s="48" t="n">
        <x:f>ABS(AM218)</x:f>
        <x:v>396.2138094164402</x:v>
      </x:c>
      <x:c r="AP218" s="48" t="n">
        <x:f>ABS(AN218)</x:f>
        <x:v>59.491562975441475</x:v>
      </x:c>
      <x:c r="AQ218" s="48" t="n">
        <x:f>IF(OR(Inputs!$C$27=TRUE,Inputs!$C$27="TRUE",Inputs!$C$27=1),Inputs!$C$46/Inputs!$C$12,0)</x:f>
        <x:v>42.13483146067416</x:v>
      </x:c>
      <x:c r="AR218" s="48" t="n">
        <x:f>AC218-AQ218</x:f>
        <x:v>2439.7643944206043</x:v>
      </x:c>
      <x:c r="AS218" s="48" t="n">
        <x:f>AC218+AQ218</x:f>
        <x:v>2524.034057341953</x:v>
      </x:c>
    </x:row>
    <x:row r="219">
      <x:c r="A219" s="48" t="n">
        <x:f>Inputs!$C$7+217*(Inputs!$C$8-Inputs!$C$7)/240</x:f>
        <x:v>48.5</x:v>
      </x:c>
      <x:c r="B219" s="48" t="n">
        <x:f>Inputs!$C$5+Inputs!$C$9*(A219/Inputs!$C$10)^2</x:f>
        <x:v>402.6136111111111</x:v>
      </x:c>
      <x:c r="C219" s="48" t="n">
        <x:f>B219</x:f>
        <x:v>402.6136111111111</x:v>
      </x:c>
      <x:c r="D219" s="48" t="n">
        <x:f>SQRT((Inputs!$C$52+B219)^2+Inputs!$C$52^2-2*(Inputs!$C$52+B219)*Inputs!$C$52*COS(SQRT(A219^2+Inputs!$C$6^2)/Inputs!$C$52))</x:f>
        <x:v>407.23774393780445</x:v>
      </x:c>
      <x:c r="E219" s="48" t="n">
        <x:f>(D219-C219)*1000</x:f>
        <x:v>4624.132826693369</x:v>
      </x:c>
      <x:c r="F219" s="48" t="n">
        <x:f>E219/Inputs!$C$12</x:f>
        <x:v>2597.8274307266115</x:v>
      </x:c>
      <x:c r="G219" s="48" t="n">
        <x:f>2*E219/Inputs!$C$21*1000000</x:f>
        <x:v>30.84889364824094</x:v>
      </x:c>
      <x:c r="H219" s="48" t="n">
        <x:f>SQRT(A219^2+Inputs!$C$6^2)</x:f>
        <x:v>54.56418239101544</x:v>
      </x:c>
      <x:c r="I219" s="48" t="n">
        <x:f>DEGREES(ATAN(H219/B219))</x:f>
        <x:v>7.717983785874701</x:v>
      </x:c>
      <x:c r="J219" s="48" t="n">
        <x:f>DEGREES((2*PI()/Inputs!$C$13)*Inputs!$C$15*SIN(RADIANS(I219)))</x:f>
        <x:v>48.347000974416595</x:v>
      </x:c>
      <x:c r="K219" s="48" t="n">
        <x:f>(C219/D219)^4</x:f>
        <x:v>0.9553482677377663</x:v>
      </x:c>
      <x:c r="L219" s="48" t="n">
        <x:f>10*LOG10(K219)</x:f>
        <x:v>-0.198382795319515</x:v>
      </x:c>
      <x:c r="M219" s="48" t="n">
        <x:f>2*(Inputs!$C$9/(Inputs!$C$10^2))*A219</x:f>
        <x:v>0.10777777777777778</x:v>
      </x:c>
      <x:c r="N219" s="48" t="n">
        <x:f>M219*Inputs!$C$11</x:f>
        <x:v>0.4311111111111111</x:v>
      </x:c>
      <x:c r="O219" s="48" t="n">
        <x:f>1000*(D220-D218)/(A220-A218)*Inputs!$C$11</x:f>
        <x:v>1026.3663147777606</x:v>
      </x:c>
      <x:c r="P219" s="48" t="n">
        <x:f>-2*O219/Inputs!$C$13</x:f>
        <x:v>-410.54652591110425</x:v>
      </x:c>
      <x:c r="Q219" s="48" t="n">
        <x:f>-2*O219/Inputs!$C$14</x:f>
        <x:v>-61.64362250917482</x:v>
      </x:c>
      <x:c r="R219" s="48" t="n">
        <x:f>F219-Inputs!$C$16/2</x:f>
        <x:v>2582.8274307266115</x:v>
      </x:c>
      <x:c r="S219" s="48" t="n">
        <x:f>F219+Inputs!$C$16/2</x:f>
        <x:v>2612.8274307266115</x:v>
      </x:c>
      <x:c r="T219" s="48" t="n">
        <x:f>F219-Inputs!$C$17/2</x:f>
        <x:v>2447.8274307266115</x:v>
      </x:c>
      <x:c r="U219" s="48" t="n">
        <x:f>F219+Inputs!$C$17/2</x:f>
        <x:v>2747.8274307266115</x:v>
      </x:c>
      <x:c r="V219" s="48" t="n">
        <x:f>ABS(P219)</x:f>
        <x:v>410.54652591110425</x:v>
      </x:c>
      <x:c r="W219" s="48" t="n">
        <x:f>ABS(Q219)</x:f>
        <x:v>61.64362250917482</x:v>
      </x:c>
      <x:c r="X219" s="48" t="n">
        <x: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(0.45*SIN(2*PI()*(((A219)/Inputs!$C$49)+Inputs!$C$47*0.137))+0.35*COS(2*PI()*(((0)/Inputs!$C$50)+Inputs!$C$47*0.173))+0.20*SIN(2*PI()*(((A219)+(0))/(0.5*(Inputs!$C$49+Inputs!$C$50))+Inputs!$C$47*0.097)))+0.30*(2*((SIN(((A219)*12.9898+(0)*78.233+Inputs!$C$47*37.719))*43758.5453)-INT((SIN(((A219)*12.9898+(0)*78.233+Inputs!$C$47*37.719))*43758.5453)))-1)))</x:f>
        <x:v>-2.0408727900443155</x:v>
      </x:c>
      <x:c r="Y219" s="48" t="n">
        <x: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(0.45*SIN(2*PI()*(((A219)/Inputs!$C$49)+Inputs!$C$47*0.137))+0.35*COS(2*PI()*(((Inputs!$C$6)/Inputs!$C$50)+Inputs!$C$47*0.173))+0.20*SIN(2*PI()*(((A219)+(Inputs!$C$6))/(0.5*(Inputs!$C$49+Inputs!$C$50))+Inputs!$C$47*0.097)))+0.30*(2*((SIN(((A219)*12.9898+(Inputs!$C$6)*78.233+Inputs!$C$47*37.719))*43758.5453)-INT((SIN(((A219)*12.9898+(Inputs!$C$6)*78.233+Inputs!$C$47*37.719))*43758.5453)))-1)))</x:f>
        <x:v>114.2648488799635</x:v>
      </x:c>
      <x:c r="Z219" s="48" t="n">
        <x:f>B219-X219/1000</x:f>
        <x:v>402.6156519839011</x:v>
      </x:c>
      <x:c r="AA219" s="48" t="n">
        <x:f>SQRT((Inputs!$C$52+B219)^2+(Inputs!$C$52+Y219/1000)^2-2*(Inputs!$C$52+B219)*(Inputs!$C$52+Y219/1000)*COS(SQRT(A219^2+Inputs!$C$6^2)/Inputs!$C$52))</x:f>
        <x:v>407.12511361398487</x:v>
      </x:c>
      <x:c r="AB219" s="48" t="n">
        <x:f>(AA219-Z219)*1000</x:f>
        <x:v>4509.461630083762</x:v>
      </x:c>
      <x:c r="AC219" s="48" t="n">
        <x:f>AB219/Inputs!$C$12</x:f>
        <x:v>2533.405410159417</x:v>
      </x:c>
      <x:c r="AD219" s="48" t="n">
        <x:f>2*AB219/Inputs!$C$21*1000000</x:f>
        <x:v>30.083889769393483</x:v>
      </x:c>
      <x:c r="AE219" s="48" t="n">
        <x:f>DEGREES(ATAN(H219/(B219-Y219/1000)))</x:f>
        <x:v>7.720148411309109</x:v>
      </x:c>
      <x:c r="AF219" s="48" t="n">
        <x:f>DEGREES((2*PI()/Inputs!$C$13)*Inputs!$C$15*SIN(RADIANS(AE219)))</x:f>
        <x:v>48.36047847480999</x:v>
      </x:c>
      <x:c r="AG219" s="48" t="n">
        <x:f>(Z219/AA219)^4</x:f>
        <x:v>0.9564252795032038</x:v>
      </x:c>
      <x:c r="AH219" s="48" t="n">
        <x:f>10*LOG10(AG219)</x:f>
        <x:v>-0.193489534641942</x:v>
      </x:c>
      <x:c r="AI219" s="48" t="n">
        <x:f>AC219-F219</x:f>
        <x:v>-64.42202056719452</x:v>
      </x:c>
      <x:c r="AJ219" s="48" t="n">
        <x:f>AD219-G219</x:f>
        <x:v>-0.7650038788474554</x:v>
      </x:c>
      <x:c r="AK219" s="48" t="n">
        <x:f>Y219-X219</x:f>
        <x:v>116.30572167000781</x:v>
      </x:c>
      <x:c r="AL219" s="48" t="n">
        <x:f>1000*(AA220-AA218)/(A220-A218)*Inputs!$C$11</x:f>
        <x:v>1087.5066376124778</x:v>
      </x:c>
      <x:c r="AM219" s="48" t="n">
        <x:f>-2*AL219/Inputs!$C$13</x:f>
        <x:v>-435.0026550449911</x:v>
      </x:c>
      <x:c r="AN219" s="48" t="n">
        <x:f>-2*AL219/Inputs!$C$14</x:f>
        <x:v>-65.31571397071939</x:v>
      </x:c>
      <x:c r="AO219" s="48" t="n">
        <x:f>ABS(AM219)</x:f>
        <x:v>435.0026550449911</x:v>
      </x:c>
      <x:c r="AP219" s="48" t="n">
        <x:f>ABS(AN219)</x:f>
        <x:v>65.31571397071939</x:v>
      </x:c>
      <x:c r="AQ219" s="48" t="n">
        <x:f>IF(OR(Inputs!$C$27=TRUE,Inputs!$C$27="TRUE",Inputs!$C$27=1),Inputs!$C$46/Inputs!$C$12,0)</x:f>
        <x:v>42.13483146067416</x:v>
      </x:c>
      <x:c r="AR219" s="48" t="n">
        <x:f>AC219-AQ219</x:f>
        <x:v>2491.2705786987426</x:v>
      </x:c>
      <x:c r="AS219" s="48" t="n">
        <x:f>AC219+AQ219</x:f>
        <x:v>2575.5402416200914</x:v>
      </x:c>
    </x:row>
    <x:row r="220">
      <x:c r="A220" s="48" t="n">
        <x:f>Inputs!$C$7+218*(Inputs!$C$8-Inputs!$C$7)/240</x:f>
        <x:v>49</x:v>
      </x:c>
      <x:c r="B220" s="48" t="n">
        <x:f>Inputs!$C$5+Inputs!$C$9*(A220/Inputs!$C$10)^2</x:f>
        <x:v>402.66777777777776</x:v>
      </x:c>
      <x:c r="C220" s="48" t="n">
        <x:f>B220</x:f>
        <x:v>402.66777777777776</x:v>
      </x:c>
      <x:c r="D220" s="48" t="n">
        <x:f>SQRT((Inputs!$C$52+B220)^2+Inputs!$C$52^2-2*(Inputs!$C$52+B220)*Inputs!$C$52*COS(SQRT(A220^2+Inputs!$C$6^2)/Inputs!$C$52))</x:f>
        <x:v>407.3666863337369</x:v>
      </x:c>
      <x:c r="E220" s="48" t="n">
        <x:f>(D220-C220)*1000</x:f>
        <x:v>4698.908555959122</x:v>
      </x:c>
      <x:c r="F220" s="48" t="n">
        <x:f>E220/Inputs!$C$12</x:f>
        <x:v>2639.8362673927654</x:v>
      </x:c>
      <x:c r="G220" s="48" t="n">
        <x:f>2*E220/Inputs!$C$21*1000000</x:f>
        <x:v>31.347743617747195</x:v>
      </x:c>
      <x:c r="H220" s="48" t="n">
        <x:f>SQRT(A220^2+Inputs!$C$6^2)</x:f>
        <x:v>55.00909015790027</x:v>
      </x:c>
      <x:c r="I220" s="48" t="n">
        <x:f>DEGREES(ATAN(H220/B220))</x:f>
        <x:v>7.779113570233542</x:v>
      </x:c>
      <x:c r="J220" s="48" t="n">
        <x:f>DEGREES((2*PI()/Inputs!$C$13)*Inputs!$C$15*SIN(RADIANS(I220)))</x:f>
        <x:v>48.727583715832836</x:v>
      </x:c>
      <x:c r="K220" s="48" t="n">
        <x:f>(C220/D220)^4</x:f>
        <x:v>0.954652843356775</x:v>
      </x:c>
      <x:c r="L220" s="48" t="n">
        <x:f>10*LOG10(K220)</x:f>
        <x:v>-0.20154529593626297</x:v>
      </x:c>
      <x:c r="M220" s="48" t="n">
        <x:f>2*(Inputs!$C$9/(Inputs!$C$10^2))*A220</x:f>
        <x:v>0.10888888888888888</x:v>
      </x:c>
      <x:c r="N220" s="48" t="n">
        <x:f>M220*Inputs!$C$11</x:f>
        <x:v>0.43555555555555553</x:v>
      </x:c>
      <x:c r="O220" s="48" t="n">
        <x:f>1000*(D221-D219)/(A221-A219)*Inputs!$C$11</x:f>
        <x:v>1036.7084757508565</x:v>
      </x:c>
      <x:c r="P220" s="48" t="n">
        <x:f>-2*O220/Inputs!$C$13</x:f>
        <x:v>-414.6833903003426</x:v>
      </x:c>
      <x:c r="Q220" s="48" t="n">
        <x:f>-2*O220/Inputs!$C$14</x:f>
        <x:v>-62.26477331836976</x:v>
      </x:c>
      <x:c r="R220" s="48" t="n">
        <x:f>F220-Inputs!$C$16/2</x:f>
        <x:v>2624.8362673927654</x:v>
      </x:c>
      <x:c r="S220" s="48" t="n">
        <x:f>F220+Inputs!$C$16/2</x:f>
        <x:v>2654.8362673927654</x:v>
      </x:c>
      <x:c r="T220" s="48" t="n">
        <x:f>F220-Inputs!$C$17/2</x:f>
        <x:v>2489.8362673927654</x:v>
      </x:c>
      <x:c r="U220" s="48" t="n">
        <x:f>F220+Inputs!$C$17/2</x:f>
        <x:v>2789.8362673927654</x:v>
      </x:c>
      <x:c r="V220" s="48" t="n">
        <x:f>ABS(P220)</x:f>
        <x:v>414.6833903003426</x:v>
      </x:c>
      <x:c r="W220" s="48" t="n">
        <x:f>ABS(Q220)</x:f>
        <x:v>62.26477331836976</x:v>
      </x:c>
      <x:c r="X220" s="48" t="n">
        <x: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(0.45*SIN(2*PI()*(((A220)/Inputs!$C$49)+Inputs!$C$47*0.137))+0.35*COS(2*PI()*(((0)/Inputs!$C$50)+Inputs!$C$47*0.173))+0.20*SIN(2*PI()*(((A220)+(0))/(0.5*(Inputs!$C$49+Inputs!$C$50))+Inputs!$C$47*0.097)))+0.30*(2*((SIN(((A220)*12.9898+(0)*78.233+Inputs!$C$47*37.719))*43758.5453)-INT((SIN(((A220)*12.9898+(0)*78.233+Inputs!$C$47*37.719))*43758.5453)))-1)))</x:f>
        <x:v>10.43102720072224</x:v>
      </x:c>
      <x:c r="Y220" s="48" t="n">
        <x: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(0.45*SIN(2*PI()*(((A220)/Inputs!$C$49)+Inputs!$C$47*0.137))+0.35*COS(2*PI()*(((Inputs!$C$6)/Inputs!$C$50)+Inputs!$C$47*0.173))+0.20*SIN(2*PI()*(((A220)+(Inputs!$C$6))/(0.5*(Inputs!$C$49+Inputs!$C$50))+Inputs!$C$47*0.097)))+0.30*(2*((SIN(((A220)*12.9898+(Inputs!$C$6)*78.233+Inputs!$C$47*37.719))*43758.5453)-INT((SIN(((A220)*12.9898+(Inputs!$C$6)*78.233+Inputs!$C$47*37.719))*43758.5453)))-1)))</x:f>
        <x:v>109.54402369059221</x:v>
      </x:c>
      <x:c r="Z220" s="48" t="n">
        <x:f>B220-X220/1000</x:f>
        <x:v>402.65734675057706</x:v>
      </x:c>
      <x:c r="AA220" s="48" t="n">
        <x:f>SQRT((Inputs!$C$52+B220)^2+(Inputs!$C$52+Y220/1000)^2-2*(Inputs!$C$52+B220)*(Inputs!$C$52+Y220/1000)*COS(SQRT(A220^2+Inputs!$C$6^2)/Inputs!$C$52))</x:f>
        <x:v>407.25873419620075</x:v>
      </x:c>
      <x:c r="AB220" s="48" t="n">
        <x:f>(AA220-Z220)*1000</x:f>
        <x:v>4601.387445623686</x:v>
      </x:c>
      <x:c r="AC220" s="48" t="n">
        <x:f>AB220/Inputs!$C$12</x:f>
        <x:v>2585.04912675488</x:v>
      </x:c>
      <x:c r="AD220" s="48" t="n">
        <x:f>2*AB220/Inputs!$C$21*1000000</x:f>
        <x:v>30.697152799112022</x:v>
      </x:c>
      <x:c r="AE220" s="48" t="n">
        <x:f>DEGREES(ATAN(H220/(B220-Y220/1000)))</x:f>
        <x:v>7.781204491160874</x:v>
      </x:c>
      <x:c r="AF220" s="48" t="n">
        <x:f>DEGREES((2*PI()/Inputs!$C$13)*Inputs!$C$15*SIN(RADIANS(AE220)))</x:f>
        <x:v>48.74060042455543</x:v>
      </x:c>
      <x:c r="AG220" s="48" t="n">
        <x:f>(Z220/AA220)^4</x:f>
        <x:v>0.9555664243775993</x:v>
      </x:c>
      <x:c r="AH220" s="48" t="n">
        <x:f>10*LOG10(AG220)</x:f>
        <x:v>-0.19739118406996398</x:v>
      </x:c>
      <x:c r="AI220" s="48" t="n">
        <x:f>AC220-F220</x:f>
        <x:v>-54.787140637885386</x:v>
      </x:c>
      <x:c r="AJ220" s="48" t="n">
        <x:f>AD220-G220</x:f>
        <x:v>-0.6505908186351732</x:v>
      </x:c>
      <x:c r="AK220" s="48" t="n">
        <x:f>Y220-X220</x:f>
        <x:v>99.11299648986997</x:v>
      </x:c>
      <x:c r="AL220" s="48" t="n">
        <x:f>1000*(AA221-AA219)/(A221-A219)*Inputs!$C$11</x:f>
        <x:v>1030.793517861639</x:v>
      </x:c>
      <x:c r="AM220" s="48" t="n">
        <x:f>-2*AL220/Inputs!$C$13</x:f>
        <x:v>-412.3174071446556</x:v>
      </x:c>
      <x:c r="AN220" s="48" t="n">
        <x:f>-2*AL220/Inputs!$C$14</x:f>
        <x:v>-61.90952059229063</x:v>
      </x:c>
      <x:c r="AO220" s="48" t="n">
        <x:f>ABS(AM220)</x:f>
        <x:v>412.3174071446556</x:v>
      </x:c>
      <x:c r="AP220" s="48" t="n">
        <x:f>ABS(AN220)</x:f>
        <x:v>61.90952059229063</x:v>
      </x:c>
      <x:c r="AQ220" s="48" t="n">
        <x:f>IF(OR(Inputs!$C$27=TRUE,Inputs!$C$27="TRUE",Inputs!$C$27=1),Inputs!$C$46/Inputs!$C$12,0)</x:f>
        <x:v>42.13483146067416</x:v>
      </x:c>
      <x:c r="AR220" s="48" t="n">
        <x:f>AC220-AQ220</x:f>
        <x:v>2542.9142952942057</x:v>
      </x:c>
      <x:c r="AS220" s="48" t="n">
        <x:f>AC220+AQ220</x:f>
        <x:v>2627.1839582155544</x:v>
      </x:c>
    </x:row>
    <x:row r="221">
      <x:c r="A221" s="48" t="n">
        <x:f>Inputs!$C$7+219*(Inputs!$C$8-Inputs!$C$7)/240</x:f>
        <x:v>49.5</x:v>
      </x:c>
      <x:c r="B221" s="48" t="n">
        <x:f>Inputs!$C$5+Inputs!$C$9*(A221/Inputs!$C$10)^2</x:f>
        <x:v>402.7225</x:v>
      </x:c>
      <x:c r="C221" s="48" t="n">
        <x:f>B221</x:f>
        <x:v>402.7225</x:v>
      </x:c>
      <x:c r="D221" s="48" t="n">
        <x:f>SQRT((Inputs!$C$52+B221)^2+Inputs!$C$52^2-2*(Inputs!$C$52+B221)*Inputs!$C$52*COS(SQRT(A221^2+Inputs!$C$6^2)/Inputs!$C$52))</x:f>
        <x:v>407.49692105674217</x:v>
      </x:c>
      <x:c r="E221" s="48" t="n">
        <x:f>(D221-C221)*1000</x:f>
        <x:v>4774.421056742141</x:v>
      </x:c>
      <x:c r="F221" s="48" t="n">
        <x:f>E221/Inputs!$C$12</x:f>
        <x:v>2682.2590206416526</x:v>
      </x:c>
      <x:c r="G221" s="48" t="n">
        <x:f>2*E221/Inputs!$C$21*1000000</x:f>
        <x:v>31.851508797743943</x:v>
      </x:c>
      <x:c r="H221" s="48" t="n">
        <x:f>SQRT(A221^2+Inputs!$C$6^2)</x:f>
        <x:v>55.45493666031907</x:v>
      </x:c>
      <x:c r="I221" s="48" t="n">
        <x:f>DEGREES(ATAN(H221/B221))</x:f>
        <x:v>7.84032949187448</x:v>
      </x:c>
      <x:c r="J221" s="48" t="n">
        <x:f>DEGREES((2*PI()/Inputs!$C$13)*Inputs!$C$15*SIN(RADIANS(I221)))</x:f>
        <x:v>49.108647147475075</x:v>
      </x:c>
      <x:c r="K221" s="48" t="n">
        <x:f>(C221/D221)^4</x:f>
        <x:v>0.9539514009475519</x:v>
      </x:c>
      <x:c r="L221" s="48" t="n">
        <x:f>10*LOG10(K221)</x:f>
        <x:v>-0.204737498639604</x:v>
      </x:c>
      <x:c r="M221" s="48" t="n">
        <x:f>2*(Inputs!$C$9/(Inputs!$C$10^2))*A221</x:f>
        <x:v>0.11</x:v>
      </x:c>
      <x:c r="N221" s="48" t="n">
        <x:f>M221*Inputs!$C$11</x:f>
        <x:v>0.44</x:v>
      </x:c>
      <x:c r="O221" s="48" t="n">
        <x:f>1000*(D222-D220)/(A222-A220)*Inputs!$C$11</x:f>
        <x:v>1047.0435173044734</x:v>
      </x:c>
      <x:c r="P221" s="48" t="n">
        <x:f>-2*O221/Inputs!$C$13</x:f>
        <x:v>-418.81740692178937</x:v>
      </x:c>
      <x:c r="Q221" s="48" t="n">
        <x:f>-2*O221/Inputs!$C$14</x:f>
        <x:v>-62.88549653480322</x:v>
      </x:c>
      <x:c r="R221" s="48" t="n">
        <x:f>F221-Inputs!$C$16/2</x:f>
        <x:v>2667.2590206416526</x:v>
      </x:c>
      <x:c r="S221" s="48" t="n">
        <x:f>F221+Inputs!$C$16/2</x:f>
        <x:v>2697.2590206416526</x:v>
      </x:c>
      <x:c r="T221" s="48" t="n">
        <x:f>F221-Inputs!$C$17/2</x:f>
        <x:v>2532.2590206416526</x:v>
      </x:c>
      <x:c r="U221" s="48" t="n">
        <x:f>F221+Inputs!$C$17/2</x:f>
        <x:v>2832.2590206416526</x:v>
      </x:c>
      <x:c r="V221" s="48" t="n">
        <x:f>ABS(P221)</x:f>
        <x:v>418.81740692178937</x:v>
      </x:c>
      <x:c r="W221" s="48" t="n">
        <x:f>ABS(Q221)</x:f>
        <x:v>62.88549653480322</x:v>
      </x:c>
      <x:c r="X221" s="48" t="n">
        <x: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(0.45*SIN(2*PI()*(((A221)/Inputs!$C$49)+Inputs!$C$47*0.137))+0.35*COS(2*PI()*(((0)/Inputs!$C$50)+Inputs!$C$47*0.173))+0.20*SIN(2*PI()*(((A221)+(0))/(0.5*(Inputs!$C$49+Inputs!$C$50))+Inputs!$C$47*0.097)))+0.30*(2*((SIN(((A221)*12.9898+(0)*78.233+Inputs!$C$47*37.719))*43758.5453)-INT((SIN(((A221)*12.9898+(0)*78.233+Inputs!$C$47*37.719))*43758.5453)))-1)))</x:f>
        <x:v>-2.2699304094542576</x:v>
      </x:c>
      <x:c r="Y221" s="48" t="n">
        <x: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(0.45*SIN(2*PI()*(((A221)/Inputs!$C$49)+Inputs!$C$47*0.137))+0.35*COS(2*PI()*(((Inputs!$C$6)/Inputs!$C$50)+Inputs!$C$47*0.173))+0.20*SIN(2*PI()*(((A221)+(Inputs!$C$6))/(0.5*(Inputs!$C$49+Inputs!$C$50))+Inputs!$C$47*0.097)))+0.30*(2*((SIN(((A221)*12.9898+(Inputs!$C$6)*78.233+Inputs!$C$47*37.719))*43758.5453)-INT((SIN(((A221)*12.9898+(Inputs!$C$6)*78.233+Inputs!$C$47*37.719))*43758.5453)))-1)))</x:f>
        <x:v>115.81874031490976</x:v>
      </x:c>
      <x:c r="Z221" s="48" t="n">
        <x:f>B221-X221/1000</x:f>
        <x:v>402.7247699304095</x:v>
      </x:c>
      <x:c r="AA221" s="48" t="n">
        <x:f>SQRT((Inputs!$C$52+B221)^2+(Inputs!$C$52+Y221/1000)^2-2*(Inputs!$C$52+B221)*(Inputs!$C$52+Y221/1000)*COS(SQRT(A221^2+Inputs!$C$6^2)/Inputs!$C$52))</x:f>
        <x:v>407.3828119934503</x:v>
      </x:c>
      <x:c r="AB221" s="48" t="n">
        <x:f>(AA221-Z221)*1000</x:f>
        <x:v>4658.042063040795</x:v>
      </x:c>
      <x:c r="AC221" s="48" t="n">
        <x:f>AB221/Inputs!$C$12</x:f>
        <x:v>2616.8775635060647</x:v>
      </x:c>
      <x:c r="AD221" s="48" t="n">
        <x:f>2*AB221/Inputs!$C$21*1000000</x:f>
        <x:v>31.07511172306273</x:v>
      </x:c>
      <x:c r="AE221" s="48" t="n">
        <x:f>DEGREES(ATAN(H221/(B221-Y221/1000)))</x:f>
        <x:v>7.8425568742881735</x:v>
      </x:c>
      <x:c r="AF221" s="48" t="n">
        <x:f>DEGREES((2*PI()/Inputs!$C$13)*Inputs!$C$15*SIN(RADIANS(AE221)))</x:f>
        <x:v>49.12251134197166</x:v>
      </x:c>
      <x:c r="AG221" s="48" t="n">
        <x:f>(Z221/AA221)^4</x:f>
        <x:v>0.9550421998413903</x:v>
      </x:c>
      <x:c r="AH221" s="48" t="n">
        <x:f>10*LOG10(AG221)</x:f>
        <x:v>-0.199774380986183</x:v>
      </x:c>
      <x:c r="AI221" s="48" t="n">
        <x:f>AC221-F221</x:f>
        <x:v>-65.38145713558788</x:v>
      </x:c>
      <x:c r="AJ221" s="48" t="n">
        <x:f>AD221-G221</x:f>
        <x:v>-0.7763970746812134</x:v>
      </x:c>
      <x:c r="AK221" s="48" t="n">
        <x:f>Y221-X221</x:f>
        <x:v>118.08867072436402</x:v>
      </x:c>
      <x:c r="AL221" s="48" t="n">
        <x:f>1000*(AA222-AA220)/(A222-A220)*Inputs!$C$11</x:f>
        <x:v>1024.822068342246</x:v>
      </x:c>
      <x:c r="AM221" s="48" t="n">
        <x:f>-2*AL221/Inputs!$C$13</x:f>
        <x:v>-409.9288273368984</x:v>
      </x:c>
      <x:c r="AN221" s="48" t="n">
        <x:f>-2*AL221/Inputs!$C$14</x:f>
        <x:v>-61.550874975510276</x:v>
      </x:c>
      <x:c r="AO221" s="48" t="n">
        <x:f>ABS(AM221)</x:f>
        <x:v>409.9288273368984</x:v>
      </x:c>
      <x:c r="AP221" s="48" t="n">
        <x:f>ABS(AN221)</x:f>
        <x:v>61.550874975510276</x:v>
      </x:c>
      <x:c r="AQ221" s="48" t="n">
        <x:f>IF(OR(Inputs!$C$27=TRUE,Inputs!$C$27="TRUE",Inputs!$C$27=1),Inputs!$C$46/Inputs!$C$12,0)</x:f>
        <x:v>42.13483146067416</x:v>
      </x:c>
      <x:c r="AR221" s="48" t="n">
        <x:f>AC221-AQ221</x:f>
        <x:v>2574.7427320453903</x:v>
      </x:c>
      <x:c r="AS221" s="48" t="n">
        <x:f>AC221+AQ221</x:f>
        <x:v>2659.012394966739</x:v>
      </x:c>
    </x:row>
    <x:row r="222">
      <x:c r="A222" s="48" t="n">
        <x:f>Inputs!$C$7+220*(Inputs!$C$8-Inputs!$C$7)/240</x:f>
        <x:v>50</x:v>
      </x:c>
      <x:c r="B222" s="48" t="n">
        <x:f>Inputs!$C$5+Inputs!$C$9*(A222/Inputs!$C$10)^2</x:f>
        <x:v>402.77777777777777</x:v>
      </x:c>
      <x:c r="C222" s="48" t="n">
        <x:f>B222</x:f>
        <x:v>402.77777777777777</x:v>
      </x:c>
      <x:c r="D222" s="48" t="n">
        <x:f>SQRT((Inputs!$C$52+B222)^2+Inputs!$C$52^2-2*(Inputs!$C$52+B222)*Inputs!$C$52*COS(SQRT(A222^2+Inputs!$C$6^2)/Inputs!$C$52))</x:f>
        <x:v>407.628447213063</x:v>
      </x:c>
      <x:c r="E222" s="48" t="n">
        <x:f>(D222-C222)*1000</x:f>
        <x:v>4850.669435285226</x:v>
      </x:c>
      <x:c r="F222" s="48" t="n">
        <x:f>E222/Inputs!$C$12</x:f>
        <x:v>2725.0951883624866</x:v>
      </x:c>
      <x:c r="G222" s="48" t="n">
        <x:f>2*E222/Inputs!$C$21*1000000</x:f>
        <x:v>32.36018322572495</x:v>
      </x:c>
      <x:c r="H222" s="48" t="n">
        <x:f>SQRT(A222^2+Inputs!$C$6^2)</x:f>
        <x:v>55.90169943749474</x:v>
      </x:c>
      <x:c r="I222" s="48" t="n">
        <x:f>DEGREES(ATAN(H222/B222))</x:f>
        <x:v>7.901627897264307</x:v>
      </x:c>
      <x:c r="J222" s="48" t="n">
        <x:f>DEGREES((2*PI()/Inputs!$C$13)*Inputs!$C$15*SIN(RADIANS(I222)))</x:f>
        <x:v>49.490167860754674</x:v>
      </x:c>
      <x:c r="K222" s="48" t="n">
        <x:f>(C222/D222)^4</x:f>
        <x:v>0.9532439721064818</x:v>
      </x:c>
      <x:c r="L222" s="48" t="n">
        <x:f>10*LOG10(K222)</x:f>
        <x:v>-0.20795932331941502</x:v>
      </x:c>
      <x:c r="M222" s="48" t="n">
        <x:f>2*(Inputs!$C$9/(Inputs!$C$10^2))*A222</x:f>
        <x:v>0.1111111111111111</x:v>
      </x:c>
      <x:c r="N222" s="48" t="n">
        <x:f>M222*Inputs!$C$11</x:f>
        <x:v>0.4444444444444444</x:v>
      </x:c>
      <x:c r="O222" s="48" t="n">
        <x:f>1000*(D223-D221)/(A223-A221)*Inputs!$C$11</x:f>
        <x:v>1057.371378303742</x:v>
      </x:c>
      <x:c r="P222" s="48" t="n">
        <x:f>-2*O222/Inputs!$C$13</x:f>
        <x:v>-422.9485513214968</x:v>
      </x:c>
      <x:c r="Q222" s="48" t="n">
        <x:f>-2*O222/Inputs!$C$14</x:f>
        <x:v>-63.50578848671123</x:v>
      </x:c>
      <x:c r="R222" s="48" t="n">
        <x:f>F222-Inputs!$C$16/2</x:f>
        <x:v>2710.0951883624866</x:v>
      </x:c>
      <x:c r="S222" s="48" t="n">
        <x:f>F222+Inputs!$C$16/2</x:f>
        <x:v>2740.0951883624866</x:v>
      </x:c>
      <x:c r="T222" s="48" t="n">
        <x:f>F222-Inputs!$C$17/2</x:f>
        <x:v>2575.0951883624866</x:v>
      </x:c>
      <x:c r="U222" s="48" t="n">
        <x:f>F222+Inputs!$C$17/2</x:f>
        <x:v>2875.0951883624866</x:v>
      </x:c>
      <x:c r="V222" s="48" t="n">
        <x:f>ABS(P222)</x:f>
        <x:v>422.9485513214968</x:v>
      </x:c>
      <x:c r="W222" s="48" t="n">
        <x:f>ABS(Q222)</x:f>
        <x:v>63.50578848671123</x:v>
      </x:c>
      <x:c r="X222" s="48" t="n">
        <x: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(0.45*SIN(2*PI()*(((A222)/Inputs!$C$49)+Inputs!$C$47*0.137))+0.35*COS(2*PI()*(((0)/Inputs!$C$50)+Inputs!$C$47*0.173))+0.20*SIN(2*PI()*(((A222)+(0))/(0.5*(Inputs!$C$49+Inputs!$C$50))+Inputs!$C$47*0.097)))+0.30*(2*((SIN(((A222)*12.9898+(0)*78.233+Inputs!$C$47*37.719))*43758.5453)-INT((SIN(((A222)*12.9898+(0)*78.233+Inputs!$C$47*37.719))*43758.5453)))-1)))</x:f>
        <x:v>8.17258837755962</x:v>
      </x:c>
      <x:c r="Y222" s="48" t="n">
        <x: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(0.45*SIN(2*PI()*(((A222)/Inputs!$C$49)+Inputs!$C$47*0.137))+0.35*COS(2*PI()*(((Inputs!$C$6)/Inputs!$C$50)+Inputs!$C$47*0.173))+0.20*SIN(2*PI()*(((A222)+(Inputs!$C$6))/(0.5*(Inputs!$C$49+Inputs!$C$50))+Inputs!$C$47*0.097)))+0.30*(2*((SIN(((A222)*12.9898+(Inputs!$C$6)*78.233+Inputs!$C$47*37.719))*43758.5453)-INT((SIN(((A222)*12.9898+(Inputs!$C$6)*78.233+Inputs!$C$47*37.719))*43758.5453)))-1)))</x:f>
        <x:v>115.23525161719914</x:v>
      </x:c>
      <x:c r="Z222" s="48" t="n">
        <x:f>B222-X222/1000</x:f>
        <x:v>402.76960518940024</x:v>
      </x:c>
      <x:c r="AA222" s="48" t="n">
        <x:f>SQRT((Inputs!$C$52+B222)^2+(Inputs!$C$52+Y222/1000)^2-2*(Inputs!$C$52+B222)*(Inputs!$C$52+Y222/1000)*COS(SQRT(A222^2+Inputs!$C$6^2)/Inputs!$C$52))</x:f>
        <x:v>407.5149397132863</x:v>
      </x:c>
      <x:c r="AB222" s="48" t="n">
        <x:f>(AA222-Z222)*1000</x:f>
        <x:v>4745.334523886072</x:v>
      </x:c>
      <x:c r="AC222" s="48" t="n">
        <x:f>AB222/Inputs!$C$12</x:f>
        <x:v>2665.918271846108</x:v>
      </x:c>
      <x:c r="AD222" s="48" t="n">
        <x:f>2*AB222/Inputs!$C$21*1000000</x:f>
        <x:v>31.65746433745222</x:v>
      </x:c>
      <x:c r="AE222" s="48" t="n">
        <x:f>DEGREES(ATAN(H222/(B222-Y222/1000)))</x:f>
        <x:v>7.903860635188158</x:v>
      </x:c>
      <x:c r="AF222" s="48" t="n">
        <x:f>DEGREES((2*PI()/Inputs!$C$13)*Inputs!$C$15*SIN(RADIANS(AE222)))</x:f>
        <x:v>49.504063334552136</x:v>
      </x:c>
      <x:c r="AG222" s="48" t="n">
        <x:f>(Z222/AA222)^4</x:f>
        <x:v>0.9542290148978625</x:v>
      </x:c>
      <x:c r="AH222" s="48" t="n">
        <x:f>10*LOG10(AG222)</x:f>
        <x:v>-0.20347382140480302</x:v>
      </x:c>
      <x:c r="AI222" s="48" t="n">
        <x:f>AC222-F222</x:f>
        <x:v>-59.1769165163787</x:v>
      </x:c>
      <x:c r="AJ222" s="48" t="n">
        <x:f>AD222-G222</x:f>
        <x:v>-0.7027188882727309</x:v>
      </x:c>
      <x:c r="AK222" s="48" t="n">
        <x:f>Y222-X222</x:f>
        <x:v>107.06266323963952</x:v>
      </x:c>
      <x:c r="AL222" s="48" t="n">
        <x:f>1000*(AA223-AA221)/(A223-A221)*Inputs!$C$11</x:f>
        <x:v>974.2068138866671</x:v>
      </x:c>
      <x:c r="AM222" s="48" t="n">
        <x:f>-2*AL222/Inputs!$C$13</x:f>
        <x:v>-389.68272555466683</x:v>
      </x:c>
      <x:c r="AN222" s="48" t="n">
        <x:f>-2*AL222/Inputs!$C$14</x:f>
        <x:v>-58.51091975295298</x:v>
      </x:c>
      <x:c r="AO222" s="48" t="n">
        <x:f>ABS(AM222)</x:f>
        <x:v>389.68272555466683</x:v>
      </x:c>
      <x:c r="AP222" s="48" t="n">
        <x:f>ABS(AN222)</x:f>
        <x:v>58.51091975295298</x:v>
      </x:c>
      <x:c r="AQ222" s="48" t="n">
        <x:f>IF(OR(Inputs!$C$27=TRUE,Inputs!$C$27="TRUE",Inputs!$C$27=1),Inputs!$C$46/Inputs!$C$12,0)</x:f>
        <x:v>42.13483146067416</x:v>
      </x:c>
      <x:c r="AR222" s="48" t="n">
        <x:f>AC222-AQ222</x:f>
        <x:v>2623.7834403854336</x:v>
      </x:c>
      <x:c r="AS222" s="48" t="n">
        <x:f>AC222+AQ222</x:f>
        <x:v>2708.0531033067823</x:v>
      </x:c>
    </x:row>
    <x:row r="223">
      <x:c r="A223" s="48" t="n">
        <x:f>Inputs!$C$7+221*(Inputs!$C$8-Inputs!$C$7)/240</x:f>
        <x:v>50.5</x:v>
      </x:c>
      <x:c r="B223" s="48" t="n">
        <x:f>Inputs!$C$5+Inputs!$C$9*(A223/Inputs!$C$10)^2</x:f>
        <x:v>402.8336111111111</x:v>
      </x:c>
      <x:c r="C223" s="48" t="n">
        <x:f>B223</x:f>
        <x:v>402.8336111111111</x:v>
      </x:c>
      <x:c r="D223" s="48" t="n">
        <x:f>SQRT((Inputs!$C$52+B223)^2+Inputs!$C$52^2-2*(Inputs!$C$52+B223)*Inputs!$C$52*COS(SQRT(A223^2+Inputs!$C$6^2)/Inputs!$C$52))</x:f>
        <x:v>407.7612639013181</x:v>
      </x:c>
      <x:c r="E223" s="48" t="n">
        <x:f>(D223-C223)*1000</x:f>
        <x:v>4927.652790206992</x:v>
      </x:c>
      <x:c r="F223" s="48" t="n">
        <x:f>E223/Inputs!$C$12</x:f>
        <x:v>2768.3442641612314</x:v>
      </x:c>
      <x:c r="G223" s="48" t="n">
        <x:f>2*E223/Inputs!$C$21*1000000</x:f>
        <x:v>32.873760888320895</x:v>
      </x:c>
      <x:c r="H223" s="48" t="n">
        <x:f>SQRT(A223^2+Inputs!$C$6^2)</x:f>
        <x:v>56.349356695529366</x:v>
      </x:c>
      <x:c r="I223" s="48" t="n">
        <x:f>DEGREES(ATAN(H223/B223))</x:f>
        <x:v>7.9630052297803156</x:v>
      </x:c>
      <x:c r="J223" s="48" t="n">
        <x:f>DEGREES((2*PI()/Inputs!$C$13)*Inputs!$C$15*SIN(RADIANS(I223)))</x:f>
        <x:v>49.87212305974802</x:v>
      </x:c>
      <x:c r="K223" s="48" t="n">
        <x:f>(C223/D223)^4</x:f>
        <x:v>0.9525305886301312</x:v>
      </x:c>
      <x:c r="L223" s="48" t="n">
        <x:f>10*LOG10(K223)</x:f>
        <x:v>-0.211210689227154</x:v>
      </x:c>
      <x:c r="M223" s="48" t="n">
        <x:f>2*(Inputs!$C$9/(Inputs!$C$10^2))*A223</x:f>
        <x:v>0.11222222222222222</x:v>
      </x:c>
      <x:c r="N223" s="48" t="n">
        <x:f>M223*Inputs!$C$11</x:f>
        <x:v>0.4488888888888889</x:v>
      </x:c>
      <x:c r="O223" s="48" t="n">
        <x:f>1000*(D224-D222)/(A224-A222)*Inputs!$C$11</x:f>
        <x:v>1067.691997902557</x:v>
      </x:c>
      <x:c r="P223" s="48" t="n">
        <x:f>-2*O223/Inputs!$C$13</x:f>
        <x:v>-427.0767991610228</x:v>
      </x:c>
      <x:c r="Q223" s="48" t="n">
        <x:f>-2*O223/Inputs!$C$14</x:f>
        <x:v>-64.1256455196731</x:v>
      </x:c>
      <x:c r="R223" s="48" t="n">
        <x:f>F223-Inputs!$C$16/2</x:f>
        <x:v>2753.3442641612314</x:v>
      </x:c>
      <x:c r="S223" s="48" t="n">
        <x:f>F223+Inputs!$C$16/2</x:f>
        <x:v>2783.3442641612314</x:v>
      </x:c>
      <x:c r="T223" s="48" t="n">
        <x:f>F223-Inputs!$C$17/2</x:f>
        <x:v>2618.3442641612314</x:v>
      </x:c>
      <x:c r="U223" s="48" t="n">
        <x:f>F223+Inputs!$C$17/2</x:f>
        <x:v>2918.3442641612314</x:v>
      </x:c>
      <x:c r="V223" s="48" t="n">
        <x:f>ABS(P223)</x:f>
        <x:v>427.0767991610228</x:v>
      </x:c>
      <x:c r="W223" s="48" t="n">
        <x:f>ABS(Q223)</x:f>
        <x:v>64.1256455196731</x:v>
      </x:c>
      <x:c r="X223" s="48" t="n">
        <x: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(0.45*SIN(2*PI()*(((A223)/Inputs!$C$49)+Inputs!$C$47*0.137))+0.35*COS(2*PI()*(((0)/Inputs!$C$50)+Inputs!$C$47*0.173))+0.20*SIN(2*PI()*(((A223)+(0))/(0.5*(Inputs!$C$49+Inputs!$C$50))+Inputs!$C$47*0.097)))+0.30*(2*((SIN(((A223)*12.9898+(0)*78.233+Inputs!$C$47*37.719))*43758.5453)-INT((SIN(((A223)*12.9898+(0)*78.233+Inputs!$C$47*37.719))*43758.5453)))-1)))</x:f>
        <x:v>7.175411887622014</x:v>
      </x:c>
      <x:c r="Y223" s="48" t="n">
        <x: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(0.45*SIN(2*PI()*(((A223)/Inputs!$C$49)+Inputs!$C$47*0.137))+0.35*COS(2*PI()*(((Inputs!$C$6)/Inputs!$C$50)+Inputs!$C$47*0.173))+0.20*SIN(2*PI()*(((A223)+(Inputs!$C$6))/(0.5*(Inputs!$C$49+Inputs!$C$50))+Inputs!$C$47*0.097)))+0.30*(2*((SIN(((A223)*12.9898+(Inputs!$C$6)*78.233+Inputs!$C$47*37.719))*43758.5453)-INT((SIN(((A223)*12.9898+(Inputs!$C$6)*78.233+Inputs!$C$47*37.719))*43758.5453)))-1)))</x:f>
        <x:v>136.98620076238512</x:v>
      </x:c>
      <x:c r="Z223" s="48" t="n">
        <x:f>B223-X223/1000</x:f>
        <x:v>402.8264356992235</x:v>
      </x:c>
      <x:c r="AA223" s="48" t="n">
        <x:f>SQRT((Inputs!$C$52+B223)^2+(Inputs!$C$52+Y223/1000)^2-2*(Inputs!$C$52+B223)*(Inputs!$C$52+Y223/1000)*COS(SQRT(A223^2+Inputs!$C$6^2)/Inputs!$C$52))</x:f>
        <x:v>407.62636369692194</x:v>
      </x:c>
      <x:c r="AB223" s="48" t="n">
        <x:f>(AA223-Z223)*1000</x:f>
        <x:v>4799.927997698433</x:v>
      </x:c>
      <x:c r="AC223" s="48" t="n">
        <x:f>AB223/Inputs!$C$12</x:f>
        <x:v>2696.5887627519282</x:v>
      </x:c>
      <x:c r="AD223" s="48" t="n">
        <x:f>2*AB223/Inputs!$C$21*1000000</x:f>
        <x:v>32.02167279137111</x:v>
      </x:c>
      <x:c r="AE223" s="48" t="n">
        <x:f>DEGREES(ATAN(H223/(B223-Y223/1000)))</x:f>
        <x:v>7.965679258557915</x:v>
      </x:c>
      <x:c r="AF223" s="48" t="n">
        <x:f>DEGREES((2*PI()/Inputs!$C$13)*Inputs!$C$15*SIN(RADIANS(AE223)))</x:f>
        <x:v>49.88876241983588</x:v>
      </x:c>
      <x:c r="AG223" s="48" t="n">
        <x:f>(Z223/AA223)^4</x:f>
        <x:v>0.9537241844455595</x:v>
      </x:c>
      <x:c r="AH223" s="48" t="n">
        <x:f>10*LOG10(AG223)</x:f>
        <x:v>-0.205772044284942</x:v>
      </x:c>
      <x:c r="AI223" s="48" t="n">
        <x:f>AC223-F223</x:f>
        <x:v>-71.75550140930318</x:v>
      </x:c>
      <x:c r="AJ223" s="48" t="n">
        <x:f>AD223-G223</x:f>
        <x:v>-0.8520880969497853</x:v>
      </x:c>
      <x:c r="AK223" s="48" t="n">
        <x:f>Y223-X223</x:f>
        <x:v>129.81078887476312</x:v>
      </x:c>
      <x:c r="AL223" s="48" t="n">
        <x:f>1000*(AA224-AA222)/(A224-A222)*Inputs!$C$11</x:f>
        <x:v>981.8696016061494</x:v>
      </x:c>
      <x:c r="AM223" s="48" t="n">
        <x:f>-2*AL223/Inputs!$C$13</x:f>
        <x:v>-392.7478406424598</x:v>
      </x:c>
      <x:c r="AN223" s="48" t="n">
        <x:f>-2*AL223/Inputs!$C$14</x:f>
        <x:v>-58.971147243612585</x:v>
      </x:c>
      <x:c r="AO223" s="48" t="n">
        <x:f>ABS(AM223)</x:f>
        <x:v>392.7478406424598</x:v>
      </x:c>
      <x:c r="AP223" s="48" t="n">
        <x:f>ABS(AN223)</x:f>
        <x:v>58.971147243612585</x:v>
      </x:c>
      <x:c r="AQ223" s="48" t="n">
        <x:f>IF(OR(Inputs!$C$27=TRUE,Inputs!$C$27="TRUE",Inputs!$C$27=1),Inputs!$C$46/Inputs!$C$12,0)</x:f>
        <x:v>42.13483146067416</x:v>
      </x:c>
      <x:c r="AR223" s="48" t="n">
        <x:f>AC223-AQ223</x:f>
        <x:v>2654.453931291254</x:v>
      </x:c>
      <x:c r="AS223" s="48" t="n">
        <x:f>AC223+AQ223</x:f>
        <x:v>2738.7235942126026</x:v>
      </x:c>
    </x:row>
    <x:row r="224">
      <x:c r="A224" s="48" t="n">
        <x:f>Inputs!$C$7+222*(Inputs!$C$8-Inputs!$C$7)/240</x:f>
        <x:v>51</x:v>
      </x:c>
      <x:c r="B224" s="48" t="n">
        <x:f>Inputs!$C$5+Inputs!$C$9*(A224/Inputs!$C$10)^2</x:f>
        <x:v>402.89</x:v>
      </x:c>
      <x:c r="C224" s="48" t="n">
        <x:f>B224</x:f>
        <x:v>402.89</x:v>
      </x:c>
      <x:c r="D224" s="48" t="n">
        <x:f>SQRT((Inputs!$C$52+B224)^2+Inputs!$C$52^2-2*(Inputs!$C$52+B224)*Inputs!$C$52*COS(SQRT(A224^2+Inputs!$C$6^2)/Inputs!$C$52))</x:f>
        <x:v>407.89537021253864</x:v>
      </x:c>
      <x:c r="E224" s="48" t="n">
        <x:f>(D224-C224)*1000</x:f>
        <x:v>5005.370212538651</x:v>
      </x:c>
      <x:c r="F224" s="48" t="n">
        <x:f>E224/Inputs!$C$12</x:f>
        <x:v>2812.005737381264</x:v>
      </x:c>
      <x:c r="G224" s="48" t="n">
        <x:f>2*E224/Inputs!$C$21*1000000</x:f>
        <x:v>33.39223572154474</x:v>
      </x:c>
      <x:c r="H224" s="48" t="n">
        <x:f>SQRT(A224^2+Inputs!$C$6^2)</x:f>
        <x:v>56.79788728465171</x:v>
      </x:c>
      <x:c r="I224" s="48" t="n">
        <x:f>DEGREES(ATAN(H224/B224))</x:f>
        <x:v>8.024458026468219</x:v>
      </x:c>
      <x:c r="J224" s="48" t="n">
        <x:f>DEGREES((2*PI()/Inputs!$C$13)*Inputs!$C$15*SIN(RADIANS(I224)))</x:f>
        <x:v>50.25449054086581</x:v>
      </x:c>
      <x:c r="K224" s="48" t="n">
        <x:f>(C224/D224)^4</x:f>
        <x:v>0.9518112825121221</x:v>
      </x:c>
      <x:c r="L224" s="48" t="n">
        <x:f>10*LOG10(K224)</x:f>
        <x:v>-0.214491514980564</x:v>
      </x:c>
      <x:c r="M224" s="48" t="n">
        <x:f>2*(Inputs!$C$9/(Inputs!$C$10^2))*A224</x:f>
        <x:v>0.11333333333333333</x:v>
      </x:c>
      <x:c r="N224" s="48" t="n">
        <x:f>M224*Inputs!$C$11</x:f>
        <x:v>0.4533333333333333</x:v>
      </x:c>
      <x:c r="O224" s="48" t="n">
        <x:f>1000*(D225-D223)/(A225-A223)*Inputs!$C$11</x:f>
        <x:v>1078.0053156152007</x:v>
      </x:c>
      <x:c r="P224" s="48" t="n">
        <x:f>-2*O224/Inputs!$C$13</x:f>
        <x:v>-431.2021262460803</x:v>
      </x:c>
      <x:c r="Q224" s="48" t="n">
        <x:f>-2*O224/Inputs!$C$14</x:f>
        <x:v>-64.74506400091296</x:v>
      </x:c>
      <x:c r="R224" s="48" t="n">
        <x:f>F224-Inputs!$C$16/2</x:f>
        <x:v>2797.005737381264</x:v>
      </x:c>
      <x:c r="S224" s="48" t="n">
        <x:f>F224+Inputs!$C$16/2</x:f>
        <x:v>2827.005737381264</x:v>
      </x:c>
      <x:c r="T224" s="48" t="n">
        <x:f>F224-Inputs!$C$17/2</x:f>
        <x:v>2662.005737381264</x:v>
      </x:c>
      <x:c r="U224" s="48" t="n">
        <x:f>F224+Inputs!$C$17/2</x:f>
        <x:v>2962.005737381264</x:v>
      </x:c>
      <x:c r="V224" s="48" t="n">
        <x:f>ABS(P224)</x:f>
        <x:v>431.2021262460803</x:v>
      </x:c>
      <x:c r="W224" s="48" t="n">
        <x:f>ABS(Q224)</x:f>
        <x:v>64.74506400091296</x:v>
      </x:c>
      <x:c r="X224" s="48" t="n">
        <x: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(0.45*SIN(2*PI()*(((A224)/Inputs!$C$49)+Inputs!$C$47*0.137))+0.35*COS(2*PI()*(((0)/Inputs!$C$50)+Inputs!$C$47*0.173))+0.20*SIN(2*PI()*(((A224)+(0))/(0.5*(Inputs!$C$49+Inputs!$C$50))+Inputs!$C$47*0.097)))+0.30*(2*((SIN(((A224)*12.9898+(0)*78.233+Inputs!$C$47*37.719))*43758.5453)-INT((SIN(((A224)*12.9898+(0)*78.233+Inputs!$C$47*37.719))*43758.5453)))-1)))</x:f>
        <x:v>11.525237738664625</x:v>
      </x:c>
      <x:c r="Y224" s="48" t="n">
        <x: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(0.45*SIN(2*PI()*(((A224)/Inputs!$C$49)+Inputs!$C$47*0.137))+0.35*COS(2*PI()*(((Inputs!$C$6)/Inputs!$C$50)+Inputs!$C$47*0.173))+0.20*SIN(2*PI()*(((A224)+(Inputs!$C$6))/(0.5*(Inputs!$C$49+Inputs!$C$50))+Inputs!$C$47*0.097)))+0.30*(2*((SIN(((A224)*12.9898+(Inputs!$C$6)*78.233+Inputs!$C$47*37.719))*43758.5453)-INT((SIN(((A224)*12.9898+(Inputs!$C$6)*78.233+Inputs!$C$47*37.719))*43758.5453)))-1)))</x:f>
        <x:v>137.08289632779307</x:v>
      </x:c>
      <x:c r="Z224" s="48" t="n">
        <x:f>B224-X224/1000</x:f>
        <x:v>402.8784747622613</x:v>
      </x:c>
      <x:c r="AA224" s="48" t="n">
        <x:f>SQRT((Inputs!$C$52+B224)^2+(Inputs!$C$52+Y224/1000)^2-2*(Inputs!$C$52+B224)*(Inputs!$C$52+Y224/1000)*COS(SQRT(A224^2+Inputs!$C$6^2)/Inputs!$C$52))</x:f>
        <x:v>407.76040711368785</x:v>
      </x:c>
      <x:c r="AB224" s="48" t="n">
        <x:f>(AA224-Z224)*1000</x:f>
        <x:v>4881.932351426542</x:v>
      </x:c>
      <x:c r="AC224" s="48" t="n">
        <x:f>AB224/Inputs!$C$12</x:f>
        <x:v>2742.6586243969336</x:v>
      </x:c>
      <x:c r="AD224" s="48" t="n">
        <x:f>2*AB224/Inputs!$C$21*1000000</x:f>
        <x:v>32.568746952443625</x:v>
      </x:c>
      <x:c r="AE224" s="48" t="n">
        <x:f>DEGREES(ATAN(H224/(B224-Y224/1000)))</x:f>
        <x:v>8.027153675721486</x:v>
      </x:c>
      <x:c r="AF224" s="48" t="n">
        <x:f>DEGREES((2*PI()/Inputs!$C$13)*Inputs!$C$15*SIN(RADIANS(AE224)))</x:f>
        <x:v>50.271261908976534</x:v>
      </x:c>
      <x:c r="AG224" s="48" t="n">
        <x:f>(Z224/AA224)^4</x:f>
        <x:v>0.9529630029641669</x:v>
      </x:c>
      <x:c r="AH224" s="48" t="n">
        <x:f>10*LOG10(AG224)</x:f>
        <x:v>-0.209239597188643</x:v>
      </x:c>
      <x:c r="AI224" s="48" t="n">
        <x:f>AC224-F224</x:f>
        <x:v>-69.34711298433058</x:v>
      </x:c>
      <x:c r="AJ224" s="48" t="n">
        <x:f>AD224-G224</x:f>
        <x:v>-0.8234887691011181</x:v>
      </x:c>
      <x:c r="AK224" s="48" t="n">
        <x:f>Y224-X224</x:f>
        <x:v>125.55765858912844</x:v>
      </x:c>
      <x:c r="AL224" s="48" t="n">
        <x:f>1000*(AA225-AA223)/(A225-A223)*Inputs!$C$11</x:f>
        <x:v>989.1584415254329</x:v>
      </x:c>
      <x:c r="AM224" s="48" t="n">
        <x:f>-2*AL224/Inputs!$C$13</x:f>
        <x:v>-395.66337661017315</x:v>
      </x:c>
      <x:c r="AN224" s="48" t="n">
        <x:f>-2*AL224/Inputs!$C$14</x:f>
        <x:v>-59.40891540693291</x:v>
      </x:c>
      <x:c r="AO224" s="48" t="n">
        <x:f>ABS(AM224)</x:f>
        <x:v>395.66337661017315</x:v>
      </x:c>
      <x:c r="AP224" s="48" t="n">
        <x:f>ABS(AN224)</x:f>
        <x:v>59.40891540693291</x:v>
      </x:c>
      <x:c r="AQ224" s="48" t="n">
        <x:f>IF(OR(Inputs!$C$27=TRUE,Inputs!$C$27="TRUE",Inputs!$C$27=1),Inputs!$C$46/Inputs!$C$12,0)</x:f>
        <x:v>42.13483146067416</x:v>
      </x:c>
      <x:c r="AR224" s="48" t="n">
        <x:f>AC224-AQ224</x:f>
        <x:v>2700.5237929362593</x:v>
      </x:c>
      <x:c r="AS224" s="48" t="n">
        <x:f>AC224+AQ224</x:f>
        <x:v>2784.793455857608</x:v>
      </x:c>
    </x:row>
    <x:row r="225">
      <x:c r="A225" s="48" t="n">
        <x:f>Inputs!$C$7+223*(Inputs!$C$8-Inputs!$C$7)/240</x:f>
        <x:v>51.5</x:v>
      </x:c>
      <x:c r="B225" s="48" t="n">
        <x:f>Inputs!$C$5+Inputs!$C$9*(A225/Inputs!$C$10)^2</x:f>
        <x:v>402.94694444444445</x:v>
      </x:c>
      <x:c r="C225" s="48" t="n">
        <x:f>B225</x:f>
        <x:v>402.94694444444445</x:v>
      </x:c>
      <x:c r="D225" s="48" t="n">
        <x:f>SQRT((Inputs!$C$52+B225)^2+Inputs!$C$52^2-2*(Inputs!$C$52+B225)*Inputs!$C$52*COS(SQRT(A225^2+Inputs!$C$6^2)/Inputs!$C$52))</x:f>
        <x:v>408.0307652302219</x:v>
      </x:c>
      <x:c r="E225" s="48" t="n">
        <x:f>(D225-C225)*1000</x:f>
        <x:v>5083.820785777448</x:v>
      </x:c>
      <x:c r="F225" s="48" t="n">
        <x:f>E225/Inputs!$C$12</x:f>
        <x:v>2856.0790931333977</x:v>
      </x:c>
      <x:c r="G225" s="48" t="n">
        <x:f>2*E225/Inputs!$C$21*1000000</x:f>
        <x:v>33.91560161114826</x:v>
      </x:c>
      <x:c r="H225" s="48" t="n">
        <x:f>SQRT(A225^2+Inputs!$C$6^2)</x:f>
        <x:v>57.24727067729954</x:v>
      </x:c>
      <x:c r="I225" s="48" t="n">
        <x:f>DEGREES(ATAN(H225/B225))</x:f>
        <x:v>8.085982914919201</x:v>
      </x:c>
      <x:c r="J225" s="48" t="n">
        <x:f>DEGREES((2*PI()/Inputs!$C$13)*Inputs!$C$15*SIN(RADIANS(I225)))</x:f>
        <x:v>50.63724867326966</x:v>
      </x:c>
      <x:c r="K225" s="48" t="n">
        <x:f>(C225/D225)^4</x:f>
        <x:v>0.9510860859398544</x:v>
      </x:c>
      <x:c r="L225" s="48" t="n">
        <x:f>10*LOG10(K225)</x:f>
        <x:v>-0.21780171856905</x:v>
      </x:c>
      <x:c r="M225" s="48" t="n">
        <x:f>2*(Inputs!$C$9/(Inputs!$C$10^2))*A225</x:f>
        <x:v>0.11444444444444445</x:v>
      </x:c>
      <x:c r="N225" s="48" t="n">
        <x:f>M225*Inputs!$C$11</x:f>
        <x:v>0.4577777777777778</x:v>
      </x:c>
      <x:c r="O225" s="48" t="n">
        <x:f>1000*(D226-D224)/(A226-A224)*Inputs!$C$11</x:f>
        <x:v>1088.3112712756429</x:v>
      </x:c>
      <x:c r="P225" s="48" t="n">
        <x:f>-2*O225/Inputs!$C$13</x:f>
        <x:v>-435.32450851025715</x:v>
      </x:c>
      <x:c r="Q225" s="48" t="n">
        <x:f>-2*O225/Inputs!$C$14</x:f>
        <x:v>-65.36404031685544</x:v>
      </x:c>
      <x:c r="R225" s="48" t="n">
        <x:f>F225-Inputs!$C$16/2</x:f>
        <x:v>2841.0790931333977</x:v>
      </x:c>
      <x:c r="S225" s="48" t="n">
        <x:f>F225+Inputs!$C$16/2</x:f>
        <x:v>2871.0790931333977</x:v>
      </x:c>
      <x:c r="T225" s="48" t="n">
        <x:f>F225-Inputs!$C$17/2</x:f>
        <x:v>2706.0790931333977</x:v>
      </x:c>
      <x:c r="U225" s="48" t="n">
        <x:f>F225+Inputs!$C$17/2</x:f>
        <x:v>3006.0790931333977</x:v>
      </x:c>
      <x:c r="V225" s="48" t="n">
        <x:f>ABS(P225)</x:f>
        <x:v>435.32450851025715</x:v>
      </x:c>
      <x:c r="W225" s="48" t="n">
        <x:f>ABS(Q225)</x:f>
        <x:v>65.36404031685544</x:v>
      </x:c>
      <x:c r="X225" s="48" t="n">
        <x: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(0.45*SIN(2*PI()*(((A225)/Inputs!$C$49)+Inputs!$C$47*0.137))+0.35*COS(2*PI()*(((0)/Inputs!$C$50)+Inputs!$C$47*0.173))+0.20*SIN(2*PI()*(((A225)+(0))/(0.5*(Inputs!$C$49+Inputs!$C$50))+Inputs!$C$47*0.097)))+0.30*(2*((SIN(((A225)*12.9898+(0)*78.233+Inputs!$C$47*37.719))*43758.5453)-INT((SIN(((A225)*12.9898+(0)*78.233+Inputs!$C$47*37.719))*43758.5453)))-1)))</x:f>
        <x:v>-4.550946531934956</x:v>
      </x:c>
      <x:c r="Y225" s="48" t="n">
        <x: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(0.45*SIN(2*PI()*(((A225)/Inputs!$C$49)+Inputs!$C$47*0.137))+0.35*COS(2*PI()*(((Inputs!$C$6)/Inputs!$C$50)+Inputs!$C$47*0.173))+0.20*SIN(2*PI()*(((A225)+(Inputs!$C$6))/(0.5*(Inputs!$C$49+Inputs!$C$50))+Inputs!$C$47*0.097)))+0.30*(2*((SIN(((A225)*12.9898+(Inputs!$C$6)*78.233+Inputs!$C$47*37.719))*43758.5453)-INT((SIN(((A225)*12.9898+(Inputs!$C$6)*78.233+Inputs!$C$47*37.719))*43758.5453)))-1)))</x:f>
        <x:v>159.61831316527434</x:v>
      </x:c>
      <x:c r="Z225" s="48" t="n">
        <x:f>B225-X225/1000</x:f>
        <x:v>402.9514953909764</x:v>
      </x:c>
      <x:c r="AA225" s="48" t="n">
        <x:f>SQRT((Inputs!$C$52+B225)^2+(Inputs!$C$52+Y225/1000)^2-2*(Inputs!$C$52+B225)*(Inputs!$C$52+Y225/1000)*COS(SQRT(A225^2+Inputs!$C$6^2)/Inputs!$C$52))</x:f>
        <x:v>407.8736533073033</x:v>
      </x:c>
      <x:c r="AB225" s="48" t="n">
        <x:f>(AA225-Z225)*1000</x:f>
        <x:v>4922.15791632691</x:v>
      </x:c>
      <x:c r="AC225" s="48" t="n">
        <x:f>AB225/Inputs!$C$12</x:f>
        <x:v>2765.2572563634326</x:v>
      </x:c>
      <x:c r="AD225" s="48" t="n">
        <x:f>2*AB225/Inputs!$C$21*1000000</x:f>
        <x:v>32.83710303564014</x:v>
      </x:c>
      <x:c r="AE225" s="48" t="n">
        <x:f>DEGREES(ATAN(H225/(B225-Y225/1000)))</x:f>
        <x:v>8.089144860765073</x:v>
      </x:c>
      <x:c r="AF225" s="48" t="n">
        <x:f>DEGREES((2*PI()/Inputs!$C$13)*Inputs!$C$15*SIN(RADIANS(AE225)))</x:f>
        <x:v>50.656918171168584</x:v>
      </x:c>
      <x:c r="AG225" s="48" t="n">
        <x:f>(Z225/AA225)^4</x:f>
        <x:v>0.9525953907471376</x:v>
      </x:c>
      <x:c r="AH225" s="48" t="n">
        <x:f>10*LOG10(AG225)</x:f>
        <x:v>-0.210915242079332</x:v>
      </x:c>
      <x:c r="AI225" s="48" t="n">
        <x:f>AC225-F225</x:f>
        <x:v>-90.8218367699651</x:v>
      </x:c>
      <x:c r="AJ225" s="48" t="n">
        <x:f>AD225-G225</x:f>
        <x:v>-1.078498575508121</x:v>
      </x:c>
      <x:c r="AK225" s="48" t="n">
        <x:f>Y225-X225</x:f>
        <x:v>164.1692596972093</x:v>
      </x:c>
      <x:c r="AL225" s="48" t="n">
        <x:f>1000*(AA226-AA224)/(A226-A224)*Inputs!$C$11</x:f>
        <x:v>970.8404617647375</x:v>
      </x:c>
      <x:c r="AM225" s="48" t="n">
        <x:f>-2*AL225/Inputs!$C$13</x:f>
        <x:v>-388.336184705895</x:v>
      </x:c>
      <x:c r="AN225" s="48" t="n">
        <x:f>-2*AL225/Inputs!$C$14</x:f>
        <x:v>-58.308736442326584</x:v>
      </x:c>
      <x:c r="AO225" s="48" t="n">
        <x:f>ABS(AM225)</x:f>
        <x:v>388.336184705895</x:v>
      </x:c>
      <x:c r="AP225" s="48" t="n">
        <x:f>ABS(AN225)</x:f>
        <x:v>58.308736442326584</x:v>
      </x:c>
      <x:c r="AQ225" s="48" t="n">
        <x:f>IF(OR(Inputs!$C$27=TRUE,Inputs!$C$27="TRUE",Inputs!$C$27=1),Inputs!$C$46/Inputs!$C$12,0)</x:f>
        <x:v>42.13483146067416</x:v>
      </x:c>
      <x:c r="AR225" s="48" t="n">
        <x:f>AC225-AQ225</x:f>
        <x:v>2723.122424902758</x:v>
      </x:c>
      <x:c r="AS225" s="48" t="n">
        <x:f>AC225+AQ225</x:f>
        <x:v>2807.392087824107</x:v>
      </x:c>
    </x:row>
    <x:row r="226">
      <x:c r="A226" s="48" t="n">
        <x:f>Inputs!$C$7+224*(Inputs!$C$8-Inputs!$C$7)/240</x:f>
        <x:v>52</x:v>
      </x:c>
      <x:c r="B226" s="48" t="n">
        <x:f>Inputs!$C$5+Inputs!$C$9*(A226/Inputs!$C$10)^2</x:f>
        <x:v>403.00444444444446</x:v>
      </x:c>
      <x:c r="C226" s="48" t="n">
        <x:f>B226</x:f>
        <x:v>403.00444444444446</x:v>
      </x:c>
      <x:c r="D226" s="48" t="n">
        <x:f>SQRT((Inputs!$C$52+B226)^2+Inputs!$C$52^2-2*(Inputs!$C$52+B226)*Inputs!$C$52*COS(SQRT(A226^2+Inputs!$C$6^2)/Inputs!$C$52))</x:f>
        <x:v>408.16744803035755</x:v>
      </x:c>
      <x:c r="E226" s="48" t="n">
        <x:f>(D226-C226)*1000</x:f>
        <x:v>5163.0035859130885</x:v>
      </x:c>
      <x:c r="F226" s="48" t="n">
        <x:f>E226/Inputs!$C$12</x:f>
        <x:v>2900.5638123107237</x:v>
      </x:c>
      <x:c r="G226" s="48" t="n">
        <x:f>2*E226/Inputs!$C$21*1000000</x:f>
        <x:v>34.44385239279828</x:v>
      </x:c>
      <x:c r="H226" s="48" t="n">
        <x:f>SQRT(A226^2+Inputs!$C$6^2)</x:f>
        <x:v>57.697486947006624</x:v>
      </x:c>
      <x:c r="I226" s="48" t="n">
        <x:f>DEGREES(ATAN(H226/B226))</x:f>
        <x:v>8.147576610261819</x:v>
      </x:c>
      <x:c r="J226" s="48" t="n">
        <x:f>DEGREES((2*PI()/Inputs!$C$13)*Inputs!$C$15*SIN(RADIANS(I226)))</x:f>
        <x:v>51.02037638000933</x:v>
      </x:c>
      <x:c r="K226" s="48" t="n">
        <x:f>(C226/D226)^4</x:f>
        <x:v>0.950355031291467</x:v>
      </x:c>
      <x:c r="L226" s="48" t="n">
        <x:f>10*LOG10(K226)</x:f>
        <x:v>-0.221141217357954</x:v>
      </x:c>
      <x:c r="M226" s="48" t="n">
        <x:f>2*(Inputs!$C$9/(Inputs!$C$10^2))*A226</x:f>
        <x:v>0.11555555555555555</x:v>
      </x:c>
      <x:c r="N226" s="48" t="n">
        <x:f>M226*Inputs!$C$11</x:f>
        <x:v>0.4622222222222222</x:v>
      </x:c>
      <x:c r="O226" s="48" t="n">
        <x:f>1000*(D227-D225)/(A227-A225)*Inputs!$C$11</x:f>
        <x:v>1098.6098050404962</x:v>
      </x:c>
      <x:c r="P226" s="48" t="n">
        <x:f>-2*O226/Inputs!$C$13</x:f>
        <x:v>-439.4439220161985</x:v>
      </x:c>
      <x:c r="Q226" s="48" t="n">
        <x:f>-2*O226/Inputs!$C$14</x:f>
        <x:v>-65.98257087330308</x:v>
      </x:c>
      <x:c r="R226" s="48" t="n">
        <x:f>F226-Inputs!$C$16/2</x:f>
        <x:v>2885.5638123107237</x:v>
      </x:c>
      <x:c r="S226" s="48" t="n">
        <x:f>F226+Inputs!$C$16/2</x:f>
        <x:v>2915.5638123107237</x:v>
      </x:c>
      <x:c r="T226" s="48" t="n">
        <x:f>F226-Inputs!$C$17/2</x:f>
        <x:v>2750.5638123107237</x:v>
      </x:c>
      <x:c r="U226" s="48" t="n">
        <x:f>F226+Inputs!$C$17/2</x:f>
        <x:v>3050.5638123107237</x:v>
      </x:c>
      <x:c r="V226" s="48" t="n">
        <x:f>ABS(P226)</x:f>
        <x:v>439.4439220161985</x:v>
      </x:c>
      <x:c r="W226" s="48" t="n">
        <x:f>ABS(Q226)</x:f>
        <x:v>65.98257087330308</x:v>
      </x:c>
      <x:c r="X226" s="48" t="n">
        <x: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(0.45*SIN(2*PI()*(((A226)/Inputs!$C$49)+Inputs!$C$47*0.137))+0.35*COS(2*PI()*(((0)/Inputs!$C$50)+Inputs!$C$47*0.173))+0.20*SIN(2*PI()*(((A226)+(0))/(0.5*(Inputs!$C$49+Inputs!$C$50))+Inputs!$C$47*0.097)))+0.30*(2*((SIN(((A226)*12.9898+(0)*78.233+Inputs!$C$47*37.719))*43758.5453)-INT((SIN(((A226)*12.9898+(0)*78.233+Inputs!$C$47*37.719))*43758.5453)))-1)))</x:f>
        <x:v>-7.85094902162108</x:v>
      </x:c>
      <x:c r="Y226" s="48" t="n">
        <x: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(0.45*SIN(2*PI()*(((A226)/Inputs!$C$49)+Inputs!$C$47*0.137))+0.35*COS(2*PI()*(((Inputs!$C$6)/Inputs!$C$50)+Inputs!$C$47*0.173))+0.20*SIN(2*PI()*(((A226)+(Inputs!$C$6))/(0.5*(Inputs!$C$49+Inputs!$C$50))+Inputs!$C$47*0.097)))+0.30*(2*((SIN(((A226)*12.9898+(Inputs!$C$6)*78.233+Inputs!$C$47*37.719))*43758.5453)-INT((SIN(((A226)*12.9898+(Inputs!$C$6)*78.233+Inputs!$C$47*37.719))*43758.5453)))-1)))</x:f>
        <x:v>166.9931224443313</x:v>
      </x:c>
      <x:c r="Z226" s="48" t="n">
        <x:f>B226-X226/1000</x:f>
        <x:v>403.0122953934661</x:v>
      </x:c>
      <x:c r="AA226" s="48" t="n">
        <x:f>SQRT((Inputs!$C$52+B226)^2+(Inputs!$C$52+Y226/1000)^2-2*(Inputs!$C$52+B226)*(Inputs!$C$52+Y226/1000)*COS(SQRT(A226^2+Inputs!$C$6^2)/Inputs!$C$52))</x:f>
        <x:v>408.00311722912903</x:v>
      </x:c>
      <x:c r="AB226" s="48" t="n">
        <x:f>(AA226-Z226)*1000</x:f>
        <x:v>4990.821835662928</x:v>
      </x:c>
      <x:c r="AC226" s="48" t="n">
        <x:f>AB226/Inputs!$C$12</x:f>
        <x:v>2803.832491945465</x:v>
      </x:c>
      <x:c r="AD226" s="48" t="n">
        <x:f>2*AB226/Inputs!$C$21*1000000</x:f>
        <x:v>33.29517939816169</x:v>
      </x:c>
      <x:c r="AE226" s="48" t="n">
        <x:f>DEGREES(ATAN(H226/(B226-Y226/1000)))</x:f>
        <x:v>8.1509087485299</x:v>
      </x:c>
      <x:c r="AF226" s="48" t="n">
        <x:f>DEGREES((2*PI()/Inputs!$C$13)*Inputs!$C$15*SIN(RADIANS(AE226)))</x:f>
        <x:v>51.0411014101024</x:v>
      </x:c>
      <x:c r="AG226" s="48" t="n">
        <x:f>(Z226/AA226)^4</x:f>
        <x:v>0.9519612260113659</x:v>
      </x:c>
      <x:c r="AH226" s="48" t="n">
        <x:f>10*LOG10(AG226)</x:f>
        <x:v>-0.21380740346869</x:v>
      </x:c>
      <x:c r="AI226" s="48" t="n">
        <x:f>AC226-F226</x:f>
        <x:v>-96.73132036525885</x:v>
      </x:c>
      <x:c r="AJ226" s="48" t="n">
        <x:f>AD226-G226</x:f>
        <x:v>-1.1486729946365841</x:v>
      </x:c>
      <x:c r="AK226" s="48" t="n">
        <x:f>Y226-X226</x:f>
        <x:v>174.8440714659524</x:v>
      </x:c>
      <x:c r="AL226" s="48" t="n">
        <x:f>1000*(AA227-AA225)/(A227-A225)*Inputs!$C$11</x:f>
        <x:v>1081.405382576122</x:v>
      </x:c>
      <x:c r="AM226" s="48" t="n">
        <x:f>-2*AL226/Inputs!$C$13</x:f>
        <x:v>-432.5621530304488</x:v>
      </x:c>
      <x:c r="AN226" s="48" t="n">
        <x:f>-2*AL226/Inputs!$C$14</x:f>
        <x:v>-64.94927222679412</x:v>
      </x:c>
      <x:c r="AO226" s="48" t="n">
        <x:f>ABS(AM226)</x:f>
        <x:v>432.5621530304488</x:v>
      </x:c>
      <x:c r="AP226" s="48" t="n">
        <x:f>ABS(AN226)</x:f>
        <x:v>64.94927222679412</x:v>
      </x:c>
      <x:c r="AQ226" s="48" t="n">
        <x:f>IF(OR(Inputs!$C$27=TRUE,Inputs!$C$27="TRUE",Inputs!$C$27=1),Inputs!$C$46/Inputs!$C$12,0)</x:f>
        <x:v>42.13483146067416</x:v>
      </x:c>
      <x:c r="AR226" s="48" t="n">
        <x:f>AC226-AQ226</x:f>
        <x:v>2761.6976604847905</x:v>
      </x:c>
      <x:c r="AS226" s="48" t="n">
        <x:f>AC226+AQ226</x:f>
        <x:v>2845.9673234061393</x:v>
      </x:c>
    </x:row>
    <x:row r="227">
      <x:c r="A227" s="48" t="n">
        <x:f>Inputs!$C$7+225*(Inputs!$C$8-Inputs!$C$7)/240</x:f>
        <x:v>52.5</x:v>
      </x:c>
      <x:c r="B227" s="48" t="n">
        <x:f>Inputs!$C$5+Inputs!$C$9*(A227/Inputs!$C$10)^2</x:f>
        <x:v>403.0625</x:v>
      </x:c>
      <x:c r="C227" s="48" t="n">
        <x:f>B227</x:f>
        <x:v>403.0625</x:v>
      </x:c>
      <x:c r="D227" s="48" t="n">
        <x:f>SQRT((Inputs!$C$52+B227)^2+Inputs!$C$52^2-2*(Inputs!$C$52+B227)*Inputs!$C$52*COS(SQRT(A227^2+Inputs!$C$6^2)/Inputs!$C$52))</x:f>
        <x:v>408.305417681482</x:v>
      </x:c>
      <x:c r="E227" s="48" t="n">
        <x:f>(D227-C227)*1000</x:f>
        <x:v>5242.917681482027</x:v>
      </x:c>
      <x:c r="F227" s="48" t="n">
        <x:f>E227/Inputs!$C$12</x:f>
        <x:v>2945.459371619116</x:v>
      </x:c>
      <x:c r="G227" s="48" t="n">
        <x:f>2*E227/Inputs!$C$21*1000000</x:f>
        <x:v>34.97698185243891</x:v>
      </x:c>
      <x:c r="H227" s="48" t="n">
        <x:f>SQRT(A227^2+Inputs!$C$6^2)</x:f>
        <x:v>58.148516748065035</x:v>
      </x:c>
      <x:c r="I227" s="48" t="n">
        <x:f>DEGREES(ATAN(H227/B227))</x:f>
        <x:v>8.2092359122646</x:v>
      </x:c>
      <x:c r="J227" s="48" t="n">
        <x:f>DEGREES((2*PI()/Inputs!$C$13)*Inputs!$C$15*SIN(RADIANS(I227)))</x:f>
        <x:v>51.403853119854354</x:v>
      </x:c>
      <x:c r="K227" s="48" t="n">
        <x:f>(C227/D227)^4</x:f>
        <x:v>0.9496181511325368</x:v>
      </x:c>
      <x:c r="L227" s="48" t="n">
        <x:f>10*LOG10(K227)</x:f>
        <x:v>-0.22450992809401601</x:v>
      </x:c>
      <x:c r="M227" s="48" t="n">
        <x:f>2*(Inputs!$C$9/(Inputs!$C$10^2))*A227</x:f>
        <x:v>0.11666666666666667</x:v>
      </x:c>
      <x:c r="N227" s="48" t="n">
        <x:f>M227*Inputs!$C$11</x:f>
        <x:v>0.4666666666666667</x:v>
      </x:c>
      <x:c r="O227" s="48" t="n">
        <x:f>1000*(D228-D226)/(A228-A226)*Inputs!$C$11</x:f>
        <x:v>1108.9008574281252</x:v>
      </x:c>
      <x:c r="P227" s="48" t="n">
        <x:f>-2*O227/Inputs!$C$13</x:f>
        <x:v>-443.56034297125007</x:v>
      </x:c>
      <x:c r="Q227" s="48" t="n">
        <x:f>-2*O227/Inputs!$C$14</x:f>
        <x:v>-66.6006520977853</x:v>
      </x:c>
      <x:c r="R227" s="48" t="n">
        <x:f>F227-Inputs!$C$16/2</x:f>
        <x:v>2930.459371619116</x:v>
      </x:c>
      <x:c r="S227" s="48" t="n">
        <x:f>F227+Inputs!$C$16/2</x:f>
        <x:v>2960.459371619116</x:v>
      </x:c>
      <x:c r="T227" s="48" t="n">
        <x:f>F227-Inputs!$C$17/2</x:f>
        <x:v>2795.459371619116</x:v>
      </x:c>
      <x:c r="U227" s="48" t="n">
        <x:f>F227+Inputs!$C$17/2</x:f>
        <x:v>3095.459371619116</x:v>
      </x:c>
      <x:c r="V227" s="48" t="n">
        <x:f>ABS(P227)</x:f>
        <x:v>443.56034297125007</x:v>
      </x:c>
      <x:c r="W227" s="48" t="n">
        <x:f>ABS(Q227)</x:f>
        <x:v>66.6006520977853</x:v>
      </x:c>
      <x:c r="X227" s="48" t="n">
        <x: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(0.45*SIN(2*PI()*(((A227)/Inputs!$C$49)+Inputs!$C$47*0.137))+0.35*COS(2*PI()*(((0)/Inputs!$C$50)+Inputs!$C$47*0.173))+0.20*SIN(2*PI()*(((A227)+(0))/(0.5*(Inputs!$C$49+Inputs!$C$50))+Inputs!$C$47*0.097)))+0.30*(2*((SIN(((A227)*12.9898+(0)*78.233+Inputs!$C$47*37.719))*43758.5453)-INT((SIN(((A227)*12.9898+(0)*78.233+Inputs!$C$47*37.719))*43758.5453)))-1)))</x:f>
        <x:v>6.588346931916092</x:v>
      </x:c>
      <x:c r="Y227" s="48" t="n">
        <x: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(0.45*SIN(2*PI()*(((A227)/Inputs!$C$49)+Inputs!$C$47*0.137))+0.35*COS(2*PI()*(((Inputs!$C$6)/Inputs!$C$50)+Inputs!$C$47*0.173))+0.20*SIN(2*PI()*(((A227)+(Inputs!$C$6))/(0.5*(Inputs!$C$49+Inputs!$C$50))+Inputs!$C$47*0.097)))+0.30*(2*((SIN(((A227)*12.9898+(Inputs!$C$6)*78.233+Inputs!$C$47*37.719))*43758.5453)-INT((SIN(((A227)*12.9898+(Inputs!$C$6)*78.233+Inputs!$C$47*37.719))*43758.5453)))-1)))</x:f>
        <x:v>164.06842387185546</x:v>
      </x:c>
      <x:c r="Z227" s="48" t="n">
        <x:f>B227-X227/1000</x:f>
        <x:v>403.0559116530681</x:v>
      </x:c>
      <x:c r="AA227" s="48" t="n">
        <x:f>SQRT((Inputs!$C$52+B227)^2+(Inputs!$C$52+Y227/1000)^2-2*(Inputs!$C$52+B227)*(Inputs!$C$52+Y227/1000)*COS(SQRT(A227^2+Inputs!$C$6^2)/Inputs!$C$52))</x:f>
        <x:v>408.14400465294733</x:v>
      </x:c>
      <x:c r="AB227" s="48" t="n">
        <x:f>(AA227-Z227)*1000</x:f>
        <x:v>5088.092999879223</x:v>
      </x:c>
      <x:c r="AC227" s="48" t="n">
        <x:f>AB227/Inputs!$C$12</x:f>
        <x:v>2858.4792134152935</x:v>
      </x:c>
      <x:c r="AD227" s="48" t="n">
        <x:f>2*AB227/Inputs!$C$21*1000000</x:f>
        <x:v>33.94410275577528</x:v>
      </x:c>
      <x:c r="AE227" s="48" t="n">
        <x:f>DEGREES(ATAN(H227/(B227-Y227/1000)))</x:f>
        <x:v>8.212533288889754</x:v>
      </x:c>
      <x:c r="AF227" s="48" t="n">
        <x:f>DEGREES((2*PI()/Inputs!$C$13)*Inputs!$C$15*SIN(RADIANS(AE227)))</x:f>
        <x:v>51.42435877014111</x:v>
      </x:c>
      <x:c r="AG227" s="48" t="n">
        <x:f>(Z227/AA227)^4</x:f>
        <x:v>0.9510590791493846</x:v>
      </x:c>
      <x:c r="AH227" s="48" t="n">
        <x:f>10*LOG10(AG227)</x:f>
        <x:v>-0.21792504143936497</x:v>
      </x:c>
      <x:c r="AI227" s="48" t="n">
        <x:f>AC227-F227</x:f>
        <x:v>-86.98015820382261</x:v>
      </x:c>
      <x:c r="AJ227" s="48" t="n">
        <x:f>AD227-G227</x:f>
        <x:v>-1.0328790966636276</x:v>
      </x:c>
      <x:c r="AK227" s="48" t="n">
        <x:f>Y227-X227</x:f>
        <x:v>157.48007693993935</x:v>
      </x:c>
      <x:c r="AL227" s="48" t="n">
        <x:f>1000*(AA228-AA226)/(A228-A226)*Inputs!$C$11</x:f>
        <x:v>1044.1918139285917</x:v>
      </x:c>
      <x:c r="AM227" s="48" t="n">
        <x:f>-2*AL227/Inputs!$C$13</x:f>
        <x:v>-417.6767255714367</x:v>
      </x:c>
      <x:c r="AN227" s="48" t="n">
        <x:f>-2*AL227/Inputs!$C$14</x:f>
        <x:v>-62.71422305877428</x:v>
      </x:c>
      <x:c r="AO227" s="48" t="n">
        <x:f>ABS(AM227)</x:f>
        <x:v>417.6767255714367</x:v>
      </x:c>
      <x:c r="AP227" s="48" t="n">
        <x:f>ABS(AN227)</x:f>
        <x:v>62.71422305877428</x:v>
      </x:c>
      <x:c r="AQ227" s="48" t="n">
        <x:f>IF(OR(Inputs!$C$27=TRUE,Inputs!$C$27="TRUE",Inputs!$C$27=1),Inputs!$C$46/Inputs!$C$12,0)</x:f>
        <x:v>42.13483146067416</x:v>
      </x:c>
      <x:c r="AR227" s="48" t="n">
        <x:f>AC227-AQ227</x:f>
        <x:v>2816.344381954619</x:v>
      </x:c>
      <x:c r="AS227" s="48" t="n">
        <x:f>AC227+AQ227</x:f>
        <x:v>2900.614044875968</x:v>
      </x:c>
    </x:row>
    <x:row r="228">
      <x:c r="A228" s="48" t="n">
        <x:f>Inputs!$C$7+226*(Inputs!$C$8-Inputs!$C$7)/240</x:f>
        <x:v>53</x:v>
      </x:c>
      <x:c r="B228" s="48" t="n">
        <x:f>Inputs!$C$5+Inputs!$C$9*(A228/Inputs!$C$10)^2</x:f>
        <x:v>403.12111111111113</x:v>
      </x:c>
      <x:c r="C228" s="48" t="n">
        <x:f>B228</x:f>
        <x:v>403.12111111111113</x:v>
      </x:c>
      <x:c r="D228" s="48" t="n">
        <x:f>SQRT((Inputs!$C$52+B228)^2+Inputs!$C$52^2-2*(Inputs!$C$52+B228)*Inputs!$C$52*COS(SQRT(A228^2+Inputs!$C$6^2)/Inputs!$C$52))</x:f>
        <x:v>408.4446732447146</x:v>
      </x:c>
      <x:c r="E228" s="48" t="n">
        <x:f>(D228-C228)*1000</x:f>
        <x:v>5323.562133603446</x:v>
      </x:c>
      <x:c r="F228" s="48" t="n">
        <x:f>E228/Inputs!$C$12</x:f>
        <x:v>2990.7652435974414</x:v>
      </x:c>
      <x:c r="G228" s="48" t="n">
        <x:f>2*E228/Inputs!$C$21*1000000</x:f>
        <x:v>35.51498372653154</x:v>
      </x:c>
      <x:c r="H228" s="48" t="n">
        <x:f>SQRT(A228^2+Inputs!$C$6^2)</x:f>
        <x:v>58.60034129593445</x:v>
      </x:c>
      <x:c r="I228" s="48" t="n">
        <x:f>DEGREES(ATAN(H228/B228))</x:f>
        <x:v>8.27095770254524</x:v>
      </x:c>
      <x:c r="J228" s="48" t="n">
        <x:f>DEGREES((2*PI()/Inputs!$C$13)*Inputs!$C$15*SIN(RADIANS(I228)))</x:f>
        <x:v>51.78765886979433</x:v>
      </x:c>
      <x:c r="K228" s="48" t="n">
        <x:f>(C228/D228)^4</x:f>
        <x:v>0.9488754782129414</x:v>
      </x:c>
      <x:c r="L228" s="48" t="n">
        <x:f>10*LOG10(K228)</x:f>
        <x:v>-0.22790776691008</x:v>
      </x:c>
      <x:c r="M228" s="48" t="n">
        <x:f>2*(Inputs!$C$9/(Inputs!$C$10^2))*A228</x:f>
        <x:v>0.11777777777777777</x:v>
      </x:c>
      <x:c r="N228" s="48" t="n">
        <x:f>M228*Inputs!$C$11</x:f>
        <x:v>0.4711111111111111</x:v>
      </x:c>
      <x:c r="O228" s="48" t="n">
        <x:f>1000*(D229-D227)/(A229-A227)*Inputs!$C$11</x:f>
        <x:v>1119.1843692326984</x:v>
      </x:c>
      <x:c r="P228" s="48" t="n">
        <x:f>-2*O228/Inputs!$C$13</x:f>
        <x:v>-447.67374769307935</x:v>
      </x:c>
      <x:c r="Q228" s="48" t="n">
        <x:f>-2*O228/Inputs!$C$14</x:f>
        <x:v>-67.2182804343963</x:v>
      </x:c>
      <x:c r="R228" s="48" t="n">
        <x:f>F228-Inputs!$C$16/2</x:f>
        <x:v>2975.7652435974414</x:v>
      </x:c>
      <x:c r="S228" s="48" t="n">
        <x:f>F228+Inputs!$C$16/2</x:f>
        <x:v>3005.7652435974414</x:v>
      </x:c>
      <x:c r="T228" s="48" t="n">
        <x:f>F228-Inputs!$C$17/2</x:f>
        <x:v>2840.7652435974414</x:v>
      </x:c>
      <x:c r="U228" s="48" t="n">
        <x:f>F228+Inputs!$C$17/2</x:f>
        <x:v>3140.7652435974414</x:v>
      </x:c>
      <x:c r="V228" s="48" t="n">
        <x:f>ABS(P228)</x:f>
        <x:v>447.67374769307935</x:v>
      </x:c>
      <x:c r="W228" s="48" t="n">
        <x:f>ABS(Q228)</x:f>
        <x:v>67.2182804343963</x:v>
      </x:c>
      <x:c r="X228" s="48" t="n">
        <x: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(0.45*SIN(2*PI()*(((A228)/Inputs!$C$49)+Inputs!$C$47*0.137))+0.35*COS(2*PI()*(((0)/Inputs!$C$50)+Inputs!$C$47*0.173))+0.20*SIN(2*PI()*(((A228)+(0))/(0.5*(Inputs!$C$49+Inputs!$C$50))+Inputs!$C$47*0.097)))+0.30*(2*((SIN(((A228)*12.9898+(0)*78.233+Inputs!$C$47*37.719))*43758.5453)-INT((SIN(((A228)*12.9898+(0)*78.233+Inputs!$C$47*37.719))*43758.5453)))-1)))</x:f>
        <x:v>4.508396540761183</x:v>
      </x:c>
      <x:c r="Y228" s="48" t="n">
        <x: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(0.45*SIN(2*PI()*(((A228)/Inputs!$C$49)+Inputs!$C$47*0.137))+0.35*COS(2*PI()*(((Inputs!$C$6)/Inputs!$C$50)+Inputs!$C$47*0.173))+0.20*SIN(2*PI()*(((A228)+(Inputs!$C$6))/(0.5*(Inputs!$C$49+Inputs!$C$50))+Inputs!$C$47*0.097)))+0.30*(2*((SIN(((A228)*12.9898+(Inputs!$C$6)*78.233+Inputs!$C$47*37.719))*43758.5453)-INT((SIN(((A228)*12.9898+(Inputs!$C$6)*78.233+Inputs!$C$47*37.719))*43758.5453)))-1)))</x:f>
        <x:v>183.5232809151917</x:v>
      </x:c>
      <x:c r="Z228" s="48" t="n">
        <x:f>B228-X228/1000</x:f>
        <x:v>403.1166027145704</x:v>
      </x:c>
      <x:c r="AA228" s="48" t="n">
        <x:f>SQRT((Inputs!$C$52+B228)^2+(Inputs!$C$52+Y228/1000)^2-2*(Inputs!$C$52+B228)*(Inputs!$C$52+Y228/1000)*COS(SQRT(A228^2+Inputs!$C$6^2)/Inputs!$C$52))</x:f>
        <x:v>408.2641651826112</x:v>
      </x:c>
      <x:c r="AB228" s="48" t="n">
        <x:f>(AA228-Z228)*1000</x:f>
        <x:v>5147.562468040804</x:v>
      </x:c>
      <x:c r="AC228" s="48" t="n">
        <x:f>AB228/Inputs!$C$12</x:f>
        <x:v>2891.8890269892154</x:v>
      </x:c>
      <x:c r="AD228" s="48" t="n">
        <x:f>2*AB228/Inputs!$C$21*1000000</x:f>
        <x:v>34.34084034255994</x:v>
      </x:c>
      <x:c r="AE228" s="48" t="n">
        <x:f>DEGREES(ATAN(H228/(B228-Y228/1000)))</x:f>
        <x:v>8.2746726688029</x:v>
      </x:c>
      <x:c r="AF228" s="48" t="n">
        <x:f>DEGREES((2*PI()/Inputs!$C$13)*Inputs!$C$15*SIN(RADIANS(AE228)))</x:f>
        <x:v>51.81075780016188</x:v>
      </x:c>
      <x:c r="AG228" s="48" t="n">
        <x:f>(Z228/AA228)^4</x:f>
        <x:v>0.9505121951763231</x:v>
      </x:c>
      <x:c r="AH228" s="48" t="n">
        <x:f>10*LOG10(AG228)</x:f>
        <x:v>-0.220423067166793</x:v>
      </x:c>
      <x:c r="AI228" s="48" t="n">
        <x:f>AC228-F228</x:f>
        <x:v>-98.87621660822606</x:v>
      </x:c>
      <x:c r="AJ228" s="48" t="n">
        <x:f>AD228-G228</x:f>
        <x:v>-1.1741433839715967</x:v>
      </x:c>
      <x:c r="AK228" s="48" t="n">
        <x:f>Y228-X228</x:f>
        <x:v>179.0148843744305</x:v>
      </x:c>
      <x:c r="AL228" s="48" t="n">
        <x:f>1000*(AA229-AA227)/(A229-A227)*Inputs!$C$11</x:f>
        <x:v>1052.7450629535906</x:v>
      </x:c>
      <x:c r="AM228" s="48" t="n">
        <x:f>-2*AL228/Inputs!$C$13</x:f>
        <x:v>-421.09802518143624</x:v>
      </x:c>
      <x:c r="AN228" s="48" t="n">
        <x:f>-2*AL228/Inputs!$C$14</x:f>
        <x:v>-63.227931708924366</x:v>
      </x:c>
      <x:c r="AO228" s="48" t="n">
        <x:f>ABS(AM228)</x:f>
        <x:v>421.09802518143624</x:v>
      </x:c>
      <x:c r="AP228" s="48" t="n">
        <x:f>ABS(AN228)</x:f>
        <x:v>63.227931708924366</x:v>
      </x:c>
      <x:c r="AQ228" s="48" t="n">
        <x:f>IF(OR(Inputs!$C$27=TRUE,Inputs!$C$27="TRUE",Inputs!$C$27=1),Inputs!$C$46/Inputs!$C$12,0)</x:f>
        <x:v>42.13483146067416</x:v>
      </x:c>
      <x:c r="AR228" s="48" t="n">
        <x:f>AC228-AQ228</x:f>
        <x:v>2849.754195528541</x:v>
      </x:c>
      <x:c r="AS228" s="48" t="n">
        <x:f>AC228+AQ228</x:f>
        <x:v>2934.0238584498898</x:v>
      </x:c>
    </x:row>
    <x:row r="229">
      <x:c r="A229" s="48" t="n">
        <x:f>Inputs!$C$7+227*(Inputs!$C$8-Inputs!$C$7)/240</x:f>
        <x:v>53.5</x:v>
      </x:c>
      <x:c r="B229" s="48" t="n">
        <x:f>Inputs!$C$5+Inputs!$C$9*(A229/Inputs!$C$10)^2</x:f>
        <x:v>403.1802777777778</x:v>
      </x:c>
      <x:c r="C229" s="48" t="n">
        <x:f>B229</x:f>
        <x:v>403.1802777777778</x:v>
      </x:c>
      <x:c r="D229" s="48" t="n">
        <x:f>SQRT((Inputs!$C$52+B229)^2+Inputs!$C$52^2-2*(Inputs!$C$52+B229)*Inputs!$C$52*COS(SQRT(A229^2+Inputs!$C$6^2)/Inputs!$C$52))</x:f>
        <x:v>408.5852137737902</x:v>
      </x:c>
      <x:c r="E229" s="48" t="n">
        <x:f>(D229-C229)*1000</x:f>
        <x:v>5404.935996012398</x:v>
      </x:c>
      <x:c r="F229" s="48" t="n">
        <x:f>E229/Inputs!$C$12</x:f>
        <x:v>3036.480896636179</x:v>
      </x:c>
      <x:c r="G229" s="48" t="n">
        <x:f>2*E229/Inputs!$C$21*1000000</x:f>
        <x:v>36.05785170227597</x:v>
      </x:c>
      <x:c r="H229" s="48" t="n">
        <x:f>SQRT(A229^2+Inputs!$C$6^2)</x:f>
        <x:v>59.052942348370756</x:v>
      </x:c>
      <x:c r="I229" s="48" t="n">
        <x:f>DEGREES(ATAN(H229/B229))</x:f>
        <x:v>8.33273894188251</x:v>
      </x:c>
      <x:c r="J229" s="48" t="n">
        <x:f>DEGREES((2*PI()/Inputs!$C$13)*Inputs!$C$15*SIN(RADIANS(I229)))</x:f>
        <x:v>52.17177410818362</x:v>
      </x:c>
      <x:c r="K229" s="48" t="n">
        <x:f>(C229/D229)^4</x:f>
        <x:v>0.9481270454637457</x:v>
      </x:c>
      <x:c r="L229" s="48" t="n">
        <x:f>10*LOG10(K229)</x:f>
        <x:v>-0.231334649329681</x:v>
      </x:c>
      <x:c r="M229" s="48" t="n">
        <x:f>2*(Inputs!$C$9/(Inputs!$C$10^2))*A229</x:f>
        <x:v>0.11888888888888889</x:v>
      </x:c>
      <x:c r="N229" s="48" t="n">
        <x:f>M229*Inputs!$C$11</x:f>
        <x:v>0.47555555555555556</x:v>
      </x:c>
      <x:c r="O229" s="48" t="n">
        <x:f>1000*(D230-D228)/(A230-A228)*Inputs!$C$11</x:f>
        <x:v>1129.4602816408315</x:v>
      </x:c>
      <x:c r="P229" s="48" t="n">
        <x:f>-2*O229/Inputs!$C$13</x:f>
        <x:v>-451.7841126563326</x:v>
      </x:c>
      <x:c r="Q229" s="48" t="n">
        <x:f>-2*O229/Inputs!$C$14</x:f>
        <x:v>-67.8354523508007</x:v>
      </x:c>
      <x:c r="R229" s="48" t="n">
        <x:f>F229-Inputs!$C$16/2</x:f>
        <x:v>3021.480896636179</x:v>
      </x:c>
      <x:c r="S229" s="48" t="n">
        <x:f>F229+Inputs!$C$16/2</x:f>
        <x:v>3051.480896636179</x:v>
      </x:c>
      <x:c r="T229" s="48" t="n">
        <x:f>F229-Inputs!$C$17/2</x:f>
        <x:v>2886.480896636179</x:v>
      </x:c>
      <x:c r="U229" s="48" t="n">
        <x:f>F229+Inputs!$C$17/2</x:f>
        <x:v>3186.480896636179</x:v>
      </x:c>
      <x:c r="V229" s="48" t="n">
        <x:f>ABS(P229)</x:f>
        <x:v>451.7841126563326</x:v>
      </x:c>
      <x:c r="W229" s="48" t="n">
        <x:f>ABS(Q229)</x:f>
        <x:v>67.8354523508007</x:v>
      </x:c>
      <x:c r="X229" s="48" t="n">
        <x: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(0.45*SIN(2*PI()*(((A229)/Inputs!$C$49)+Inputs!$C$47*0.137))+0.35*COS(2*PI()*(((0)/Inputs!$C$50)+Inputs!$C$47*0.173))+0.20*SIN(2*PI()*(((A229)+(0))/(0.5*(Inputs!$C$49+Inputs!$C$50))+Inputs!$C$47*0.097)))+0.30*(2*((SIN(((A229)*12.9898+(0)*78.233+Inputs!$C$47*37.719))*43758.5453)-INT((SIN(((A229)*12.9898+(0)*78.233+Inputs!$C$47*37.719))*43758.5453)))-1)))</x:f>
        <x:v>-0.1280560890739677</x:v>
      </x:c>
      <x:c r="Y229" s="48" t="n">
        <x: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(0.45*SIN(2*PI()*(((A229)/Inputs!$C$49)+Inputs!$C$47*0.137))+0.35*COS(2*PI()*(((Inputs!$C$6)/Inputs!$C$50)+Inputs!$C$47*0.173))+0.20*SIN(2*PI()*(((A229)+(Inputs!$C$6))/(0.5*(Inputs!$C$49+Inputs!$C$50))+Inputs!$C$47*0.097)))+0.30*(2*((SIN(((A229)*12.9898+(Inputs!$C$6)*78.233+Inputs!$C$47*37.719))*43758.5453)-INT((SIN(((A229)*12.9898+(Inputs!$C$6)*78.233+Inputs!$C$47*37.719))*43758.5453)))-1)))</x:f>
        <x:v>181.04186719105834</x:v>
      </x:c>
      <x:c r="Z229" s="48" t="n">
        <x:f>B229-X229/1000</x:f>
        <x:v>403.18040583386687</x:v>
      </x:c>
      <x:c r="AA229" s="48" t="n">
        <x:f>SQRT((Inputs!$C$52+B229)^2+(Inputs!$C$52+Y229/1000)^2-2*(Inputs!$C$52+B229)*(Inputs!$C$52+Y229/1000)*COS(SQRT(A229^2+Inputs!$C$6^2)/Inputs!$C$52))</x:f>
        <x:v>408.4071909186857</x:v>
      </x:c>
      <x:c r="AB229" s="48" t="n">
        <x:f>(AA229-Z229)*1000</x:f>
        <x:v>5226.785084818857</x:v>
      </x:c>
      <x:c r="AC229" s="48" t="n">
        <x:f>AB229/Inputs!$C$12</x:f>
        <x:v>2936.3961150667737</x:v>
      </x:c>
      <x:c r="AD229" s="48" t="n">
        <x:f>2*AB229/Inputs!$C$21*1000000</x:f>
        <x:v>34.869356752255975</x:v>
      </x:c>
      <x:c r="AE229" s="48" t="n">
        <x:f>DEGREES(ATAN(H229/(B229-Y229/1000)))</x:f>
        <x:v>8.33642971440627</x:v>
      </x:c>
      <x:c r="AF229" s="48" t="n">
        <x:f>DEGREES((2*PI()/Inputs!$C$13)*Inputs!$C$15*SIN(RADIANS(AE229)))</x:f>
        <x:v>52.194718996114005</x:v>
      </x:c>
      <x:c r="AG229" s="48" t="n">
        <x:f>(Z229/AA229)^4</x:f>
        <x:v>0.9497824705655055</x:v>
      </x:c>
      <x:c r="AH229" s="48" t="n">
        <x:f>10*LOG10(AG229)</x:f>
        <x:v>-0.223758501329482</x:v>
      </x:c>
      <x:c r="AI229" s="48" t="n">
        <x:f>AC229-F229</x:f>
        <x:v>-100.0847815694051</x:v>
      </x:c>
      <x:c r="AJ229" s="48" t="n">
        <x:f>AD229-G229</x:f>
        <x:v>-1.1884949500199937</x:v>
      </x:c>
      <x:c r="AK229" s="48" t="n">
        <x:f>Y229-X229</x:f>
        <x:v>181.1699232801323</x:v>
      </x:c>
      <x:c r="AL229" s="48" t="n">
        <x:f>1000*(AA230-AA228)/(A230-A228)*Inputs!$C$11</x:f>
        <x:v>1137.6148807951267</x:v>
      </x:c>
      <x:c r="AM229" s="48" t="n">
        <x:f>-2*AL229/Inputs!$C$13</x:f>
        <x:v>-455.0459523180507</x:v>
      </x:c>
      <x:c r="AN229" s="48" t="n">
        <x:f>-2*AL229/Inputs!$C$14</x:f>
        <x:v>-68.32521806577338</x:v>
      </x:c>
      <x:c r="AO229" s="48" t="n">
        <x:f>ABS(AM229)</x:f>
        <x:v>455.0459523180507</x:v>
      </x:c>
      <x:c r="AP229" s="48" t="n">
        <x:f>ABS(AN229)</x:f>
        <x:v>68.32521806577338</x:v>
      </x:c>
      <x:c r="AQ229" s="48" t="n">
        <x:f>IF(OR(Inputs!$C$27=TRUE,Inputs!$C$27="TRUE",Inputs!$C$27=1),Inputs!$C$46/Inputs!$C$12,0)</x:f>
        <x:v>42.13483146067416</x:v>
      </x:c>
      <x:c r="AR229" s="48" t="n">
        <x:f>AC229-AQ229</x:f>
        <x:v>2894.2612836060994</x:v>
      </x:c>
      <x:c r="AS229" s="48" t="n">
        <x:f>AC229+AQ229</x:f>
        <x:v>2978.530946527448</x:v>
      </x:c>
    </x:row>
    <x:row r="230">
      <x:c r="A230" s="48" t="n">
        <x:f>Inputs!$C$7+228*(Inputs!$C$8-Inputs!$C$7)/240</x:f>
        <x:v>54</x:v>
      </x:c>
      <x:c r="B230" s="48" t="n">
        <x:f>Inputs!$C$5+Inputs!$C$9*(A230/Inputs!$C$10)^2</x:f>
        <x:v>403.24</x:v>
      </x:c>
      <x:c r="C230" s="48" t="n">
        <x:f>B230</x:f>
        <x:v>403.24</x:v>
      </x:c>
      <x:c r="D230" s="48" t="n">
        <x:f>SQRT((Inputs!$C$52+B230)^2+Inputs!$C$52^2-2*(Inputs!$C$52+B230)*Inputs!$C$52*COS(SQRT(A230^2+Inputs!$C$6^2)/Inputs!$C$52))</x:f>
        <x:v>408.7270383151248</x:v>
      </x:c>
      <x:c r="E230" s="48" t="n">
        <x:f>(D230-C230)*1000</x:f>
        <x:v>5487.038315124778</x:v>
      </x:c>
      <x:c r="F230" s="48" t="n">
        <x:f>E230/Inputs!$C$12</x:f>
        <x:v>3082.60579501392</x:v>
      </x:c>
      <x:c r="G230" s="48" t="n">
        <x:f>2*E230/Inputs!$C$21*1000000</x:f>
        <x:v>36.60557941804378</x:v>
      </x:c>
      <x:c r="H230" s="48" t="n">
        <x:f>SQRT(A230^2+Inputs!$C$6^2)</x:f>
        <x:v>59.50630218724736</x:v>
      </x:c>
      <x:c r="I230" s="48" t="n">
        <x:f>DEGREES(ATAN(H230/B230))</x:f>
        <x:v>8.394576667627003</x:v>
      </x:c>
      <x:c r="J230" s="48" t="n">
        <x:f>DEGREES((2*PI()/Inputs!$C$13)*Inputs!$C$15*SIN(RADIANS(I230)))</x:f>
        <x:v>52.55617979850606</x:v>
      </x:c>
      <x:c r="K230" s="48" t="n">
        <x:f>(C230/D230)^4</x:f>
        <x:v>0.947372885993786</x:v>
      </x:c>
      <x:c r="L230" s="48" t="n">
        <x:f>10*LOG10(K230)</x:f>
        <x:v>-0.23479049027301602</x:v>
      </x:c>
      <x:c r="M230" s="48" t="n">
        <x:f>2*(Inputs!$C$9/(Inputs!$C$10^2))*A230</x:f>
        <x:v>0.12</x:v>
      </x:c>
      <x:c r="N230" s="48" t="n">
        <x:f>M230*Inputs!$C$11</x:f>
        <x:v>0.48</x:v>
      </x:c>
      <x:c r="O230" s="48" t="n">
        <x:f>1000*(D231-D229)/(A231-A229)*Inputs!$C$11</x:f>
        <x:v>1139.7285361831564</x:v>
      </x:c>
      <x:c r="P230" s="48" t="n">
        <x:f>-2*O230/Inputs!$C$13</x:f>
        <x:v>-455.89141447326256</x:v>
      </x:c>
      <x:c r="Q230" s="48" t="n">
        <x:f>-2*O230/Inputs!$C$14</x:f>
        <x:v>-68.45216433532471</x:v>
      </x:c>
      <x:c r="R230" s="48" t="n">
        <x:f>F230-Inputs!$C$16/2</x:f>
        <x:v>3067.60579501392</x:v>
      </x:c>
      <x:c r="S230" s="48" t="n">
        <x:f>F230+Inputs!$C$16/2</x:f>
        <x:v>3097.60579501392</x:v>
      </x:c>
      <x:c r="T230" s="48" t="n">
        <x:f>F230-Inputs!$C$17/2</x:f>
        <x:v>2932.60579501392</x:v>
      </x:c>
      <x:c r="U230" s="48" t="n">
        <x:f>F230+Inputs!$C$17/2</x:f>
        <x:v>3232.60579501392</x:v>
      </x:c>
      <x:c r="V230" s="48" t="n">
        <x:f>ABS(P230)</x:f>
        <x:v>455.89141447326256</x:v>
      </x:c>
      <x:c r="W230" s="48" t="n">
        <x:f>ABS(Q230)</x:f>
        <x:v>68.45216433532471</x:v>
      </x:c>
      <x:c r="X230" s="48" t="n">
        <x: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(0.45*SIN(2*PI()*(((A230)/Inputs!$C$49)+Inputs!$C$47*0.137))+0.35*COS(2*PI()*(((0)/Inputs!$C$50)+Inputs!$C$47*0.173))+0.20*SIN(2*PI()*(((A230)+(0))/(0.5*(Inputs!$C$49+Inputs!$C$50))+Inputs!$C$47*0.097)))+0.30*(2*((SIN(((A230)*12.9898+(0)*78.233+Inputs!$C$47*37.719))*43758.5453)-INT((SIN(((A230)*12.9898+(0)*78.233+Inputs!$C$47*37.719))*43758.5453)))-1)))</x:f>
        <x:v>-7.852837825142384</x:v>
      </x:c>
      <x:c r="Y230" s="48" t="n">
        <x: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(0.45*SIN(2*PI()*(((A230)/Inputs!$C$49)+Inputs!$C$47*0.137))+0.35*COS(2*PI()*(((Inputs!$C$6)/Inputs!$C$50)+Inputs!$C$47*0.173))+0.20*SIN(2*PI()*(((A230)+(Inputs!$C$6))/(0.5*(Inputs!$C$49+Inputs!$C$50))+Inputs!$C$47*0.097)))+0.30*(2*((SIN(((A230)*12.9898+(Inputs!$C$6)*78.233+Inputs!$C$47*37.719))*43758.5453)-INT((SIN(((A230)*12.9898+(Inputs!$C$6)*78.233+Inputs!$C$47*37.719))*43758.5453)))-1)))</x:f>
        <x:v>181.54184215615243</x:v>
      </x:c>
      <x:c r="Z230" s="48" t="n">
        <x:f>B230-X230/1000</x:f>
        <x:v>403.2478528378252</x:v>
      </x:c>
      <x:c r="AA230" s="48" t="n">
        <x:f>SQRT((Inputs!$C$52+B230)^2+(Inputs!$C$52+Y230/1000)^2-2*(Inputs!$C$52+B230)*(Inputs!$C$52+Y230/1000)*COS(SQRT(A230^2+Inputs!$C$6^2)/Inputs!$C$52))</x:f>
        <x:v>408.54856890280996</x:v>
      </x:c>
      <x:c r="AB230" s="48" t="n">
        <x:f>(AA230-Z230)*1000</x:f>
        <x:v>5300.716064984783</x:v>
      </x:c>
      <x:c r="AC230" s="48" t="n">
        <x:f>AB230/Inputs!$C$12</x:f>
        <x:v>2977.9303735869566</x:v>
      </x:c>
      <x:c r="AD230" s="48" t="n">
        <x:f>2*AB230/Inputs!$C$21*1000000</x:f>
        <x:v>35.36257116237916</x:v>
      </x:c>
      <x:c r="AE230" s="48" t="n">
        <x:f>DEGREES(ATAN(H230/(B230-Y230/1000)))</x:f>
        <x:v>8.398303761936601</x:v>
      </x:c>
      <x:c r="AF230" s="48" t="n">
        <x:f>DEGREES((2*PI()/Inputs!$C$13)*Inputs!$C$15*SIN(RADIANS(AE230)))</x:f>
        <x:v>52.579346814440605</x:v>
      </x:c>
      <x:c r="AG230" s="48" t="n">
        <x:f>(Z230/AA230)^4</x:f>
        <x:v>0.9491032928300157</x:v>
      </x:c>
      <x:c r="AH230" s="48" t="n">
        <x:f>10*LOG10(AG230)</x:f>
        <x:v>-0.226865198541277</x:v>
      </x:c>
      <x:c r="AI230" s="48" t="n">
        <x:f>AC230-F230</x:f>
        <x:v>-104.67542142696357</x:v>
      </x:c>
      <x:c r="AJ230" s="48" t="n">
        <x:f>AD230-G230</x:f>
        <x:v>-1.2430082556646198</x:v>
      </x:c>
      <x:c r="AK230" s="48" t="n">
        <x:f>Y230-X230</x:f>
        <x:v>189.39467998129481</x:v>
      </x:c>
      <x:c r="AL230" s="48" t="n">
        <x:f>1000*(AA231-AA229)/(A231-A229)*Inputs!$C$11</x:f>
        <x:v>1157.239206704844</x:v>
      </x:c>
      <x:c r="AM230" s="48" t="n">
        <x:f>-2*AL230/Inputs!$C$13</x:f>
        <x:v>-462.8956826819376</x:v>
      </x:c>
      <x:c r="AN230" s="48" t="n">
        <x:f>-2*AL230/Inputs!$C$14</x:f>
        <x:v>-69.50385625854919</x:v>
      </x:c>
      <x:c r="AO230" s="48" t="n">
        <x:f>ABS(AM230)</x:f>
        <x:v>462.8956826819376</x:v>
      </x:c>
      <x:c r="AP230" s="48" t="n">
        <x:f>ABS(AN230)</x:f>
        <x:v>69.50385625854919</x:v>
      </x:c>
      <x:c r="AQ230" s="48" t="n">
        <x:f>IF(OR(Inputs!$C$27=TRUE,Inputs!$C$27="TRUE",Inputs!$C$27=1),Inputs!$C$46/Inputs!$C$12,0)</x:f>
        <x:v>42.13483146067416</x:v>
      </x:c>
      <x:c r="AR230" s="48" t="n">
        <x:f>AC230-AQ230</x:f>
        <x:v>2935.7955421262823</x:v>
      </x:c>
      <x:c r="AS230" s="48" t="n">
        <x:f>AC230+AQ230</x:f>
        <x:v>3020.065205047631</x:v>
      </x:c>
    </x:row>
    <x:row r="231">
      <x:c r="A231" s="48" t="n">
        <x:f>Inputs!$C$7+229*(Inputs!$C$8-Inputs!$C$7)/240</x:f>
        <x:v>54.5</x:v>
      </x:c>
      <x:c r="B231" s="48" t="n">
        <x:f>Inputs!$C$5+Inputs!$C$9*(A231/Inputs!$C$10)^2</x:f>
        <x:v>403.30027777777775</x:v>
      </x:c>
      <x:c r="C231" s="48" t="n">
        <x:f>B231</x:f>
        <x:v>403.30027777777775</x:v>
      </x:c>
      <x:c r="D231" s="48" t="n">
        <x:f>SQRT((Inputs!$C$52+B231)^2+Inputs!$C$52^2-2*(Inputs!$C$52+B231)*Inputs!$C$52*COS(SQRT(A231^2+Inputs!$C$6^2)/Inputs!$C$52))</x:f>
        <x:v>408.870145907836</x:v>
      </x:c>
      <x:c r="E231" s="48" t="n">
        <x:f>(D231-C231)*1000</x:f>
        <x:v>5569.868130058239</x:v>
      </x:c>
      <x:c r="F231" s="48" t="n">
        <x:f>E231/Inputs!$C$12</x:f>
        <x:v>3129.139398909123</x:v>
      </x:c>
      <x:c r="G231" s="48" t="n">
        <x:f>2*E231/Inputs!$C$21*1000000</x:f>
        <x:v>37.158160463517994</x:v>
      </x:c>
      <x:c r="H231" s="48" t="n">
        <x:f>SQRT(A231^2+Inputs!$C$6^2)</x:f>
        <x:v>59.96040360104325</x:v>
      </x:c>
      <x:c r="I231" s="48" t="n">
        <x:f>DEGREES(ATAN(H231/B231))</x:f>
        <x:v>8.45646799120709</x:v>
      </x:c>
      <x:c r="J231" s="48" t="n">
        <x:f>DEGREES((2*PI()/Inputs!$C$13)*Inputs!$C$15*SIN(RADIANS(I231)))</x:f>
        <x:v>52.94085737373685</x:v>
      </x:c>
      <x:c r="K231" s="48" t="n">
        <x:f>(C231/D231)^4</x:f>
        <x:v>0.9466130330866598</x:v>
      </x:c>
      <x:c r="L231" s="48" t="n">
        <x:f>10*LOG10(K231)</x:f>
        <x:v>-0.238275204061051</x:v>
      </x:c>
      <x:c r="M231" s="48" t="n">
        <x:f>2*(Inputs!$C$9/(Inputs!$C$10^2))*A231</x:f>
        <x:v>0.12111111111111111</x:v>
      </x:c>
      <x:c r="N231" s="48" t="n">
        <x:f>M231*Inputs!$C$11</x:f>
        <x:v>0.48444444444444446</x:v>
      </x:c>
      <x:c r="O231" s="48" t="n">
        <x:f>1000*(D232-D230)/(A232-A230)*Inputs!$C$11</x:f>
        <x:v>1149.9890746863457</x:v>
      </x:c>
      <x:c r="P231" s="48" t="n">
        <x:f>-2*O231/Inputs!$C$13</x:f>
        <x:v>-459.9956298745383</x:v>
      </x:c>
      <x:c r="Q231" s="48" t="n">
        <x:f>-2*O231/Inputs!$C$14</x:f>
        <x:v>-69.06841289407483</x:v>
      </x:c>
      <x:c r="R231" s="48" t="n">
        <x:f>F231-Inputs!$C$16/2</x:f>
        <x:v>3114.139398909123</x:v>
      </x:c>
      <x:c r="S231" s="48" t="n">
        <x:f>F231+Inputs!$C$16/2</x:f>
        <x:v>3144.139398909123</x:v>
      </x:c>
      <x:c r="T231" s="48" t="n">
        <x:f>F231-Inputs!$C$17/2</x:f>
        <x:v>2979.139398909123</x:v>
      </x:c>
      <x:c r="U231" s="48" t="n">
        <x:f>F231+Inputs!$C$17/2</x:f>
        <x:v>3279.139398909123</x:v>
      </x:c>
      <x:c r="V231" s="48" t="n">
        <x:f>ABS(P231)</x:f>
        <x:v>459.9956298745383</x:v>
      </x:c>
      <x:c r="W231" s="48" t="n">
        <x:f>ABS(Q231)</x:f>
        <x:v>69.06841289407483</x:v>
      </x:c>
      <x:c r="X231" s="48" t="n">
        <x: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(0.45*SIN(2*PI()*(((A231)/Inputs!$C$49)+Inputs!$C$47*0.137))+0.35*COS(2*PI()*(((0)/Inputs!$C$50)+Inputs!$C$47*0.173))+0.20*SIN(2*PI()*(((A231)+(0))/(0.5*(Inputs!$C$49+Inputs!$C$50))+Inputs!$C$47*0.097)))+0.30*(2*((SIN(((A231)*12.9898+(0)*78.233+Inputs!$C$47*37.719))*43758.5453)-INT((SIN(((A231)*12.9898+(0)*78.233+Inputs!$C$47*37.719))*43758.5453)))-1)))</x:f>
        <x:v>-10.88592803052483</x:v>
      </x:c>
      <x:c r="Y231" s="48" t="n">
        <x: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(0.45*SIN(2*PI()*(((A231)/Inputs!$C$49)+Inputs!$C$47*0.137))+0.35*COS(2*PI()*(((Inputs!$C$6)/Inputs!$C$50)+Inputs!$C$47*0.173))+0.20*SIN(2*PI()*(((A231)+(Inputs!$C$6))/(0.5*(Inputs!$C$49+Inputs!$C$50))+Inputs!$C$47*0.097)))+0.30*(2*((SIN(((A231)*12.9898+(Inputs!$C$6)*78.233+Inputs!$C$47*37.719))*43758.5453)-INT((SIN(((A231)*12.9898+(Inputs!$C$6)*78.233+Inputs!$C$47*37.719))*43758.5453)))-1)))</x:f>
        <x:v>176.67952286630316</x:v>
      </x:c>
      <x:c r="Z231" s="48" t="n">
        <x:f>B231-X231/1000</x:f>
        <x:v>403.31116370580827</x:v>
      </x:c>
      <x:c r="AA231" s="48" t="n">
        <x:f>SQRT((Inputs!$C$52+B231)^2+(Inputs!$C$52+Y231/1000)^2-2*(Inputs!$C$52+B231)*(Inputs!$C$52+Y231/1000)*COS(SQRT(A231^2+Inputs!$C$6^2)/Inputs!$C$52))</x:f>
        <x:v>408.69650072036194</x:v>
      </x:c>
      <x:c r="AB231" s="48" t="n">
        <x:f>(AA231-Z231)*1000</x:f>
        <x:v>5385.33701455367</x:v>
      </x:c>
      <x:c r="AC231" s="48" t="n">
        <x:f>AB231/Inputs!$C$12</x:f>
        <x:v>3025.4702328953204</x:v>
      </x:c>
      <x:c r="AD231" s="48" t="n">
        <x:f>2*AB231/Inputs!$C$21*1000000</x:f>
        <x:v>35.92710137193425</x:v>
      </x:c>
      <x:c r="AE231" s="48" t="n">
        <x:f>DEGREES(ATAN(H231/(B231-Y231/1000)))</x:f>
        <x:v>8.46012063586291</x:v>
      </x:c>
      <x:c r="AF231" s="48" t="n">
        <x:f>DEGREES((2*PI()/Inputs!$C$13)*Inputs!$C$15*SIN(RADIANS(AE231)))</x:f>
        <x:v>52.96355799157853</x:v>
      </x:c>
      <x:c r="AG231" s="48" t="n">
        <x:f>(Z231/AA231)^4</x:f>
        <x:v>0.9483252122523478</x:v>
      </x:c>
      <x:c r="AH231" s="48" t="n">
        <x:f>10*LOG10(AG231)</x:f>
        <x:v>-0.230427030983377</x:v>
      </x:c>
      <x:c r="AI231" s="48" t="n">
        <x:f>AC231-F231</x:f>
        <x:v>-103.66916601380262</x:v>
      </x:c>
      <x:c r="AJ231" s="48" t="n">
        <x:f>AD231-G231</x:f>
        <x:v>-1.2310590915837452</x:v>
      </x:c>
      <x:c r="AK231" s="48" t="n">
        <x:f>Y231-X231</x:f>
        <x:v>187.565450896828</x:v>
      </x:c>
      <x:c r="AL231" s="48" t="n">
        <x:f>1000*(AA232-AA230)/(A232-A230)*Inputs!$C$11</x:f>
        <x:v>1122.9829585383868</x:v>
      </x:c>
      <x:c r="AM231" s="48" t="n">
        <x:f>-2*AL231/Inputs!$C$13</x:f>
        <x:v>-449.1931834153547</x:v>
      </x:c>
      <x:c r="AN231" s="48" t="n">
        <x:f>-2*AL231/Inputs!$C$14</x:f>
        <x:v>-67.44642393623946</x:v>
      </x:c>
      <x:c r="AO231" s="48" t="n">
        <x:f>ABS(AM231)</x:f>
        <x:v>449.1931834153547</x:v>
      </x:c>
      <x:c r="AP231" s="48" t="n">
        <x:f>ABS(AN231)</x:f>
        <x:v>67.44642393623946</x:v>
      </x:c>
      <x:c r="AQ231" s="48" t="n">
        <x:f>IF(OR(Inputs!$C$27=TRUE,Inputs!$C$27="TRUE",Inputs!$C$27=1),Inputs!$C$46/Inputs!$C$12,0)</x:f>
        <x:v>42.13483146067416</x:v>
      </x:c>
      <x:c r="AR231" s="48" t="n">
        <x:f>AC231-AQ231</x:f>
        <x:v>2983.335401434646</x:v>
      </x:c>
      <x:c r="AS231" s="48" t="n">
        <x:f>AC231+AQ231</x:f>
        <x:v>3067.6050643559947</x:v>
      </x:c>
    </x:row>
    <x:row r="232">
      <x:c r="A232" s="48" t="n">
        <x:f>Inputs!$C$7+230*(Inputs!$C$8-Inputs!$C$7)/240</x:f>
        <x:v>55</x:v>
      </x:c>
      <x:c r="B232" s="48" t="n">
        <x:f>Inputs!$C$5+Inputs!$C$9*(A232/Inputs!$C$10)^2</x:f>
        <x:v>403.3611111111111</x:v>
      </x:c>
      <x:c r="C232" s="48" t="n">
        <x:f>B232</x:f>
        <x:v>403.3611111111111</x:v>
      </x:c>
      <x:c r="D232" s="48" t="n">
        <x:f>SQRT((Inputs!$C$52+B232)^2+Inputs!$C$52^2-2*(Inputs!$C$52+B232)*Inputs!$C$52*COS(SQRT(A232^2+Inputs!$C$6^2)/Inputs!$C$52))</x:f>
        <x:v>409.0145355837964</x:v>
      </x:c>
      <x:c r="E232" s="48" t="n">
        <x:f>(D232-C232)*1000</x:f>
        <x:v>5653.424472685288</x:v>
      </x:c>
      <x:c r="F232" s="48" t="n">
        <x:f>E232/Inputs!$C$12</x:f>
        <x:v>3176.081164429937</x:v>
      </x:c>
      <x:c r="G232" s="48" t="n">
        <x:f>2*E232/Inputs!$C$21*1000000</x:f>
        <x:v>37.71558838004716</x:v>
      </x:c>
      <x:c r="H232" s="48" t="n">
        <x:f>SQRT(A232^2+Inputs!$C$6^2)</x:f>
        <x:v>60.41522986797286</x:v>
      </x:c>
      <x:c r="I232" s="48" t="n">
        <x:f>DEGREES(ATAN(H232/B232))</x:f>
        <x:v>8.518410095726479</x:v>
      </x:c>
      <x:c r="J232" s="48" t="n">
        <x:f>DEGREES((2*PI()/Inputs!$C$13)*Inputs!$C$15*SIN(RADIANS(I232)))</x:f>
        <x:v>53.32578872127919</x:v>
      </x:c>
      <x:c r="K232" s="48" t="n">
        <x:f>(C232/D232)^4</x:f>
        <x:v>0.9458475201974168</x:v>
      </x:c>
      <x:c r="L232" s="48" t="n">
        <x:f>10*LOG10(K232)</x:f>
        <x:v>-0.24178870442099198</x:v>
      </x:c>
      <x:c r="M232" s="48" t="n">
        <x:f>2*(Inputs!$C$9/(Inputs!$C$10^2))*A232</x:f>
        <x:v>0.12222222222222222</x:v>
      </x:c>
      <x:c r="N232" s="48" t="n">
        <x:f>M232*Inputs!$C$11</x:f>
        <x:v>0.4888888888888889</x:v>
      </x:c>
      <x:c r="O232" s="48" t="n">
        <x:f>1000*(D233-D231)/(A233-A231)*Inputs!$C$11</x:f>
        <x:v>1160.241839347691</x:v>
      </x:c>
      <x:c r="P232" s="48" t="n">
        <x:f>-2*O232/Inputs!$C$13</x:f>
        <x:v>-464.0967357390764</x:v>
      </x:c>
      <x:c r="Q232" s="48" t="n">
        <x:f>-2*O232/Inputs!$C$14</x:f>
        <x:v>-69.68419455541688</x:v>
      </x:c>
      <x:c r="R232" s="48" t="n">
        <x:f>F232-Inputs!$C$16/2</x:f>
        <x:v>3161.081164429937</x:v>
      </x:c>
      <x:c r="S232" s="48" t="n">
        <x:f>F232+Inputs!$C$16/2</x:f>
        <x:v>3191.081164429937</x:v>
      </x:c>
      <x:c r="T232" s="48" t="n">
        <x:f>F232-Inputs!$C$17/2</x:f>
        <x:v>3026.081164429937</x:v>
      </x:c>
      <x:c r="U232" s="48" t="n">
        <x:f>F232+Inputs!$C$17/2</x:f>
        <x:v>3326.081164429937</x:v>
      </x:c>
      <x:c r="V232" s="48" t="n">
        <x:f>ABS(P232)</x:f>
        <x:v>464.0967357390764</x:v>
      </x:c>
      <x:c r="W232" s="48" t="n">
        <x:f>ABS(Q232)</x:f>
        <x:v>69.68419455541688</x:v>
      </x:c>
      <x:c r="X232" s="48" t="n">
        <x: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(0.45*SIN(2*PI()*(((A232)/Inputs!$C$49)+Inputs!$C$47*0.137))+0.35*COS(2*PI()*(((0)/Inputs!$C$50)+Inputs!$C$47*0.173))+0.20*SIN(2*PI()*(((A232)+(0))/(0.5*(Inputs!$C$49+Inputs!$C$50))+Inputs!$C$47*0.097)))+0.30*(2*((SIN(((A232)*12.9898+(0)*78.233+Inputs!$C$47*37.719))*43758.5453)-INT((SIN(((A232)*12.9898+(0)*78.233+Inputs!$C$47*37.719))*43758.5453)))-1)))</x:f>
        <x:v>-2.7391578251359494</x:v>
      </x:c>
      <x:c r="Y232" s="48" t="n">
        <x: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(0.45*SIN(2*PI()*(((A232)/Inputs!$C$49)+Inputs!$C$47*0.137))+0.35*COS(2*PI()*(((Inputs!$C$6)/Inputs!$C$50)+Inputs!$C$47*0.173))+0.20*SIN(2*PI()*(((A232)+(Inputs!$C$6))/(0.5*(Inputs!$C$49+Inputs!$C$50))+Inputs!$C$47*0.097)))+0.30*(2*((SIN(((A232)*12.9898+(Inputs!$C$6)*78.233+Inputs!$C$47*37.719))*43758.5453)-INT((SIN(((A232)*12.9898+(Inputs!$C$6)*78.233+Inputs!$C$47*37.719))*43758.5453)))-1)))</x:f>
        <x:v>188.50605986389118</x:v>
      </x:c>
      <x:c r="Z232" s="48" t="n">
        <x:f>B232-X232/1000</x:f>
        <x:v>403.36385026893623</x:v>
      </x:c>
      <x:c r="AA232" s="48" t="n">
        <x:f>SQRT((Inputs!$C$52+B232)^2+(Inputs!$C$52+Y232/1000)^2-2*(Inputs!$C$52+B232)*(Inputs!$C$52+Y232/1000)*COS(SQRT(A232^2+Inputs!$C$6^2)/Inputs!$C$52))</x:f>
        <x:v>408.82931464244456</x:v>
      </x:c>
      <x:c r="AB232" s="48" t="n">
        <x:f>(AA232-Z232)*1000</x:f>
        <x:v>5465.4643735083255</x:v>
      </x:c>
      <x:c r="AC232" s="48" t="n">
        <x:f>AB232/Inputs!$C$12</x:f>
        <x:v>3070.485603094565</x:v>
      </x:c>
      <x:c r="AD232" s="48" t="n">
        <x:f>2*AB232/Inputs!$C$21*1000000</x:f>
        <x:v>36.46165357174079</x:v>
      </x:c>
      <x:c r="AE232" s="48" t="n">
        <x:f>DEGREES(ATAN(H232/(B232-Y232/1000)))</x:f>
        <x:v>8.522334462984816</x:v>
      </x:c>
      <x:c r="AF232" s="48" t="n">
        <x:f>DEGREES((2*PI()/Inputs!$C$13)*Inputs!$C$15*SIN(RADIANS(AE232)))</x:f>
        <x:v>53.350174108896724</x:v>
      </x:c>
      <x:c r="AG232" s="48" t="n">
        <x:f>(Z232/AA232)^4</x:f>
        <x:v>0.9475884970859016</x:v>
      </x:c>
      <x:c r="AH232" s="48" t="n">
        <x:f>10*LOG10(AG232)</x:f>
        <x:v>-0.233802198809315</x:v>
      </x:c>
      <x:c r="AI232" s="48" t="n">
        <x:f>AC232-F232</x:f>
        <x:v>-105.59556133537217</x:v>
      </x:c>
      <x:c r="AJ232" s="48" t="n">
        <x:f>AD232-G232</x:f>
        <x:v>-1.2539348083063686</x:v>
      </x:c>
      <x:c r="AK232" s="48" t="n">
        <x:f>Y232-X232</x:f>
        <x:v>191.24521768902713</x:v>
      </x:c>
      <x:c r="AL232" s="48" t="n">
        <x:f>1000*(AA233-AA231)/(A233-A231)*Inputs!$C$11</x:f>
        <x:v>1137.5245610443017</x:v>
      </x:c>
      <x:c r="AM232" s="48" t="n">
        <x:f>-2*AL232/Inputs!$C$13</x:f>
        <x:v>-455.00982441772067</x:v>
      </x:c>
      <x:c r="AN232" s="48" t="n">
        <x:f>-2*AL232/Inputs!$C$14</x:f>
        <x:v>-68.31979345611423</x:v>
      </x:c>
      <x:c r="AO232" s="48" t="n">
        <x:f>ABS(AM232)</x:f>
        <x:v>455.00982441772067</x:v>
      </x:c>
      <x:c r="AP232" s="48" t="n">
        <x:f>ABS(AN232)</x:f>
        <x:v>68.31979345611423</x:v>
      </x:c>
      <x:c r="AQ232" s="48" t="n">
        <x:f>IF(OR(Inputs!$C$27=TRUE,Inputs!$C$27="TRUE",Inputs!$C$27=1),Inputs!$C$46/Inputs!$C$12,0)</x:f>
        <x:v>42.13483146067416</x:v>
      </x:c>
      <x:c r="AR232" s="48" t="n">
        <x:f>AC232-AQ232</x:f>
        <x:v>3028.3507716338904</x:v>
      </x:c>
      <x:c r="AS232" s="48" t="n">
        <x:f>AC232+AQ232</x:f>
        <x:v>3112.620434555239</x:v>
      </x:c>
    </x:row>
    <x:row r="233">
      <x:c r="A233" s="48" t="n">
        <x:f>Inputs!$C$7+231*(Inputs!$C$8-Inputs!$C$7)/240</x:f>
        <x:v>55.5</x:v>
      </x:c>
      <x:c r="B233" s="48" t="n">
        <x:f>Inputs!$C$5+Inputs!$C$9*(A233/Inputs!$C$10)^2</x:f>
        <x:v>403.4225</x:v>
      </x:c>
      <x:c r="C233" s="48" t="n">
        <x:f>B233</x:f>
        <x:v>403.4225</x:v>
      </x:c>
      <x:c r="D233" s="48" t="n">
        <x:f>SQRT((Inputs!$C$52+B233)^2+Inputs!$C$52^2-2*(Inputs!$C$52+B233)*Inputs!$C$52*COS(SQRT(A233^2+Inputs!$C$6^2)/Inputs!$C$52))</x:f>
        <x:v>409.1602063676729</x:v>
      </x:c>
      <x:c r="E233" s="48" t="n">
        <x:f>(D233-C233)*1000</x:f>
        <x:v>5737.706367672899</x:v>
      </x:c>
      <x:c r="F233" s="48" t="n">
        <x:f>E233/Inputs!$C$12</x:f>
        <x:v>3223.4305436364602</x:v>
      </x:c>
      <x:c r="G233" s="48" t="n">
        <x:f>2*E233/Inputs!$C$21*1000000</x:f>
        <x:v>38.27785666090973</x:v>
      </x:c>
      <x:c r="H233" s="48" t="n">
        <x:f>SQRT(A233^2+Inputs!$C$6^2)</x:f>
        <x:v>60.87076473973364</x:v>
      </x:c>
      <x:c r="I233" s="48" t="n">
        <x:f>DEGREES(ATAN(H233/B233))</x:f>
        <x:v>8.580400233649934</x:v>
      </x:c>
      <x:c r="J233" s="48" t="n">
        <x:f>DEGREES((2*PI()/Inputs!$C$13)*Inputs!$C$15*SIN(RADIANS(I233)))</x:f>
        <x:v>53.71095616845376</x:v>
      </x:c>
      <x:c r="K233" s="48" t="n">
        <x:f>(C233/D233)^4</x:f>
        <x:v>0.9450763809493679</x:v>
      </x:c>
      <x:c r="L233" s="48" t="n">
        <x:f>10*LOG10(K233)</x:f>
        <x:v>-0.24533090449122702</x:v>
      </x:c>
      <x:c r="M233" s="48" t="n">
        <x:f>2*(Inputs!$C$9/(Inputs!$C$10^2))*A233</x:f>
        <x:v>0.12333333333333334</x:v>
      </x:c>
      <x:c r="N233" s="48" t="n">
        <x:f>M233*Inputs!$C$11</x:f>
        <x:v>0.49333333333333335</x:v>
      </x:c>
      <x:c r="O233" s="48" t="n">
        <x:f>1000*(D234-D232)/(A234-A232)*Inputs!$C$11</x:f>
        <x:v>1170.4867727003148</x:v>
      </x:c>
      <x:c r="P233" s="48" t="n">
        <x:f>-2*O233/Inputs!$C$13</x:f>
        <x:v>-468.1947090801259</x:v>
      </x:c>
      <x:c r="Q233" s="48" t="n">
        <x:f>-2*O233/Inputs!$C$14</x:f>
        <x:v>-70.29950586788678</x:v>
      </x:c>
      <x:c r="R233" s="48" t="n">
        <x:f>F233-Inputs!$C$16/2</x:f>
        <x:v>3208.4305436364602</x:v>
      </x:c>
      <x:c r="S233" s="48" t="n">
        <x:f>F233+Inputs!$C$16/2</x:f>
        <x:v>3238.4305436364602</x:v>
      </x:c>
      <x:c r="T233" s="48" t="n">
        <x:f>F233-Inputs!$C$17/2</x:f>
        <x:v>3073.4305436364602</x:v>
      </x:c>
      <x:c r="U233" s="48" t="n">
        <x:f>F233+Inputs!$C$17/2</x:f>
        <x:v>3373.4305436364602</x:v>
      </x:c>
      <x:c r="V233" s="48" t="n">
        <x:f>ABS(P233)</x:f>
        <x:v>468.1947090801259</x:v>
      </x:c>
      <x:c r="W233" s="48" t="n">
        <x:f>ABS(Q233)</x:f>
        <x:v>70.29950586788678</x:v>
      </x:c>
      <x:c r="X233" s="48" t="n">
        <x: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(0.45*SIN(2*PI()*(((A233)/Inputs!$C$49)+Inputs!$C$47*0.137))+0.35*COS(2*PI()*(((0)/Inputs!$C$50)+Inputs!$C$47*0.173))+0.20*SIN(2*PI()*(((A233)+(0))/(0.5*(Inputs!$C$49+Inputs!$C$50))+Inputs!$C$47*0.097)))+0.30*(2*((SIN(((A233)*12.9898+(0)*78.233+Inputs!$C$47*37.719))*43758.5453)-INT((SIN(((A233)*12.9898+(0)*78.233+Inputs!$C$47*37.719))*43758.5453)))-1)))</x:f>
        <x:v>-6.538094280084824</x:v>
      </x:c>
      <x:c r="Y233" s="48" t="n">
        <x: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(0.45*SIN(2*PI()*(((A233)/Inputs!$C$49)+Inputs!$C$47*0.137))+0.35*COS(2*PI()*(((Inputs!$C$6)/Inputs!$C$50)+Inputs!$C$47*0.173))+0.20*SIN(2*PI()*(((A233)+(Inputs!$C$6))/(0.5*(Inputs!$C$49+Inputs!$C$50))+Inputs!$C$47*0.097)))+0.30*(2*((SIN(((A233)*12.9898+(Inputs!$C$6)*78.233+Inputs!$C$47*37.719))*43758.5453)-INT((SIN(((A233)*12.9898+(Inputs!$C$6)*78.233+Inputs!$C$47*37.719))*43758.5453)))-1)))</x:f>
        <x:v>182.5522692746181</x:v>
      </x:c>
      <x:c r="Z233" s="48" t="n">
        <x:f>B233-X233/1000</x:f>
        <x:v>403.4290380942801</x:v>
      </x:c>
      <x:c r="AA233" s="48" t="n">
        <x:f>SQRT((Inputs!$C$52+B233)^2+(Inputs!$C$52+Y233/1000)^2-2*(Inputs!$C$52+B233)*(Inputs!$C$52+Y233/1000)*COS(SQRT(A233^2+Inputs!$C$6^2)/Inputs!$C$52))</x:f>
        <x:v>408.980881860623</x:v>
      </x:c>
      <x:c r="AB233" s="48" t="n">
        <x:f>(AA233-Z233)*1000</x:f>
        <x:v>5551.843766342927</x:v>
      </x:c>
      <x:c r="AC233" s="48" t="n">
        <x:f>AB233/Inputs!$C$12</x:f>
        <x:v>3119.0133518780485</x:v>
      </x:c>
      <x:c r="AD233" s="48" t="n">
        <x:f>2*AB233/Inputs!$C$21*1000000</x:f>
        <x:v>37.03791485203359</x:v>
      </x:c>
      <x:c r="AE233" s="48" t="n">
        <x:f>DEGREES(ATAN(H233/(B233-Y233/1000)))</x:f>
        <x:v>8.584226842449953</x:v>
      </x:c>
      <x:c r="AF233" s="48" t="n">
        <x:f>DEGREES((2*PI()/Inputs!$C$13)*Inputs!$C$15*SIN(RADIANS(AE233)))</x:f>
        <x:v>53.73473023571867</x:v>
      </x:c>
      <x:c r="AG233" s="48" t="n">
        <x:f>(Z233/AA233)^4</x:f>
        <x:v>0.9467963844003118</x:v>
      </x:c>
      <x:c r="AH233" s="48" t="n">
        <x:f>10*LOG10(AG233)</x:f>
        <x:v>-0.237434092114715</x:v>
      </x:c>
      <x:c r="AI233" s="48" t="n">
        <x:f>AC233-F233</x:f>
        <x:v>-104.41719175841172</x:v>
      </x:c>
      <x:c r="AJ233" s="48" t="n">
        <x:f>AD233-G233</x:f>
        <x:v>-1.2399418088761394</x:v>
      </x:c>
      <x:c r="AK233" s="48" t="n">
        <x:f>Y233-X233</x:f>
        <x:v>189.09036355470295</x:v>
      </x:c>
      <x:c r="AL233" s="48" t="n">
        <x:f>1000*(AA234-AA232)/(A234-A232)*Inputs!$C$11</x:f>
        <x:v>1177.1656114422058</x:v>
      </x:c>
      <x:c r="AM233" s="48" t="n">
        <x:f>-2*AL233/Inputs!$C$13</x:f>
        <x:v>-470.8662445768823</x:v>
      </x:c>
      <x:c r="AN233" s="48" t="n">
        <x:f>-2*AL233/Inputs!$C$14</x:f>
        <x:v>-70.70063732385621</x:v>
      </x:c>
      <x:c r="AO233" s="48" t="n">
        <x:f>ABS(AM233)</x:f>
        <x:v>470.8662445768823</x:v>
      </x:c>
      <x:c r="AP233" s="48" t="n">
        <x:f>ABS(AN233)</x:f>
        <x:v>70.70063732385621</x:v>
      </x:c>
      <x:c r="AQ233" s="48" t="n">
        <x:f>IF(OR(Inputs!$C$27=TRUE,Inputs!$C$27="TRUE",Inputs!$C$27=1),Inputs!$C$46/Inputs!$C$12,0)</x:f>
        <x:v>42.13483146067416</x:v>
      </x:c>
      <x:c r="AR233" s="48" t="n">
        <x:f>AC233-AQ233</x:f>
        <x:v>3076.878520417374</x:v>
      </x:c>
      <x:c r="AS233" s="48" t="n">
        <x:f>AC233+AQ233</x:f>
        <x:v>3161.148183338723</x:v>
      </x:c>
    </x:row>
    <x:row r="234">
      <x:c r="A234" s="48" t="n">
        <x:f>Inputs!$C$7+232*(Inputs!$C$8-Inputs!$C$7)/240</x:f>
        <x:v>56</x:v>
      </x:c>
      <x:c r="B234" s="48" t="n">
        <x:f>Inputs!$C$5+Inputs!$C$9*(A234/Inputs!$C$10)^2</x:f>
        <x:v>403.4844444444444</x:v>
      </x:c>
      <x:c r="C234" s="48" t="n">
        <x:f>B234</x:f>
        <x:v>403.4844444444444</x:v>
      </x:c>
      <x:c r="D234" s="48" t="n">
        <x:f>SQRT((Inputs!$C$52+B234)^2+Inputs!$C$52^2-2*(Inputs!$C$52+B234)*Inputs!$C$52*COS(SQRT(A234^2+Inputs!$C$6^2)/Inputs!$C$52))</x:f>
        <x:v>409.30715727697145</x:v>
      </x:c>
      <x:c r="E234" s="48" t="n">
        <x:f>(D234-C234)*1000</x:f>
        <x:v>5822.712832527031</x:v>
      </x:c>
      <x:c r="F234" s="48" t="n">
        <x:f>E234/Inputs!$C$12</x:f>
        <x:v>3271.186984565748</x:v>
      </x:c>
      <x:c r="G234" s="48" t="n">
        <x:f>2*E234/Inputs!$C$21*1000000</x:f>
        <x:v>38.84495875161097</x:v>
      </x:c>
      <x:c r="H234" s="48" t="n">
        <x:f>SQRT(A234^2+Inputs!$C$6^2)</x:f>
        <x:v>61.326992425847855</x:v>
      </x:c>
      <x:c r="I234" s="48" t="n">
        <x:f>DEGREES(ATAN(H234/B234))</x:f>
        <x:v>8.642435724573849</x:v>
      </x:c>
      <x:c r="J234" s="48" t="n">
        <x:f>DEGREES((2*PI()/Inputs!$C$13)*Inputs!$C$15*SIN(RADIANS(I234)))</x:f>
        <x:v>54.09634246852054</x:v>
      </x:c>
      <x:c r="K234" s="48" t="n">
        <x:f>(C234/D234)^4</x:f>
        <x:v>0.9442996491308502</x:v>
      </x:c>
      <x:c r="L234" s="48" t="n">
        <x:f>10*LOG10(K234)</x:f>
        <x:v>-0.248901716826454</x:v>
      </x:c>
      <x:c r="M234" s="48" t="n">
        <x:f>2*(Inputs!$C$9/(Inputs!$C$10^2))*A234</x:f>
        <x:v>0.12444444444444444</x:v>
      </x:c>
      <x:c r="N234" s="48" t="n">
        <x:f>M234*Inputs!$C$11</x:f>
        <x:v>0.49777777777777776</x:v>
      </x:c>
      <x:c r="O234" s="48" t="n">
        <x:f>1000*(D235-D233)/(A235-A233)*Inputs!$C$11</x:f>
        <x:v>1180.7238176422743</x:v>
      </x:c>
      <x:c r="P234" s="48" t="n">
        <x:f>-2*O234/Inputs!$C$13</x:f>
        <x:v>-472.2895270569097</x:v>
      </x:c>
      <x:c r="Q234" s="48" t="n">
        <x:f>-2*O234/Inputs!$C$14</x:f>
        <x:v>-70.9143434019384</x:v>
      </x:c>
      <x:c r="R234" s="48" t="n">
        <x:f>F234-Inputs!$C$16/2</x:f>
        <x:v>3256.186984565748</x:v>
      </x:c>
      <x:c r="S234" s="48" t="n">
        <x:f>F234+Inputs!$C$16/2</x:f>
        <x:v>3286.186984565748</x:v>
      </x:c>
      <x:c r="T234" s="48" t="n">
        <x:f>F234-Inputs!$C$17/2</x:f>
        <x:v>3121.186984565748</x:v>
      </x:c>
      <x:c r="U234" s="48" t="n">
        <x:f>F234+Inputs!$C$17/2</x:f>
        <x:v>3421.186984565748</x:v>
      </x:c>
      <x:c r="V234" s="48" t="n">
        <x:f>ABS(P234)</x:f>
        <x:v>472.2895270569097</x:v>
      </x:c>
      <x:c r="W234" s="48" t="n">
        <x:f>ABS(Q234)</x:f>
        <x:v>70.9143434019384</x:v>
      </x:c>
      <x:c r="X234" s="48" t="n">
        <x: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(0.45*SIN(2*PI()*(((A234)/Inputs!$C$49)+Inputs!$C$47*0.137))+0.35*COS(2*PI()*(((0)/Inputs!$C$50)+Inputs!$C$47*0.173))+0.20*SIN(2*PI()*(((A234)+(0))/(0.5*(Inputs!$C$49+Inputs!$C$50))+Inputs!$C$47*0.097)))+0.30*(2*((SIN(((A234)*12.9898+(0)*78.233+Inputs!$C$47*37.719))*43758.5453)-INT((SIN(((A234)*12.9898+(0)*78.233+Inputs!$C$47*37.719))*43758.5453)))-1)))</x:f>
        <x:v>-4.357290177669684</x:v>
      </x:c>
      <x:c r="Y234" s="48" t="n">
        <x: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(0.45*SIN(2*PI()*(((A234)/Inputs!$C$49)+Inputs!$C$47*0.137))+0.35*COS(2*PI()*(((Inputs!$C$6)/Inputs!$C$50)+Inputs!$C$47*0.173))+0.20*SIN(2*PI()*(((A234)+(Inputs!$C$6))/(0.5*(Inputs!$C$49+Inputs!$C$50))+Inputs!$C$47*0.097)))+0.30*(2*((SIN(((A234)*12.9898+(Inputs!$C$6)*78.233+Inputs!$C$47*37.719))*43758.5453)-INT((SIN(((A234)*12.9898+(Inputs!$C$6)*78.233+Inputs!$C$47*37.719))*43758.5453)))-1)))</x:f>
        <x:v>186.90390563143987</x:v>
      </x:c>
      <x:c r="Z234" s="48" t="n">
        <x:f>B234-X234/1000</x:f>
        <x:v>403.4888017346221</x:v>
      </x:c>
      <x:c r="AA234" s="48" t="n">
        <x:f>SQRT((Inputs!$C$52+B234)^2+(Inputs!$C$52+Y234/1000)^2-2*(Inputs!$C$52+B234)*(Inputs!$C$52+Y234/1000)*COS(SQRT(A234^2+Inputs!$C$6^2)/Inputs!$C$52))</x:f>
        <x:v>409.1236060453051</x:v>
      </x:c>
      <x:c r="AB234" s="48" t="n">
        <x:f>(AA234-Z234)*1000</x:f>
        <x:v>5634.804310683023</x:v>
      </x:c>
      <x:c r="AC234" s="48" t="n">
        <x:f>AB234/Inputs!$C$12</x:f>
        <x:v>3165.620399260125</x:v>
      </x:c>
      <x:c r="AD234" s="48" t="n">
        <x:f>2*AB234/Inputs!$C$21*1000000</x:f>
        <x:v>37.59136803023259</x:v>
      </x:c>
      <x:c r="AE234" s="48" t="n">
        <x:f>DEGREES(ATAN(H234/(B234-Y234/1000)))</x:f>
        <x:v>8.646380450401507</x:v>
      </x:c>
      <x:c r="AF234" s="48" t="n">
        <x:f>DEGREES((2*PI()/Inputs!$C$13)*Inputs!$C$15*SIN(RADIANS(AE234)))</x:f>
        <x:v>54.120846353803564</x:v>
      </x:c>
      <x:c r="AG234" s="48" t="n">
        <x:f>(Z234/AA234)^4</x:f>
        <x:v>0.9460362753552519</x:v>
      </x:c>
      <x:c r="AH234" s="48" t="n">
        <x:f>10*LOG10(AG234)</x:f>
        <x:v>-0.24092210443273399</x:v>
      </x:c>
      <x:c r="AI234" s="48" t="n">
        <x:f>AC234-F234</x:f>
        <x:v>-105.566585305623</x:v>
      </x:c>
      <x:c r="AJ234" s="48" t="n">
        <x:f>AD234-G234</x:f>
        <x:v>-1.2535907213783801</x:v>
      </x:c>
      <x:c r="AK234" s="48" t="n">
        <x:f>Y234-X234</x:f>
        <x:v>191.26119580910955</x:v>
      </x:c>
      <x:c r="AL234" s="48" t="n">
        <x:f>1000*(AA235-AA233)/(A235-A233)*Inputs!$C$11</x:f>
        <x:v>1151.5738905047783</x:v>
      </x:c>
      <x:c r="AM234" s="48" t="n">
        <x:f>-2*AL234/Inputs!$C$13</x:f>
        <x:v>-460.6295562019113</x:v>
      </x:c>
      <x:c r="AN234" s="48" t="n">
        <x:f>-2*AL234/Inputs!$C$14</x:f>
        <x:v>-69.16359702731403</x:v>
      </x:c>
      <x:c r="AO234" s="48" t="n">
        <x:f>ABS(AM234)</x:f>
        <x:v>460.6295562019113</x:v>
      </x:c>
      <x:c r="AP234" s="48" t="n">
        <x:f>ABS(AN234)</x:f>
        <x:v>69.16359702731403</x:v>
      </x:c>
      <x:c r="AQ234" s="48" t="n">
        <x:f>IF(OR(Inputs!$C$27=TRUE,Inputs!$C$27="TRUE",Inputs!$C$27=1),Inputs!$C$46/Inputs!$C$12,0)</x:f>
        <x:v>42.13483146067416</x:v>
      </x:c>
      <x:c r="AR234" s="48" t="n">
        <x:f>AC234-AQ234</x:f>
        <x:v>3123.4855677994506</x:v>
      </x:c>
      <x:c r="AS234" s="48" t="n">
        <x:f>AC234+AQ234</x:f>
        <x:v>3207.7552307207993</x:v>
      </x:c>
    </x:row>
    <x:row r="235">
      <x:c r="A235" s="48" t="n">
        <x:f>Inputs!$C$7+233*(Inputs!$C$8-Inputs!$C$7)/240</x:f>
        <x:v>56.5</x:v>
      </x:c>
      <x:c r="B235" s="48" t="n">
        <x:f>Inputs!$C$5+Inputs!$C$9*(A235/Inputs!$C$10)^2</x:f>
        <x:v>403.5469444444444</x:v>
      </x:c>
      <x:c r="C235" s="48" t="n">
        <x:f>B235</x:f>
        <x:v>403.5469444444444</x:v>
      </x:c>
      <x:c r="D235" s="48" t="n">
        <x:f>SQRT((Inputs!$C$52+B235)^2+Inputs!$C$52^2-2*(Inputs!$C$52+B235)*Inputs!$C$52*COS(SQRT(A235^2+Inputs!$C$6^2)/Inputs!$C$52))</x:f>
        <x:v>409.4553873220835</x:v>
      </x:c>
      <x:c r="E235" s="48" t="n">
        <x:f>(D235-C235)*1000</x:f>
        <x:v>5908.442877639061</x:v>
      </x:c>
      <x:c r="F235" s="48" t="n">
        <x:f>E235/Inputs!$C$12</x:f>
        <x:v>3319.3499312578997</x:v>
      </x:c>
      <x:c r="G235" s="48" t="n">
        <x:f>2*E235/Inputs!$C$21*1000000</x:f>
        <x:v>39.41688805019279</x:v>
      </x:c>
      <x:c r="H235" s="48" t="n">
        <x:f>SQRT(A235^2+Inputs!$C$6^2)</x:f>
        <x:v>61.78389757857625</x:v>
      </x:c>
      <x:c r="I235" s="48" t="n">
        <x:f>DEGREES(ATAN(H235/B235))</x:f>
        <x:v>8.704513953078392</x:v>
      </x:c>
      <x:c r="J235" s="48" t="n">
        <x:f>DEGREES((2*PI()/Inputs!$C$13)*Inputs!$C$15*SIN(RADIANS(I235)))</x:f>
        <x:v>54.48193078721229</x:v>
      </x:c>
      <x:c r="K235" s="48" t="n">
        <x:f>(C235/D235)^4</x:f>
        <x:v>0.943517358691968</x:v>
      </x:c>
      <x:c r="L235" s="48" t="n">
        <x:f>10*LOG10(K235)</x:f>
        <x:v>-0.252501053402946</x:v>
      </x:c>
      <x:c r="M235" s="48" t="n">
        <x:f>2*(Inputs!$C$9/(Inputs!$C$10^2))*A235</x:f>
        <x:v>0.12555555555555556</x:v>
      </x:c>
      <x:c r="N235" s="48" t="n">
        <x:f>M235*Inputs!$C$11</x:f>
        <x:v>0.5022222222222222</x:v>
      </x:c>
      <x:c r="O235" s="48" t="n">
        <x:f>1000*(D236-D234)/(A236-A234)*Inputs!$C$11</x:f>
        <x:v>1190.9529173883584</x:v>
      </x:c>
      <x:c r="P235" s="48" t="n">
        <x:f>-2*O235/Inputs!$C$13</x:f>
        <x:v>-476.38116695534336</x:v>
      </x:c>
      <x:c r="Q235" s="48" t="n">
        <x:f>-2*O235/Inputs!$C$14</x:f>
        <x:v>-71.52870374704855</x:v>
      </x:c>
      <x:c r="R235" s="48" t="n">
        <x:f>F235-Inputs!$C$16/2</x:f>
        <x:v>3304.3499312578997</x:v>
      </x:c>
      <x:c r="S235" s="48" t="n">
        <x:f>F235+Inputs!$C$16/2</x:f>
        <x:v>3334.3499312578997</x:v>
      </x:c>
      <x:c r="T235" s="48" t="n">
        <x:f>F235-Inputs!$C$17/2</x:f>
        <x:v>3169.3499312578997</x:v>
      </x:c>
      <x:c r="U235" s="48" t="n">
        <x:f>F235+Inputs!$C$17/2</x:f>
        <x:v>3469.3499312578997</x:v>
      </x:c>
      <x:c r="V235" s="48" t="n">
        <x:f>ABS(P235)</x:f>
        <x:v>476.38116695534336</x:v>
      </x:c>
      <x:c r="W235" s="48" t="n">
        <x:f>ABS(Q235)</x:f>
        <x:v>71.52870374704855</x:v>
      </x:c>
      <x:c r="X235" s="48" t="n">
        <x: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(0.45*SIN(2*PI()*(((A235)/Inputs!$C$49)+Inputs!$C$47*0.137))+0.35*COS(2*PI()*(((0)/Inputs!$C$50)+Inputs!$C$47*0.173))+0.20*SIN(2*PI()*(((A235)+(0))/(0.5*(Inputs!$C$49+Inputs!$C$50))+Inputs!$C$47*0.097)))+0.30*(2*((SIN(((A235)*12.9898+(0)*78.233+Inputs!$C$47*37.719))*43758.5453)-INT((SIN(((A235)*12.9898+(0)*78.233+Inputs!$C$47*37.719))*43758.5453)))-1)))</x:f>
        <x:v>21.715435034758002</x:v>
      </x:c>
      <x:c r="Y235" s="48" t="n">
        <x: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(0.45*SIN(2*PI()*(((A235)/Inputs!$C$49)+Inputs!$C$47*0.137))+0.35*COS(2*PI()*(((Inputs!$C$6)/Inputs!$C$50)+Inputs!$C$47*0.173))+0.20*SIN(2*PI()*(((A235)+(Inputs!$C$6))/(0.5*(Inputs!$C$49+Inputs!$C$50))+Inputs!$C$47*0.097)))+0.30*(2*((SIN(((A235)*12.9898+(Inputs!$C$6)*78.233+Inputs!$C$47*37.719))*43758.5453)-INT((SIN(((A235)*12.9898+(Inputs!$C$6)*78.233+Inputs!$C$47*37.719))*43758.5453)))-1)))</x:f>
        <x:v>190.07062484954076</x:v>
      </x:c>
      <x:c r="Z235" s="48" t="n">
        <x:f>B235-X235/1000</x:f>
        <x:v>403.52522900940966</x:v>
      </x:c>
      <x:c r="AA235" s="48" t="n">
        <x:f>SQRT((Inputs!$C$52+B235)^2+(Inputs!$C$52+Y235/1000)^2-2*(Inputs!$C$52+B235)*(Inputs!$C$52+Y235/1000)*COS(SQRT(A235^2+Inputs!$C$6^2)/Inputs!$C$52))</x:f>
        <x:v>409.2687753332492</x:v>
      </x:c>
      <x:c r="AB235" s="48" t="n">
        <x:f>(AA235-Z235)*1000</x:f>
        <x:v>5743.546323839553</x:v>
      </x:c>
      <x:c r="AC235" s="48" t="n">
        <x:f>AB235/Inputs!$C$12</x:f>
        <x:v>3226.7114178873894</x:v>
      </x:c>
      <x:c r="AD235" s="48" t="n">
        <x:f>2*AB235/Inputs!$C$21*1000000</x:f>
        <x:v>38.316816654804256</x:v>
      </x:c>
      <x:c r="AE235" s="48" t="n">
        <x:f>DEGREES(ATAN(H235/(B235-Y235/1000)))</x:f>
        <x:v>8.708552844934305</x:v>
      </x:c>
      <x:c r="AF235" s="48" t="n">
        <x:f>DEGREES((2*PI()/Inputs!$C$13)*Inputs!$C$15*SIN(RADIANS(AE235)))</x:f>
        <x:v>54.50701546344804</x:v>
      </x:c>
      <x:c r="AG235" s="48" t="n">
        <x:f>(Z235/AA235)^4</x:f>
        <x:v>0.9450359350142217</x:v>
      </x:c>
      <x:c r="AH235" s="48" t="n">
        <x:f>10*LOG10(AG235)</x:f>
        <x:v>-0.24551677118606502</x:v>
      </x:c>
      <x:c r="AI235" s="48" t="n">
        <x:f>AC235-F235</x:f>
        <x:v>-92.63851337051028</x:v>
      </x:c>
      <x:c r="AJ235" s="48" t="n">
        <x:f>AD235-G235</x:f>
        <x:v>-1.1000713953885324</x:v>
      </x:c>
      <x:c r="AK235" s="48" t="n">
        <x:f>Y235-X235</x:f>
        <x:v>168.35518981478276</x:v>
      </x:c>
      <x:c r="AL235" s="48" t="n">
        <x:f>1000*(AA236-AA234)/(A236-A234)*Inputs!$C$11</x:f>
        <x:v>1137.2362549775517</x:v>
      </x:c>
      <x:c r="AM235" s="48" t="n">
        <x:f>-2*AL235/Inputs!$C$13</x:f>
        <x:v>-454.89450199102066</x:v>
      </x:c>
      <x:c r="AN235" s="48" t="n">
        <x:f>-2*AL235/Inputs!$C$14</x:f>
        <x:v>-68.30247777642954</x:v>
      </x:c>
      <x:c r="AO235" s="48" t="n">
        <x:f>ABS(AM235)</x:f>
        <x:v>454.89450199102066</x:v>
      </x:c>
      <x:c r="AP235" s="48" t="n">
        <x:f>ABS(AN235)</x:f>
        <x:v>68.30247777642954</x:v>
      </x:c>
      <x:c r="AQ235" s="48" t="n">
        <x:f>IF(OR(Inputs!$C$27=TRUE,Inputs!$C$27="TRUE",Inputs!$C$27=1),Inputs!$C$46/Inputs!$C$12,0)</x:f>
        <x:v>42.13483146067416</x:v>
      </x:c>
      <x:c r="AR235" s="48" t="n">
        <x:f>AC235-AQ235</x:f>
        <x:v>3184.576586426715</x:v>
      </x:c>
      <x:c r="AS235" s="48" t="n">
        <x:f>AC235+AQ235</x:f>
        <x:v>3268.846249348064</x:v>
      </x:c>
    </x:row>
    <x:row r="236">
      <x:c r="A236" s="48" t="n">
        <x:f>Inputs!$C$7+234*(Inputs!$C$8-Inputs!$C$7)/240</x:f>
        <x:v>57</x:v>
      </x:c>
      <x:c r="B236" s="48" t="n">
        <x:f>Inputs!$C$5+Inputs!$C$9*(A236/Inputs!$C$10)^2</x:f>
        <x:v>403.61</x:v>
      </x:c>
      <x:c r="C236" s="48" t="n">
        <x:f>B236</x:f>
        <x:v>403.61</x:v>
      </x:c>
      <x:c r="D236" s="48" t="n">
        <x:f>SQRT((Inputs!$C$52+B236)^2+Inputs!$C$52^2-2*(Inputs!$C$52+B236)*Inputs!$C$52*COS(SQRT(A236^2+Inputs!$C$6^2)/Inputs!$C$52))</x:f>
        <x:v>409.60489550631854</x:v>
      </x:c>
      <x:c r="E236" s="48" t="n">
        <x:f>(D236-C236)*1000</x:f>
        <x:v>5994.895506318528</x:v>
      </x:c>
      <x:c r="F236" s="48" t="n">
        <x:f>E236/Inputs!$C$12</x:f>
        <x:v>3367.918823774454</x:v>
      </x:c>
      <x:c r="G236" s="48" t="n">
        <x:f>2*E236/Inputs!$C$21*1000000</x:f>
        <x:v>39.99363790745215</x:v>
      </x:c>
      <x:c r="H236" s="48" t="n">
        <x:f>SQRT(A236^2+Inputs!$C$6^2)</x:f>
        <x:v>62.24146527838174</x:v>
      </x:c>
      <x:c r="I236" s="48" t="n">
        <x:f>DEGREES(ATAN(H236/B236))</x:f>
        <x:v>8.766632366658216</x:v>
      </x:c>
      <x:c r="J236" s="48" t="n">
        <x:f>DEGREES((2*PI()/Inputs!$C$13)*Inputs!$C$15*SIN(RADIANS(I236)))</x:f>
        <x:v>54.86770468976069</x:v>
      </x:c>
      <x:c r="K236" s="48" t="n">
        <x:f>(C236/D236)^4</x:f>
        <x:v>0.9427295437414654</x:v>
      </x:c>
      <x:c r="L236" s="48" t="n">
        <x:f>10*LOG10(K236)</x:f>
        <x:v>-0.256128825623194</x:v>
      </x:c>
      <x:c r="M236" s="48" t="n">
        <x:f>2*(Inputs!$C$9/(Inputs!$C$10^2))*A236</x:f>
        <x:v>0.12666666666666668</x:v>
      </x:c>
      <x:c r="N236" s="48" t="n">
        <x:f>M236*Inputs!$C$11</x:f>
        <x:v>0.5066666666666667</x:v>
      </x:c>
      <x:c r="O236" s="48" t="n">
        <x:f>1000*(D237-D235)/(A237-A235)*Inputs!$C$11</x:f>
        <x:v>1201.1740155269308</x:v>
      </x:c>
      <x:c r="P236" s="48" t="n">
        <x:f>-2*O236/Inputs!$C$13</x:f>
        <x:v>-480.4696062107723</x:v>
      </x:c>
      <x:c r="Q236" s="48" t="n">
        <x:f>-2*O236/Inputs!$C$14</x:f>
        <x:v>-72.14258351513098</x:v>
      </x:c>
      <x:c r="R236" s="48" t="n">
        <x:f>F236-Inputs!$C$16/2</x:f>
        <x:v>3352.918823774454</x:v>
      </x:c>
      <x:c r="S236" s="48" t="n">
        <x:f>F236+Inputs!$C$16/2</x:f>
        <x:v>3382.918823774454</x:v>
      </x:c>
      <x:c r="T236" s="48" t="n">
        <x:f>F236-Inputs!$C$17/2</x:f>
        <x:v>3217.918823774454</x:v>
      </x:c>
      <x:c r="U236" s="48" t="n">
        <x:f>F236+Inputs!$C$17/2</x:f>
        <x:v>3517.918823774454</x:v>
      </x:c>
      <x:c r="V236" s="48" t="n">
        <x:f>ABS(P236)</x:f>
        <x:v>480.4696062107723</x:v>
      </x:c>
      <x:c r="W236" s="48" t="n">
        <x:f>ABS(Q236)</x:f>
        <x:v>72.14258351513098</x:v>
      </x:c>
      <x:c r="X236" s="48" t="n">
        <x: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(0.45*SIN(2*PI()*(((A236)/Inputs!$C$49)+Inputs!$C$47*0.137))+0.35*COS(2*PI()*(((0)/Inputs!$C$50)+Inputs!$C$47*0.173))+0.20*SIN(2*PI()*(((A236)+(0))/(0.5*(Inputs!$C$49+Inputs!$C$50))+Inputs!$C$47*0.097)))+0.30*(2*((SIN(((A236)*12.9898+(0)*78.233+Inputs!$C$47*37.719))*43758.5453)-INT((SIN(((A236)*12.9898+(0)*78.233+Inputs!$C$47*37.719))*43758.5453)))-1)))</x:f>
        <x:v>18.4135707545088</x:v>
      </x:c>
      <x:c r="Y236" s="48" t="n">
        <x: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(0.45*SIN(2*PI()*(((A236)/Inputs!$C$49)+Inputs!$C$47*0.137))+0.35*COS(2*PI()*(((Inputs!$C$6)/Inputs!$C$50)+Inputs!$C$47*0.173))+0.20*SIN(2*PI()*(((A236)+(Inputs!$C$6))/(0.5*(Inputs!$C$49+Inputs!$C$50))+Inputs!$C$47*0.097)))+0.30*(2*((SIN(((A236)*12.9898+(Inputs!$C$6)*78.233+Inputs!$C$47*37.719))*43758.5453)-INT((SIN(((A236)*12.9898+(Inputs!$C$6)*78.233+Inputs!$C$47*37.719))*43758.5453)))-1)))</x:f>
        <x:v>200.68454527158707</x:v>
      </x:c>
      <x:c r="Z236" s="48" t="n">
        <x:f>B236-X236/1000</x:f>
        <x:v>403.5915864292455</x:v>
      </x:c>
      <x:c r="AA236" s="48" t="n">
        <x:f>SQRT((Inputs!$C$52+B236)^2+(Inputs!$C$52+Y236/1000)^2-2*(Inputs!$C$52+B236)*(Inputs!$C$52+Y236/1000)*COS(SQRT(A236^2+Inputs!$C$6^2)/Inputs!$C$52))</x:f>
        <x:v>409.4079151090495</x:v>
      </x:c>
      <x:c r="AB236" s="48" t="n">
        <x:f>(AA236-Z236)*1000</x:f>
        <x:v>5816.3286798039735</x:v>
      </x:c>
      <x:c r="AC236" s="48" t="n">
        <x:f>AB236/Inputs!$C$12</x:f>
        <x:v>3267.600381912345</x:v>
      </x:c>
      <x:c r="AD236" s="48" t="n">
        <x:f>2*AB236/Inputs!$C$21*1000000</x:f>
        <x:v>38.80236826907749</x:v>
      </x:c>
      <x:c r="AE236" s="48" t="n">
        <x:f>DEGREES(ATAN(H236/(B236-Y236/1000)))</x:f>
        <x:v>8.770925716837477</x:v>
      </x:c>
      <x:c r="AF236" s="48" t="n">
        <x:f>DEGREES((2*PI()/Inputs!$C$13)*Inputs!$C$15*SIN(RADIANS(AE236)))</x:f>
        <x:v>54.89436529918362</x:v>
      </x:c>
      <x:c r="AG236" s="48" t="n">
        <x:f>(Z236/AA236)^4</x:f>
        <x:v>0.9443728164703866</x:v>
      </x:c>
      <x:c r="AH236" s="48" t="n">
        <x:f>10*LOG10(AG236)</x:f>
        <x:v>-0.248565224688078</x:v>
      </x:c>
      <x:c r="AI236" s="48" t="n">
        <x:f>AC236-F236</x:f>
        <x:v>-100.31844186210901</x:v>
      </x:c>
      <x:c r="AJ236" s="48" t="n">
        <x:f>AD236-G236</x:f>
        <x:v>-1.1912696383746564</x:v>
      </x:c>
      <x:c r="AK236" s="48" t="n">
        <x:f>Y236-X236</x:f>
        <x:v>182.27097451707826</x:v>
      </x:c>
      <x:c r="AL236" s="48" t="n">
        <x:f>1000*(AA237-AA235)/(A237-A235)*Inputs!$C$11</x:f>
        <x:v>1247.8598946695456</x:v>
      </x:c>
      <x:c r="AM236" s="48" t="n">
        <x:f>-2*AL236/Inputs!$C$13</x:f>
        <x:v>-499.14395786781824</x:v>
      </x:c>
      <x:c r="AN236" s="48" t="n">
        <x:f>-2*AL236/Inputs!$C$14</x:f>
        <x:v>-74.94654022039313</x:v>
      </x:c>
      <x:c r="AO236" s="48" t="n">
        <x:f>ABS(AM236)</x:f>
        <x:v>499.14395786781824</x:v>
      </x:c>
      <x:c r="AP236" s="48" t="n">
        <x:f>ABS(AN236)</x:f>
        <x:v>74.94654022039313</x:v>
      </x:c>
      <x:c r="AQ236" s="48" t="n">
        <x:f>IF(OR(Inputs!$C$27=TRUE,Inputs!$C$27="TRUE",Inputs!$C$27=1),Inputs!$C$46/Inputs!$C$12,0)</x:f>
        <x:v>42.13483146067416</x:v>
      </x:c>
      <x:c r="AR236" s="48" t="n">
        <x:f>AC236-AQ236</x:f>
        <x:v>3225.4655504516704</x:v>
      </x:c>
      <x:c r="AS236" s="48" t="n">
        <x:f>AC236+AQ236</x:f>
        <x:v>3309.735213373019</x:v>
      </x:c>
    </x:row>
    <x:row r="237">
      <x:c r="A237" s="48" t="n">
        <x:f>Inputs!$C$7+235*(Inputs!$C$8-Inputs!$C$7)/240</x:f>
        <x:v>57.5</x:v>
      </x:c>
      <x:c r="B237" s="48" t="n">
        <x:f>Inputs!$C$5+Inputs!$C$9*(A237/Inputs!$C$10)^2</x:f>
        <x:v>403.6736111111111</x:v>
      </x:c>
      <x:c r="C237" s="48" t="n">
        <x:f>B237</x:f>
        <x:v>403.6736111111111</x:v>
      </x:c>
      <x:c r="D237" s="48" t="n">
        <x:f>SQRT((Inputs!$C$52+B237)^2+Inputs!$C$52^2-2*(Inputs!$C$52+B237)*Inputs!$C$52*COS(SQRT(A237^2+Inputs!$C$6^2)/Inputs!$C$52))</x:f>
        <x:v>409.7556808259652</x:v>
      </x:c>
      <x:c r="E237" s="48" t="n">
        <x:f>(D237-C237)*1000</x:f>
        <x:v>6082.0697148541285</x:v>
      </x:c>
      <x:c r="F237" s="48" t="n">
        <x:f>E237/Inputs!$C$12</x:f>
        <x:v>3416.8930982326565</x:v>
      </x:c>
      <x:c r="G237" s="48" t="n">
        <x:f>2*E237/Inputs!$C$21*1000000</x:f>
        <x:v>40.575201627348</x:v>
      </x:c>
      <x:c r="H237" s="48" t="n">
        <x:f>SQRT(A237^2+Inputs!$C$6^2)</x:f>
        <x:v>62.69968101992226</x:v>
      </x:c>
      <x:c r="I237" s="48" t="n">
        <x:f>DEGREES(ATAN(H237/B237))</x:f>
        <x:v>8.828788473728661</x:v>
      </x:c>
      <x:c r="J237" s="48" t="n">
        <x:f>DEGREES((2*PI()/Inputs!$C$13)*Inputs!$C$15*SIN(RADIANS(I237)))</x:f>
        <x:v>55.25364812839616</x:v>
      </x:c>
      <x:c r="K237" s="48" t="n">
        <x:f>(C237/D237)^4</x:f>
        <x:v>0.9419362385433314</x:v>
      </x:c>
      <x:c r="L237" s="48" t="n">
        <x:f>10*LOG10(K237)</x:f>
        <x:v>-0.259784944321808</x:v>
      </x:c>
      <x:c r="M237" s="48" t="n">
        <x:f>2*(Inputs!$C$9/(Inputs!$C$10^2))*A237</x:f>
        <x:v>0.12777777777777777</x:v>
      </x:c>
      <x:c r="N237" s="48" t="n">
        <x:f>M237*Inputs!$C$11</x:f>
        <x:v>0.5111111111111111</x:v>
      </x:c>
      <x:c r="O237" s="48" t="n">
        <x:f>1000*(D238-D236)/(A238-A236)*Inputs!$C$11</x:f>
        <x:v>1211.38705600697</x:v>
      </x:c>
      <x:c r="P237" s="48" t="n">
        <x:f>-2*O237/Inputs!$C$13</x:f>
        <x:v>-484.554822402788</x:v>
      </x:c>
      <x:c r="Q237" s="48" t="n">
        <x:f>-2*O237/Inputs!$C$14</x:f>
        <x:v>-72.75597933975796</x:v>
      </x:c>
      <x:c r="R237" s="48" t="n">
        <x:f>F237-Inputs!$C$16/2</x:f>
        <x:v>3401.8930982326565</x:v>
      </x:c>
      <x:c r="S237" s="48" t="n">
        <x:f>F237+Inputs!$C$16/2</x:f>
        <x:v>3431.8930982326565</x:v>
      </x:c>
      <x:c r="T237" s="48" t="n">
        <x:f>F237-Inputs!$C$17/2</x:f>
        <x:v>3266.8930982326565</x:v>
      </x:c>
      <x:c r="U237" s="48" t="n">
        <x:f>F237+Inputs!$C$17/2</x:f>
        <x:v>3566.8930982326565</x:v>
      </x:c>
      <x:c r="V237" s="48" t="n">
        <x:f>ABS(P237)</x:f>
        <x:v>484.554822402788</x:v>
      </x:c>
      <x:c r="W237" s="48" t="n">
        <x:f>ABS(Q237)</x:f>
        <x:v>72.75597933975796</x:v>
      </x:c>
      <x:c r="X237" s="48" t="n">
        <x: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(0.45*SIN(2*PI()*(((A237)/Inputs!$C$49)+Inputs!$C$47*0.137))+0.35*COS(2*PI()*(((0)/Inputs!$C$50)+Inputs!$C$47*0.173))+0.20*SIN(2*PI()*(((A237)+(0))/(0.5*(Inputs!$C$49+Inputs!$C$50))+Inputs!$C$47*0.097)))+0.30*(2*((SIN(((A237)*12.9898+(0)*78.233+Inputs!$C$47*37.719))*43758.5453)-INT((SIN(((A237)*12.9898+(0)*78.233+Inputs!$C$47*37.719))*43758.5453)))-1)))</x:f>
        <x:v>25.968776223167485</x:v>
      </x:c>
      <x:c r="Y237" s="48" t="n">
        <x: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(0.45*SIN(2*PI()*(((A237)/Inputs!$C$49)+Inputs!$C$47*0.137))+0.35*COS(2*PI()*(((Inputs!$C$6)/Inputs!$C$50)+Inputs!$C$47*0.173))+0.20*SIN(2*PI()*(((A237)+(Inputs!$C$6))/(0.5*(Inputs!$C$49+Inputs!$C$50))+Inputs!$C$47*0.097)))+0.30*(2*((SIN(((A237)*12.9898+(Inputs!$C$6)*78.233+Inputs!$C$47*37.719))*43758.5453)-INT((SIN(((A237)*12.9898+(Inputs!$C$6)*78.233+Inputs!$C$47*37.719))*43758.5453)))-1)))</x:f>
        <x:v>178.2777126906697</x:v>
      </x:c>
      <x:c r="Z237" s="48" t="n">
        <x:f>B237-X237/1000</x:f>
        <x:v>403.6476423348879</x:v>
      </x:c>
      <x:c r="AA237" s="48" t="n">
        <x:f>SQRT((Inputs!$C$52+B237)^2+(Inputs!$C$52+Y237/1000)^2-2*(Inputs!$C$52+B237)*(Inputs!$C$52+Y237/1000)*COS(SQRT(A237^2+Inputs!$C$6^2)/Inputs!$C$52))</x:f>
        <x:v>409.5807403069166</x:v>
      </x:c>
      <x:c r="AB237" s="48" t="n">
        <x:f>(AA237-Z237)*1000</x:f>
        <x:v>5933.0979720286905</x:v>
      </x:c>
      <x:c r="AC237" s="48" t="n">
        <x:f>AB237/Inputs!$C$12</x:f>
        <x:v>3333.2011078812866</x:v>
      </x:c>
      <x:c r="AD237" s="48" t="n">
        <x:f>2*AB237/Inputs!$C$21*1000000</x:f>
        <x:v>39.58136913523482</x:v>
      </x:c>
      <x:c r="AE237" s="48" t="n">
        <x:f>DEGREES(ATAN(H237/(B237-Y237/1000)))</x:f>
        <x:v>8.832627831561567</x:v>
      </x:c>
      <x:c r="AF237" s="48" t="n">
        <x:f>DEGREES((2*PI()/Inputs!$C$13)*Inputs!$C$15*SIN(RADIANS(AE237)))</x:f>
        <x:v>55.27748557229335</x:v>
      </x:c>
      <x:c r="AG237" s="48" t="n">
        <x:f>(Z237/AA237)^4</x:f>
        <x:v>0.9433037785124574</x:v>
      </x:c>
      <x:c r="AH237" s="48" t="n">
        <x:f>10*LOG10(AG237)</x:f>
        <x:v>-0.253484259409838</x:v>
      </x:c>
      <x:c r="AI237" s="48" t="n">
        <x:f>AC237-F237</x:f>
        <x:v>-83.6919903513699</x:v>
      </x:c>
      <x:c r="AJ237" s="48" t="n">
        <x:f>AD237-G237</x:f>
        <x:v>-0.993832492113178</x:v>
      </x:c>
      <x:c r="AK237" s="48" t="n">
        <x:f>Y237-X237</x:f>
        <x:v>152.3089364675022</x:v>
      </x:c>
      <x:c r="AL237" s="48" t="n">
        <x:f>1000*(AA238-AA236)/(A238-A236)*Inputs!$C$11</x:f>
        <x:v>1235.9694377680626</x:v>
      </x:c>
      <x:c r="AM237" s="48" t="n">
        <x:f>-2*AL237/Inputs!$C$13</x:f>
        <x:v>-494.387775107225</x:v>
      </x:c>
      <x:c r="AN237" s="48" t="n">
        <x:f>-2*AL237/Inputs!$C$14</x:f>
        <x:v>-74.2323986647485</x:v>
      </x:c>
      <x:c r="AO237" s="48" t="n">
        <x:f>ABS(AM237)</x:f>
        <x:v>494.387775107225</x:v>
      </x:c>
      <x:c r="AP237" s="48" t="n">
        <x:f>ABS(AN237)</x:f>
        <x:v>74.2323986647485</x:v>
      </x:c>
      <x:c r="AQ237" s="48" t="n">
        <x:f>IF(OR(Inputs!$C$27=TRUE,Inputs!$C$27="TRUE",Inputs!$C$27=1),Inputs!$C$46/Inputs!$C$12,0)</x:f>
        <x:v>42.13483146067416</x:v>
      </x:c>
      <x:c r="AR237" s="48" t="n">
        <x:f>AC237-AQ237</x:f>
        <x:v>3291.066276420612</x:v>
      </x:c>
      <x:c r="AS237" s="48" t="n">
        <x:f>AC237+AQ237</x:f>
        <x:v>3375.335939341961</x:v>
      </x:c>
    </x:row>
    <x:row r="238">
      <x:c r="A238" s="48" t="n">
        <x:f>Inputs!$C$7+236*(Inputs!$C$8-Inputs!$C$7)/240</x:f>
        <x:v>58</x:v>
      </x:c>
      <x:c r="B238" s="48" t="n">
        <x:f>Inputs!$C$5+Inputs!$C$9*(A238/Inputs!$C$10)^2</x:f>
        <x:v>403.73777777777775</x:v>
      </x:c>
      <x:c r="C238" s="48" t="n">
        <x:f>B238</x:f>
        <x:v>403.73777777777775</x:v>
      </x:c>
      <x:c r="D238" s="48" t="n">
        <x:f>SQRT((Inputs!$C$52+B238)^2+Inputs!$C$52^2-2*(Inputs!$C$52+B238)*Inputs!$C$52*COS(SQRT(A238^2+Inputs!$C$6^2)/Inputs!$C$52))</x:f>
        <x:v>409.9077422703203</x:v>
      </x:c>
      <x:c r="E238" s="48" t="n">
        <x:f>(D238-C238)*1000</x:f>
        <x:v>6169.964492542533</x:v>
      </x:c>
      <x:c r="F238" s="48" t="n">
        <x:f>E238/Inputs!$C$12</x:f>
        <x:v>3466.2721868216477</x:v>
      </x:c>
      <x:c r="G238" s="48" t="n">
        <x:f>2*E238/Inputs!$C$21*1000000</x:f>
        <x:v>41.1615724671935</x:v>
      </x:c>
      <x:c r="H238" s="48" t="n">
        <x:f>SQRT(A238^2+Inputs!$C$6^2)</x:f>
        <x:v>63.15853069855251</x:v>
      </x:c>
      <x:c r="I238" s="48" t="n">
        <x:f>DEGREES(ATAN(H238/B238))</x:f>
        <x:v>8.890979841704603</x:v>
      </x:c>
      <x:c r="J238" s="48" t="n">
        <x:f>DEGREES((2*PI()/Inputs!$C$13)*Inputs!$C$15*SIN(RADIANS(I238)))</x:f>
        <x:v>55.639745430303066</x:v>
      </x:c>
      <x:c r="K238" s="48" t="n">
        <x:f>(C238/D238)^4</x:f>
        <x:v>0.9411374775137034</x:v>
      </x:c>
      <x:c r="L238" s="48" t="n">
        <x:f>10*LOG10(K238)</x:f>
        <x:v>-0.263469319770038</x:v>
      </x:c>
      <x:c r="M238" s="48" t="n">
        <x:f>2*(Inputs!$C$9/(Inputs!$C$10^2))*A238</x:f>
        <x:v>0.1288888888888889</x:v>
      </x:c>
      <x:c r="N238" s="48" t="n">
        <x:f>M238*Inputs!$C$11</x:f>
        <x:v>0.5155555555555555</x:v>
      </x:c>
      <x:c r="O238" s="48" t="n">
        <x:f>1000*(D239-D237)/(A239-A237)*Inputs!$C$11</x:f>
        <x:v>1221.5919830948678</x:v>
      </x:c>
      <x:c r="P238" s="48" t="n">
        <x:f>-2*O238/Inputs!$C$13</x:f>
        <x:v>-488.63679323794713</x:v>
      </x:c>
      <x:c r="Q238" s="48" t="n">
        <x:f>-2*O238/Inputs!$C$14</x:f>
        <x:v>-73.36888787356564</x:v>
      </x:c>
      <x:c r="R238" s="48" t="n">
        <x:f>F238-Inputs!$C$16/2</x:f>
        <x:v>3451.2721868216477</x:v>
      </x:c>
      <x:c r="S238" s="48" t="n">
        <x:f>F238+Inputs!$C$16/2</x:f>
        <x:v>3481.2721868216477</x:v>
      </x:c>
      <x:c r="T238" s="48" t="n">
        <x:f>F238-Inputs!$C$17/2</x:f>
        <x:v>3316.2721868216477</x:v>
      </x:c>
      <x:c r="U238" s="48" t="n">
        <x:f>F238+Inputs!$C$17/2</x:f>
        <x:v>3616.2721868216477</x:v>
      </x:c>
      <x:c r="V238" s="48" t="n">
        <x:f>ABS(P238)</x:f>
        <x:v>488.63679323794713</x:v>
      </x:c>
      <x:c r="W238" s="48" t="n">
        <x:f>ABS(Q238)</x:f>
        <x:v>73.36888787356564</x:v>
      </x:c>
      <x:c r="X238" s="48" t="n">
        <x: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(0.45*SIN(2*PI()*(((A238)/Inputs!$C$49)+Inputs!$C$47*0.137))+0.35*COS(2*PI()*(((0)/Inputs!$C$50)+Inputs!$C$47*0.173))+0.20*SIN(2*PI()*(((A238)+(0))/(0.5*(Inputs!$C$49+Inputs!$C$50))+Inputs!$C$47*0.097)))+0.30*(2*((SIN(((A238)*12.9898+(0)*78.233+Inputs!$C$47*37.719))*43758.5453)-INT((SIN(((A238)*12.9898+(0)*78.233+Inputs!$C$47*37.719))*43758.5453)))-1)))</x:f>
        <x:v>30.070182113253747</x:v>
      </x:c>
      <x:c r="Y238" s="48" t="n">
        <x: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(0.45*SIN(2*PI()*(((A238)/Inputs!$C$49)+Inputs!$C$47*0.137))+0.35*COS(2*PI()*(((Inputs!$C$6)/Inputs!$C$50)+Inputs!$C$47*0.173))+0.20*SIN(2*PI()*(((A238)+(Inputs!$C$6))/(0.5*(Inputs!$C$49+Inputs!$C$50))+Inputs!$C$47*0.097)))+0.30*(2*((SIN(((A238)*12.9898+(Inputs!$C$6)*78.233+Inputs!$C$47*37.719))*43758.5453)-INT((SIN(((A238)*12.9898+(Inputs!$C$6)*78.233+Inputs!$C$47*37.719))*43758.5453)))-1)))</x:f>
        <x:v>194.52778179385766</x:v>
      </x:c>
      <x:c r="Z238" s="48" t="n">
        <x:f>B238-X238/1000</x:f>
        <x:v>403.7077075956645</x:v>
      </x:c>
      <x:c r="AA238" s="48" t="n">
        <x:f>SQRT((Inputs!$C$52+B238)^2+(Inputs!$C$52+Y238/1000)^2-2*(Inputs!$C$52+B238)*(Inputs!$C$52+Y238/1000)*COS(SQRT(A238^2+Inputs!$C$6^2)/Inputs!$C$52))</x:f>
        <x:v>409.7169074684915</x:v>
      </x:c>
      <x:c r="AB238" s="48" t="n">
        <x:f>(AA238-Z238)*1000</x:f>
        <x:v>6009.1998728270255</x:v>
      </x:c>
      <x:c r="AC238" s="48" t="n">
        <x:f>AB238/Inputs!$C$12</x:f>
        <x:v>3375.954984734284</x:v>
      </x:c>
      <x:c r="AD238" s="48" t="n">
        <x:f>2*AB238/Inputs!$C$21*1000000</x:f>
        <x:v>40.08906636888794</x:v>
      </x:c>
      <x:c r="AE238" s="48" t="n">
        <x:f>DEGREES(ATAN(H238/(B238-Y238/1000)))</x:f>
        <x:v>8.89519721278091</x:v>
      </x:c>
      <x:c r="AF238" s="48" t="n">
        <x:f>DEGREES((2*PI()/Inputs!$C$13)*Inputs!$C$15*SIN(RADIANS(AE238)))</x:f>
        <x:v>55.6659254028286</x:v>
      </x:c>
      <x:c r="AG238" s="48" t="n">
        <x:f>(Z238/AA238)^4</x:f>
        <x:v>0.9426112530483113</x:v>
      </x:c>
      <x:c r="AH238" s="48" t="n">
        <x:f>10*LOG10(AG238)</x:f>
        <x:v>-0.256673798664166</x:v>
      </x:c>
      <x:c r="AI238" s="48" t="n">
        <x:f>AC238-F238</x:f>
        <x:v>-90.31720208736351</x:v>
      </x:c>
      <x:c r="AJ238" s="48" t="n">
        <x:f>AD238-G238</x:f>
        <x:v>-1.0725060983055599</x:v>
      </x:c>
      <x:c r="AK238" s="48" t="n">
        <x:f>Y238-X238</x:f>
        <x:v>164.45759968060392</x:v>
      </x:c>
      <x:c r="AL238" s="48" t="n">
        <x:f>1000*(AA239-AA237)/(A239-A237)*Inputs!$C$11</x:f>
        <x:v>1182.5271883449204</x:v>
      </x:c>
      <x:c r="AM238" s="48" t="n">
        <x:f>-2*AL238/Inputs!$C$13</x:f>
        <x:v>-473.0108753379682</x:v>
      </x:c>
      <x:c r="AN238" s="48" t="n">
        <x:f>-2*AL238/Inputs!$C$14</x:f>
        <x:v>-71.02265395464988</x:v>
      </x:c>
      <x:c r="AO238" s="48" t="n">
        <x:f>ABS(AM238)</x:f>
        <x:v>473.0108753379682</x:v>
      </x:c>
      <x:c r="AP238" s="48" t="n">
        <x:f>ABS(AN238)</x:f>
        <x:v>71.02265395464988</x:v>
      </x:c>
      <x:c r="AQ238" s="48" t="n">
        <x:f>IF(OR(Inputs!$C$27=TRUE,Inputs!$C$27="TRUE",Inputs!$C$27=1),Inputs!$C$46/Inputs!$C$12,0)</x:f>
        <x:v>42.13483146067416</x:v>
      </x:c>
      <x:c r="AR238" s="48" t="n">
        <x:f>AC238-AQ238</x:f>
        <x:v>3333.82015327361</x:v>
      </x:c>
      <x:c r="AS238" s="48" t="n">
        <x:f>AC238+AQ238</x:f>
        <x:v>3418.0898161949585</x:v>
      </x:c>
    </x:row>
    <x:row r="239">
      <x:c r="A239" s="48" t="n">
        <x:f>Inputs!$C$7+237*(Inputs!$C$8-Inputs!$C$7)/240</x:f>
        <x:v>58.5</x:v>
      </x:c>
      <x:c r="B239" s="48" t="n">
        <x:f>Inputs!$C$5+Inputs!$C$9*(A239/Inputs!$C$10)^2</x:f>
        <x:v>403.8025</x:v>
      </x:c>
      <x:c r="C239" s="48" t="n">
        <x:f>B239</x:f>
        <x:v>403.8025</x:v>
      </x:c>
      <x:c r="D239" s="48" t="n">
        <x:f>SQRT((Inputs!$C$52+B239)^2+Inputs!$C$52^2-2*(Inputs!$C$52+B239)*Inputs!$C$52*COS(SQRT(A239^2+Inputs!$C$6^2)/Inputs!$C$52))</x:f>
        <x:v>410.06107882173893</x:v>
      </x:c>
      <x:c r="E239" s="48" t="n">
        <x:f>(D239-C239)*1000</x:f>
        <x:v>6258.578821738922</x:v>
      </x:c>
      <x:c r="F239" s="48" t="n">
        <x:f>E239/Inputs!$C$12</x:f>
        <x:v>3516.055517830855</x:v>
      </x:c>
      <x:c r="G239" s="48" t="n">
        <x:f>2*E239/Inputs!$C$21*1000000</x:f>
        <x:v>41.7527436379932</x:v>
      </x:c>
      <x:c r="H239" s="48" t="n">
        <x:f>SQRT(A239^2+Inputs!$C$6^2)</x:f>
        <x:v>63.61800059731522</x:v>
      </x:c>
      <x:c r="I239" s="48" t="n">
        <x:f>DEGREES(ATAN(H239/B239))</x:f>
        <x:v>8.953204095149154</x:v>
      </x:c>
      <x:c r="J239" s="48" t="n">
        <x:f>DEGREES((2*PI()/Inputs!$C$13)*Inputs!$C$15*SIN(RADIANS(I239)))</x:f>
        <x:v>56.02598128601325</x:v>
      </x:c>
      <x:c r="K239" s="48" t="n">
        <x:f>(C239/D239)^4</x:f>
        <x:v>0.9403332952175725</x:v>
      </x:c>
      <x:c r="L239" s="48" t="n">
        <x:f>10*LOG10(K239)</x:f>
        <x:v>-0.267181861681228</x:v>
      </x:c>
      <x:c r="M239" s="48" t="n">
        <x:f>2*(Inputs!$C$9/(Inputs!$C$10^2))*A239</x:f>
        <x:v>0.13</x:v>
      </x:c>
      <x:c r="N239" s="48" t="n">
        <x:f>M239*Inputs!$C$11</x:f>
        <x:v>0.52</x:v>
      </x:c>
      <x:c r="O239" s="48" t="n">
        <x:f>1000*(D240-D238)/(A240-A238)*Inputs!$C$11</x:f>
        <x:v>1231.7887414533288</x:v>
      </x:c>
      <x:c r="P239" s="48" t="n">
        <x:f>-2*O239/Inputs!$C$13</x:f>
        <x:v>-492.71549658133154</x:v>
      </x:c>
      <x:c r="Q239" s="48" t="n">
        <x:f>-2*O239/Inputs!$C$14</x:f>
        <x:v>-73.98130579299273</x:v>
      </x:c>
      <x:c r="R239" s="48" t="n">
        <x:f>F239-Inputs!$C$16/2</x:f>
        <x:v>3501.055517830855</x:v>
      </x:c>
      <x:c r="S239" s="48" t="n">
        <x:f>F239+Inputs!$C$16/2</x:f>
        <x:v>3531.055517830855</x:v>
      </x:c>
      <x:c r="T239" s="48" t="n">
        <x:f>F239-Inputs!$C$17/2</x:f>
        <x:v>3366.055517830855</x:v>
      </x:c>
      <x:c r="U239" s="48" t="n">
        <x:f>F239+Inputs!$C$17/2</x:f>
        <x:v>3666.055517830855</x:v>
      </x:c>
      <x:c r="V239" s="48" t="n">
        <x:f>ABS(P239)</x:f>
        <x:v>492.71549658133154</x:v>
      </x:c>
      <x:c r="W239" s="48" t="n">
        <x:f>ABS(Q239)</x:f>
        <x:v>73.98130579299273</x:v>
      </x:c>
      <x:c r="X239" s="48" t="n">
        <x: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(0.45*SIN(2*PI()*(((A239)/Inputs!$C$49)+Inputs!$C$47*0.137))+0.35*COS(2*PI()*(((0)/Inputs!$C$50)+Inputs!$C$47*0.173))+0.20*SIN(2*PI()*(((A239)+(0))/(0.5*(Inputs!$C$49+Inputs!$C$50))+Inputs!$C$47*0.097)))+0.30*(2*((SIN(((A239)*12.9898+(0)*78.233+Inputs!$C$47*37.719))*43758.5453)-INT((SIN(((A239)*12.9898+(0)*78.233+Inputs!$C$47*37.719))*43758.5453)))-1)))</x:f>
        <x:v>28.425297518081656</x:v>
      </x:c>
      <x:c r="Y239" s="48" t="n">
        <x: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(0.45*SIN(2*PI()*(((A239)/Inputs!$C$49)+Inputs!$C$47*0.137))+0.35*COS(2*PI()*(((Inputs!$C$6)/Inputs!$C$50)+Inputs!$C$47*0.173))+0.20*SIN(2*PI()*(((A239)+(Inputs!$C$6))/(0.5*(Inputs!$C$49+Inputs!$C$50))+Inputs!$C$47*0.097)))+0.30*(2*((SIN(((A239)*12.9898+(Inputs!$C$6)*78.233+Inputs!$C$47*37.719))*43758.5453)-INT((SIN(((A239)*12.9898+(Inputs!$C$6)*78.233+Inputs!$C$47*37.719))*43758.5453)))-1)))</x:f>
        <x:v>188.33221875951745</x:v>
      </x:c>
      <x:c r="Z239" s="48" t="n">
        <x:f>B239-X239/1000</x:f>
        <x:v>403.7740747024819</x:v>
      </x:c>
      <x:c r="AA239" s="48" t="n">
        <x:f>SQRT((Inputs!$C$52+B239)^2+(Inputs!$C$52+Y239/1000)^2-2*(Inputs!$C$52+B239)*(Inputs!$C$52+Y239/1000)*COS(SQRT(A239^2+Inputs!$C$6^2)/Inputs!$C$52))</x:f>
        <x:v>409.8763721040028</x:v>
      </x:c>
      <x:c r="AB239" s="48" t="n">
        <x:f>(AA239-Z239)*1000</x:f>
        <x:v>6102.2974015209</x:v>
      </x:c>
      <x:c r="AC239" s="48" t="n">
        <x:f>AB239/Inputs!$C$12</x:f>
        <x:v>3428.256967146573</x:v>
      </x:c>
      <x:c r="AD239" s="48" t="n">
        <x:f>2*AB239/Inputs!$C$21*1000000</x:f>
        <x:v>40.71014622736707</x:v>
      </x:c>
      <x:c r="AE239" s="48" t="n">
        <x:f>DEGREES(ATAN(H239/(B239-Y239/1000)))</x:f>
        <x:v>8.95731406724814</x:v>
      </x:c>
      <x:c r="AF239" s="48" t="n">
        <x:f>DEGREES((2*PI()/Inputs!$C$13)*Inputs!$C$15*SIN(RADIANS(AE239)))</x:f>
        <x:v>56.05149021625788</x:v>
      </x:c>
      <x:c r="AG239" s="48" t="n">
        <x:f>(Z239/AA239)^4</x:f>
        <x:v>0.9417642236696917</x:v>
      </x:c>
      <x:c r="AH239" s="48" t="n">
        <x:f>10*LOG10(AG239)</x:f>
        <x:v>-0.2605781183124</x:v>
      </x:c>
      <x:c r="AI239" s="48" t="n">
        <x:f>AC239-F239</x:f>
        <x:v>-87.79855068428196</x:v>
      </x:c>
      <x:c r="AJ239" s="48" t="n">
        <x:f>AD239-G239</x:f>
        <x:v>-1.0425974106261293</x:v>
      </x:c>
      <x:c r="AK239" s="48" t="n">
        <x:f>Y239-X239</x:f>
        <x:v>159.90692124143578</x:v>
      </x:c>
      <x:c r="AL239" s="48" t="n">
        <x:f>1000*(AA240-AA238)/(A240-A238)*Inputs!$C$11</x:f>
        <x:v>1235.2919823920274</x:v>
      </x:c>
      <x:c r="AM239" s="48" t="n">
        <x:f>-2*AL239/Inputs!$C$13</x:f>
        <x:v>-494.11679295681097</x:v>
      </x:c>
      <x:c r="AN239" s="48" t="n">
        <x:f>-2*AL239/Inputs!$C$14</x:f>
        <x:v>-74.19171065417582</x:v>
      </x:c>
      <x:c r="AO239" s="48" t="n">
        <x:f>ABS(AM239)</x:f>
        <x:v>494.11679295681097</x:v>
      </x:c>
      <x:c r="AP239" s="48" t="n">
        <x:f>ABS(AN239)</x:f>
        <x:v>74.19171065417582</x:v>
      </x:c>
      <x:c r="AQ239" s="48" t="n">
        <x:f>IF(OR(Inputs!$C$27=TRUE,Inputs!$C$27="TRUE",Inputs!$C$27=1),Inputs!$C$46/Inputs!$C$12,0)</x:f>
        <x:v>42.13483146067416</x:v>
      </x:c>
      <x:c r="AR239" s="48" t="n">
        <x:f>AC239-AQ239</x:f>
        <x:v>3386.1221356858987</x:v>
      </x:c>
      <x:c r="AS239" s="48" t="n">
        <x:f>AC239+AQ239</x:f>
        <x:v>3470.3917986072474</x:v>
      </x:c>
    </x:row>
    <x:row r="240">
      <x:c r="A240" s="48" t="n">
        <x:f>Inputs!$C$7+238*(Inputs!$C$8-Inputs!$C$7)/240</x:f>
        <x:v>59</x:v>
      </x:c>
      <x:c r="B240" s="48" t="n">
        <x:f>Inputs!$C$5+Inputs!$C$9*(A240/Inputs!$C$10)^2</x:f>
        <x:v>403.8677777777778</x:v>
      </x:c>
      <x:c r="C240" s="48" t="n">
        <x:f>B240</x:f>
        <x:v>403.8677777777778</x:v>
      </x:c>
      <x:c r="D240" s="48" t="n">
        <x:f>SQRT((Inputs!$C$52+B240)^2+Inputs!$C$52^2-2*(Inputs!$C$52+B240)*Inputs!$C$52*COS(SQRT(A240^2+Inputs!$C$6^2)/Inputs!$C$52))</x:f>
        <x:v>410.2156894556836</x:v>
      </x:c>
      <x:c r="E240" s="48" t="n">
        <x:f>(D240-C240)*1000</x:f>
        <x:v>6347.911677905813</x:v>
      </x:c>
      <x:c r="F240" s="48" t="n">
        <x:f>E240/Inputs!$C$12</x:f>
        <x:v>3566.242515677423</x:v>
      </x:c>
      <x:c r="G240" s="48" t="n">
        <x:f>2*E240/Inputs!$C$21*1000000</x:f>
        <x:v>42.348708304768714</x:v>
      </x:c>
      <x:c r="H240" s="48" t="n">
        <x:f>SQRT(A240^2+Inputs!$C$6^2)</x:f>
        <x:v>64.07807737440318</x:v>
      </x:c>
      <x:c r="I240" s="48" t="n">
        <x:f>DEGREES(ATAN(H240/B240))</x:f>
        <x:v>9.015458913989574</x:v>
      </x:c>
      <x:c r="J240" s="48" t="n">
        <x:f>DEGREES((2*PI()/Inputs!$C$13)*Inputs!$C$15*SIN(RADIANS(I240)))</x:f>
        <x:v>56.41234073822082</x:v>
      </x:c>
      <x:c r="K240" s="48" t="n">
        <x:f>(C240/D240)^4</x:f>
        <x:v>0.9395237263655014</x:v>
      </x:c>
      <x:c r="L240" s="48" t="n">
        <x:f>10*LOG10(K240)</x:f>
        <x:v>-0.270922479216224</x:v>
      </x:c>
      <x:c r="M240" s="48" t="n">
        <x:f>2*(Inputs!$C$9/(Inputs!$C$10^2))*A240</x:f>
        <x:v>0.13111111111111112</x:v>
      </x:c>
      <x:c r="N240" s="48" t="n">
        <x:f>M240*Inputs!$C$11</x:f>
        <x:v>0.5244444444444445</x:v>
      </x:c>
      <x:c r="O240" s="48" t="n">
        <x:f>1000*(D241-D239)/(A241-A239)*Inputs!$C$11</x:f>
        <x:v>1241.977276069747</x:v>
      </x:c>
      <x:c r="P240" s="48" t="n">
        <x:f>-2*O240/Inputs!$C$13</x:f>
        <x:v>-496.7909104278988</x:v>
      </x:c>
      <x:c r="Q240" s="48" t="n">
        <x:f>-2*O240/Inputs!$C$14</x:f>
        <x:v>-74.59322979397881</x:v>
      </x:c>
      <x:c r="R240" s="48" t="n">
        <x:f>F240-Inputs!$C$16/2</x:f>
        <x:v>3551.242515677423</x:v>
      </x:c>
      <x:c r="S240" s="48" t="n">
        <x:f>F240+Inputs!$C$16/2</x:f>
        <x:v>3581.242515677423</x:v>
      </x:c>
      <x:c r="T240" s="48" t="n">
        <x:f>F240-Inputs!$C$17/2</x:f>
        <x:v>3416.242515677423</x:v>
      </x:c>
      <x:c r="U240" s="48" t="n">
        <x:f>F240+Inputs!$C$17/2</x:f>
        <x:v>3716.242515677423</x:v>
      </x:c>
      <x:c r="V240" s="48" t="n">
        <x:f>ABS(P240)</x:f>
        <x:v>496.7909104278988</x:v>
      </x:c>
      <x:c r="W240" s="48" t="n">
        <x:f>ABS(Q240)</x:f>
        <x:v>74.59322979397881</x:v>
      </x:c>
      <x:c r="X240" s="48" t="n">
        <x: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(0.45*SIN(2*PI()*(((A240)/Inputs!$C$49)+Inputs!$C$47*0.137))+0.35*COS(2*PI()*(((0)/Inputs!$C$50)+Inputs!$C$47*0.173))+0.20*SIN(2*PI()*(((A240)+(0))/(0.5*(Inputs!$C$49+Inputs!$C$50))+Inputs!$C$47*0.097)))+0.30*(2*((SIN(((A240)*12.9898+(0)*78.233+Inputs!$C$47*37.719))*43758.5453)-INT((SIN(((A240)*12.9898+(0)*78.233+Inputs!$C$47*37.719))*43758.5453)))-1)))</x:f>
        <x:v>25.687015205000044</x:v>
      </x:c>
      <x:c r="Y240" s="48" t="n">
        <x: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(0.45*SIN(2*PI()*(((A240)/Inputs!$C$49)+Inputs!$C$47*0.137))+0.35*COS(2*PI()*(((Inputs!$C$6)/Inputs!$C$50)+Inputs!$C$47*0.173))+0.20*SIN(2*PI()*(((A240)+(Inputs!$C$6))/(0.5*(Inputs!$C$49+Inputs!$C$50))+Inputs!$C$47*0.097)))+0.30*(2*((SIN(((A240)*12.9898+(Inputs!$C$6)*78.233+Inputs!$C$47*37.719))*43758.5453)-INT((SIN(((A240)*12.9898+(Inputs!$C$6)*78.233+Inputs!$C$47*37.719))*43758.5453)))-1)))</x:f>
        <x:v>193.74067782731254</x:v>
      </x:c>
      <x:c r="Z240" s="48" t="n">
        <x:f>B240-X240/1000</x:f>
        <x:v>403.8420907625728</x:v>
      </x:c>
      <x:c r="AA240" s="48" t="n">
        <x:f>SQRT((Inputs!$C$52+B240)^2+(Inputs!$C$52+Y240/1000)^2-2*(Inputs!$C$52+B240)*(Inputs!$C$52+Y240/1000)*COS(SQRT(A240^2+Inputs!$C$6^2)/Inputs!$C$52))</x:f>
        <x:v>410.0257304640895</x:v>
      </x:c>
      <x:c r="AB240" s="48" t="n">
        <x:f>(AA240-Z240)*1000</x:f>
        <x:v>6183.639701516711</x:v>
      </x:c>
      <x:c r="AC240" s="48" t="n">
        <x:f>AB240/Inputs!$C$12</x:f>
        <x:v>3473.9548884925343</x:v>
      </x:c>
      <x:c r="AD240" s="48" t="n">
        <x:f>2*AB240/Inputs!$C$21*1000000</x:f>
        <x:v>41.25280364135586</x:v>
      </x:c>
      <x:c r="AE240" s="48" t="n">
        <x:f>DEGREES(ATAN(H240/(B240-Y240/1000)))</x:f>
        <x:v>9.01971470685204</x:v>
      </x:c>
      <x:c r="AF240" s="48" t="n">
        <x:f>DEGREES((2*PI()/Inputs!$C$13)*Inputs!$C$15*SIN(RADIANS(AE240)))</x:f>
        <x:v>56.438750175202955</x:v>
      </x:c>
      <x:c r="AG240" s="48" t="n">
        <x:f>(Z240/AA240)^4</x:f>
        <x:v>0.941026562904671</x:v>
      </x:c>
      <x:c r="AH240" s="48" t="n">
        <x:f>10*LOG10(AG240)</x:f>
        <x:v>-0.263981173165242</x:v>
      </x:c>
      <x:c r="AI240" s="48" t="n">
        <x:f>AC240-F240</x:f>
        <x:v>-92.2876271848886</x:v>
      </x:c>
      <x:c r="AJ240" s="48" t="n">
        <x:f>AD240-G240</x:f>
        <x:v>-1.0959046634128526</x:v>
      </x:c>
      <x:c r="AK240" s="48" t="n">
        <x:f>Y240-X240</x:f>
        <x:v>168.0536626223125</x:v>
      </x:c>
      <x:c r="AL240" s="48" t="n">
        <x:f>1000*(AA241-AA239)/(A241-A239)*Inputs!$C$11</x:f>
        <x:v>1318.2635307380224</x:v>
      </x:c>
      <x:c r="AM240" s="48" t="n">
        <x:f>-2*AL240/Inputs!$C$13</x:f>
        <x:v>-527.305412295209</x:v>
      </x:c>
      <x:c r="AN240" s="48" t="n">
        <x:f>-2*AL240/Inputs!$C$14</x:f>
        <x:v>-79.17498683111246</x:v>
      </x:c>
      <x:c r="AO240" s="48" t="n">
        <x:f>ABS(AM240)</x:f>
        <x:v>527.305412295209</x:v>
      </x:c>
      <x:c r="AP240" s="48" t="n">
        <x:f>ABS(AN240)</x:f>
        <x:v>79.17498683111246</x:v>
      </x:c>
      <x:c r="AQ240" s="48" t="n">
        <x:f>IF(OR(Inputs!$C$27=TRUE,Inputs!$C$27="TRUE",Inputs!$C$27=1),Inputs!$C$46/Inputs!$C$12,0)</x:f>
        <x:v>42.13483146067416</x:v>
      </x:c>
      <x:c r="AR240" s="48" t="n">
        <x:f>AC240-AQ240</x:f>
        <x:v>3431.82005703186</x:v>
      </x:c>
      <x:c r="AS240" s="48" t="n">
        <x:f>AC240+AQ240</x:f>
        <x:v>3516.0897199532087</x:v>
      </x:c>
    </x:row>
    <x:row r="241">
      <x:c r="A241" s="48" t="n">
        <x:f>Inputs!$C$7+239*(Inputs!$C$8-Inputs!$C$7)/240</x:f>
        <x:v>59.5</x:v>
      </x:c>
      <x:c r="B241" s="48" t="n">
        <x:f>Inputs!$C$5+Inputs!$C$9*(A241/Inputs!$C$10)^2</x:f>
        <x:v>403.93361111111113</x:v>
      </x:c>
      <x:c r="C241" s="48" t="n">
        <x:f>B241</x:f>
        <x:v>403.93361111111113</x:v>
      </x:c>
      <x:c r="D241" s="48" t="n">
        <x:f>SQRT((Inputs!$C$52+B241)^2+Inputs!$C$52^2-2*(Inputs!$C$52+B241)*Inputs!$C$52*COS(SQRT(A241^2+Inputs!$C$6^2)/Inputs!$C$52))</x:f>
        <x:v>410.37157314075637</x:v>
      </x:c>
      <x:c r="E241" s="48" t="n">
        <x:f>(D241-C241)*1000</x:f>
        <x:v>6437.962029645234</x:v>
      </x:c>
      <x:c r="F241" s="48" t="n">
        <x:f>E241/Inputs!$C$12</x:f>
        <x:v>3616.8326009242887</x:v>
      </x:c>
      <x:c r="G241" s="48" t="n">
        <x:f>2*E241/Inputs!$C$21*1000000</x:f>
        <x:v>42.94945958677342</x:v>
      </x:c>
      <x:c r="H241" s="48" t="n">
        <x:f>SQRT(A241^2+Inputs!$C$6^2)</x:f>
        <x:v>64.53874805107394</x:v>
      </x:c>
      <x:c r="I241" s="48" t="n">
        <x:f>DEGREES(ATAN(H241/B241))</x:f>
        <x:v>9.07774203179775</x:v>
      </x:c>
      <x:c r="J241" s="48" t="n">
        <x:f>DEGREES((2*PI()/Inputs!$C$13)*Inputs!$C$15*SIN(RADIANS(I241)))</x:f>
        <x:v>56.79880917100207</x:v>
      </x:c>
      <x:c r="K241" s="48" t="n">
        <x:f>(C241/D241)^4</x:f>
        <x:v>0.9387088058105011</x:v>
      </x:c>
      <x:c r="L241" s="48" t="n">
        <x:f>10*LOG10(K241)</x:f>
        <x:v>-0.274691080988063</x:v>
      </x:c>
      <x:c r="M241" s="48" t="n">
        <x:f>2*(Inputs!$C$9/(Inputs!$C$10^2))*A241</x:f>
        <x:v>0.1322222222222222</x:v>
      </x:c>
      <x:c r="N241" s="48" t="n">
        <x:f>M241*Inputs!$C$11</x:f>
        <x:v>0.5288888888888889</x:v>
      </x:c>
      <x:c r="O241" s="48" t="n">
        <x:f>1000*(D242-D240)/(A242-A240)*Inputs!$C$11</x:f>
        <x:v>1252.157532299634</x:v>
      </x:c>
      <x:c r="P241" s="48" t="n">
        <x:f>-2*O241/Inputs!$C$13</x:f>
        <x:v>-500.86301291985365</x:v>
      </x:c>
      <x:c r="Q241" s="48" t="n">
        <x:f>-2*O241/Inputs!$C$14</x:f>
        <x:v>-75.20465659457263</x:v>
      </x:c>
      <x:c r="R241" s="48" t="n">
        <x:f>F241-Inputs!$C$16/2</x:f>
        <x:v>3601.8326009242887</x:v>
      </x:c>
      <x:c r="S241" s="48" t="n">
        <x:f>F241+Inputs!$C$16/2</x:f>
        <x:v>3631.8326009242887</x:v>
      </x:c>
      <x:c r="T241" s="48" t="n">
        <x:f>F241-Inputs!$C$17/2</x:f>
        <x:v>3466.8326009242887</x:v>
      </x:c>
      <x:c r="U241" s="48" t="n">
        <x:f>F241+Inputs!$C$17/2</x:f>
        <x:v>3766.8326009242887</x:v>
      </x:c>
      <x:c r="V241" s="48" t="n">
        <x:f>ABS(P241)</x:f>
        <x:v>500.86301291985365</x:v>
      </x:c>
      <x:c r="W241" s="48" t="n">
        <x:f>ABS(Q241)</x:f>
        <x:v>75.20465659457263</x:v>
      </x:c>
      <x:c r="X241" s="48" t="n">
        <x: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(0.45*SIN(2*PI()*(((A241)/Inputs!$C$49)+Inputs!$C$47*0.137))+0.35*COS(2*PI()*(((0)/Inputs!$C$50)+Inputs!$C$47*0.173))+0.20*SIN(2*PI()*(((A241)+(0))/(0.5*(Inputs!$C$49+Inputs!$C$50))+Inputs!$C$47*0.097)))+0.30*(2*((SIN(((A241)*12.9898+(0)*78.233+Inputs!$C$47*37.719))*43758.5453)-INT((SIN(((A241)*12.9898+(0)*78.233+Inputs!$C$47*37.719))*43758.5453)))-1)))</x:f>
        <x:v>45.681577079364786</x:v>
      </x:c>
      <x:c r="Y241" s="48" t="n">
        <x: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(0.45*SIN(2*PI()*(((A241)/Inputs!$C$49)+Inputs!$C$47*0.137))+0.35*COS(2*PI()*(((Inputs!$C$6)/Inputs!$C$50)+Inputs!$C$47*0.173))+0.20*SIN(2*PI()*(((A241)+(Inputs!$C$6))/(0.5*(Inputs!$C$49+Inputs!$C$50))+Inputs!$C$47*0.097)))+0.30*(2*((SIN(((A241)*12.9898+(Inputs!$C$6)*78.233+Inputs!$C$47*37.719))*43758.5453)-INT((SIN(((A241)*12.9898+(Inputs!$C$6)*78.233+Inputs!$C$47*37.719))*43758.5453)))-1)))</x:f>
        <x:v>168.97901642333537</x:v>
      </x:c>
      <x:c r="Z241" s="48" t="n">
        <x:f>B241-X241/1000</x:f>
        <x:v>403.88792953403174</x:v>
      </x:c>
      <x:c r="AA241" s="48" t="n">
        <x:f>SQRT((Inputs!$C$52+B241)^2+(Inputs!$C$52+Y241/1000)^2-2*(Inputs!$C$52+B241)*(Inputs!$C$52+Y241/1000)*COS(SQRT(A241^2+Inputs!$C$6^2)/Inputs!$C$52))</x:f>
        <x:v>410.20593798668733</x:v>
      </x:c>
      <x:c r="AB241" s="48" t="n">
        <x:f>(AA241-Z241)*1000</x:f>
        <x:v>6318.00845265559</x:v>
      </x:c>
      <x:c r="AC241" s="48" t="n">
        <x:f>AB241/Inputs!$C$12</x:f>
        <x:v>3549.4429509301067</x:v>
      </x:c>
      <x:c r="AD241" s="48" t="n">
        <x:f>2*AB241/Inputs!$C$21*1000000</x:f>
        <x:v>42.14921545928677</x:v>
      </x:c>
      <x:c r="AE241" s="48" t="n">
        <x:f>DEGREES(ATAN(H241/(B241-Y241/1000)))</x:f>
        <x:v>9.081477848214389</x:v>
      </x:c>
      <x:c r="AF241" s="48" t="n">
        <x:f>DEGREES((2*PI()/Inputs!$C$13)*Inputs!$C$15*SIN(RADIANS(AE241)))</x:f>
        <x:v>56.82198788396664</x:v>
      </x:c>
      <x:c r="AG241" s="48" t="n">
        <x:f>(Z241/AA241)^4</x:f>
        <x:v>0.9398006166835959</x:v>
      </x:c>
      <x:c r="AH241" s="48" t="n">
        <x:f>10*LOG10(AG241)</x:f>
        <x:v>-0.269642743352047</x:v>
      </x:c>
      <x:c r="AI241" s="48" t="n">
        <x:f>AC241-F241</x:f>
        <x:v>-67.38964999418204</x:v>
      </x:c>
      <x:c r="AJ241" s="48" t="n">
        <x:f>AD241-G241</x:f>
        <x:v>-0.8002441274866499</x:v>
      </x:c>
      <x:c r="AK241" s="48" t="n">
        <x:f>Y241-X241</x:f>
        <x:v>123.29743934397058</x:v>
      </x:c>
      <x:c r="AL241" s="48" t="n">
        <x:f>1000*(AA242-AA240)/(A242-A240)*Inputs!$C$11</x:f>
        <x:v>1308.9895471791806</x:v>
      </x:c>
      <x:c r="AM241" s="48" t="n">
        <x:f>-2*AL241/Inputs!$C$13</x:f>
        <x:v>-523.5958188716722</x:v>
      </x:c>
      <x:c r="AN241" s="48" t="n">
        <x:f>-2*AL241/Inputs!$C$14</x:f>
        <x:v>-78.61799082157242</x:v>
      </x:c>
      <x:c r="AO241" s="48" t="n">
        <x:f>ABS(AM241)</x:f>
        <x:v>523.5958188716722</x:v>
      </x:c>
      <x:c r="AP241" s="48" t="n">
        <x:f>ABS(AN241)</x:f>
        <x:v>78.61799082157242</x:v>
      </x:c>
      <x:c r="AQ241" s="48" t="n">
        <x:f>IF(OR(Inputs!$C$27=TRUE,Inputs!$C$27="TRUE",Inputs!$C$27=1),Inputs!$C$46/Inputs!$C$12,0)</x:f>
        <x:v>42.13483146067416</x:v>
      </x:c>
      <x:c r="AR241" s="48" t="n">
        <x:f>AC241-AQ241</x:f>
        <x:v>3507.3081194694323</x:v>
      </x:c>
      <x:c r="AS241" s="48" t="n">
        <x:f>AC241+AQ241</x:f>
        <x:v>3591.577782390781</x:v>
      </x:c>
    </x:row>
    <x:row r="242">
      <x:c r="A242" s="48" t="n">
        <x:f>Inputs!$C$7+240*(Inputs!$C$8-Inputs!$C$7)/240</x:f>
        <x:v>60</x:v>
      </x:c>
      <x:c r="B242" s="48" t="n">
        <x:f>Inputs!$C$5+Inputs!$C$9*(A242/Inputs!$C$10)^2</x:f>
        <x:v>404</x:v>
      </x:c>
      <x:c r="C242" s="48" t="n">
        <x:f>B242</x:f>
        <x:v>404</x:v>
      </x:c>
      <x:c r="D242" s="48" t="n">
        <x:f>SQRT((Inputs!$C$52+B242)^2+Inputs!$C$52^2-2*(Inputs!$C$52+B242)*Inputs!$C$52*COS(SQRT(A242^2+Inputs!$C$6^2)/Inputs!$C$52))</x:f>
        <x:v>410.5287288387585</x:v>
      </x:c>
      <x:c r="E242" s="48" t="n">
        <x:f>(D242-C242)*1000</x:f>
        <x:v>6528.728838758525</x:v>
      </x:c>
      <x:c r="F242" s="48" t="n">
        <x:f>E242/Inputs!$C$12</x:f>
        <x:v>3667.825190313778</x:v>
      </x:c>
      <x:c r="G242" s="48" t="n">
        <x:f>2*E242/Inputs!$C$21*1000000</x:f>
        <x:v>43.55499055789139</x:v>
      </x:c>
      <x:c r="H242" s="48" t="n">
        <x:f>SQRT(A242^2+Inputs!$C$6^2)</x:f>
        <x:v>65</x:v>
      </x:c>
      <x:c r="I242" s="48" t="n">
        <x:f>DEGREES(ATAN(H242/B242))</x:f>
        <x:v>9.14005123413285</x:v>
      </x:c>
      <x:c r="J242" s="48" t="n">
        <x:f>DEGREES((2*PI()/Inputs!$C$13)*Inputs!$C$15*SIN(RADIANS(I242)))</x:f>
        <x:v>57.185372299425126</x:v>
      </x:c>
      <x:c r="K242" s="48" t="n">
        <x:f>(C242/D242)^4</x:f>
        <x:v>0.9378885685446497</x:v>
      </x:c>
      <x:c r="L242" s="48" t="n">
        <x:f>10*LOG10(K242)</x:f>
        <x:v>-0.27848757506786603</x:v>
      </x:c>
      <x:c r="M242" s="48" t="n">
        <x:f>2*(Inputs!$C$9/(Inputs!$C$10^2))*A242</x:f>
        <x:v>0.13333333333333333</x:v>
      </x:c>
      <x:c r="N242" s="48" t="n">
        <x:f>M242*Inputs!$C$11</x:f>
        <x:v>0.5333333333333333</x:v>
      </x:c>
      <x:c r="O242" s="48" t="n">
        <x:f>1000*(D242-D241)/(A242-A241)*Inputs!$C$11</x:f>
        <x:v>1257.2455840172552</x:v>
      </x:c>
      <x:c r="P242" s="48" t="n">
        <x:f>-2*O242/Inputs!$C$13</x:f>
        <x:v>-502.89823360690207</x:v>
      </x:c>
      <x:c r="Q242" s="48" t="n">
        <x:f>-2*O242/Inputs!$C$14</x:f>
        <x:v>-75.51024528632163</x:v>
      </x:c>
      <x:c r="R242" s="48" t="n">
        <x:f>F242-Inputs!$C$16/2</x:f>
        <x:v>3652.825190313778</x:v>
      </x:c>
      <x:c r="S242" s="48" t="n">
        <x:f>F242+Inputs!$C$16/2</x:f>
        <x:v>3682.825190313778</x:v>
      </x:c>
      <x:c r="T242" s="48" t="n">
        <x:f>F242-Inputs!$C$17/2</x:f>
        <x:v>3517.825190313778</x:v>
      </x:c>
      <x:c r="U242" s="48" t="n">
        <x:f>F242+Inputs!$C$17/2</x:f>
        <x:v>3817.825190313778</x:v>
      </x:c>
      <x:c r="V242" s="48" t="n">
        <x:f>ABS(P242)</x:f>
        <x:v>502.89823360690207</x:v>
      </x:c>
      <x:c r="W242" s="48" t="n">
        <x:f>ABS(Q242)</x:f>
        <x:v>75.51024528632163</x:v>
      </x:c>
      <x:c r="X242" s="48" t="n">
        <x: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(0.45*SIN(2*PI()*(((A242)/Inputs!$C$49)+Inputs!$C$47*0.137))+0.35*COS(2*PI()*(((0)/Inputs!$C$50)+Inputs!$C$47*0.173))+0.20*SIN(2*PI()*(((A242)+(0))/(0.5*(Inputs!$C$49+Inputs!$C$50))+Inputs!$C$47*0.097)))+0.30*(2*((SIN(((A242)*12.9898+(0)*78.233+Inputs!$C$47*37.719))*43758.5453)-INT((SIN(((A242)*12.9898+(0)*78.233+Inputs!$C$47*37.719))*43758.5453)))-1)))</x:f>
        <x:v>31.89413090916895</x:v>
      </x:c>
      <x:c r="Y242" s="48" t="n">
        <x: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(0.45*SIN(2*PI()*(((A242)/Inputs!$C$49)+Inputs!$C$47*0.137))+0.35*COS(2*PI()*(((Inputs!$C$6)/Inputs!$C$50)+Inputs!$C$47*0.173))+0.20*SIN(2*PI()*(((A242)+(Inputs!$C$6))/(0.5*(Inputs!$C$49+Inputs!$C$50))+Inputs!$C$47*0.097)))+0.30*(2*((SIN(((A242)*12.9898+(Inputs!$C$6)*78.233+Inputs!$C$47*37.719))*43758.5453)-INT((SIN(((A242)*12.9898+(Inputs!$C$6)*78.233+Inputs!$C$47*37.719))*43758.5453)))-1)))</x:f>
        <x:v>179.34901119414707</x:v>
      </x:c>
      <x:c r="Z242" s="48" t="n">
        <x:f>B242-X242/1000</x:f>
        <x:v>403.96810586909083</x:v>
      </x:c>
      <x:c r="AA242" s="48" t="n">
        <x:f>SQRT((Inputs!$C$52+B242)^2+(Inputs!$C$52+Y242/1000)^2-2*(Inputs!$C$52+B242)*(Inputs!$C$52+Y242/1000)*COS(SQRT(A242^2+Inputs!$C$6^2)/Inputs!$C$52))</x:f>
        <x:v>410.3529778508843</x:v>
      </x:c>
      <x:c r="AB242" s="48" t="n">
        <x:f>(AA242-Z242)*1000</x:f>
        <x:v>6384.871981793481</x:v>
      </x:c>
      <x:c r="AC242" s="48" t="n">
        <x:f>AB242/Inputs!$C$12</x:f>
        <x:v>3587.006731344652</x:v>
      </x:c>
      <x:c r="AD242" s="48" t="n">
        <x:f>2*AB242/Inputs!$C$21*1000000</x:f>
        <x:v>42.595280911259486</x:v>
      </x:c>
      <x:c r="AE242" s="48" t="n">
        <x:f>DEGREES(ATAN(H242/(B242-Y242/1000)))</x:f>
        <x:v>9.144042044938944</x:v>
      </x:c>
      <x:c r="AF242" s="48" t="n">
        <x:f>DEGREES((2*PI()/Inputs!$C$13)*Inputs!$C$15*SIN(RADIANS(AE242)))</x:f>
        <x:v>57.21012878740839</x:v>
      </x:c>
      <x:c r="AG242" s="48" t="n">
        <x:f>(Z242/AA242)^4</x:f>
        <x:v>0.9391997202980175</x:v>
      </x:c>
      <x:c r="AH242" s="48" t="n">
        <x:f>10*LOG10(AG242)</x:f>
        <x:v>-0.27242045433178896</x:v>
      </x:c>
      <x:c r="AI242" s="48" t="n">
        <x:f>AC242-F242</x:f>
        <x:v>-80.81845896912591</x:v>
      </x:c>
      <x:c r="AJ242" s="48" t="n">
        <x:f>AD242-G242</x:f>
        <x:v>-0.9597096466319002</x:v>
      </x:c>
      <x:c r="AK242" s="48" t="n">
        <x:f>Y242-X242</x:f>
        <x:v>147.45488028497812</x:v>
      </x:c>
      <x:c r="AL242" s="48" t="n">
        <x:f>1000*(AA242-AA241)/(A242-A241)*Inputs!$C$11</x:f>
        <x:v>1176.3189135758694</x:v>
      </x:c>
      <x:c r="AM242" s="48" t="n">
        <x:f>-2*AL242/Inputs!$C$13</x:f>
        <x:v>-470.52756543034775</x:v>
      </x:c>
      <x:c r="AN242" s="48" t="n">
        <x:f>-2*AL242/Inputs!$C$14</x:f>
        <x:v>-70.64978459915132</x:v>
      </x:c>
      <x:c r="AO242" s="48" t="n">
        <x:f>ABS(AM242)</x:f>
        <x:v>470.52756543034775</x:v>
      </x:c>
      <x:c r="AP242" s="48" t="n">
        <x:f>ABS(AN242)</x:f>
        <x:v>70.64978459915132</x:v>
      </x:c>
      <x:c r="AQ242" s="48" t="n">
        <x:f>IF(OR(Inputs!$C$27=TRUE,Inputs!$C$27="TRUE",Inputs!$C$27=1),Inputs!$C$46/Inputs!$C$12,0)</x:f>
        <x:v>42.13483146067416</x:v>
      </x:c>
      <x:c r="AR242" s="48" t="n">
        <x:f>AC242-AQ242</x:f>
        <x:v>3544.8718998839777</x:v>
      </x:c>
      <x:c r="AS242" s="48" t="n">
        <x:f>AC242+AQ242</x:f>
        <x:v>3629.1415628053264</x:v>
      </x:c>
    </x:row>
  </x:sheetData>
  <x:pageMargins left="0.7" right="0.7" top="0.75" bottom="0.75" header="0.3" footer="0.3"/>
  <x:tableParts count="1">
    <x:tablePart xmlns:r="http://schemas.openxmlformats.org/officeDocument/2006/relationships" r:id="R074aa0ea146a495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6" hidden="0" customWidth="1"/>
    <x:col min="4" max="4" width="32" hidden="0" customWidth="1"/>
    <x:col min="5" max="5" width="38" hidden="0" customWidth="1"/>
    <x:col min="6" max="6" width="4" hidden="0" customWidth="1"/>
    <x:col min="7" max="7" width="12" hidden="0" customWidth="1"/>
    <x:col min="8" max="8" width="24" hidden="0" customWidth="1"/>
    <x:col min="9" max="9" width="30" hidden="0" customWidth="1"/>
    <x:col min="10" max="10" width="30" hidden="0" customWidth="1"/>
    <x:col min="11" max="11" width="12" hidden="0" customWidth="1"/>
    <x:col min="12" max="12" width="32" hidden="0" customWidth="1"/>
    <x:col min="13" max="13" width="32" hidden="0" customWidth="1"/>
    <x:col min="14" max="14" width="44" hidden="0" customWidth="1"/>
    <x:col min="15" max="15" width="4" hidden="0" customWidth="1"/>
    <x:col min="16" max="16" width="12" hidden="0" customWidth="1"/>
    <x:col min="17" max="17" width="20" hidden="0" customWidth="1"/>
    <x:col min="18" max="18" width="28" hidden="0" customWidth="1"/>
    <x:col min="19" max="19" width="20" hidden="0" customWidth="1"/>
    <x:col min="20" max="20" width="28" hidden="0" customWidth="1"/>
    <x:col min="21" max="21" width="4" hidden="0" customWidth="1"/>
    <x:col min="22" max="22" width="12" hidden="0" customWidth="1"/>
    <x:col min="23" max="23" width="22" hidden="0" customWidth="1"/>
    <x:col min="24" max="24" width="4" hidden="0" customWidth="1"/>
    <x:col min="25" max="25" width="12" hidden="0" customWidth="1"/>
    <x:col min="26" max="26" width="24" hidden="0" customWidth="1"/>
    <x:col min="27" max="27" width="36" hidden="0" customWidth="1"/>
    <x:col min="28" max="28" width="32" hidden="0" customWidth="1"/>
  </x:cols>
  <x:sheetData>
    <x:row r="1">
      <x:c r="A1" s="14" t="str">
        <x:v>x (km)</x:v>
      </x:c>
      <x:c r="B1" s="14" t="str">
        <x:v>Zero-depth nadir reference (0 m)</x:v>
      </x:c>
      <x:c r="C1" s="14" t="str">
        <x:v>Constant-altitude off-nadir reading (m)</x:v>
      </x:c>
      <x:c r="D1" s="14" t="str">
        <x:v>Parabolic flat-surface reading (m)</x:v>
      </x:c>
      <x:c r="E1" s="14" t="str">
        <x:v>Parabolic topography-adjusted reading (m)</x:v>
      </x:c>
      <x:c r="G1" s="14" t="str">
        <x:v>x (km)</x:v>
      </x:c>
      <x:c r="H1" s="14" t="str">
        <x:v>Reference floor (0 m, not a run)</x:v>
      </x:c>
      <x:c r="I1" s="14" t="str">
        <x:v>Off-nadir target topography height (m)</x:v>
      </x:c>
      <x:c r="J1" s="14" t="str">
        <x:v>Nadir topography height (m)</x:v>
      </x:c>
      <x:c r="K1" s="14" t="str">
        <x:v>x (km)</x:v>
      </x:c>
      <x:c r="L1" s="14" t="str">
        <x:v>Off-nadir target surface height (m)</x:v>
      </x:c>
      <x:c r="M1" s="14" t="str">
        <x:v>Nadir surface height (m)</x:v>
      </x:c>
      <x:c r="N1" s="14" t="str">
        <x:v>Off-nadir satellite apparent surface height equivalent (m)</x:v>
      </x:c>
      <x:c r="P1" s="14" t="str">
        <x:v>x (km)</x:v>
      </x:c>
      <x:c r="Q1" s="14" t="str">
        <x:v>Flat-geometry VHF Doppler (Hz)</x:v>
      </x:c>
      <x:c r="R1" s="14" t="str">
        <x:v>Topography-adjusted VHF Doppler (Hz)</x:v>
      </x:c>
      <x:c r="S1" s="14" t="str">
        <x:v>Flat-geometry HF Doppler (Hz)</x:v>
      </x:c>
      <x:c r="T1" s="14" t="str">
        <x:v>Topography-adjusted HF Doppler (Hz)</x:v>
      </x:c>
      <x:c r="V1" s="14" t="str">
        <x:v>x (km)</x:v>
      </x:c>
      <x:c r="W1" s="14" t="str">
        <x:v>Altitude rise above z0 (km)</x:v>
      </x:c>
      <x:c r="Y1" s="14" t="str">
        <x:v>x (km)</x:v>
      </x:c>
      <x:c r="Z1" s="14" t="str">
        <x:v>Zero-depth nadir reference (0 m)</x:v>
      </x:c>
      <x:c r="AA1" s="14" t="str">
        <x:v>Flat ground + constant satellite altitude reading (m)</x:v>
      </x:c>
      <x:c r="AB1" s="14" t="str">
        <x:v>Flat ground + parabolic satellite path reading (m)</x:v>
      </x:c>
    </x:row>
    <x:row r="2">
      <x:c r="A2" s="48" t="n">
        <x:f>Model_Data!A2</x:f>
        <x:v>-60</x:v>
      </x:c>
      <x:c r="B2" s="48" t="n">
        <x:f>0</x:f>
        <x:v>0</x:v>
      </x:c>
      <x:c r="C2" s="48" t="n">
        <x:f>((SQRT((Inputs!$C$52+Inputs!$C$5)^2+Inputs!$C$52^2-2*(Inputs!$C$52+Inputs!$C$5)*Inputs!$C$52*COS(SQRT((Model_Data!A2)^2+Inputs!$C$6^2)/Inputs!$C$52))-Inputs!$C$5)*1000/Inputs!$C$12)</x:f>
        <x:v>3696.432026065829</x:v>
      </x:c>
      <x:c r="D2" s="48" t="n">
        <x:f>Model_Data!F2</x:f>
        <x:v>3667.825190313778</x:v>
      </x:c>
      <x:c r="E2" s="48" t="n">
        <x:f>Model_Data!AC2</x:f>
        <x:v>3603.6304870607873</x:v>
      </x:c>
      <x:c r="F2" s="49"/>
      <x:c r="G2" s="48" t="n">
        <x:f>Model_Data!A2</x:f>
        <x:v>-60</x:v>
      </x:c>
      <x:c r="H2" s="48" t="n">
        <x:f>0</x:f>
        <x:v>0</x:v>
      </x:c>
      <x:c r="I2" s="48" t="n">
        <x:f>Model_Data!Y2</x:f>
        <x:v>119.42638570504096</x:v>
      </x:c>
      <x:c r="J2" s="48" t="n">
        <x:f>Model_Data!X2</x:f>
        <x:v>2.7642790376402013</x:v>
      </x:c>
      <x:c r="K2" s="48" t="n">
        <x:f>Model_Data!A2</x:f>
        <x:v>-60</x:v>
      </x:c>
      <x:c r="L2" s="48" t="n">
        <x:f>Model_Data!Y2</x:f>
        <x:v>119.42638570504096</x:v>
      </x:c>
      <x:c r="M2" s="48" t="n">
        <x:f>Model_Data!X2</x:f>
        <x:v>2.7642790376402013</x:v>
      </x:c>
      <x:c r="N2" s="48" t="n">
        <x:f>-(Model_Data!AC2-Model_Data!F2)*Inputs!$C$12</x:f>
        <x:v>114.26657179032331</x:v>
      </x:c>
      <x:c r="O2" s="49"/>
      <x:c r="P2" s="48" t="n">
        <x:f>Model_Data!A2</x:f>
        <x:v>-60</x:v>
      </x:c>
      <x:c r="Q2" s="48" t="n">
        <x:f>Model_Data!P2</x:f>
        <x:v>502.89823360690207</x:v>
      </x:c>
      <x:c r="R2" s="48" t="n">
        <x:f>Model_Data!AM2</x:f>
        <x:v>475.6182314496982</x:v>
      </x:c>
      <x:c r="S2" s="48" t="n">
        <x:f>Model_Data!Q2</x:f>
        <x:v>75.51024528632163</x:v>
      </x:c>
      <x:c r="T2" s="48" t="n">
        <x:f>Model_Data!AN2</x:f>
        <x:v>71.41414886632106</x:v>
      </x:c>
      <x:c r="U2" s="49"/>
      <x:c r="V2" s="48" t="n">
        <x:f>Model_Data!A2</x:f>
        <x:v>-60</x:v>
      </x:c>
      <x:c r="W2" s="48" t="n">
        <x:f>Model_Data!B2-Inputs!$C$5</x:f>
        <x:v>4</x:v>
      </x:c>
      <x:c r="X2" s="49"/>
      <x:c r="Y2" s="48" t="n">
        <x:f>Model_Data!A2</x:f>
        <x:v>-60</x:v>
      </x:c>
      <x:c r="Z2" s="48" t="n">
        <x:f>0</x:f>
        <x:v>0</x:v>
      </x:c>
      <x:c r="AA2" s="48" t="n">
        <x:f>((SQRT((Inputs!$C$52+Inputs!$C$5)^2+Inputs!$C$52^2-2*(Inputs!$C$52+Inputs!$C$5)*Inputs!$C$52*COS(SQRT((Model_Data!A2)^2+Inputs!$C$6^2)/Inputs!$C$52))-Inputs!$C$5)*1000/Inputs!$C$12)</x:f>
        <x:v>3696.432026065829</x:v>
      </x:c>
      <x:c r="AB2" s="48" t="n">
        <x:f>Model_Data!F2</x:f>
        <x:v>3667.825190313778</x:v>
      </x:c>
    </x:row>
    <x:row r="3">
      <x:c r="A3" s="48" t="n">
        <x:f>Model_Data!A3</x:f>
        <x:v>-59.5</x:v>
      </x:c>
      <x:c r="B3" s="48" t="n">
        <x:f>0</x:f>
        <x:v>0</x:v>
      </x:c>
      <x:c r="C3" s="48" t="n">
        <x:f>((SQRT((Inputs!$C$52+Inputs!$C$5)^2+Inputs!$C$52^2-2*(Inputs!$C$52+Inputs!$C$5)*Inputs!$C$52*COS(SQRT((Model_Data!A3)^2+Inputs!$C$6^2)/Inputs!$C$52))-Inputs!$C$5)*1000/Inputs!$C$12)</x:f>
        <x:v>3644.581524995093</x:v>
      </x:c>
      <x:c r="D3" s="48" t="n">
        <x:f>Model_Data!F3</x:f>
        <x:v>3616.8326009242887</x:v>
      </x:c>
      <x:c r="E3" s="48" t="n">
        <x:f>Model_Data!AC3</x:f>
        <x:v>3566.910840729097</x:v>
      </x:c>
      <x:c r="F3" s="49"/>
      <x:c r="G3" s="48" t="n">
        <x:f>Model_Data!A3</x:f>
        <x:v>-59.5</x:v>
      </x:c>
      <x:c r="H3" s="48" t="n">
        <x:f>0</x:f>
        <x:v>0</x:v>
      </x:c>
      <x:c r="I3" s="48" t="n">
        <x:f>Model_Data!Y3</x:f>
        <x:v>110.69606493723512</x:v>
      </x:c>
      <x:c r="J3" s="48" t="n">
        <x:f>Model_Data!X3</x:f>
        <x:v>19.645117006397193</x:v>
      </x:c>
      <x:c r="K3" s="48" t="n">
        <x:f>Model_Data!A3</x:f>
        <x:v>-59.5</x:v>
      </x:c>
      <x:c r="L3" s="48" t="n">
        <x:f>Model_Data!Y3</x:f>
        <x:v>110.69606493723512</x:v>
      </x:c>
      <x:c r="M3" s="48" t="n">
        <x:f>Model_Data!X3</x:f>
        <x:v>19.645117006397193</x:v>
      </x:c>
      <x:c r="N3" s="48" t="n">
        <x:f>-(Model_Data!AC3-Model_Data!F3)*Inputs!$C$12</x:f>
        <x:v>88.86073314744147</x:v>
      </x:c>
      <x:c r="O3" s="49"/>
      <x:c r="P3" s="48" t="n">
        <x:f>Model_Data!A3</x:f>
        <x:v>-59.5</x:v>
      </x:c>
      <x:c r="Q3" s="48" t="n">
        <x:f>Model_Data!P3</x:f>
        <x:v>500.86301291985365</x:v>
      </x:c>
      <x:c r="R3" s="48" t="n">
        <x:f>Model_Data!AM3</x:f>
        <x:v>490.87300120691</x:v>
      </x:c>
      <x:c r="S3" s="48" t="n">
        <x:f>Model_Data!Q3</x:f>
        <x:v>75.20465659457263</x:v>
      </x:c>
      <x:c r="T3" s="48" t="n">
        <x:f>Model_Data!AN3</x:f>
        <x:v>73.70465483587238</x:v>
      </x:c>
      <x:c r="U3" s="49"/>
      <x:c r="V3" s="48" t="n">
        <x:f>Model_Data!A3</x:f>
        <x:v>-59.5</x:v>
      </x:c>
      <x:c r="W3" s="48" t="n">
        <x:f>Model_Data!B3-Inputs!$C$5</x:f>
        <x:v>3.9336111111111336</x:v>
      </x:c>
      <x:c r="X3" s="49"/>
      <x:c r="Y3" s="48" t="n">
        <x:f>Model_Data!A3</x:f>
        <x:v>-59.5</x:v>
      </x:c>
      <x:c r="Z3" s="48" t="n">
        <x:f>0</x:f>
        <x:v>0</x:v>
      </x:c>
      <x:c r="AA3" s="48" t="n">
        <x:f>((SQRT((Inputs!$C$52+Inputs!$C$5)^2+Inputs!$C$52^2-2*(Inputs!$C$52+Inputs!$C$5)*Inputs!$C$52*COS(SQRT((Model_Data!A3)^2+Inputs!$C$6^2)/Inputs!$C$52))-Inputs!$C$5)*1000/Inputs!$C$12)</x:f>
        <x:v>3644.581524995093</x:v>
      </x:c>
      <x:c r="AB3" s="48" t="n">
        <x:f>Model_Data!F3</x:f>
        <x:v>3616.8326009242887</x:v>
      </x:c>
    </x:row>
    <x:row r="4">
      <x:c r="A4" s="48" t="n">
        <x:f>Model_Data!A4</x:f>
        <x:v>-59</x:v>
      </x:c>
      <x:c r="B4" s="48" t="n">
        <x:f>0</x:f>
        <x:v>0</x:v>
      </x:c>
      <x:c r="C4" s="48" t="n">
        <x:f>((SQRT((Inputs!$C$52+Inputs!$C$5)^2+Inputs!$C$52^2-2*(Inputs!$C$52+Inputs!$C$5)*Inputs!$C$52*COS(SQRT((Model_Data!A4)^2+Inputs!$C$6^2)/Inputs!$C$52))-Inputs!$C$5)*1000/Inputs!$C$12)</x:f>
        <x:v>3593.153081902788</x:v>
      </x:c>
      <x:c r="D4" s="48" t="n">
        <x:f>Model_Data!F4</x:f>
        <x:v>3566.242515677423</x:v>
      </x:c>
      <x:c r="E4" s="48" t="n">
        <x:f>Model_Data!AC4</x:f>
        <x:v>3508.4803554787663</x:v>
      </x:c>
      <x:c r="F4" s="49"/>
      <x:c r="G4" s="48" t="n">
        <x:f>Model_Data!A4</x:f>
        <x:v>-59</x:v>
      </x:c>
      <x:c r="H4" s="48" t="n">
        <x:f>0</x:f>
        <x:v>0</x:v>
      </x:c>
      <x:c r="I4" s="48" t="n">
        <x:f>Model_Data!Y4</x:f>
        <x:v>112.99219424849355</x:v>
      </x:c>
      <x:c r="J4" s="48" t="n">
        <x:f>Model_Data!X4</x:f>
        <x:v>7.970448353767724</x:v>
      </x:c>
      <x:c r="K4" s="48" t="n">
        <x:f>Model_Data!A4</x:f>
        <x:v>-59</x:v>
      </x:c>
      <x:c r="L4" s="48" t="n">
        <x:f>Model_Data!Y4</x:f>
        <x:v>112.99219424849355</x:v>
      </x:c>
      <x:c r="M4" s="48" t="n">
        <x:f>Model_Data!X4</x:f>
        <x:v>7.970448353767724</x:v>
      </x:c>
      <x:c r="N4" s="48" t="n">
        <x:f>-(Model_Data!AC4-Model_Data!F4)*Inputs!$C$12</x:f>
        <x:v>102.81664515360875</x:v>
      </x:c>
      <x:c r="O4" s="49"/>
      <x:c r="P4" s="48" t="n">
        <x:f>Model_Data!A4</x:f>
        <x:v>-59</x:v>
      </x:c>
      <x:c r="Q4" s="48" t="n">
        <x:f>Model_Data!P4</x:f>
        <x:v>496.7909104278988</x:v>
      </x:c>
      <x:c r="R4" s="48" t="n">
        <x:f>Model_Data!AM4</x:f>
        <x:v>534.0602149449296</x:v>
      </x:c>
      <x:c r="S4" s="48" t="n">
        <x:f>Model_Data!Q4</x:f>
        <x:v>74.59322979397881</x:v>
      </x:c>
      <x:c r="T4" s="48" t="n">
        <x:f>Model_Data!AN4</x:f>
        <x:v>80.18922146320266</x:v>
      </x:c>
      <x:c r="U4" s="49"/>
      <x:c r="V4" s="48" t="n">
        <x:f>Model_Data!A4</x:f>
        <x:v>-59</x:v>
      </x:c>
      <x:c r="W4" s="48" t="n">
        <x:f>Model_Data!B4-Inputs!$C$5</x:f>
        <x:v>3.8677777777778033</x:v>
      </x:c>
      <x:c r="X4" s="49"/>
      <x:c r="Y4" s="48" t="n">
        <x:f>Model_Data!A4</x:f>
        <x:v>-59</x:v>
      </x:c>
      <x:c r="Z4" s="48" t="n">
        <x:f>0</x:f>
        <x:v>0</x:v>
      </x:c>
      <x:c r="AA4" s="48" t="n">
        <x:f>((SQRT((Inputs!$C$52+Inputs!$C$5)^2+Inputs!$C$52^2-2*(Inputs!$C$52+Inputs!$C$5)*Inputs!$C$52*COS(SQRT((Model_Data!A4)^2+Inputs!$C$6^2)/Inputs!$C$52))-Inputs!$C$5)*1000/Inputs!$C$12)</x:f>
        <x:v>3593.153081902788</x:v>
      </x:c>
      <x:c r="AB4" s="48" t="n">
        <x:f>Model_Data!F4</x:f>
        <x:v>3566.242515677423</x:v>
      </x:c>
    </x:row>
    <x:row r="5">
      <x:c r="A5" s="48" t="n">
        <x:f>Model_Data!A5</x:f>
        <x:v>-58.5</x:v>
      </x:c>
      <x:c r="B5" s="48" t="n">
        <x:f>0</x:f>
        <x:v>0</x:v>
      </x:c>
      <x:c r="C5" s="48" t="n">
        <x:f>((SQRT((Inputs!$C$52+Inputs!$C$5)^2+Inputs!$C$52^2-2*(Inputs!$C$52+Inputs!$C$5)*Inputs!$C$52*COS(SQRT((Model_Data!A5)^2+Inputs!$C$6^2)/Inputs!$C$52))-Inputs!$C$5)*1000/Inputs!$C$12)</x:f>
        <x:v>3542.1469873423243</x:v>
      </x:c>
      <x:c r="D5" s="48" t="n">
        <x:f>Model_Data!F5</x:f>
        <x:v>3516.055517830855</x:v>
      </x:c>
      <x:c r="E5" s="48" t="n">
        <x:f>Model_Data!AC5</x:f>
        <x:v>3454.2286347351014</x:v>
      </x:c>
      <x:c r="F5" s="49"/>
      <x:c r="G5" s="48" t="n">
        <x:f>Model_Data!A5</x:f>
        <x:v>-58.5</x:v>
      </x:c>
      <x:c r="H5" s="48" t="n">
        <x:f>0</x:f>
        <x:v>0</x:v>
      </x:c>
      <x:c r="I5" s="48" t="n">
        <x:f>Model_Data!Y5</x:f>
        <x:v>134.3858310571132</x:v>
      </x:c>
      <x:c r="J5" s="48" t="n">
        <x:f>Model_Data!X5</x:f>
        <x:v>21.747313566550197</x:v>
      </x:c>
      <x:c r="K5" s="48" t="n">
        <x:f>Model_Data!A5</x:f>
        <x:v>-58.5</x:v>
      </x:c>
      <x:c r="L5" s="48" t="n">
        <x:f>Model_Data!Y5</x:f>
        <x:v>134.3858310571132</x:v>
      </x:c>
      <x:c r="M5" s="48" t="n">
        <x:f>Model_Data!X5</x:f>
        <x:v>21.747313566550197</x:v>
      </x:c>
      <x:c r="N5" s="48" t="n">
        <x:f>-(Model_Data!AC5-Model_Data!F5)*Inputs!$C$12</x:f>
        <x:v>110.05185191044141</x:v>
      </x:c>
      <x:c r="O5" s="49"/>
      <x:c r="P5" s="48" t="n">
        <x:f>Model_Data!A5</x:f>
        <x:v>-58.5</x:v>
      </x:c>
      <x:c r="Q5" s="48" t="n">
        <x:f>Model_Data!P5</x:f>
        <x:v>492.71549658133154</x:v>
      </x:c>
      <x:c r="R5" s="48" t="n">
        <x:f>Model_Data!AM5</x:f>
        <x:v>503.9209462031067</x:v>
      </x:c>
      <x:c r="S5" s="48" t="n">
        <x:f>Model_Data!Q5</x:f>
        <x:v>73.98130579299273</x:v>
      </x:c>
      <x:c r="T5" s="48" t="n">
        <x:f>Model_Data!AN5</x:f>
        <x:v>75.66380573620222</x:v>
      </x:c>
      <x:c r="U5" s="49"/>
      <x:c r="V5" s="48" t="n">
        <x:f>Model_Data!A5</x:f>
        <x:v>-58.5</x:v>
      </x:c>
      <x:c r="W5" s="48" t="n">
        <x:f>Model_Data!B5-Inputs!$C$5</x:f>
        <x:v>3.802500000000009</x:v>
      </x:c>
      <x:c r="X5" s="49"/>
      <x:c r="Y5" s="48" t="n">
        <x:f>Model_Data!A5</x:f>
        <x:v>-58.5</x:v>
      </x:c>
      <x:c r="Z5" s="48" t="n">
        <x:f>0</x:f>
        <x:v>0</x:v>
      </x:c>
      <x:c r="AA5" s="48" t="n">
        <x:f>((SQRT((Inputs!$C$52+Inputs!$C$5)^2+Inputs!$C$52^2-2*(Inputs!$C$52+Inputs!$C$5)*Inputs!$C$52*COS(SQRT((Model_Data!A5)^2+Inputs!$C$6^2)/Inputs!$C$52))-Inputs!$C$5)*1000/Inputs!$C$12)</x:f>
        <x:v>3542.1469873423243</x:v>
      </x:c>
      <x:c r="AB5" s="48" t="n">
        <x:f>Model_Data!F5</x:f>
        <x:v>3516.055517830855</x:v>
      </x:c>
    </x:row>
    <x:row r="6">
      <x:c r="A6" s="48" t="n">
        <x:f>Model_Data!A6</x:f>
        <x:v>-58</x:v>
      </x:c>
      <x:c r="B6" s="48" t="n">
        <x:f>0</x:f>
        <x:v>0</x:v>
      </x:c>
      <x:c r="C6" s="48" t="n">
        <x:f>((SQRT((Inputs!$C$52+Inputs!$C$5)^2+Inputs!$C$52^2-2*(Inputs!$C$52+Inputs!$C$5)*Inputs!$C$52*COS(SQRT((Model_Data!A6)^2+Inputs!$C$6^2)/Inputs!$C$52))-Inputs!$C$5)*1000/Inputs!$C$12)</x:f>
        <x:v>3491.563529741107</x:v>
      </x:c>
      <x:c r="D6" s="48" t="n">
        <x:f>Model_Data!F6</x:f>
        <x:v>3466.2721868216477</x:v>
      </x:c>
      <x:c r="E6" s="48" t="n">
        <x:f>Model_Data!AC6</x:f>
        <x:v>3418.000509309314</x:v>
      </x:c>
      <x:c r="F6" s="49"/>
      <x:c r="G6" s="48" t="n">
        <x:f>Model_Data!A6</x:f>
        <x:v>-58</x:v>
      </x:c>
      <x:c r="H6" s="48" t="n">
        <x:f>0</x:f>
        <x:v>0</x:v>
      </x:c>
      <x:c r="I6" s="48" t="n">
        <x:f>Model_Data!Y6</x:f>
        <x:v>120.06952906780961</x:v>
      </x:c>
      <x:c r="J6" s="48" t="n">
        <x:f>Model_Data!X6</x:f>
        <x:v>31.86691354901535</x:v>
      </x:c>
      <x:c r="K6" s="48" t="n">
        <x:f>Model_Data!A6</x:f>
        <x:v>-58</x:v>
      </x:c>
      <x:c r="L6" s="48" t="n">
        <x:f>Model_Data!Y6</x:f>
        <x:v>120.06952906780961</x:v>
      </x:c>
      <x:c r="M6" s="48" t="n">
        <x:f>Model_Data!X6</x:f>
        <x:v>31.86691354901535</x:v>
      </x:c>
      <x:c r="N6" s="48" t="n">
        <x:f>-(Model_Data!AC6-Model_Data!F6)*Inputs!$C$12</x:f>
        <x:v>85.92358597195373</x:v>
      </x:c>
      <x:c r="O6" s="49"/>
      <x:c r="P6" s="48" t="n">
        <x:f>Model_Data!A6</x:f>
        <x:v>-58</x:v>
      </x:c>
      <x:c r="Q6" s="48" t="n">
        <x:f>Model_Data!P6</x:f>
        <x:v>488.63679323794713</x:v>
      </x:c>
      <x:c r="R6" s="48" t="n">
        <x:f>Model_Data!AM6</x:f>
        <x:v>495.8407751602863</x:v>
      </x:c>
      <x:c r="S6" s="48" t="n">
        <x:f>Model_Data!Q6</x:f>
        <x:v>73.36888787356564</x:v>
      </x:c>
      <x:c r="T6" s="48" t="n">
        <x:f>Model_Data!AN6</x:f>
        <x:v>74.45056684088384</x:v>
      </x:c>
      <x:c r="U6" s="49"/>
      <x:c r="V6" s="48" t="n">
        <x:f>Model_Data!A6</x:f>
        <x:v>-58</x:v>
      </x:c>
      <x:c r="W6" s="48" t="n">
        <x:f>Model_Data!B6-Inputs!$C$5</x:f>
        <x:v>3.737777777777751</x:v>
      </x:c>
      <x:c r="X6" s="49"/>
      <x:c r="Y6" s="48" t="n">
        <x:f>Model_Data!A6</x:f>
        <x:v>-58</x:v>
      </x:c>
      <x:c r="Z6" s="48" t="n">
        <x:f>0</x:f>
        <x:v>0</x:v>
      </x:c>
      <x:c r="AA6" s="48" t="n">
        <x:f>((SQRT((Inputs!$C$52+Inputs!$C$5)^2+Inputs!$C$52^2-2*(Inputs!$C$52+Inputs!$C$5)*Inputs!$C$52*COS(SQRT((Model_Data!A6)^2+Inputs!$C$6^2)/Inputs!$C$52))-Inputs!$C$5)*1000/Inputs!$C$12)</x:f>
        <x:v>3491.563529741107</x:v>
      </x:c>
      <x:c r="AB6" s="48" t="n">
        <x:f>Model_Data!F6</x:f>
        <x:v>3466.2721868216477</x:v>
      </x:c>
    </x:row>
    <x:row r="7">
      <x:c r="A7" s="48" t="n">
        <x:f>Model_Data!A7</x:f>
        <x:v>-57.5</x:v>
      </x:c>
      <x:c r="B7" s="48" t="n">
        <x:f>0</x:f>
        <x:v>0</x:v>
      </x:c>
      <x:c r="C7" s="48" t="n">
        <x:f>((SQRT((Inputs!$C$52+Inputs!$C$5)^2+Inputs!$C$52^2-2*(Inputs!$C$52+Inputs!$C$5)*Inputs!$C$52*COS(SQRT((Model_Data!A7)^2+Inputs!$C$6^2)/Inputs!$C$52))-Inputs!$C$5)*1000/Inputs!$C$12)</x:f>
        <x:v>3441.4029953902796</x:v>
      </x:c>
      <x:c r="D7" s="48" t="n">
        <x:f>Model_Data!F7</x:f>
        <x:v>3416.8930982326565</x:v>
      </x:c>
      <x:c r="E7" s="48" t="n">
        <x:f>Model_Data!AC7</x:f>
        <x:v>3359.74966750766</x:v>
      </x:c>
      <x:c r="F7" s="49"/>
      <x:c r="G7" s="48" t="n">
        <x:f>Model_Data!A7</x:f>
        <x:v>-57.5</x:v>
      </x:c>
      <x:c r="H7" s="48" t="n">
        <x:f>0</x:f>
        <x:v>0</x:v>
      </x:c>
      <x:c r="I7" s="48" t="n">
        <x:f>Model_Data!Y7</x:f>
        <x:v>138.90151425445745</x:v>
      </x:c>
      <x:c r="J7" s="48" t="n">
        <x:f>Model_Data!X7</x:f>
        <x:v>34.58634748797326</x:v>
      </x:c>
      <x:c r="K7" s="48" t="n">
        <x:f>Model_Data!A7</x:f>
        <x:v>-57.5</x:v>
      </x:c>
      <x:c r="L7" s="48" t="n">
        <x:f>Model_Data!Y7</x:f>
        <x:v>138.90151425445745</x:v>
      </x:c>
      <x:c r="M7" s="48" t="n">
        <x:f>Model_Data!X7</x:f>
        <x:v>34.58634748797326</x:v>
      </x:c>
      <x:c r="N7" s="48" t="n">
        <x:f>-(Model_Data!AC7-Model_Data!F7)*Inputs!$C$12</x:f>
        <x:v>101.71530669049378</x:v>
      </x:c>
      <x:c r="O7" s="49"/>
      <x:c r="P7" s="48" t="n">
        <x:f>Model_Data!A7</x:f>
        <x:v>-57.5</x:v>
      </x:c>
      <x:c r="Q7" s="48" t="n">
        <x:f>Model_Data!P7</x:f>
        <x:v>484.554822402788</x:v>
      </x:c>
      <x:c r="R7" s="48" t="n">
        <x:f>Model_Data!AM7</x:f>
        <x:v>511.9766582025477</x:v>
      </x:c>
      <x:c r="S7" s="48" t="n">
        <x:f>Model_Data!Q7</x:f>
        <x:v>72.75597933975796</x:v>
      </x:c>
      <x:c r="T7" s="48" t="n">
        <x:f>Model_Data!AN7</x:f>
        <x:v>76.87337210248465</x:v>
      </x:c>
      <x:c r="U7" s="49"/>
      <x:c r="V7" s="48" t="n">
        <x:f>Model_Data!A7</x:f>
        <x:v>-57.5</x:v>
      </x:c>
      <x:c r="W7" s="48" t="n">
        <x:f>Model_Data!B7-Inputs!$C$5</x:f>
        <x:v>3.673611111111086</x:v>
      </x:c>
      <x:c r="X7" s="49"/>
      <x:c r="Y7" s="48" t="n">
        <x:f>Model_Data!A7</x:f>
        <x:v>-57.5</x:v>
      </x:c>
      <x:c r="Z7" s="48" t="n">
        <x:f>0</x:f>
        <x:v>0</x:v>
      </x:c>
      <x:c r="AA7" s="48" t="n">
        <x:f>((SQRT((Inputs!$C$52+Inputs!$C$5)^2+Inputs!$C$52^2-2*(Inputs!$C$52+Inputs!$C$5)*Inputs!$C$52*COS(SQRT((Model_Data!A7)^2+Inputs!$C$6^2)/Inputs!$C$52))-Inputs!$C$5)*1000/Inputs!$C$12)</x:f>
        <x:v>3441.4029953902796</x:v>
      </x:c>
      <x:c r="AB7" s="48" t="n">
        <x:f>Model_Data!F7</x:f>
        <x:v>3416.8930982326565</x:v>
      </x:c>
    </x:row>
    <x:row r="8">
      <x:c r="A8" s="48" t="n">
        <x:f>Model_Data!A8</x:f>
        <x:v>-57</x:v>
      </x:c>
      <x:c r="B8" s="48" t="n">
        <x:f>0</x:f>
        <x:v>0</x:v>
      </x:c>
      <x:c r="C8" s="48" t="n">
        <x:f>((SQRT((Inputs!$C$52+Inputs!$C$5)^2+Inputs!$C$52^2-2*(Inputs!$C$52+Inputs!$C$5)*Inputs!$C$52*COS(SQRT((Model_Data!A8)^2+Inputs!$C$6^2)/Inputs!$C$52))-Inputs!$C$5)*1000/Inputs!$C$12)</x:f>
        <x:v>3391.6656684345407</x:v>
      </x:c>
      <x:c r="D8" s="48" t="n">
        <x:f>Model_Data!F8</x:f>
        <x:v>3367.918823774454</x:v>
      </x:c>
      <x:c r="E8" s="48" t="n">
        <x:f>Model_Data!AC8</x:f>
        <x:v>3323.2624957644234</x:v>
      </x:c>
      <x:c r="F8" s="49"/>
      <x:c r="G8" s="48" t="n">
        <x:f>Model_Data!A8</x:f>
        <x:v>-57</x:v>
      </x:c>
      <x:c r="H8" s="48" t="n">
        <x:f>0</x:f>
        <x:v>0</x:v>
      </x:c>
      <x:c r="I8" s="48" t="n">
        <x:f>Model_Data!Y8</x:f>
        <x:v>137.46604725484156</x:v>
      </x:c>
      <x:c r="J8" s="48" t="n">
        <x:f>Model_Data!X8</x:f>
        <x:v>55.44088303799376</x:v>
      </x:c>
      <x:c r="K8" s="48" t="n">
        <x:f>Model_Data!A8</x:f>
        <x:v>-57</x:v>
      </x:c>
      <x:c r="L8" s="48" t="n">
        <x:f>Model_Data!Y8</x:f>
        <x:v>137.46604725484156</x:v>
      </x:c>
      <x:c r="M8" s="48" t="n">
        <x:f>Model_Data!X8</x:f>
        <x:v>55.44088303799376</x:v>
      </x:c>
      <x:c r="N8" s="48" t="n">
        <x:f>-(Model_Data!AC8-Model_Data!F8)*Inputs!$C$12</x:f>
        <x:v>79.4882638578541</x:v>
      </x:c>
      <x:c r="O8" s="49"/>
      <x:c r="P8" s="48" t="n">
        <x:f>Model_Data!A8</x:f>
        <x:v>-57</x:v>
      </x:c>
      <x:c r="Q8" s="48" t="n">
        <x:f>Model_Data!P8</x:f>
        <x:v>480.4696062107723</x:v>
      </x:c>
      <x:c r="R8" s="48" t="n">
        <x:f>Model_Data!AM8</x:f>
        <x:v>484.5983430347587</x:v>
      </x:c>
      <x:c r="S8" s="48" t="n">
        <x:f>Model_Data!Q8</x:f>
        <x:v>72.14258351513098</x:v>
      </x:c>
      <x:c r="T8" s="48" t="n">
        <x:f>Model_Data!AN8</x:f>
        <x:v>72.762513969183</x:v>
      </x:c>
      <x:c r="U8" s="49"/>
      <x:c r="V8" s="48" t="n">
        <x:f>Model_Data!A8</x:f>
        <x:v>-57</x:v>
      </x:c>
      <x:c r="W8" s="48" t="n">
        <x:f>Model_Data!B8-Inputs!$C$5</x:f>
        <x:v>3.6100000000000136</x:v>
      </x:c>
      <x:c r="X8" s="49"/>
      <x:c r="Y8" s="48" t="n">
        <x:f>Model_Data!A8</x:f>
        <x:v>-57</x:v>
      </x:c>
      <x:c r="Z8" s="48" t="n">
        <x:f>0</x:f>
        <x:v>0</x:v>
      </x:c>
      <x:c r="AA8" s="48" t="n">
        <x:f>((SQRT((Inputs!$C$52+Inputs!$C$5)^2+Inputs!$C$52^2-2*(Inputs!$C$52+Inputs!$C$5)*Inputs!$C$52*COS(SQRT((Model_Data!A8)^2+Inputs!$C$6^2)/Inputs!$C$52))-Inputs!$C$5)*1000/Inputs!$C$12)</x:f>
        <x:v>3391.6656684345407</x:v>
      </x:c>
      <x:c r="AB8" s="48" t="n">
        <x:f>Model_Data!F8</x:f>
        <x:v>3367.918823774454</x:v>
      </x:c>
    </x:row>
    <x:row r="9">
      <x:c r="A9" s="48" t="n">
        <x:f>Model_Data!A9</x:f>
        <x:v>-56.5</x:v>
      </x:c>
      <x:c r="B9" s="48" t="n">
        <x:f>0</x:f>
        <x:v>0</x:v>
      </x:c>
      <x:c r="C9" s="48" t="n">
        <x:f>((SQRT((Inputs!$C$52+Inputs!$C$5)^2+Inputs!$C$52^2-2*(Inputs!$C$52+Inputs!$C$5)*Inputs!$C$52*COS(SQRT((Model_Data!A9)^2+Inputs!$C$6^2)/Inputs!$C$52))-Inputs!$C$5)*1000/Inputs!$C$12)</x:f>
        <x:v>3342.3518308690136</x:v>
      </x:c>
      <x:c r="D9" s="48" t="n">
        <x:f>Model_Data!F9</x:f>
        <x:v>3319.3499312578997</x:v>
      </x:c>
      <x:c r="E9" s="48" t="n">
        <x:f>Model_Data!AC9</x:f>
        <x:v>3273.531691137369</x:v>
      </x:c>
      <x:c r="F9" s="49"/>
      <x:c r="G9" s="48" t="n">
        <x:f>Model_Data!A9</x:f>
        <x:v>-56.5</x:v>
      </x:c>
      <x:c r="H9" s="48" t="n">
        <x:f>0</x:f>
        <x:v>0</x:v>
      </x:c>
      <x:c r="I9" s="48" t="n">
        <x:f>Model_Data!Y9</x:f>
        <x:v>141.4558244940569</x:v>
      </x:c>
      <x:c r="J9" s="48" t="n">
        <x:f>Model_Data!X9</x:f>
        <x:v>57.32564727891993</x:v>
      </x:c>
      <x:c r="K9" s="48" t="n">
        <x:f>Model_Data!A9</x:f>
        <x:v>-56.5</x:v>
      </x:c>
      <x:c r="L9" s="48" t="n">
        <x:f>Model_Data!Y9</x:f>
        <x:v>141.4558244940569</x:v>
      </x:c>
      <x:c r="M9" s="48" t="n">
        <x:f>Model_Data!X9</x:f>
        <x:v>57.32564727891993</x:v>
      </x:c>
      <x:c r="N9" s="48" t="n">
        <x:f>-(Model_Data!AC9-Model_Data!F9)*Inputs!$C$12</x:f>
        <x:v>81.55646741454491</x:v>
      </x:c>
      <x:c r="O9" s="49"/>
      <x:c r="P9" s="48" t="n">
        <x:f>Model_Data!A9</x:f>
        <x:v>-56.5</x:v>
      </x:c>
      <x:c r="Q9" s="48" t="n">
        <x:f>Model_Data!P9</x:f>
        <x:v>476.38116695534336</x:v>
      </x:c>
      <x:c r="R9" s="48" t="n">
        <x:f>Model_Data!AM9</x:f>
        <x:v>523.0828149337867</x:v>
      </x:c>
      <x:c r="S9" s="48" t="n">
        <x:f>Model_Data!Q9</x:f>
        <x:v>71.52870374704855</x:v>
      </x:c>
      <x:c r="T9" s="48" t="n">
        <x:f>Model_Data!AN9</x:f>
        <x:v>78.54096320327129</x:v>
      </x:c>
      <x:c r="U9" s="49"/>
      <x:c r="V9" s="48" t="n">
        <x:f>Model_Data!A9</x:f>
        <x:v>-56.5</x:v>
      </x:c>
      <x:c r="W9" s="48" t="n">
        <x:f>Model_Data!B9-Inputs!$C$5</x:f>
        <x:v>3.5469444444444207</x:v>
      </x:c>
      <x:c r="X9" s="49"/>
      <x:c r="Y9" s="48" t="n">
        <x:f>Model_Data!A9</x:f>
        <x:v>-56.5</x:v>
      </x:c>
      <x:c r="Z9" s="48" t="n">
        <x:f>0</x:f>
        <x:v>0</x:v>
      </x:c>
      <x:c r="AA9" s="48" t="n">
        <x:f>((SQRT((Inputs!$C$52+Inputs!$C$5)^2+Inputs!$C$52^2-2*(Inputs!$C$52+Inputs!$C$5)*Inputs!$C$52*COS(SQRT((Model_Data!A9)^2+Inputs!$C$6^2)/Inputs!$C$52))-Inputs!$C$5)*1000/Inputs!$C$12)</x:f>
        <x:v>3342.3518308690136</x:v>
      </x:c>
      <x:c r="AB9" s="48" t="n">
        <x:f>Model_Data!F9</x:f>
        <x:v>3319.3499312578997</x:v>
      </x:c>
    </x:row>
    <x:row r="10">
      <x:c r="A10" s="48" t="n">
        <x:f>Model_Data!A10</x:f>
        <x:v>-56</x:v>
      </x:c>
      <x:c r="B10" s="48" t="n">
        <x:f>0</x:f>
        <x:v>0</x:v>
      </x:c>
      <x:c r="C10" s="48" t="n">
        <x:f>((SQRT((Inputs!$C$52+Inputs!$C$5)^2+Inputs!$C$52^2-2*(Inputs!$C$52+Inputs!$C$5)*Inputs!$C$52*COS(SQRT((Model_Data!A10)^2+Inputs!$C$6^2)/Inputs!$C$52))-Inputs!$C$5)*1000/Inputs!$C$12)</x:f>
        <x:v>3293.461762529603</x:v>
      </x:c>
      <x:c r="D10" s="48" t="n">
        <x:f>Model_Data!F10</x:f>
        <x:v>3271.186984565748</x:v>
      </x:c>
      <x:c r="E10" s="48" t="n">
        <x:f>Model_Data!AC10</x:f>
        <x:v>3213.570069661035</x:v>
      </x:c>
      <x:c r="F10" s="49"/>
      <x:c r="G10" s="48" t="n">
        <x:f>Model_Data!A10</x:f>
        <x:v>-56</x:v>
      </x:c>
      <x:c r="H10" s="48" t="n">
        <x:f>0</x:f>
        <x:v>0</x:v>
      </x:c>
      <x:c r="I10" s="48" t="n">
        <x:f>Model_Data!Y10</x:f>
        <x:v>167.1152389347629</x:v>
      </x:c>
      <x:c r="J10" s="48" t="n">
        <x:f>Model_Data!X10</x:f>
        <x:v>61.55956835196879</x:v>
      </x:c>
      <x:c r="K10" s="48" t="n">
        <x:f>Model_Data!A10</x:f>
        <x:v>-56</x:v>
      </x:c>
      <x:c r="L10" s="48" t="n">
        <x:f>Model_Data!Y10</x:f>
        <x:v>167.1152389347629</x:v>
      </x:c>
      <x:c r="M10" s="48" t="n">
        <x:f>Model_Data!X10</x:f>
        <x:v>61.55956835196879</x:v>
      </x:c>
      <x:c r="N10" s="48" t="n">
        <x:f>-(Model_Data!AC10-Model_Data!F10)*Inputs!$C$12</x:f>
        <x:v>102.55810853038871</x:v>
      </x:c>
      <x:c r="O10" s="49"/>
      <x:c r="P10" s="48" t="n">
        <x:f>Model_Data!A10</x:f>
        <x:v>-56</x:v>
      </x:c>
      <x:c r="Q10" s="48" t="n">
        <x:f>Model_Data!P10</x:f>
        <x:v>472.2895270569097</x:v>
      </x:c>
      <x:c r="R10" s="48" t="n">
        <x:f>Model_Data!AM10</x:f>
        <x:v>502.4626690393234</x:v>
      </x:c>
      <x:c r="S10" s="48" t="n">
        <x:f>Model_Data!Q10</x:f>
        <x:v>70.9143434019384</x:v>
      </x:c>
      <x:c r="T10" s="48" t="n">
        <x:f>Model_Data!AN10</x:f>
        <x:v>75.44484520109961</x:v>
      </x:c>
      <x:c r="U10" s="49"/>
      <x:c r="V10" s="48" t="n">
        <x:f>Model_Data!A10</x:f>
        <x:v>-56</x:v>
      </x:c>
      <x:c r="W10" s="48" t="n">
        <x:f>Model_Data!B10-Inputs!$C$5</x:f>
        <x:v>3.4844444444444207</x:v>
      </x:c>
      <x:c r="X10" s="49"/>
      <x:c r="Y10" s="48" t="n">
        <x:f>Model_Data!A10</x:f>
        <x:v>-56</x:v>
      </x:c>
      <x:c r="Z10" s="48" t="n">
        <x:f>0</x:f>
        <x:v>0</x:v>
      </x:c>
      <x:c r="AA10" s="48" t="n">
        <x:f>((SQRT((Inputs!$C$52+Inputs!$C$5)^2+Inputs!$C$52^2-2*(Inputs!$C$52+Inputs!$C$5)*Inputs!$C$52*COS(SQRT((Model_Data!A10)^2+Inputs!$C$6^2)/Inputs!$C$52))-Inputs!$C$5)*1000/Inputs!$C$12)</x:f>
        <x:v>3293.461762529603</x:v>
      </x:c>
      <x:c r="AB10" s="48" t="n">
        <x:f>Model_Data!F10</x:f>
        <x:v>3271.186984565748</x:v>
      </x:c>
    </x:row>
    <x:row r="11">
      <x:c r="A11" s="48" t="n">
        <x:f>Model_Data!A11</x:f>
        <x:v>-55.5</x:v>
      </x:c>
      <x:c r="B11" s="48" t="n">
        <x:f>0</x:f>
        <x:v>0</x:v>
      </x:c>
      <x:c r="C11" s="48" t="n">
        <x:f>((SQRT((Inputs!$C$52+Inputs!$C$5)^2+Inputs!$C$52^2-2*(Inputs!$C$52+Inputs!$C$5)*Inputs!$C$52*COS(SQRT((Model_Data!A11)^2+Inputs!$C$6^2)/Inputs!$C$52))-Inputs!$C$5)*1000/Inputs!$C$12)</x:f>
        <x:v>3244.995741083732</x:v>
      </x:c>
      <x:c r="D11" s="48" t="n">
        <x:f>Model_Data!F11</x:f>
        <x:v>3223.4305436364602</x:v>
      </x:c>
      <x:c r="E11" s="48" t="n">
        <x:f>Model_Data!AC11</x:f>
        <x:v>3156.4396749474286</x:v>
      </x:c>
      <x:c r="F11" s="49"/>
      <x:c r="G11" s="48" t="n">
        <x:f>Model_Data!A11</x:f>
        <x:v>-55.5</x:v>
      </x:c>
      <x:c r="H11" s="48" t="n">
        <x:f>0</x:f>
        <x:v>0</x:v>
      </x:c>
      <x:c r="I11" s="48" t="n">
        <x:f>Model_Data!Y11</x:f>
        <x:v>160.57943103446084</x:v>
      </x:c>
      <x:c r="J11" s="48" t="n">
        <x:f>Model_Data!X11</x:f>
        <x:v>38.49658216595124</x:v>
      </x:c>
      <x:c r="K11" s="48" t="n">
        <x:f>Model_Data!A11</x:f>
        <x:v>-55.5</x:v>
      </x:c>
      <x:c r="L11" s="48" t="n">
        <x:f>Model_Data!Y11</x:f>
        <x:v>160.57943103446084</x:v>
      </x:c>
      <x:c r="M11" s="48" t="n">
        <x:f>Model_Data!X11</x:f>
        <x:v>38.49658216595124</x:v>
      </x:c>
      <x:c r="N11" s="48" t="n">
        <x:f>-(Model_Data!AC11-Model_Data!F11)*Inputs!$C$12</x:f>
        <x:v>119.2437462664764</x:v>
      </x:c>
      <x:c r="O11" s="49"/>
      <x:c r="P11" s="48" t="n">
        <x:f>Model_Data!A11</x:f>
        <x:v>-55.5</x:v>
      </x:c>
      <x:c r="Q11" s="48" t="n">
        <x:f>Model_Data!P11</x:f>
        <x:v>468.1947090801259</x:v>
      </x:c>
      <x:c r="R11" s="48" t="n">
        <x:f>Model_Data!AM11</x:f>
        <x:v>482.4716566618008</x:v>
      </x:c>
      <x:c r="S11" s="48" t="n">
        <x:f>Model_Data!Q11</x:f>
        <x:v>70.29950586788678</x:v>
      </x:c>
      <x:c r="T11" s="48" t="n">
        <x:f>Model_Data!AN11</x:f>
        <x:v>72.44319169096109</x:v>
      </x:c>
      <x:c r="U11" s="49"/>
      <x:c r="V11" s="48" t="n">
        <x:f>Model_Data!A11</x:f>
        <x:v>-55.5</x:v>
      </x:c>
      <x:c r="W11" s="48" t="n">
        <x:f>Model_Data!B11-Inputs!$C$5</x:f>
        <x:v>3.4225000000000136</x:v>
      </x:c>
      <x:c r="X11" s="49"/>
      <x:c r="Y11" s="48" t="n">
        <x:f>Model_Data!A11</x:f>
        <x:v>-55.5</x:v>
      </x:c>
      <x:c r="Z11" s="48" t="n">
        <x:f>0</x:f>
        <x:v>0</x:v>
      </x:c>
      <x:c r="AA11" s="48" t="n">
        <x:f>((SQRT((Inputs!$C$52+Inputs!$C$5)^2+Inputs!$C$52^2-2*(Inputs!$C$52+Inputs!$C$5)*Inputs!$C$52*COS(SQRT((Model_Data!A11)^2+Inputs!$C$6^2)/Inputs!$C$52))-Inputs!$C$5)*1000/Inputs!$C$12)</x:f>
        <x:v>3244.995741083732</x:v>
      </x:c>
      <x:c r="AB11" s="48" t="n">
        <x:f>Model_Data!F11</x:f>
        <x:v>3223.4305436364602</x:v>
      </x:c>
    </x:row>
    <x:row r="12">
      <x:c r="A12" s="48" t="n">
        <x:f>Model_Data!A12</x:f>
        <x:v>-55</x:v>
      </x:c>
      <x:c r="B12" s="48" t="n">
        <x:f>0</x:f>
        <x:v>0</x:v>
      </x:c>
      <x:c r="C12" s="48" t="n">
        <x:f>((SQRT((Inputs!$C$52+Inputs!$C$5)^2+Inputs!$C$52^2-2*(Inputs!$C$52+Inputs!$C$5)*Inputs!$C$52*COS(SQRT((Model_Data!A12)^2+Inputs!$C$6^2)/Inputs!$C$52))-Inputs!$C$5)*1000/Inputs!$C$12)</x:f>
        <x:v>3196.954042025839</x:v>
      </x:c>
      <x:c r="D12" s="48" t="n">
        <x:f>Model_Data!F12</x:f>
        <x:v>3176.081164429937</x:v>
      </x:c>
      <x:c r="E12" s="48" t="n">
        <x:f>Model_Data!AC12</x:f>
        <x:v>3104.997561514674</x:v>
      </x:c>
      <x:c r="F12" s="49"/>
      <x:c r="G12" s="48" t="n">
        <x:f>Model_Data!A12</x:f>
        <x:v>-55</x:v>
      </x:c>
      <x:c r="H12" s="48" t="n">
        <x:f>0</x:f>
        <x:v>0</x:v>
      </x:c>
      <x:c r="I12" s="48" t="n">
        <x:f>Model_Data!Y12</x:f>
        <x:v>176.10976359434375</x:v>
      </x:c>
      <x:c r="J12" s="48" t="n">
        <x:f>Model_Data!X12</x:f>
        <x:v>46.51195593176057</x:v>
      </x:c>
      <x:c r="K12" s="48" t="n">
        <x:f>Model_Data!A12</x:f>
        <x:v>-55</x:v>
      </x:c>
      <x:c r="L12" s="48" t="n">
        <x:f>Model_Data!Y12</x:f>
        <x:v>176.10976359434375</x:v>
      </x:c>
      <x:c r="M12" s="48" t="n">
        <x:f>Model_Data!X12</x:f>
        <x:v>46.51195593176057</x:v>
      </x:c>
      <x:c r="N12" s="48" t="n">
        <x:f>-(Model_Data!AC12-Model_Data!F12)*Inputs!$C$12</x:f>
        <x:v>126.52881318916792</x:v>
      </x:c>
      <x:c r="O12" s="49"/>
      <x:c r="P12" s="48" t="n">
        <x:f>Model_Data!A12</x:f>
        <x:v>-55</x:v>
      </x:c>
      <x:c r="Q12" s="48" t="n">
        <x:f>Model_Data!P12</x:f>
        <x:v>464.0967357390764</x:v>
      </x:c>
      <x:c r="R12" s="48" t="n">
        <x:f>Model_Data!AM12</x:f>
        <x:v>517.4251021308919</x:v>
      </x:c>
      <x:c r="S12" s="48" t="n">
        <x:f>Model_Data!Q12</x:f>
        <x:v>69.68419455541688</x:v>
      </x:c>
      <x:c r="T12" s="48" t="n">
        <x:f>Model_Data!AN12</x:f>
        <x:v>77.6914567764102</x:v>
      </x:c>
      <x:c r="U12" s="49"/>
      <x:c r="V12" s="48" t="n">
        <x:f>Model_Data!A12</x:f>
        <x:v>-55</x:v>
      </x:c>
      <x:c r="W12" s="48" t="n">
        <x:f>Model_Data!B12-Inputs!$C$5</x:f>
        <x:v>3.361111111111086</x:v>
      </x:c>
      <x:c r="X12" s="49"/>
      <x:c r="Y12" s="48" t="n">
        <x:f>Model_Data!A12</x:f>
        <x:v>-55</x:v>
      </x:c>
      <x:c r="Z12" s="48" t="n">
        <x:f>0</x:f>
        <x:v>0</x:v>
      </x:c>
      <x:c r="AA12" s="48" t="n">
        <x:f>((SQRT((Inputs!$C$52+Inputs!$C$5)^2+Inputs!$C$52^2-2*(Inputs!$C$52+Inputs!$C$5)*Inputs!$C$52*COS(SQRT((Model_Data!A12)^2+Inputs!$C$6^2)/Inputs!$C$52))-Inputs!$C$5)*1000/Inputs!$C$12)</x:f>
        <x:v>3196.954042025839</x:v>
      </x:c>
      <x:c r="AB12" s="48" t="n">
        <x:f>Model_Data!F12</x:f>
        <x:v>3176.081164429937</x:v>
      </x:c>
    </x:row>
    <x:row r="13">
      <x:c r="A13" s="48" t="n">
        <x:f>Model_Data!A13</x:f>
        <x:v>-54.5</x:v>
      </x:c>
      <x:c r="B13" s="48" t="n">
        <x:f>0</x:f>
        <x:v>0</x:v>
      </x:c>
      <x:c r="C13" s="48" t="n">
        <x:f>((SQRT((Inputs!$C$52+Inputs!$C$5)^2+Inputs!$C$52^2-2*(Inputs!$C$52+Inputs!$C$5)*Inputs!$C$52*COS(SQRT((Model_Data!A13)^2+Inputs!$C$6^2)/Inputs!$C$52))-Inputs!$C$5)*1000/Inputs!$C$12)</x:f>
        <x:v>3149.336938669558</x:v>
      </x:c>
      <x:c r="D13" s="48" t="n">
        <x:f>Model_Data!F13</x:f>
        <x:v>3129.139398909123</x:v>
      </x:c>
      <x:c r="E13" s="48" t="n">
        <x:f>Model_Data!AC13</x:f>
        <x:v>3049.759700025837</x:v>
      </x:c>
      <x:c r="F13" s="49"/>
      <x:c r="G13" s="48" t="n">
        <x:f>Model_Data!A13</x:f>
        <x:v>-54.5</x:v>
      </x:c>
      <x:c r="H13" s="48" t="n">
        <x:f>0</x:f>
        <x:v>0</x:v>
      </x:c>
      <x:c r="I13" s="48" t="n">
        <x:f>Model_Data!Y13</x:f>
        <x:v>194.40953580817023</x:v>
      </x:c>
      <x:c r="J13" s="48" t="n">
        <x:f>Model_Data!X13</x:f>
        <x:v>49.77469341509185</x:v>
      </x:c>
      <x:c r="K13" s="48" t="n">
        <x:f>Model_Data!A13</x:f>
        <x:v>-54.5</x:v>
      </x:c>
      <x:c r="L13" s="48" t="n">
        <x:f>Model_Data!Y13</x:f>
        <x:v>194.40953580817023</x:v>
      </x:c>
      <x:c r="M13" s="48" t="n">
        <x:f>Model_Data!X13</x:f>
        <x:v>49.77469341509185</x:v>
      </x:c>
      <x:c r="N13" s="48" t="n">
        <x:f>-(Model_Data!AC13-Model_Data!F13)*Inputs!$C$12</x:f>
        <x:v>141.29586401224904</x:v>
      </x:c>
      <x:c r="O13" s="49"/>
      <x:c r="P13" s="48" t="n">
        <x:f>Model_Data!A13</x:f>
        <x:v>-54.5</x:v>
      </x:c>
      <x:c r="Q13" s="48" t="n">
        <x:f>Model_Data!P13</x:f>
        <x:v>459.9956298745383</x:v>
      </x:c>
      <x:c r="R13" s="48" t="n">
        <x:f>Model_Data!AM13</x:f>
        <x:v>492.04615879461926</x:v>
      </x:c>
      <x:c r="S13" s="48" t="n">
        <x:f>Model_Data!Q13</x:f>
        <x:v>69.06841289407483</x:v>
      </x:c>
      <x:c r="T13" s="48" t="n">
        <x:f>Model_Data!AN13</x:f>
        <x:v>73.88080462381672</x:v>
      </x:c>
      <x:c r="U13" s="49"/>
      <x:c r="V13" s="48" t="n">
        <x:f>Model_Data!A13</x:f>
        <x:v>-54.5</x:v>
      </x:c>
      <x:c r="W13" s="48" t="n">
        <x:f>Model_Data!B13-Inputs!$C$5</x:f>
        <x:v>3.300277777777751</x:v>
      </x:c>
      <x:c r="X13" s="49"/>
      <x:c r="Y13" s="48" t="n">
        <x:f>Model_Data!A13</x:f>
        <x:v>-54.5</x:v>
      </x:c>
      <x:c r="Z13" s="48" t="n">
        <x:f>0</x:f>
        <x:v>0</x:v>
      </x:c>
      <x:c r="AA13" s="48" t="n">
        <x:f>((SQRT((Inputs!$C$52+Inputs!$C$5)^2+Inputs!$C$52^2-2*(Inputs!$C$52+Inputs!$C$5)*Inputs!$C$52*COS(SQRT((Model_Data!A13)^2+Inputs!$C$6^2)/Inputs!$C$52))-Inputs!$C$5)*1000/Inputs!$C$12)</x:f>
        <x:v>3149.336938669558</x:v>
      </x:c>
      <x:c r="AB13" s="48" t="n">
        <x:f>Model_Data!F13</x:f>
        <x:v>3129.139398909123</x:v>
      </x:c>
    </x:row>
    <x:row r="14">
      <x:c r="A14" s="48" t="n">
        <x:f>Model_Data!A14</x:f>
        <x:v>-54</x:v>
      </x:c>
      <x:c r="B14" s="48" t="n">
        <x:f>0</x:f>
        <x:v>0</x:v>
      </x:c>
      <x:c r="C14" s="48" t="n">
        <x:f>((SQRT((Inputs!$C$52+Inputs!$C$5)^2+Inputs!$C$52^2-2*(Inputs!$C$52+Inputs!$C$5)*Inputs!$C$52*COS(SQRT((Model_Data!A14)^2+Inputs!$C$6^2)/Inputs!$C$52))-Inputs!$C$5)*1000/Inputs!$C$12)</x:f>
        <x:v>3102.1447021381323</x:v>
      </x:c>
      <x:c r="D14" s="48" t="n">
        <x:f>Model_Data!F14</x:f>
        <x:v>3082.60579501392</x:v>
      </x:c>
      <x:c r="E14" s="48" t="n">
        <x:f>Model_Data!AC14</x:f>
        <x:v>2995.4391289303594</x:v>
      </x:c>
      <x:c r="F14" s="49"/>
      <x:c r="G14" s="48" t="n">
        <x:f>Model_Data!A14</x:f>
        <x:v>-54</x:v>
      </x:c>
      <x:c r="H14" s="48" t="n">
        <x:f>0</x:f>
        <x:v>0</x:v>
      </x:c>
      <x:c r="I14" s="48" t="n">
        <x:f>Model_Data!Y14</x:f>
        <x:v>196.39629745562698</x:v>
      </x:c>
      <x:c r="J14" s="48" t="n">
        <x:f>Model_Data!X14</x:f>
        <x:v>37.91568406723211</x:v>
      </x:c>
      <x:c r="K14" s="48" t="n">
        <x:f>Model_Data!A14</x:f>
        <x:v>-54</x:v>
      </x:c>
      <x:c r="L14" s="48" t="n">
        <x:f>Model_Data!Y14</x:f>
        <x:v>196.39629745562698</x:v>
      </x:c>
      <x:c r="M14" s="48" t="n">
        <x:f>Model_Data!X14</x:f>
        <x:v>37.91568406723211</x:v>
      </x:c>
      <x:c r="N14" s="48" t="n">
        <x:f>-(Model_Data!AC14-Model_Data!F14)*Inputs!$C$12</x:f>
        <x:v>155.15666562873824</x:v>
      </x:c>
      <x:c r="O14" s="49"/>
      <x:c r="P14" s="48" t="n">
        <x:f>Model_Data!A14</x:f>
        <x:v>-54</x:v>
      </x:c>
      <x:c r="Q14" s="48" t="n">
        <x:f>Model_Data!P14</x:f>
        <x:v>455.89141447326256</x:v>
      </x:c>
      <x:c r="R14" s="48" t="n">
        <x:f>Model_Data!AM14</x:f>
        <x:v>488.51245490695874</x:v>
      </x:c>
      <x:c r="S14" s="48" t="n">
        <x:f>Model_Data!Q14</x:f>
        <x:v>68.45216433532471</x:v>
      </x:c>
      <x:c r="T14" s="48" t="n">
        <x:f>Model_Data!AN14</x:f>
        <x:v>73.35021845449832</x:v>
      </x:c>
      <x:c r="U14" s="49"/>
      <x:c r="V14" s="48" t="n">
        <x:f>Model_Data!A14</x:f>
        <x:v>-54</x:v>
      </x:c>
      <x:c r="W14" s="48" t="n">
        <x:f>Model_Data!B14-Inputs!$C$5</x:f>
        <x:v>3.240000000000009</x:v>
      </x:c>
      <x:c r="X14" s="49"/>
      <x:c r="Y14" s="48" t="n">
        <x:f>Model_Data!A14</x:f>
        <x:v>-54</x:v>
      </x:c>
      <x:c r="Z14" s="48" t="n">
        <x:f>0</x:f>
        <x:v>0</x:v>
      </x:c>
      <x:c r="AA14" s="48" t="n">
        <x:f>((SQRT((Inputs!$C$52+Inputs!$C$5)^2+Inputs!$C$52^2-2*(Inputs!$C$52+Inputs!$C$5)*Inputs!$C$52*COS(SQRT((Model_Data!A14)^2+Inputs!$C$6^2)/Inputs!$C$52))-Inputs!$C$5)*1000/Inputs!$C$12)</x:f>
        <x:v>3102.1447021381323</x:v>
      </x:c>
      <x:c r="AB14" s="48" t="n">
        <x:f>Model_Data!F14</x:f>
        <x:v>3082.60579501392</x:v>
      </x:c>
    </x:row>
    <x:row r="15">
      <x:c r="A15" s="48" t="n">
        <x:f>Model_Data!A15</x:f>
        <x:v>-53.5</x:v>
      </x:c>
      <x:c r="B15" s="48" t="n">
        <x:f>0</x:f>
        <x:v>0</x:v>
      </x:c>
      <x:c r="C15" s="48" t="n">
        <x:f>((SQRT((Inputs!$C$52+Inputs!$C$5)^2+Inputs!$C$52^2-2*(Inputs!$C$52+Inputs!$C$5)*Inputs!$C$52*COS(SQRT((Model_Data!A15)^2+Inputs!$C$6^2)/Inputs!$C$52))-Inputs!$C$5)*1000/Inputs!$C$12)</x:f>
        <x:v>3055.3776013572988</x:v>
      </x:c>
      <x:c r="D15" s="48" t="n">
        <x:f>Model_Data!F15</x:f>
        <x:v>3036.480896636179</x:v>
      </x:c>
      <x:c r="E15" s="48" t="n">
        <x:f>Model_Data!AC15</x:f>
        <x:v>2945.383696993052</x:v>
      </x:c>
      <x:c r="F15" s="49"/>
      <x:c r="G15" s="48" t="n">
        <x:f>Model_Data!A15</x:f>
        <x:v>-53.5</x:v>
      </x:c>
      <x:c r="H15" s="48" t="n">
        <x:f>0</x:f>
        <x:v>0</x:v>
      </x:c>
      <x:c r="I15" s="48" t="n">
        <x:f>Model_Data!Y15</x:f>
        <x:v>215.04504497494062</x:v>
      </x:c>
      <x:c r="J15" s="48" t="n">
        <x:f>Model_Data!X15</x:f>
        <x:v>49.305692333608725</x:v>
      </x:c>
      <x:c r="K15" s="48" t="n">
        <x:f>Model_Data!A15</x:f>
        <x:v>-53.5</x:v>
      </x:c>
      <x:c r="L15" s="48" t="n">
        <x:f>Model_Data!Y15</x:f>
        <x:v>215.04504497494062</x:v>
      </x:c>
      <x:c r="M15" s="48" t="n">
        <x:f>Model_Data!X15</x:f>
        <x:v>49.305692333608725</x:v>
      </x:c>
      <x:c r="N15" s="48" t="n">
        <x:f>-(Model_Data!AC15-Model_Data!F15)*Inputs!$C$12</x:f>
        <x:v>162.15301536476557</x:v>
      </x:c>
      <x:c r="O15" s="49"/>
      <x:c r="P15" s="48" t="n">
        <x:f>Model_Data!A15</x:f>
        <x:v>-53.5</x:v>
      </x:c>
      <x:c r="Q15" s="48" t="n">
        <x:f>Model_Data!P15</x:f>
        <x:v>451.7841126563326</x:v>
      </x:c>
      <x:c r="R15" s="48" t="n">
        <x:f>Model_Data!AM15</x:f>
        <x:v>489.52310187305557</x:v>
      </x:c>
      <x:c r="S15" s="48" t="n">
        <x:f>Model_Data!Q15</x:f>
        <x:v>67.8354523508007</x:v>
      </x:c>
      <x:c r="T15" s="48" t="n">
        <x:f>Model_Data!AN15</x:f>
        <x:v>73.50196724820655</x:v>
      </x:c>
      <x:c r="U15" s="49"/>
      <x:c r="V15" s="48" t="n">
        <x:f>Model_Data!A15</x:f>
        <x:v>-53.5</x:v>
      </x:c>
      <x:c r="W15" s="48" t="n">
        <x:f>Model_Data!B15-Inputs!$C$5</x:f>
        <x:v>3.1802777777778033</x:v>
      </x:c>
      <x:c r="X15" s="49"/>
      <x:c r="Y15" s="48" t="n">
        <x:f>Model_Data!A15</x:f>
        <x:v>-53.5</x:v>
      </x:c>
      <x:c r="Z15" s="48" t="n">
        <x:f>0</x:f>
        <x:v>0</x:v>
      </x:c>
      <x:c r="AA15" s="48" t="n">
        <x:f>((SQRT((Inputs!$C$52+Inputs!$C$5)^2+Inputs!$C$52^2-2*(Inputs!$C$52+Inputs!$C$5)*Inputs!$C$52*COS(SQRT((Model_Data!A15)^2+Inputs!$C$6^2)/Inputs!$C$52))-Inputs!$C$5)*1000/Inputs!$C$12)</x:f>
        <x:v>3055.3776013572988</x:v>
      </x:c>
      <x:c r="AB15" s="48" t="n">
        <x:f>Model_Data!F15</x:f>
        <x:v>3036.480896636179</x:v>
      </x:c>
    </x:row>
    <x:row r="16">
      <x:c r="A16" s="48" t="n">
        <x:f>Model_Data!A16</x:f>
        <x:v>-53</x:v>
      </x:c>
      <x:c r="B16" s="48" t="n">
        <x:f>0</x:f>
        <x:v>0</x:v>
      </x:c>
      <x:c r="C16" s="48" t="n">
        <x:f>((SQRT((Inputs!$C$52+Inputs!$C$5)^2+Inputs!$C$52^2-2*(Inputs!$C$52+Inputs!$C$5)*Inputs!$C$52*COS(SQRT((Model_Data!A16)^2+Inputs!$C$6^2)/Inputs!$C$52))-Inputs!$C$5)*1000/Inputs!$C$12)</x:f>
        <x:v>3009.035903051642</x:v>
      </x:c>
      <x:c r="D16" s="48" t="n">
        <x:f>Model_Data!F16</x:f>
        <x:v>2990.7652435974414</x:v>
      </x:c>
      <x:c r="E16" s="48" t="n">
        <x:f>Model_Data!AC16</x:f>
        <x:v>2899.9240125451734</x:v>
      </x:c>
      <x:c r="F16" s="49"/>
      <x:c r="G16" s="48" t="n">
        <x:f>Model_Data!A16</x:f>
        <x:v>-53</x:v>
      </x:c>
      <x:c r="H16" s="48" t="n">
        <x:f>0</x:f>
        <x:v>0</x:v>
      </x:c>
      <x:c r="I16" s="48" t="n">
        <x:f>Model_Data!Y16</x:f>
        <x:v>220.27863667842527</x:v>
      </x:c>
      <x:c r="J16" s="48" t="n">
        <x:f>Model_Data!X16</x:f>
        <x:v>54.9618266833629</x:v>
      </x:c>
      <x:c r="K16" s="48" t="n">
        <x:f>Model_Data!A16</x:f>
        <x:v>-53</x:v>
      </x:c>
      <x:c r="L16" s="48" t="n">
        <x:f>Model_Data!Y16</x:f>
        <x:v>220.27863667842527</x:v>
      </x:c>
      <x:c r="M16" s="48" t="n">
        <x:f>Model_Data!X16</x:f>
        <x:v>54.9618266833629</x:v>
      </x:c>
      <x:c r="N16" s="48" t="n">
        <x:f>-(Model_Data!AC16-Model_Data!F16)*Inputs!$C$12</x:f>
        <x:v>161.6973912730372</x:v>
      </x:c>
      <x:c r="O16" s="49"/>
      <x:c r="P16" s="48" t="n">
        <x:f>Model_Data!A16</x:f>
        <x:v>-53</x:v>
      </x:c>
      <x:c r="Q16" s="48" t="n">
        <x:f>Model_Data!P16</x:f>
        <x:v>447.67374769307935</x:v>
      </x:c>
      <x:c r="R16" s="48" t="n">
        <x:f>Model_Data!AM16</x:f>
        <x:v>468.99927804070103</x:v>
      </x:c>
      <x:c r="S16" s="48" t="n">
        <x:f>Model_Data!Q16</x:f>
        <x:v>67.2182804343963</x:v>
      </x:c>
      <x:c r="T16" s="48" t="n">
        <x:f>Model_Data!AN16</x:f>
        <x:v>70.42031201812328</x:v>
      </x:c>
      <x:c r="U16" s="49"/>
      <x:c r="V16" s="48" t="n">
        <x:f>Model_Data!A16</x:f>
        <x:v>-53</x:v>
      </x:c>
      <x:c r="W16" s="48" t="n">
        <x:f>Model_Data!B16-Inputs!$C$5</x:f>
        <x:v>3.1211111111111336</x:v>
      </x:c>
      <x:c r="X16" s="49"/>
      <x:c r="Y16" s="48" t="n">
        <x:f>Model_Data!A16</x:f>
        <x:v>-53</x:v>
      </x:c>
      <x:c r="Z16" s="48" t="n">
        <x:f>0</x:f>
        <x:v>0</x:v>
      </x:c>
      <x:c r="AA16" s="48" t="n">
        <x:f>((SQRT((Inputs!$C$52+Inputs!$C$5)^2+Inputs!$C$52^2-2*(Inputs!$C$52+Inputs!$C$5)*Inputs!$C$52*COS(SQRT((Model_Data!A16)^2+Inputs!$C$6^2)/Inputs!$C$52))-Inputs!$C$5)*1000/Inputs!$C$12)</x:f>
        <x:v>3009.035903051642</x:v>
      </x:c>
      <x:c r="AB16" s="48" t="n">
        <x:f>Model_Data!F16</x:f>
        <x:v>2990.7652435974414</x:v>
      </x:c>
    </x:row>
    <x:row r="17">
      <x:c r="A17" s="48" t="n">
        <x:f>Model_Data!A17</x:f>
        <x:v>-52.5</x:v>
      </x:c>
      <x:c r="B17" s="48" t="n">
        <x:f>0</x:f>
        <x:v>0</x:v>
      </x:c>
      <x:c r="C17" s="48" t="n">
        <x:f>((SQRT((Inputs!$C$52+Inputs!$C$5)^2+Inputs!$C$52^2-2*(Inputs!$C$52+Inputs!$C$5)*Inputs!$C$52*COS(SQRT((Model_Data!A17)^2+Inputs!$C$6^2)/Inputs!$C$52))-Inputs!$C$5)*1000/Inputs!$C$12)</x:f>
        <x:v>2963.1198717330712</x:v>
      </x:c>
      <x:c r="D17" s="48" t="n">
        <x:f>Model_Data!F17</x:f>
        <x:v>2945.459371619116</x:v>
      </x:c>
      <x:c r="E17" s="48" t="n">
        <x:f>Model_Data!AC17</x:f>
        <x:v>2842.7213801928137</x:v>
      </x:c>
      <x:c r="F17" s="49"/>
      <x:c r="G17" s="48" t="n">
        <x:f>Model_Data!A17</x:f>
        <x:v>-52.5</x:v>
      </x:c>
      <x:c r="H17" s="48" t="n">
        <x:f>0</x:f>
        <x:v>0</x:v>
      </x:c>
      <x:c r="I17" s="48" t="n">
        <x:f>Model_Data!Y17</x:f>
        <x:v>228.48571186718385</x:v>
      </x:c>
      <x:c r="J17" s="48" t="n">
        <x:f>Model_Data!X17</x:f>
        <x:v>41.913539426844665</x:v>
      </x:c>
      <x:c r="K17" s="48" t="n">
        <x:f>Model_Data!A17</x:f>
        <x:v>-52.5</x:v>
      </x:c>
      <x:c r="L17" s="48" t="n">
        <x:f>Model_Data!Y17</x:f>
        <x:v>228.48571186718385</x:v>
      </x:c>
      <x:c r="M17" s="48" t="n">
        <x:f>Model_Data!X17</x:f>
        <x:v>41.913539426844665</x:v>
      </x:c>
      <x:c r="N17" s="48" t="n">
        <x:f>-(Model_Data!AC17-Model_Data!F17)*Inputs!$C$12</x:f>
        <x:v>182.8736247388183</x:v>
      </x:c>
      <x:c r="O17" s="49"/>
      <x:c r="P17" s="48" t="n">
        <x:f>Model_Data!A17</x:f>
        <x:v>-52.5</x:v>
      </x:c>
      <x:c r="Q17" s="48" t="n">
        <x:f>Model_Data!P17</x:f>
        <x:v>443.56034297125007</x:v>
      </x:c>
      <x:c r="R17" s="48" t="n">
        <x:f>Model_Data!AM17</x:f>
        <x:v>476.7410332173313</x:v>
      </x:c>
      <x:c r="S17" s="48" t="n">
        <x:f>Model_Data!Q17</x:f>
        <x:v>66.6006520977853</x:v>
      </x:c>
      <x:c r="T17" s="48" t="n">
        <x:f>Model_Data!AN17</x:f>
        <x:v>71.58273772032001</x:v>
      </x:c>
      <x:c r="U17" s="49"/>
      <x:c r="V17" s="48" t="n">
        <x:f>Model_Data!A17</x:f>
        <x:v>-52.5</x:v>
      </x:c>
      <x:c r="W17" s="48" t="n">
        <x:f>Model_Data!B17-Inputs!$C$5</x:f>
        <x:v>3.0625</x:v>
      </x:c>
      <x:c r="X17" s="49"/>
      <x:c r="Y17" s="48" t="n">
        <x:f>Model_Data!A17</x:f>
        <x:v>-52.5</x:v>
      </x:c>
      <x:c r="Z17" s="48" t="n">
        <x:f>0</x:f>
        <x:v>0</x:v>
      </x:c>
      <x:c r="AA17" s="48" t="n">
        <x:f>((SQRT((Inputs!$C$52+Inputs!$C$5)^2+Inputs!$C$52^2-2*(Inputs!$C$52+Inputs!$C$5)*Inputs!$C$52*COS(SQRT((Model_Data!A17)^2+Inputs!$C$6^2)/Inputs!$C$52))-Inputs!$C$5)*1000/Inputs!$C$12)</x:f>
        <x:v>2963.1198717330712</x:v>
      </x:c>
      <x:c r="AB17" s="48" t="n">
        <x:f>Model_Data!F17</x:f>
        <x:v>2945.459371619116</x:v>
      </x:c>
    </x:row>
    <x:row r="18">
      <x:c r="A18" s="48" t="n">
        <x:f>Model_Data!A18</x:f>
        <x:v>-52</x:v>
      </x:c>
      <x:c r="B18" s="48" t="n">
        <x:f>0</x:f>
        <x:v>0</x:v>
      </x:c>
      <x:c r="C18" s="48" t="n">
        <x:f>((SQRT((Inputs!$C$52+Inputs!$C$5)^2+Inputs!$C$52^2-2*(Inputs!$C$52+Inputs!$C$5)*Inputs!$C$52*COS(SQRT((Model_Data!A18)^2+Inputs!$C$6^2)/Inputs!$C$52))-Inputs!$C$5)*1000/Inputs!$C$12)</x:f>
        <x:v>2917.629769696665</x:v>
      </x:c>
      <x:c r="D18" s="48" t="n">
        <x:f>Model_Data!F18</x:f>
        <x:v>2900.5638123107237</x:v>
      </x:c>
      <x:c r="E18" s="48" t="n">
        <x:f>Model_Data!AC18</x:f>
        <x:v>2791.9189216850345</x:v>
      </x:c>
      <x:c r="F18" s="49"/>
      <x:c r="G18" s="48" t="n">
        <x:f>Model_Data!A18</x:f>
        <x:v>-52</x:v>
      </x:c>
      <x:c r="H18" s="48" t="n">
        <x:f>0</x:f>
        <x:v>0</x:v>
      </x:c>
      <x:c r="I18" s="48" t="n">
        <x:f>Model_Data!Y18</x:f>
        <x:v>241.24392327938918</x:v>
      </x:c>
      <x:c r="J18" s="48" t="n">
        <x:f>Model_Data!X18</x:f>
        <x:v>44.0092440465048</x:v>
      </x:c>
      <x:c r="K18" s="48" t="n">
        <x:f>Model_Data!A18</x:f>
        <x:v>-52</x:v>
      </x:c>
      <x:c r="L18" s="48" t="n">
        <x:f>Model_Data!Y18</x:f>
        <x:v>241.24392327938918</x:v>
      </x:c>
      <x:c r="M18" s="48" t="n">
        <x:f>Model_Data!X18</x:f>
        <x:v>44.0092440465048</x:v>
      </x:c>
      <x:c r="N18" s="48" t="n">
        <x:f>-(Model_Data!AC18-Model_Data!F18)*Inputs!$C$12</x:f>
        <x:v>193.38790531372675</x:v>
      </x:c>
      <x:c r="O18" s="49"/>
      <x:c r="P18" s="48" t="n">
        <x:f>Model_Data!A18</x:f>
        <x:v>-52</x:v>
      </x:c>
      <x:c r="Q18" s="48" t="n">
        <x:f>Model_Data!P18</x:f>
        <x:v>439.4439220161985</x:v>
      </x:c>
      <x:c r="R18" s="48" t="n">
        <x:f>Model_Data!AM18</x:f>
        <x:v>491.44939474927014</x:v>
      </x:c>
      <x:c r="S18" s="48" t="n">
        <x:f>Model_Data!Q18</x:f>
        <x:v>65.98257087330308</x:v>
      </x:c>
      <x:c r="T18" s="48" t="n">
        <x:f>Model_Data!AN18</x:f>
        <x:v>73.79120041280333</x:v>
      </x:c>
      <x:c r="U18" s="49"/>
      <x:c r="V18" s="48" t="n">
        <x:f>Model_Data!A18</x:f>
        <x:v>-52</x:v>
      </x:c>
      <x:c r="W18" s="48" t="n">
        <x:f>Model_Data!B18-Inputs!$C$5</x:f>
        <x:v>3.0044444444444594</x:v>
      </x:c>
      <x:c r="X18" s="49"/>
      <x:c r="Y18" s="48" t="n">
        <x:f>Model_Data!A18</x:f>
        <x:v>-52</x:v>
      </x:c>
      <x:c r="Z18" s="48" t="n">
        <x:f>0</x:f>
        <x:v>0</x:v>
      </x:c>
      <x:c r="AA18" s="48" t="n">
        <x:f>((SQRT((Inputs!$C$52+Inputs!$C$5)^2+Inputs!$C$52^2-2*(Inputs!$C$52+Inputs!$C$5)*Inputs!$C$52*COS(SQRT((Model_Data!A18)^2+Inputs!$C$6^2)/Inputs!$C$52))-Inputs!$C$5)*1000/Inputs!$C$12)</x:f>
        <x:v>2917.629769696665</x:v>
      </x:c>
      <x:c r="AB18" s="48" t="n">
        <x:f>Model_Data!F18</x:f>
        <x:v>2900.5638123107237</x:v>
      </x:c>
    </x:row>
    <x:row r="19">
      <x:c r="A19" s="48" t="n">
        <x:f>Model_Data!A19</x:f>
        <x:v>-51.5</x:v>
      </x:c>
      <x:c r="B19" s="48" t="n">
        <x:f>0</x:f>
        <x:v>0</x:v>
      </x:c>
      <x:c r="C19" s="48" t="n">
        <x:f>((SQRT((Inputs!$C$52+Inputs!$C$5)^2+Inputs!$C$52^2-2*(Inputs!$C$52+Inputs!$C$5)*Inputs!$C$52*COS(SQRT((Model_Data!A19)^2+Inputs!$C$6^2)/Inputs!$C$52))-Inputs!$C$5)*1000/Inputs!$C$12)</x:f>
        <x:v>2872.5658570103246</x:v>
      </x:c>
      <x:c r="D19" s="48" t="n">
        <x:f>Model_Data!F19</x:f>
        <x:v>2856.0790931333977</x:v>
      </x:c>
      <x:c r="E19" s="48" t="n">
        <x:f>Model_Data!AC19</x:f>
        <x:v>2729.787539571201</x:v>
      </x:c>
      <x:c r="F19" s="49"/>
      <x:c r="G19" s="48" t="n">
        <x:f>Model_Data!A19</x:f>
        <x:v>-51.5</x:v>
      </x:c>
      <x:c r="H19" s="48" t="n">
        <x:f>0</x:f>
        <x:v>0</x:v>
      </x:c>
      <x:c r="I19" s="48" t="n">
        <x:f>Model_Data!Y19</x:f>
        <x:v>261.3961473371179</x:v>
      </x:c>
      <x:c r="J19" s="48" t="n">
        <x:f>Model_Data!X19</x:f>
        <x:v>32.491619283106324</x:v>
      </x:c>
      <x:c r="K19" s="48" t="n">
        <x:f>Model_Data!A19</x:f>
        <x:v>-51.5</x:v>
      </x:c>
      <x:c r="L19" s="48" t="n">
        <x:f>Model_Data!Y19</x:f>
        <x:v>261.3961473371179</x:v>
      </x:c>
      <x:c r="M19" s="48" t="n">
        <x:f>Model_Data!X19</x:f>
        <x:v>32.491619283106324</x:v>
      </x:c>
      <x:c r="N19" s="48" t="n">
        <x:f>-(Model_Data!AC19-Model_Data!F19)*Inputs!$C$12</x:f>
        <x:v>224.79896534071048</x:v>
      </x:c>
      <x:c r="O19" s="49"/>
      <x:c r="P19" s="48" t="n">
        <x:f>Model_Data!A19</x:f>
        <x:v>-51.5</x:v>
      </x:c>
      <x:c r="Q19" s="48" t="n">
        <x:f>Model_Data!P19</x:f>
        <x:v>435.32450851025715</x:v>
      </x:c>
      <x:c r="R19" s="48" t="n">
        <x:f>Model_Data!AM19</x:f>
        <x:v>452.40092921339965</x:v>
      </x:c>
      <x:c r="S19" s="48" t="n">
        <x:f>Model_Data!Q19</x:f>
        <x:v>65.36404031685544</x:v>
      </x:c>
      <x:c r="T19" s="48" t="n">
        <x:f>Model_Data!AN19</x:f>
        <x:v>67.92806744945942</x:v>
      </x:c>
      <x:c r="U19" s="49"/>
      <x:c r="V19" s="48" t="n">
        <x:f>Model_Data!A19</x:f>
        <x:v>-51.5</x:v>
      </x:c>
      <x:c r="W19" s="48" t="n">
        <x:f>Model_Data!B19-Inputs!$C$5</x:f>
        <x:v>2.946944444444455</x:v>
      </x:c>
      <x:c r="X19" s="49"/>
      <x:c r="Y19" s="48" t="n">
        <x:f>Model_Data!A19</x:f>
        <x:v>-51.5</x:v>
      </x:c>
      <x:c r="Z19" s="48" t="n">
        <x:f>0</x:f>
        <x:v>0</x:v>
      </x:c>
      <x:c r="AA19" s="48" t="n">
        <x:f>((SQRT((Inputs!$C$52+Inputs!$C$5)^2+Inputs!$C$52^2-2*(Inputs!$C$52+Inputs!$C$5)*Inputs!$C$52*COS(SQRT((Model_Data!A19)^2+Inputs!$C$6^2)/Inputs!$C$52))-Inputs!$C$5)*1000/Inputs!$C$12)</x:f>
        <x:v>2872.5658570103246</x:v>
      </x:c>
      <x:c r="AB19" s="48" t="n">
        <x:f>Model_Data!F19</x:f>
        <x:v>2856.0790931333977</x:v>
      </x:c>
    </x:row>
    <x:row r="20">
      <x:c r="A20" s="48" t="n">
        <x:f>Model_Data!A20</x:f>
        <x:v>-51</x:v>
      </x:c>
      <x:c r="B20" s="48" t="n">
        <x:f>0</x:f>
        <x:v>0</x:v>
      </x:c>
      <x:c r="C20" s="48" t="n">
        <x:f>((SQRT((Inputs!$C$52+Inputs!$C$5)^2+Inputs!$C$52^2-2*(Inputs!$C$52+Inputs!$C$5)*Inputs!$C$52*COS(SQRT((Model_Data!A20)^2+Inputs!$C$6^2)/Inputs!$C$52))-Inputs!$C$5)*1000/Inputs!$C$12)</x:f>
        <x:v>2827.928391510338</x:v>
      </x:c>
      <x:c r="D20" s="48" t="n">
        <x:f>Model_Data!F20</x:f>
        <x:v>2812.005737381264</x:v>
      </x:c>
      <x:c r="E20" s="48" t="n">
        <x:f>Model_Data!AC20</x:f>
        <x:v>2694.611863385233</x:v>
      </x:c>
      <x:c r="F20" s="49"/>
      <x:c r="G20" s="48" t="n">
        <x:f>Model_Data!A20</x:f>
        <x:v>-51</x:v>
      </x:c>
      <x:c r="H20" s="48" t="n">
        <x:f>0</x:f>
        <x:v>0</x:v>
      </x:c>
      <x:c r="I20" s="48" t="n">
        <x:f>Model_Data!Y20</x:f>
        <x:v>251.96732827517536</x:v>
      </x:c>
      <x:c r="J20" s="48" t="n">
        <x:f>Model_Data!X20</x:f>
        <x:v>39.10881658677256</x:v>
      </x:c>
      <x:c r="K20" s="48" t="n">
        <x:f>Model_Data!A20</x:f>
        <x:v>-51</x:v>
      </x:c>
      <x:c r="L20" s="48" t="n">
        <x:f>Model_Data!Y20</x:f>
        <x:v>251.96732827517536</x:v>
      </x:c>
      <x:c r="M20" s="48" t="n">
        <x:f>Model_Data!X20</x:f>
        <x:v>39.10881658677256</x:v>
      </x:c>
      <x:c r="N20" s="48" t="n">
        <x:f>-(Model_Data!AC20-Model_Data!F20)*Inputs!$C$12</x:f>
        <x:v>208.9610957129357</x:v>
      </x:c>
      <x:c r="O20" s="49"/>
      <x:c r="P20" s="48" t="n">
        <x:f>Model_Data!A20</x:f>
        <x:v>-51</x:v>
      </x:c>
      <x:c r="Q20" s="48" t="n">
        <x:f>Model_Data!P20</x:f>
        <x:v>431.2021262460803</x:v>
      </x:c>
      <x:c r="R20" s="48" t="n">
        <x:f>Model_Data!AM20</x:f>
        <x:v>413.01562584203566</x:v>
      </x:c>
      <x:c r="S20" s="48" t="n">
        <x:f>Model_Data!Q20</x:f>
        <x:v>64.74506400091296</x:v>
      </x:c>
      <x:c r="T20" s="48" t="n">
        <x:f>Model_Data!AN20</x:f>
        <x:v>62.01435823453989</x:v>
      </x:c>
      <x:c r="U20" s="49"/>
      <x:c r="V20" s="48" t="n">
        <x:f>Model_Data!A20</x:f>
        <x:v>-51</x:v>
      </x:c>
      <x:c r="W20" s="48" t="n">
        <x:f>Model_Data!B20-Inputs!$C$5</x:f>
        <x:v>2.8899999999999864</x:v>
      </x:c>
      <x:c r="X20" s="49"/>
      <x:c r="Y20" s="48" t="n">
        <x:f>Model_Data!A20</x:f>
        <x:v>-51</x:v>
      </x:c>
      <x:c r="Z20" s="48" t="n">
        <x:f>0</x:f>
        <x:v>0</x:v>
      </x:c>
      <x:c r="AA20" s="48" t="n">
        <x:f>((SQRT((Inputs!$C$52+Inputs!$C$5)^2+Inputs!$C$52^2-2*(Inputs!$C$52+Inputs!$C$5)*Inputs!$C$52*COS(SQRT((Model_Data!A20)^2+Inputs!$C$6^2)/Inputs!$C$52))-Inputs!$C$5)*1000/Inputs!$C$12)</x:f>
        <x:v>2827.928391510338</x:v>
      </x:c>
      <x:c r="AB20" s="48" t="n">
        <x:f>Model_Data!F20</x:f>
        <x:v>2812.005737381264</x:v>
      </x:c>
    </x:row>
    <x:row r="21">
      <x:c r="A21" s="48" t="n">
        <x:f>Model_Data!A21</x:f>
        <x:v>-50.5</x:v>
      </x:c>
      <x:c r="B21" s="48" t="n">
        <x:f>0</x:f>
        <x:v>0</x:v>
      </x:c>
      <x:c r="C21" s="48" t="n">
        <x:f>((SQRT((Inputs!$C$52+Inputs!$C$5)^2+Inputs!$C$52^2-2*(Inputs!$C$52+Inputs!$C$5)*Inputs!$C$52*COS(SQRT((Model_Data!A21)^2+Inputs!$C$6^2)/Inputs!$C$52))-Inputs!$C$5)*1000/Inputs!$C$12)</x:f>
        <x:v>2783.717628794319</x:v>
      </x:c>
      <x:c r="D21" s="48" t="n">
        <x:f>Model_Data!F21</x:f>
        <x:v>2768.3442641612314</x:v>
      </x:c>
      <x:c r="E21" s="48" t="n">
        <x:f>Model_Data!AC21</x:f>
        <x:v>2657.148651706692</x:v>
      </x:c>
      <x:c r="F21" s="49"/>
      <x:c r="G21" s="48" t="n">
        <x:f>Model_Data!A21</x:f>
        <x:v>-50.5</x:v>
      </x:c>
      <x:c r="H21" s="48" t="n">
        <x:f>0</x:f>
        <x:v>0</x:v>
      </x:c>
      <x:c r="I21" s="48" t="n">
        <x:f>Model_Data!Y21</x:f>
        <x:v>249.7278681272967</x:v>
      </x:c>
      <x:c r="J21" s="48" t="n">
        <x:f>Model_Data!X21</x:f>
        <x:v>47.99583170220943</x:v>
      </x:c>
      <x:c r="K21" s="48" t="n">
        <x:f>Model_Data!A21</x:f>
        <x:v>-50.5</x:v>
      </x:c>
      <x:c r="L21" s="48" t="n">
        <x:f>Model_Data!Y21</x:f>
        <x:v>249.7278681272967</x:v>
      </x:c>
      <x:c r="M21" s="48" t="n">
        <x:f>Model_Data!X21</x:f>
        <x:v>47.99583170220943</x:v>
      </x:c>
      <x:c r="N21" s="48" t="n">
        <x:f>-(Model_Data!AC21-Model_Data!F21)*Inputs!$C$12</x:f>
        <x:v>197.92819016908035</x:v>
      </x:c>
      <x:c r="O21" s="49"/>
      <x:c r="P21" s="48" t="n">
        <x:f>Model_Data!A21</x:f>
        <x:v>-50.5</x:v>
      </x:c>
      <x:c r="Q21" s="48" t="n">
        <x:f>Model_Data!P21</x:f>
        <x:v>427.0767991610228</x:v>
      </x:c>
      <x:c r="R21" s="48" t="n">
        <x:f>Model_Data!AM21</x:f>
        <x:v>461.5402613873812</x:v>
      </x:c>
      <x:c r="S21" s="48" t="n">
        <x:f>Model_Data!Q21</x:f>
        <x:v>64.1256455196731</x:v>
      </x:c>
      <x:c r="T21" s="48" t="n">
        <x:f>Model_Data!AN21</x:f>
        <x:v>69.30033954765484</x:v>
      </x:c>
      <x:c r="U21" s="49"/>
      <x:c r="V21" s="48" t="n">
        <x:f>Model_Data!A21</x:f>
        <x:v>-50.5</x:v>
      </x:c>
      <x:c r="W21" s="48" t="n">
        <x:f>Model_Data!B21-Inputs!$C$5</x:f>
        <x:v>2.833611111111111</x:v>
      </x:c>
      <x:c r="X21" s="49"/>
      <x:c r="Y21" s="48" t="n">
        <x:f>Model_Data!A21</x:f>
        <x:v>-50.5</x:v>
      </x:c>
      <x:c r="Z21" s="48" t="n">
        <x:f>0</x:f>
        <x:v>0</x:v>
      </x:c>
      <x:c r="AA21" s="48" t="n">
        <x:f>((SQRT((Inputs!$C$52+Inputs!$C$5)^2+Inputs!$C$52^2-2*(Inputs!$C$52+Inputs!$C$5)*Inputs!$C$52*COS(SQRT((Model_Data!A21)^2+Inputs!$C$6^2)/Inputs!$C$52))-Inputs!$C$5)*1000/Inputs!$C$12)</x:f>
        <x:v>2783.717628794319</x:v>
      </x:c>
      <x:c r="AB21" s="48" t="n">
        <x:f>Model_Data!F21</x:f>
        <x:v>2768.3442641612314</x:v>
      </x:c>
    </x:row>
    <x:row r="22">
      <x:c r="A22" s="48" t="n">
        <x:f>Model_Data!A22</x:f>
        <x:v>-50</x:v>
      </x:c>
      <x:c r="B22" s="48" t="n">
        <x:f>0</x:f>
        <x:v>0</x:v>
      </x:c>
      <x:c r="C22" s="48" t="n">
        <x:f>((SQRT((Inputs!$C$52+Inputs!$C$5)^2+Inputs!$C$52^2-2*(Inputs!$C$52+Inputs!$C$5)*Inputs!$C$52*COS(SQRT((Model_Data!A22)^2+Inputs!$C$6^2)/Inputs!$C$52))-Inputs!$C$5)*1000/Inputs!$C$12)</x:f>
        <x:v>2739.9338222122688</x:v>
      </x:c>
      <x:c r="D22" s="48" t="n">
        <x:f>Model_Data!F22</x:f>
        <x:v>2725.0951883624866</x:v>
      </x:c>
      <x:c r="E22" s="48" t="n">
        <x:f>Model_Data!AC22</x:f>
        <x:v>2589.94060604409</x:v>
      </x:c>
      <x:c r="F22" s="49"/>
      <x:c r="G22" s="48" t="n">
        <x:f>Model_Data!A22</x:f>
        <x:v>-50</x:v>
      </x:c>
      <x:c r="H22" s="48" t="n">
        <x:f>0</x:f>
        <x:v>0</x:v>
      </x:c>
      <x:c r="I22" s="48" t="n">
        <x:f>Model_Data!Y22</x:f>
        <x:v>273.71504099052385</x:v>
      </x:c>
      <x:c r="J22" s="48" t="n">
        <x:f>Model_Data!X22</x:f>
        <x:v>29.034419664389077</x:v>
      </x:c>
      <x:c r="K22" s="48" t="n">
        <x:f>Model_Data!A22</x:f>
        <x:v>-50</x:v>
      </x:c>
      <x:c r="L22" s="48" t="n">
        <x:f>Model_Data!Y22</x:f>
        <x:v>273.71504099052385</x:v>
      </x:c>
      <x:c r="M22" s="48" t="n">
        <x:f>Model_Data!X22</x:f>
        <x:v>29.034419664389077</x:v>
      </x:c>
      <x:c r="N22" s="48" t="n">
        <x:f>-(Model_Data!AC22-Model_Data!F22)*Inputs!$C$12</x:f>
        <x:v>240.57515652674573</x:v>
      </x:c>
      <x:c r="O22" s="49"/>
      <x:c r="P22" s="48" t="n">
        <x:f>Model_Data!A22</x:f>
        <x:v>-50</x:v>
      </x:c>
      <x:c r="Q22" s="48" t="n">
        <x:f>Model_Data!P22</x:f>
        <x:v>422.9485513214968</x:v>
      </x:c>
      <x:c r="R22" s="48" t="n">
        <x:f>Model_Data!AM22</x:f>
        <x:v>437.62067462375853</x:v>
      </x:c>
      <x:c r="S22" s="48" t="n">
        <x:f>Model_Data!Q22</x:f>
        <x:v>63.50578848671123</x:v>
      </x:c>
      <x:c r="T22" s="48" t="n">
        <x:f>Model_Data!AN22</x:f>
        <x:v>65.70881000356735</x:v>
      </x:c>
      <x:c r="U22" s="49"/>
      <x:c r="V22" s="48" t="n">
        <x:f>Model_Data!A22</x:f>
        <x:v>-50</x:v>
      </x:c>
      <x:c r="W22" s="48" t="n">
        <x:f>Model_Data!B22-Inputs!$C$5</x:f>
        <x:v>2.7777777777777715</x:v>
      </x:c>
      <x:c r="X22" s="49"/>
      <x:c r="Y22" s="48" t="n">
        <x:f>Model_Data!A22</x:f>
        <x:v>-50</x:v>
      </x:c>
      <x:c r="Z22" s="48" t="n">
        <x:f>0</x:f>
        <x:v>0</x:v>
      </x:c>
      <x:c r="AA22" s="48" t="n">
        <x:f>((SQRT((Inputs!$C$52+Inputs!$C$5)^2+Inputs!$C$52^2-2*(Inputs!$C$52+Inputs!$C$5)*Inputs!$C$52*COS(SQRT((Model_Data!A22)^2+Inputs!$C$6^2)/Inputs!$C$52))-Inputs!$C$5)*1000/Inputs!$C$12)</x:f>
        <x:v>2739.9338222122688</x:v>
      </x:c>
      <x:c r="AB22" s="48" t="n">
        <x:f>Model_Data!F22</x:f>
        <x:v>2725.0951883624866</x:v>
      </x:c>
    </x:row>
    <x:row r="23">
      <x:c r="A23" s="48" t="n">
        <x:f>Model_Data!A23</x:f>
        <x:v>-49.5</x:v>
      </x:c>
      <x:c r="B23" s="48" t="n">
        <x:f>0</x:f>
        <x:v>0</x:v>
      </x:c>
      <x:c r="C23" s="48" t="n">
        <x:f>((SQRT((Inputs!$C$52+Inputs!$C$5)^2+Inputs!$C$52^2-2*(Inputs!$C$52+Inputs!$C$5)*Inputs!$C$52*COS(SQRT((Model_Data!A23)^2+Inputs!$C$6^2)/Inputs!$C$52))-Inputs!$C$5)*1000/Inputs!$C$12)</x:f>
        <x:v>2696.577222862134</x:v>
      </x:c>
      <x:c r="D23" s="48" t="n">
        <x:f>Model_Data!F23</x:f>
        <x:v>2682.2590206416526</x:v>
      </x:c>
      <x:c r="E23" s="48" t="n">
        <x:f>Model_Data!AC23</x:f>
        <x:v>2568.107626458024</x:v>
      </x:c>
      <x:c r="F23" s="49"/>
      <x:c r="G23" s="48" t="n">
        <x:f>Model_Data!A23</x:f>
        <x:v>-49.5</x:v>
      </x:c>
      <x:c r="H23" s="48" t="n">
        <x:f>0</x:f>
        <x:v>0</x:v>
      </x:c>
      <x:c r="I23" s="48" t="n">
        <x:f>Model_Data!Y23</x:f>
        <x:v>258.91748425644914</x:v>
      </x:c>
      <x:c r="J23" s="48" t="n">
        <x:f>Model_Data!X23</x:f>
        <x:v>51.90461728837901</x:v>
      </x:c>
      <x:c r="K23" s="48" t="n">
        <x:f>Model_Data!A23</x:f>
        <x:v>-49.5</x:v>
      </x:c>
      <x:c r="L23" s="48" t="n">
        <x:f>Model_Data!Y23</x:f>
        <x:v>258.91748425644914</x:v>
      </x:c>
      <x:c r="M23" s="48" t="n">
        <x:f>Model_Data!X23</x:f>
        <x:v>51.90461728837901</x:v>
      </x:c>
      <x:c r="N23" s="48" t="n">
        <x:f>-(Model_Data!AC23-Model_Data!F23)*Inputs!$C$12</x:f>
        <x:v>203.18948164685924</x:v>
      </x:c>
      <x:c r="O23" s="49"/>
      <x:c r="P23" s="48" t="n">
        <x:f>Model_Data!A23</x:f>
        <x:v>-49.5</x:v>
      </x:c>
      <x:c r="Q23" s="48" t="n">
        <x:f>Model_Data!P23</x:f>
        <x:v>418.81740692178937</x:v>
      </x:c>
      <x:c r="R23" s="48" t="n">
        <x:f>Model_Data!AM23</x:f>
        <x:v>411.2584073795915</x:v>
      </x:c>
      <x:c r="S23" s="48" t="n">
        <x:f>Model_Data!Q23</x:f>
        <x:v>62.88549653480322</x:v>
      </x:c>
      <x:c r="T23" s="48" t="n">
        <x:f>Model_Data!AN23</x:f>
        <x:v>61.75051161855729</x:v>
      </x:c>
      <x:c r="U23" s="49"/>
      <x:c r="V23" s="48" t="n">
        <x:f>Model_Data!A23</x:f>
        <x:v>-49.5</x:v>
      </x:c>
      <x:c r="W23" s="48" t="n">
        <x:f>Model_Data!B23-Inputs!$C$5</x:f>
        <x:v>2.722500000000025</x:v>
      </x:c>
      <x:c r="X23" s="49"/>
      <x:c r="Y23" s="48" t="n">
        <x:f>Model_Data!A23</x:f>
        <x:v>-49.5</x:v>
      </x:c>
      <x:c r="Z23" s="48" t="n">
        <x:f>0</x:f>
        <x:v>0</x:v>
      </x:c>
      <x:c r="AA23" s="48" t="n">
        <x:f>((SQRT((Inputs!$C$52+Inputs!$C$5)^2+Inputs!$C$52^2-2*(Inputs!$C$52+Inputs!$C$5)*Inputs!$C$52*COS(SQRT((Model_Data!A23)^2+Inputs!$C$6^2)/Inputs!$C$52))-Inputs!$C$5)*1000/Inputs!$C$12)</x:f>
        <x:v>2696.577222862134</x:v>
      </x:c>
      <x:c r="AB23" s="48" t="n">
        <x:f>Model_Data!F23</x:f>
        <x:v>2682.2590206416526</x:v>
      </x:c>
    </x:row>
    <x:row r="24">
      <x:c r="A24" s="48" t="n">
        <x:f>Model_Data!A24</x:f>
        <x:v>-49</x:v>
      </x:c>
      <x:c r="B24" s="48" t="n">
        <x:f>0</x:f>
        <x:v>0</x:v>
      </x:c>
      <x:c r="C24" s="48" t="n">
        <x:f>((SQRT((Inputs!$C$52+Inputs!$C$5)^2+Inputs!$C$52^2-2*(Inputs!$C$52+Inputs!$C$5)*Inputs!$C$52*COS(SQRT((Model_Data!A24)^2+Inputs!$C$6^2)/Inputs!$C$52))-Inputs!$C$5)*1000/Inputs!$C$12)</x:f>
        <x:v>2653.6480795811526</x:v>
      </x:c>
      <x:c r="D24" s="48" t="n">
        <x:f>Model_Data!F24</x:f>
        <x:v>2639.8362673927654</x:v>
      </x:c>
      <x:c r="E24" s="48" t="n">
        <x:f>Model_Data!AC24</x:f>
        <x:v>2513.295706475305</x:v>
      </x:c>
      <x:c r="F24" s="49"/>
      <x:c r="G24" s="48" t="n">
        <x:f>Model_Data!A24</x:f>
        <x:v>-49</x:v>
      </x:c>
      <x:c r="H24" s="48" t="n">
        <x:f>0</x:f>
        <x:v>0</x:v>
      </x:c>
      <x:c r="I24" s="48" t="n">
        <x:f>Model_Data!Y24</x:f>
        <x:v>268.7927966209557</x:v>
      </x:c>
      <x:c r="J24" s="48" t="n">
        <x:f>Model_Data!X24</x:f>
        <x:v>39.64300304421553</x:v>
      </x:c>
      <x:c r="K24" s="48" t="n">
        <x:f>Model_Data!A24</x:f>
        <x:v>-49</x:v>
      </x:c>
      <x:c r="L24" s="48" t="n">
        <x:f>Model_Data!Y24</x:f>
        <x:v>268.7927966209557</x:v>
      </x:c>
      <x:c r="M24" s="48" t="n">
        <x:f>Model_Data!X24</x:f>
        <x:v>39.64300304421553</x:v>
      </x:c>
      <x:c r="N24" s="48" t="n">
        <x:f>-(Model_Data!AC24-Model_Data!F24)*Inputs!$C$12</x:f>
        <x:v>225.24219843307955</x:v>
      </x:c>
      <x:c r="O24" s="49"/>
      <x:c r="P24" s="48" t="n">
        <x:f>Model_Data!A24</x:f>
        <x:v>-49</x:v>
      </x:c>
      <x:c r="Q24" s="48" t="n">
        <x:f>Model_Data!P24</x:f>
        <x:v>414.6833903003426</x:v>
      </x:c>
      <x:c r="R24" s="48" t="n">
        <x:f>Model_Data!AM24</x:f>
        <x:v>425.2262899141897</x:v>
      </x:c>
      <x:c r="S24" s="48" t="n">
        <x:f>Model_Data!Q24</x:f>
        <x:v>62.26477331836976</x:v>
      </x:c>
      <x:c r="T24" s="48" t="n">
        <x:f>Model_Data!AN24</x:f>
        <x:v>63.847791278406866</x:v>
      </x:c>
      <x:c r="U24" s="49"/>
      <x:c r="V24" s="48" t="n">
        <x:f>Model_Data!A24</x:f>
        <x:v>-49</x:v>
      </x:c>
      <x:c r="W24" s="48" t="n">
        <x:f>Model_Data!B24-Inputs!$C$5</x:f>
        <x:v>2.667777777777758</x:v>
      </x:c>
      <x:c r="X24" s="49"/>
      <x:c r="Y24" s="48" t="n">
        <x:f>Model_Data!A24</x:f>
        <x:v>-49</x:v>
      </x:c>
      <x:c r="Z24" s="48" t="n">
        <x:f>0</x:f>
        <x:v>0</x:v>
      </x:c>
      <x:c r="AA24" s="48" t="n">
        <x:f>((SQRT((Inputs!$C$52+Inputs!$C$5)^2+Inputs!$C$52^2-2*(Inputs!$C$52+Inputs!$C$5)*Inputs!$C$52*COS(SQRT((Model_Data!A24)^2+Inputs!$C$6^2)/Inputs!$C$52))-Inputs!$C$5)*1000/Inputs!$C$12)</x:f>
        <x:v>2653.6480795811526</x:v>
      </x:c>
      <x:c r="AB24" s="48" t="n">
        <x:f>Model_Data!F24</x:f>
        <x:v>2639.8362673927654</x:v>
      </x:c>
    </x:row>
    <x:row r="25">
      <x:c r="A25" s="48" t="n">
        <x:f>Model_Data!A25</x:f>
        <x:v>-48.5</x:v>
      </x:c>
      <x:c r="B25" s="48" t="n">
        <x:f>0</x:f>
        <x:v>0</x:v>
      </x:c>
      <x:c r="C25" s="48" t="n">
        <x:f>((SQRT((Inputs!$C$52+Inputs!$C$5)^2+Inputs!$C$52^2-2*(Inputs!$C$52+Inputs!$C$5)*Inputs!$C$52*COS(SQRT((Model_Data!A25)^2+Inputs!$C$6^2)/Inputs!$C$52))-Inputs!$C$5)*1000/Inputs!$C$12)</x:f>
        <x:v>2611.146638936885</x:v>
      </x:c>
      <x:c r="D25" s="48" t="n">
        <x:f>Model_Data!F25</x:f>
        <x:v>2597.8274307266115</x:v>
      </x:c>
      <x:c r="E25" s="48" t="n">
        <x:f>Model_Data!AC25</x:f>
        <x:v>2473.471222295946</x:v>
      </x:c>
      <x:c r="F25" s="49"/>
      <x:c r="G25" s="48" t="n">
        <x:f>Model_Data!A25</x:f>
        <x:v>-48.5</x:v>
      </x:c>
      <x:c r="H25" s="48" t="n">
        <x:f>0</x:f>
        <x:v>0</x:v>
      </x:c>
      <x:c r="I25" s="48" t="n">
        <x:f>Model_Data!Y25</x:f>
        <x:v>265.4824606971943</x:v>
      </x:c>
      <x:c r="J25" s="48" t="n">
        <x:f>Model_Data!X25</x:f>
        <x:v>40.329360187280464</x:v>
      </x:c>
      <x:c r="K25" s="48" t="n">
        <x:f>Model_Data!A25</x:f>
        <x:v>-48.5</x:v>
      </x:c>
      <x:c r="L25" s="48" t="n">
        <x:f>Model_Data!Y25</x:f>
        <x:v>265.4824606971943</x:v>
      </x:c>
      <x:c r="M25" s="48" t="n">
        <x:f>Model_Data!X25</x:f>
        <x:v>40.329360187280464</x:v>
      </x:c>
      <x:c r="N25" s="48" t="n">
        <x:f>-(Model_Data!AC25-Model_Data!F25)*Inputs!$C$12</x:f>
        <x:v>221.3540510065845</x:v>
      </x:c>
      <x:c r="O25" s="49"/>
      <x:c r="P25" s="48" t="n">
        <x:f>Model_Data!A25</x:f>
        <x:v>-48.5</x:v>
      </x:c>
      <x:c r="Q25" s="48" t="n">
        <x:f>Model_Data!P25</x:f>
        <x:v>410.54652591110425</x:v>
      </x:c>
      <x:c r="R25" s="48" t="n">
        <x:f>Model_Data!AM25</x:f>
        <x:v>386.8337905608314</x:v>
      </x:c>
      <x:c r="S25" s="48" t="n">
        <x:f>Model_Data!Q25</x:f>
        <x:v>61.64362250917482</x:v>
      </x:c>
      <x:c r="T25" s="48" t="n">
        <x:f>Model_Data!AN25</x:f>
        <x:v>58.083151735860575</x:v>
      </x:c>
      <x:c r="U25" s="49"/>
      <x:c r="V25" s="48" t="n">
        <x:f>Model_Data!A25</x:f>
        <x:v>-48.5</x:v>
      </x:c>
      <x:c r="W25" s="48" t="n">
        <x:f>Model_Data!B25-Inputs!$C$5</x:f>
        <x:v>2.6136111111110836</x:v>
      </x:c>
      <x:c r="X25" s="49"/>
      <x:c r="Y25" s="48" t="n">
        <x:f>Model_Data!A25</x:f>
        <x:v>-48.5</x:v>
      </x:c>
      <x:c r="Z25" s="48" t="n">
        <x:f>0</x:f>
        <x:v>0</x:v>
      </x:c>
      <x:c r="AA25" s="48" t="n">
        <x:f>((SQRT((Inputs!$C$52+Inputs!$C$5)^2+Inputs!$C$52^2-2*(Inputs!$C$52+Inputs!$C$5)*Inputs!$C$52*COS(SQRT((Model_Data!A25)^2+Inputs!$C$6^2)/Inputs!$C$52))-Inputs!$C$5)*1000/Inputs!$C$12)</x:f>
        <x:v>2611.146638936885</x:v>
      </x:c>
      <x:c r="AB25" s="48" t="n">
        <x:f>Model_Data!F25</x:f>
        <x:v>2597.8274307266115</x:v>
      </x:c>
    </x:row>
    <x:row r="26">
      <x:c r="A26" s="48" t="n">
        <x:f>Model_Data!A26</x:f>
        <x:v>-48</x:v>
      </x:c>
      <x:c r="B26" s="48" t="n">
        <x:f>0</x:f>
        <x:v>0</x:v>
      </x:c>
      <x:c r="C26" s="48" t="n">
        <x:f>((SQRT((Inputs!$C$52+Inputs!$C$5)^2+Inputs!$C$52^2-2*(Inputs!$C$52+Inputs!$C$5)*Inputs!$C$52*COS(SQRT((Model_Data!A26)^2+Inputs!$C$6^2)/Inputs!$C$52))-Inputs!$C$5)*1000/Inputs!$C$12)</x:f>
        <x:v>2569.073145227782</x:v>
      </x:c>
      <x:c r="D26" s="48" t="n">
        <x:f>Model_Data!F26</x:f>
        <x:v>2556.233008450807</x:v>
      </x:c>
      <x:c r="E26" s="48" t="n">
        <x:f>Model_Data!AC26</x:f>
        <x:v>2447.0264422273603</x:v>
      </x:c>
      <x:c r="F26" s="49"/>
      <x:c r="G26" s="48" t="n">
        <x:f>Model_Data!A26</x:f>
        <x:v>-48</x:v>
      </x:c>
      <x:c r="H26" s="48" t="n">
        <x:f>0</x:f>
        <x:v>0</x:v>
      </x:c>
      <x:c r="I26" s="48" t="n">
        <x:f>Model_Data!Y26</x:f>
        <x:v>253.6370227527636</x:v>
      </x:c>
      <x:c r="J26" s="48" t="n">
        <x:f>Model_Data!X26</x:f>
        <x:v>55.67705400563339</x:v>
      </x:c>
      <x:c r="K26" s="48" t="n">
        <x:f>Model_Data!A26</x:f>
        <x:v>-48</x:v>
      </x:c>
      <x:c r="L26" s="48" t="n">
        <x:f>Model_Data!Y26</x:f>
        <x:v>253.6370227527636</x:v>
      </x:c>
      <x:c r="M26" s="48" t="n">
        <x:f>Model_Data!X26</x:f>
        <x:v>55.67705400563339</x:v>
      </x:c>
      <x:c r="N26" s="48" t="n">
        <x:f>-(Model_Data!AC26-Model_Data!F26)*Inputs!$C$12</x:f>
        <x:v>194.38768787773526</x:v>
      </x:c>
      <x:c r="O26" s="49"/>
      <x:c r="P26" s="48" t="n">
        <x:f>Model_Data!A26</x:f>
        <x:v>-48</x:v>
      </x:c>
      <x:c r="Q26" s="48" t="n">
        <x:f>Model_Data!P26</x:f>
        <x:v>406.40683834462834</x:v>
      </x:c>
      <x:c r="R26" s="48" t="n">
        <x:f>Model_Data!AM26</x:f>
        <x:v>402.2937246757465</x:v>
      </x:c>
      <x:c r="S26" s="48" t="n">
        <x:f>Model_Data!Q26</x:f>
        <x:v>61.02204779949375</x:v>
      </x:c>
      <x:c r="T26" s="48" t="n">
        <x:f>Model_Data!AN26</x:f>
        <x:v>60.404463164526504</x:v>
      </x:c>
      <x:c r="U26" s="49"/>
      <x:c r="V26" s="48" t="n">
        <x:f>Model_Data!A26</x:f>
        <x:v>-48</x:v>
      </x:c>
      <x:c r="W26" s="48" t="n">
        <x:f>Model_Data!B26-Inputs!$C$5</x:f>
        <x:v>2.5600000000000023</x:v>
      </x:c>
      <x:c r="X26" s="49"/>
      <x:c r="Y26" s="48" t="n">
        <x:f>Model_Data!A26</x:f>
        <x:v>-48</x:v>
      </x:c>
      <x:c r="Z26" s="48" t="n">
        <x:f>0</x:f>
        <x:v>0</x:v>
      </x:c>
      <x:c r="AA26" s="48" t="n">
        <x:f>((SQRT((Inputs!$C$52+Inputs!$C$5)^2+Inputs!$C$52^2-2*(Inputs!$C$52+Inputs!$C$5)*Inputs!$C$52*COS(SQRT((Model_Data!A26)^2+Inputs!$C$6^2)/Inputs!$C$52))-Inputs!$C$5)*1000/Inputs!$C$12)</x:f>
        <x:v>2569.073145227782</x:v>
      </x:c>
      <x:c r="AB26" s="48" t="n">
        <x:f>Model_Data!F26</x:f>
        <x:v>2556.233008450807</x:v>
      </x:c>
    </x:row>
    <x:row r="27">
      <x:c r="A27" s="48" t="n">
        <x:f>Model_Data!A27</x:f>
        <x:v>-47.5</x:v>
      </x:c>
      <x:c r="B27" s="48" t="n">
        <x:f>0</x:f>
        <x:v>0</x:v>
      </x:c>
      <x:c r="C27" s="48" t="n">
        <x:f>((SQRT((Inputs!$C$52+Inputs!$C$5)^2+Inputs!$C$52^2-2*(Inputs!$C$52+Inputs!$C$5)*Inputs!$C$52*COS(SQRT((Model_Data!A27)^2+Inputs!$C$6^2)/Inputs!$C$52))-Inputs!$C$5)*1000/Inputs!$C$12)</x:f>
        <x:v>2527.427840468437</x:v>
      </x:c>
      <x:c r="D27" s="48" t="n">
        <x:f>Model_Data!F27</x:f>
        <x:v>2515.0534940419116</x:v>
      </x:c>
      <x:c r="E27" s="48" t="n">
        <x:f>Model_Data!AC27</x:f>
        <x:v>2399.8075637243774</x:v>
      </x:c>
      <x:c r="F27" s="49"/>
      <x:c r="G27" s="48" t="n">
        <x:f>Model_Data!A27</x:f>
        <x:v>-47.5</x:v>
      </x:c>
      <x:c r="H27" s="48" t="n">
        <x:f>0</x:f>
        <x:v>0</x:v>
      </x:c>
      <x:c r="I27" s="48" t="n">
        <x:f>Model_Data!Y27</x:f>
        <x:v>262.7548434853875</x:v>
      </x:c>
      <x:c r="J27" s="48" t="n">
        <x:f>Model_Data!X27</x:f>
        <x:v>53.974959185609514</x:v>
      </x:c>
      <x:c r="K27" s="48" t="n">
        <x:f>Model_Data!A27</x:f>
        <x:v>-47.5</x:v>
      </x:c>
      <x:c r="L27" s="48" t="n">
        <x:f>Model_Data!Y27</x:f>
        <x:v>262.7548434853875</x:v>
      </x:c>
      <x:c r="M27" s="48" t="n">
        <x:f>Model_Data!X27</x:f>
        <x:v>53.974959185609514</x:v>
      </x:c>
      <x:c r="N27" s="48" t="n">
        <x:f>-(Model_Data!AC27-Model_Data!F27)*Inputs!$C$12</x:f>
        <x:v>205.13775596521089</x:v>
      </x:c>
      <x:c r="O27" s="49"/>
      <x:c r="P27" s="48" t="n">
        <x:f>Model_Data!A27</x:f>
        <x:v>-47.5</x:v>
      </x:c>
      <x:c r="Q27" s="48" t="n">
        <x:f>Model_Data!P27</x:f>
        <x:v>402.26435232361837</x:v>
      </x:c>
      <x:c r="R27" s="48" t="n">
        <x:f>Model_Data!AM27</x:f>
        <x:v>402.8830502902565</x:v>
      </x:c>
      <x:c r="S27" s="48" t="n">
        <x:f>Model_Data!Q27</x:f>
        <x:v>60.400052901444205</x:v>
      </x:c>
      <x:c r="T27" s="48" t="n">
        <x:f>Model_Data!AN27</x:f>
        <x:v>60.49295049403251</x:v>
      </x:c>
      <x:c r="U27" s="49"/>
      <x:c r="V27" s="48" t="n">
        <x:f>Model_Data!A27</x:f>
        <x:v>-47.5</x:v>
      </x:c>
      <x:c r="W27" s="48" t="n">
        <x:f>Model_Data!B27-Inputs!$C$5</x:f>
        <x:v>2.506944444444457</x:v>
      </x:c>
      <x:c r="X27" s="49"/>
      <x:c r="Y27" s="48" t="n">
        <x:f>Model_Data!A27</x:f>
        <x:v>-47.5</x:v>
      </x:c>
      <x:c r="Z27" s="48" t="n">
        <x:f>0</x:f>
        <x:v>0</x:v>
      </x:c>
      <x:c r="AA27" s="48" t="n">
        <x:f>((SQRT((Inputs!$C$52+Inputs!$C$5)^2+Inputs!$C$52^2-2*(Inputs!$C$52+Inputs!$C$5)*Inputs!$C$52*COS(SQRT((Model_Data!A27)^2+Inputs!$C$6^2)/Inputs!$C$52))-Inputs!$C$5)*1000/Inputs!$C$12)</x:f>
        <x:v>2527.427840468437</x:v>
      </x:c>
      <x:c r="AB27" s="48" t="n">
        <x:f>Model_Data!F27</x:f>
        <x:v>2515.0534940419116</x:v>
      </x:c>
    </x:row>
    <x:row r="28">
      <x:c r="A28" s="48" t="n">
        <x:f>Model_Data!A28</x:f>
        <x:v>-47</x:v>
      </x:c>
      <x:c r="B28" s="48" t="n">
        <x:f>0</x:f>
        <x:v>0</x:v>
      </x:c>
      <x:c r="C28" s="48" t="n">
        <x:f>((SQRT((Inputs!$C$52+Inputs!$C$5)^2+Inputs!$C$52^2-2*(Inputs!$C$52+Inputs!$C$5)*Inputs!$C$52*COS(SQRT((Model_Data!A28)^2+Inputs!$C$6^2)/Inputs!$C$52))-Inputs!$C$5)*1000/Inputs!$C$12)</x:f>
        <x:v>2486.2109643863873</x:v>
      </x:c>
      <x:c r="D28" s="48" t="n">
        <x:f>Model_Data!F28</x:f>
        <x:v>2474.289376626815</x:v>
      </x:c>
      <x:c r="E28" s="48" t="n">
        <x:f>Model_Data!AC28</x:f>
        <x:v>2367.9759017028027</x:v>
      </x:c>
      <x:c r="F28" s="49"/>
      <x:c r="G28" s="48" t="n">
        <x:f>Model_Data!A28</x:f>
        <x:v>-47</x:v>
      </x:c>
      <x:c r="H28" s="48" t="n">
        <x:f>0</x:f>
        <x:v>0</x:v>
      </x:c>
      <x:c r="I28" s="48" t="n">
        <x:f>Model_Data!Y28</x:f>
        <x:v>253.91481019774176</x:v>
      </x:c>
      <x:c r="J28" s="48" t="n">
        <x:f>Model_Data!X28</x:f>
        <x:v>61.213442747759345</x:v>
      </x:c>
      <x:c r="K28" s="48" t="n">
        <x:f>Model_Data!A28</x:f>
        <x:v>-47</x:v>
      </x:c>
      <x:c r="L28" s="48" t="n">
        <x:f>Model_Data!Y28</x:f>
        <x:v>253.91481019774176</x:v>
      </x:c>
      <x:c r="M28" s="48" t="n">
        <x:f>Model_Data!X28</x:f>
        <x:v>61.213442747759345</x:v>
      </x:c>
      <x:c r="N28" s="48" t="n">
        <x:f>-(Model_Data!AC28-Model_Data!F28)*Inputs!$C$12</x:f>
        <x:v>189.23798536474155</x:v>
      </x:c>
      <x:c r="O28" s="49"/>
      <x:c r="P28" s="48" t="n">
        <x:f>Model_Data!A28</x:f>
        <x:v>-47</x:v>
      </x:c>
      <x:c r="Q28" s="48" t="n">
        <x:f>Model_Data!P28</x:f>
        <x:v>398.1190926891031</x:v>
      </x:c>
      <x:c r="R28" s="48" t="n">
        <x:f>Model_Data!AM28</x:f>
        <x:v>384.0870449747854</x:v>
      </x:c>
      <x:c r="S28" s="48" t="n">
        <x:f>Model_Data!Q28</x:f>
        <x:v>59.77764154491039</x:v>
      </x:c>
      <x:c r="T28" s="48" t="n">
        <x:f>Model_Data!AN28</x:f>
        <x:v>57.67072747369151</x:v>
      </x:c>
      <x:c r="U28" s="49"/>
      <x:c r="V28" s="48" t="n">
        <x:f>Model_Data!A28</x:f>
        <x:v>-47</x:v>
      </x:c>
      <x:c r="W28" s="48" t="n">
        <x:f>Model_Data!B28-Inputs!$C$5</x:f>
        <x:v>2.454444444444448</x:v>
      </x:c>
      <x:c r="X28" s="49"/>
      <x:c r="Y28" s="48" t="n">
        <x:f>Model_Data!A28</x:f>
        <x:v>-47</x:v>
      </x:c>
      <x:c r="Z28" s="48" t="n">
        <x:f>0</x:f>
        <x:v>0</x:v>
      </x:c>
      <x:c r="AA28" s="48" t="n">
        <x:f>((SQRT((Inputs!$C$52+Inputs!$C$5)^2+Inputs!$C$52^2-2*(Inputs!$C$52+Inputs!$C$5)*Inputs!$C$52*COS(SQRT((Model_Data!A28)^2+Inputs!$C$6^2)/Inputs!$C$52))-Inputs!$C$5)*1000/Inputs!$C$12)</x:f>
        <x:v>2486.2109643863873</x:v>
      </x:c>
      <x:c r="AB28" s="48" t="n">
        <x:f>Model_Data!F28</x:f>
        <x:v>2474.289376626815</x:v>
      </x:c>
    </x:row>
    <x:row r="29">
      <x:c r="A29" s="48" t="n">
        <x:f>Model_Data!A29</x:f>
        <x:v>-46.5</x:v>
      </x:c>
      <x:c r="B29" s="48" t="n">
        <x:f>0</x:f>
        <x:v>0</x:v>
      </x:c>
      <x:c r="C29" s="48" t="n">
        <x:f>((SQRT((Inputs!$C$52+Inputs!$C$5)^2+Inputs!$C$52^2-2*(Inputs!$C$52+Inputs!$C$5)*Inputs!$C$52*COS(SQRT((Model_Data!A29)^2+Inputs!$C$6^2)/Inputs!$C$52))-Inputs!$C$5)*1000/Inputs!$C$12)</x:f>
        <x:v>2445.4227544159553</x:v>
      </x:c>
      <x:c r="D29" s="48" t="n">
        <x:f>Model_Data!F29</x:f>
        <x:v>2433.941140959773</x:v>
      </x:c>
      <x:c r="E29" s="48" t="n">
        <x:f>Model_Data!AC29</x:f>
        <x:v>2325.619306900203</x:v>
      </x:c>
      <x:c r="F29" s="49"/>
      <x:c r="G29" s="48" t="n">
        <x:f>Model_Data!A29</x:f>
        <x:v>-46.5</x:v>
      </x:c>
      <x:c r="H29" s="48" t="n">
        <x:f>0</x:f>
        <x:v>0</x:v>
      </x:c>
      <x:c r="I29" s="48" t="n">
        <x:f>Model_Data!Y29</x:f>
        <x:v>253.748238320312</x:v>
      </x:c>
      <x:c r="J29" s="48" t="n">
        <x:f>Model_Data!X29</x:f>
        <x:v>57.529820703344</x:v>
      </x:c>
      <x:c r="K29" s="48" t="n">
        <x:f>Model_Data!A29</x:f>
        <x:v>-46.5</x:v>
      </x:c>
      <x:c r="L29" s="48" t="n">
        <x:f>Model_Data!Y29</x:f>
        <x:v>253.748238320312</x:v>
      </x:c>
      <x:c r="M29" s="48" t="n">
        <x:f>Model_Data!X29</x:f>
        <x:v>57.529820703344</x:v>
      </x:c>
      <x:c r="N29" s="48" t="n">
        <x:f>-(Model_Data!AC29-Model_Data!F29)*Inputs!$C$12</x:f>
        <x:v>192.8128646260345</x:v>
      </x:c>
      <x:c r="O29" s="49"/>
      <x:c r="P29" s="48" t="n">
        <x:f>Model_Data!A29</x:f>
        <x:v>-46.5</x:v>
      </x:c>
      <x:c r="Q29" s="48" t="n">
        <x:f>Model_Data!P29</x:f>
        <x:v>393.9710844109868</x:v>
      </x:c>
      <x:c r="R29" s="48" t="n">
        <x:f>Model_Data!AM29</x:f>
        <x:v>368.08092998808206</x:v>
      </x:c>
      <x:c r="S29" s="48" t="n">
        <x:f>Model_Data!Q29</x:f>
        <x:v>59.15481747912715</x:v>
      </x:c>
      <x:c r="T29" s="48" t="n">
        <x:f>Model_Data!AN29</x:f>
        <x:v>55.26740690511743</x:v>
      </x:c>
      <x:c r="U29" s="49"/>
      <x:c r="V29" s="48" t="n">
        <x:f>Model_Data!A29</x:f>
        <x:v>-46.5</x:v>
      </x:c>
      <x:c r="W29" s="48" t="n">
        <x:f>Model_Data!B29-Inputs!$C$5</x:f>
        <x:v>2.402499999999975</x:v>
      </x:c>
      <x:c r="X29" s="49"/>
      <x:c r="Y29" s="48" t="n">
        <x:f>Model_Data!A29</x:f>
        <x:v>-46.5</x:v>
      </x:c>
      <x:c r="Z29" s="48" t="n">
        <x:f>0</x:f>
        <x:v>0</x:v>
      </x:c>
      <x:c r="AA29" s="48" t="n">
        <x:f>((SQRT((Inputs!$C$52+Inputs!$C$5)^2+Inputs!$C$52^2-2*(Inputs!$C$52+Inputs!$C$5)*Inputs!$C$52*COS(SQRT((Model_Data!A29)^2+Inputs!$C$6^2)/Inputs!$C$52))-Inputs!$C$5)*1000/Inputs!$C$12)</x:f>
        <x:v>2445.4227544159553</x:v>
      </x:c>
      <x:c r="AB29" s="48" t="n">
        <x:f>Model_Data!F29</x:f>
        <x:v>2433.941140959773</x:v>
      </x:c>
    </x:row>
    <x:row r="30">
      <x:c r="A30" s="48" t="n">
        <x:f>Model_Data!A30</x:f>
        <x:v>-46</x:v>
      </x:c>
      <x:c r="B30" s="48" t="n">
        <x:f>0</x:f>
        <x:v>0</x:v>
      </x:c>
      <x:c r="C30" s="48" t="n">
        <x:f>((SQRT((Inputs!$C$52+Inputs!$C$5)^2+Inputs!$C$52^2-2*(Inputs!$C$52+Inputs!$C$5)*Inputs!$C$52*COS(SQRT((Model_Data!A30)^2+Inputs!$C$6^2)/Inputs!$C$52))-Inputs!$C$5)*1000/Inputs!$C$12)</x:f>
        <x:v>2405.063445691157</x:v>
      </x:c>
      <x:c r="D30" s="48" t="n">
        <x:f>Model_Data!F30</x:f>
        <x:v>2394.0092674001216</x:v>
      </x:c>
      <x:c r="E30" s="48" t="n">
        <x:f>Model_Data!AC30</x:f>
        <x:v>2290.2281095656335</x:v>
      </x:c>
      <x:c r="F30" s="49"/>
      <x:c r="G30" s="48" t="n">
        <x:f>Model_Data!A30</x:f>
        <x:v>-46</x:v>
      </x:c>
      <x:c r="H30" s="48" t="n">
        <x:f>0</x:f>
        <x:v>0</x:v>
      </x:c>
      <x:c r="I30" s="48" t="n">
        <x:f>Model_Data!Y30</x:f>
        <x:v>237.40469511010875</x:v>
      </x:c>
      <x:c r="J30" s="48" t="n">
        <x:f>Model_Data!X30</x:f>
        <x:v>49.53962065283257</x:v>
      </x:c>
      <x:c r="K30" s="48" t="n">
        <x:f>Model_Data!A30</x:f>
        <x:v>-46</x:v>
      </x:c>
      <x:c r="L30" s="48" t="n">
        <x:f>Model_Data!Y30</x:f>
        <x:v>237.40469511010875</x:v>
      </x:c>
      <x:c r="M30" s="48" t="n">
        <x:f>Model_Data!X30</x:f>
        <x:v>49.53962065283257</x:v>
      </x:c>
      <x:c r="N30" s="48" t="n">
        <x:f>-(Model_Data!AC30-Model_Data!F30)*Inputs!$C$12</x:f>
        <x:v>184.73046094538884</x:v>
      </x:c>
      <x:c r="O30" s="49"/>
      <x:c r="P30" s="48" t="n">
        <x:f>Model_Data!A30</x:f>
        <x:v>-46</x:v>
      </x:c>
      <x:c r="Q30" s="48" t="n">
        <x:f>Model_Data!P30</x:f>
        <x:v>389.8203525829558</x:v>
      </x:c>
      <x:c r="R30" s="48" t="n">
        <x:f>Model_Data!AM30</x:f>
        <x:v>352.54798840351214</x:v>
      </x:c>
      <x:c r="S30" s="48" t="n">
        <x:f>Model_Data!Q30</x:f>
        <x:v>58.531584471915295</x:v>
      </x:c>
      <x:c r="T30" s="48" t="n">
        <x:f>Model_Data!AN30</x:f>
        <x:v>52.935133393920744</x:v>
      </x:c>
      <x:c r="U30" s="49"/>
      <x:c r="V30" s="48" t="n">
        <x:f>Model_Data!A30</x:f>
        <x:v>-46</x:v>
      </x:c>
      <x:c r="W30" s="48" t="n">
        <x:f>Model_Data!B30-Inputs!$C$5</x:f>
        <x:v>2.351111111111095</x:v>
      </x:c>
      <x:c r="X30" s="49"/>
      <x:c r="Y30" s="48" t="n">
        <x:f>Model_Data!A30</x:f>
        <x:v>-46</x:v>
      </x:c>
      <x:c r="Z30" s="48" t="n">
        <x:f>0</x:f>
        <x:v>0</x:v>
      </x:c>
      <x:c r="AA30" s="48" t="n">
        <x:f>((SQRT((Inputs!$C$52+Inputs!$C$5)^2+Inputs!$C$52^2-2*(Inputs!$C$52+Inputs!$C$5)*Inputs!$C$52*COS(SQRT((Model_Data!A30)^2+Inputs!$C$6^2)/Inputs!$C$52))-Inputs!$C$5)*1000/Inputs!$C$12)</x:f>
        <x:v>2405.063445691157</x:v>
      </x:c>
      <x:c r="AB30" s="48" t="n">
        <x:f>Model_Data!F30</x:f>
        <x:v>2394.0092674001216</x:v>
      </x:c>
    </x:row>
    <x:row r="31">
      <x:c r="A31" s="48" t="n">
        <x:f>Model_Data!A31</x:f>
        <x:v>-45.5</x:v>
      </x:c>
      <x:c r="B31" s="48" t="n">
        <x:f>0</x:f>
        <x:v>0</x:v>
      </x:c>
      <x:c r="C31" s="48" t="n">
        <x:f>((SQRT((Inputs!$C$52+Inputs!$C$5)^2+Inputs!$C$52^2-2*(Inputs!$C$52+Inputs!$C$5)*Inputs!$C$52*COS(SQRT((Model_Data!A31)^2+Inputs!$C$6^2)/Inputs!$C$52))-Inputs!$C$5)*1000/Inputs!$C$12)</x:f>
        <x:v>2365.133271037878</x:v>
      </x:c>
      <x:c r="D31" s="48" t="n">
        <x:f>Model_Data!F31</x:f>
        <x:v>2354.494231891164</x:v>
      </x:c>
      <x:c r="E31" s="48" t="n">
        <x:f>Model_Data!AC31</x:f>
        <x:v>2247.660221099539</x:v>
      </x:c>
      <x:c r="F31" s="49"/>
      <x:c r="G31" s="48" t="n">
        <x:f>Model_Data!A31</x:f>
        <x:v>-45.5</x:v>
      </x:c>
      <x:c r="H31" s="48" t="n">
        <x:f>0</x:f>
        <x:v>0</x:v>
      </x:c>
      <x:c r="I31" s="48" t="n">
        <x:f>Model_Data!Y31</x:f>
        <x:v>230.03534200748854</x:v>
      </x:c>
      <x:c r="J31" s="48" t="n">
        <x:f>Model_Data!X31</x:f>
        <x:v>36.8829185081177</x:v>
      </x:c>
      <x:c r="K31" s="48" t="n">
        <x:f>Model_Data!A31</x:f>
        <x:v>-45.5</x:v>
      </x:c>
      <x:c r="L31" s="48" t="n">
        <x:f>Model_Data!Y31</x:f>
        <x:v>230.03534200748854</x:v>
      </x:c>
      <x:c r="M31" s="48" t="n">
        <x:f>Model_Data!X31</x:f>
        <x:v>36.8829185081177</x:v>
      </x:c>
      <x:c r="N31" s="48" t="n">
        <x:f>-(Model_Data!AC31-Model_Data!F31)*Inputs!$C$12</x:f>
        <x:v>190.16453920909274</x:v>
      </x:c>
      <x:c r="O31" s="49"/>
      <x:c r="P31" s="48" t="n">
        <x:f>Model_Data!A31</x:f>
        <x:v>-45.5</x:v>
      </x:c>
      <x:c r="Q31" s="48" t="n">
        <x:f>Model_Data!P31</x:f>
        <x:v>385.6669224382131</x:v>
      </x:c>
      <x:c r="R31" s="48" t="n">
        <x:f>Model_Data!AM31</x:f>
        <x:v>340.6814882529943</x:v>
      </x:c>
      <x:c r="S31" s="48" t="n">
        <x:f>Model_Data!Q31</x:f>
        <x:v>57.90794631204401</x:v>
      </x:c>
      <x:c r="T31" s="48" t="n">
        <x:f>Model_Data!AN31</x:f>
        <x:v>51.15337661456371</x:v>
      </x:c>
      <x:c r="U31" s="49"/>
      <x:c r="V31" s="48" t="n">
        <x:f>Model_Data!A31</x:f>
        <x:v>-45.5</x:v>
      </x:c>
      <x:c r="W31" s="48" t="n">
        <x:f>Model_Data!B31-Inputs!$C$5</x:f>
        <x:v>2.300277777777751</x:v>
      </x:c>
      <x:c r="X31" s="49"/>
      <x:c r="Y31" s="48" t="n">
        <x:f>Model_Data!A31</x:f>
        <x:v>-45.5</x:v>
      </x:c>
      <x:c r="Z31" s="48" t="n">
        <x:f>0</x:f>
        <x:v>0</x:v>
      </x:c>
      <x:c r="AA31" s="48" t="n">
        <x:f>((SQRT((Inputs!$C$52+Inputs!$C$5)^2+Inputs!$C$52^2-2*(Inputs!$C$52+Inputs!$C$5)*Inputs!$C$52*COS(SQRT((Model_Data!A31)^2+Inputs!$C$6^2)/Inputs!$C$52))-Inputs!$C$5)*1000/Inputs!$C$12)</x:f>
        <x:v>2365.133271037878</x:v>
      </x:c>
      <x:c r="AB31" s="48" t="n">
        <x:f>Model_Data!F31</x:f>
        <x:v>2354.494231891164</x:v>
      </x:c>
    </x:row>
    <x:row r="32">
      <x:c r="A32" s="48" t="n">
        <x:f>Model_Data!A32</x:f>
        <x:v>-45</x:v>
      </x:c>
      <x:c r="B32" s="48" t="n">
        <x:f>0</x:f>
        <x:v>0</x:v>
      </x:c>
      <x:c r="C32" s="48" t="n">
        <x:f>((SQRT((Inputs!$C$52+Inputs!$C$5)^2+Inputs!$C$52^2-2*(Inputs!$C$52+Inputs!$C$5)*Inputs!$C$52*COS(SQRT((Model_Data!A32)^2+Inputs!$C$6^2)/Inputs!$C$52))-Inputs!$C$5)*1000/Inputs!$C$12)</x:f>
        <x:v>2325.6324609706467</x:v>
      </x:c>
      <x:c r="D32" s="48" t="n">
        <x:f>Model_Data!F32</x:f>
        <x:v>2315.3965059322627</x:v>
      </x:c>
      <x:c r="E32" s="48" t="n">
        <x:f>Model_Data!AC32</x:f>
        <x:v>2225.758861618264</x:v>
      </x:c>
      <x:c r="F32" s="49"/>
      <x:c r="G32" s="48" t="n">
        <x:f>Model_Data!A32</x:f>
        <x:v>-45</x:v>
      </x:c>
      <x:c r="H32" s="48" t="n">
        <x:f>0</x:f>
        <x:v>0</x:v>
      </x:c>
      <x:c r="I32" s="48" t="n">
        <x:f>Model_Data!Y32</x:f>
        <x:v>208.8220272535724</x:v>
      </x:c>
      <x:c r="J32" s="48" t="n">
        <x:f>Model_Data!X32</x:f>
        <x:v>46.59917835352822</x:v>
      </x:c>
      <x:c r="K32" s="48" t="n">
        <x:f>Model_Data!A32</x:f>
        <x:v>-45</x:v>
      </x:c>
      <x:c r="L32" s="48" t="n">
        <x:f>Model_Data!Y32</x:f>
        <x:v>208.8220272535724</x:v>
      </x:c>
      <x:c r="M32" s="48" t="n">
        <x:f>Model_Data!X32</x:f>
        <x:v>46.59917835352822</x:v>
      </x:c>
      <x:c r="N32" s="48" t="n">
        <x:f>-(Model_Data!AC32-Model_Data!F32)*Inputs!$C$12</x:f>
        <x:v>159.55500687891796</x:v>
      </x:c>
      <x:c r="O32" s="49"/>
      <x:c r="P32" s="48" t="n">
        <x:f>Model_Data!A32</x:f>
        <x:v>-45</x:v>
      </x:c>
      <x:c r="Q32" s="48" t="n">
        <x:f>Model_Data!P32</x:f>
        <x:v>381.5108193193737</x:v>
      </x:c>
      <x:c r="R32" s="48" t="n">
        <x:f>Model_Data!AM32</x:f>
        <x:v>336.8433451087185</x:v>
      </x:c>
      <x:c r="S32" s="48" t="n">
        <x:f>Model_Data!Q32</x:f>
        <x:v>57.28390680471077</x:v>
      </x:c>
      <x:c r="T32" s="48" t="n">
        <x:f>Model_Data!AN32</x:f>
        <x:v>50.57707884515293</x:v>
      </x:c>
      <x:c r="U32" s="49"/>
      <x:c r="V32" s="48" t="n">
        <x:f>Model_Data!A32</x:f>
        <x:v>-45</x:v>
      </x:c>
      <x:c r="W32" s="48" t="n">
        <x:f>Model_Data!B32-Inputs!$C$5</x:f>
        <x:v>2.25</x:v>
      </x:c>
      <x:c r="X32" s="49"/>
      <x:c r="Y32" s="48" t="n">
        <x:f>Model_Data!A32</x:f>
        <x:v>-45</x:v>
      </x:c>
      <x:c r="Z32" s="48" t="n">
        <x:f>0</x:f>
        <x:v>0</x:v>
      </x:c>
      <x:c r="AA32" s="48" t="n">
        <x:f>((SQRT((Inputs!$C$52+Inputs!$C$5)^2+Inputs!$C$52^2-2*(Inputs!$C$52+Inputs!$C$5)*Inputs!$C$52*COS(SQRT((Model_Data!A32)^2+Inputs!$C$6^2)/Inputs!$C$52))-Inputs!$C$5)*1000/Inputs!$C$12)</x:f>
        <x:v>2325.6324609706467</x:v>
      </x:c>
      <x:c r="AB32" s="48" t="n">
        <x:f>Model_Data!F32</x:f>
        <x:v>2315.3965059322627</x:v>
      </x:c>
    </x:row>
    <x:row r="33">
      <x:c r="A33" s="48" t="n">
        <x:f>Model_Data!A33</x:f>
        <x:v>-44.5</x:v>
      </x:c>
      <x:c r="B33" s="48" t="n">
        <x:f>0</x:f>
        <x:v>0</x:v>
      </x:c>
      <x:c r="C33" s="48" t="n">
        <x:f>((SQRT((Inputs!$C$52+Inputs!$C$5)^2+Inputs!$C$52^2-2*(Inputs!$C$52+Inputs!$C$5)*Inputs!$C$52*COS(SQRT((Model_Data!A33)^2+Inputs!$C$6^2)/Inputs!$C$52))-Inputs!$C$5)*1000/Inputs!$C$12)</x:f>
        <x:v>2286.561243682292</x:v>
      </x:c>
      <x:c r="D33" s="48" t="n">
        <x:f>Model_Data!F33</x:f>
        <x:v>2276.7165565683313</x:v>
      </x:c>
      <x:c r="E33" s="48" t="n">
        <x:f>Model_Data!AC33</x:f>
        <x:v>2180.5283722308945</x:v>
      </x:c>
      <x:c r="F33" s="49"/>
      <x:c r="G33" s="48" t="n">
        <x:f>Model_Data!A33</x:f>
        <x:v>-44.5</x:v>
      </x:c>
      <x:c r="H33" s="48" t="n">
        <x:f>0</x:f>
        <x:v>0</x:v>
      </x:c>
      <x:c r="I33" s="48" t="n">
        <x:f>Model_Data!Y33</x:f>
        <x:v>201.66422960156285</x:v>
      </x:c>
      <x:c r="J33" s="48" t="n">
        <x:f>Model_Data!X33</x:f>
        <x:v>27.91531821493412</x:v>
      </x:c>
      <x:c r="K33" s="48" t="n">
        <x:f>Model_Data!A33</x:f>
        <x:v>-44.5</x:v>
      </x:c>
      <x:c r="L33" s="48" t="n">
        <x:f>Model_Data!Y33</x:f>
        <x:v>201.66422960156285</x:v>
      </x:c>
      <x:c r="M33" s="48" t="n">
        <x:f>Model_Data!X33</x:f>
        <x:v>27.91531821493412</x:v>
      </x:c>
      <x:c r="N33" s="48" t="n">
        <x:f>-(Model_Data!AC33-Model_Data!F33)*Inputs!$C$12</x:f>
        <x:v>171.21496812063737</x:v>
      </x:c>
      <x:c r="O33" s="49"/>
      <x:c r="P33" s="48" t="n">
        <x:f>Model_Data!A33</x:f>
        <x:v>-44.5</x:v>
      </x:c>
      <x:c r="Q33" s="48" t="n">
        <x:f>Model_Data!P33</x:f>
        <x:v>377.3520686901975</x:v>
      </x:c>
      <x:c r="R33" s="48" t="n">
        <x:f>Model_Data!AM33</x:f>
        <x:v>363.7355827749161</x:v>
      </x:c>
      <x:c r="S33" s="48" t="n">
        <x:f>Model_Data!Q33</x:f>
        <x:v>56.65946977330293</x:v>
      </x:c>
      <x:c r="T33" s="48" t="n">
        <x:f>Model_Data!AN33</x:f>
        <x:v>54.614952368606026</x:v>
      </x:c>
      <x:c r="U33" s="49"/>
      <x:c r="V33" s="48" t="n">
        <x:f>Model_Data!A33</x:f>
        <x:v>-44.5</x:v>
      </x:c>
      <x:c r="W33" s="48" t="n">
        <x:f>Model_Data!B33-Inputs!$C$5</x:f>
        <x:v>2.200277777777785</x:v>
      </x:c>
      <x:c r="X33" s="49"/>
      <x:c r="Y33" s="48" t="n">
        <x:f>Model_Data!A33</x:f>
        <x:v>-44.5</x:v>
      </x:c>
      <x:c r="Z33" s="48" t="n">
        <x:f>0</x:f>
        <x:v>0</x:v>
      </x:c>
      <x:c r="AA33" s="48" t="n">
        <x:f>((SQRT((Inputs!$C$52+Inputs!$C$5)^2+Inputs!$C$52^2-2*(Inputs!$C$52+Inputs!$C$5)*Inputs!$C$52*COS(SQRT((Model_Data!A33)^2+Inputs!$C$6^2)/Inputs!$C$52))-Inputs!$C$5)*1000/Inputs!$C$12)</x:f>
        <x:v>2286.561243682292</x:v>
      </x:c>
      <x:c r="AB33" s="48" t="n">
        <x:f>Model_Data!F33</x:f>
        <x:v>2276.7165565683313</x:v>
      </x:c>
    </x:row>
    <x:row r="34">
      <x:c r="A34" s="48" t="n">
        <x:f>Model_Data!A34</x:f>
        <x:v>-44</x:v>
      </x:c>
      <x:c r="B34" s="48" t="n">
        <x:f>0</x:f>
        <x:v>0</x:v>
      </x:c>
      <x:c r="C34" s="48" t="n">
        <x:f>((SQRT((Inputs!$C$52+Inputs!$C$5)^2+Inputs!$C$52^2-2*(Inputs!$C$52+Inputs!$C$5)*Inputs!$C$52*COS(SQRT((Model_Data!A34)^2+Inputs!$C$6^2)/Inputs!$C$52))-Inputs!$C$5)*1000/Inputs!$C$12)</x:f>
        <x:v>2247.9198450390527</x:v>
      </x:c>
      <x:c r="D34" s="48" t="n">
        <x:f>Model_Data!F34</x:f>
        <x:v>2238.4548463578362</x:v>
      </x:c>
      <x:c r="E34" s="48" t="n">
        <x:f>Model_Data!AC34</x:f>
        <x:v>2137.995020781874</x:v>
      </x:c>
      <x:c r="F34" s="49"/>
      <x:c r="G34" s="48" t="n">
        <x:f>Model_Data!A34</x:f>
        <x:v>-44</x:v>
      </x:c>
      <x:c r="H34" s="48" t="n">
        <x:f>0</x:f>
        <x:v>0</x:v>
      </x:c>
      <x:c r="I34" s="48" t="n">
        <x:f>Model_Data!Y34</x:f>
        <x:v>200.11672258234324</x:v>
      </x:c>
      <x:c r="J34" s="48" t="n">
        <x:f>Model_Data!X34</x:f>
        <x:v>18.82539201019003</x:v>
      </x:c>
      <x:c r="K34" s="48" t="n">
        <x:f>Model_Data!A34</x:f>
        <x:v>-44</x:v>
      </x:c>
      <x:c r="L34" s="48" t="n">
        <x:f>Model_Data!Y34</x:f>
        <x:v>200.11672258234324</x:v>
      </x:c>
      <x:c r="M34" s="48" t="n">
        <x:f>Model_Data!X34</x:f>
        <x:v>18.82539201019003</x:v>
      </x:c>
      <x:c r="N34" s="48" t="n">
        <x:f>-(Model_Data!AC34-Model_Data!F34)*Inputs!$C$12</x:f>
        <x:v>178.81848952521315</x:v>
      </x:c>
      <x:c r="O34" s="49"/>
      <x:c r="P34" s="48" t="n">
        <x:f>Model_Data!A34</x:f>
        <x:v>-44</x:v>
      </x:c>
      <x:c r="Q34" s="48" t="n">
        <x:f>Model_Data!P34</x:f>
        <x:v>373.1906961457753</x:v>
      </x:c>
      <x:c r="R34" s="48" t="n">
        <x:f>Model_Data!AM34</x:f>
        <x:v>387.84031539016723</x:v>
      </x:c>
      <x:c r="S34" s="48" t="n">
        <x:f>Model_Data!Q34</x:f>
        <x:v>56.034639060927226</x:v>
      </x:c>
      <x:c r="T34" s="48" t="n">
        <x:f>Model_Data!AN34</x:f>
        <x:v>58.2342815901152</x:v>
      </x:c>
      <x:c r="U34" s="49"/>
      <x:c r="V34" s="48" t="n">
        <x:f>Model_Data!A34</x:f>
        <x:v>-44</x:v>
      </x:c>
      <x:c r="W34" s="48" t="n">
        <x:f>Model_Data!B34-Inputs!$C$5</x:f>
        <x:v>2.1511111111111063</x:v>
      </x:c>
      <x:c r="X34" s="49"/>
      <x:c r="Y34" s="48" t="n">
        <x:f>Model_Data!A34</x:f>
        <x:v>-44</x:v>
      </x:c>
      <x:c r="Z34" s="48" t="n">
        <x:f>0</x:f>
        <x:v>0</x:v>
      </x:c>
      <x:c r="AA34" s="48" t="n">
        <x:f>((SQRT((Inputs!$C$52+Inputs!$C$5)^2+Inputs!$C$52^2-2*(Inputs!$C$52+Inputs!$C$5)*Inputs!$C$52*COS(SQRT((Model_Data!A34)^2+Inputs!$C$6^2)/Inputs!$C$52))-Inputs!$C$5)*1000/Inputs!$C$12)</x:f>
        <x:v>2247.9198450390527</x:v>
      </x:c>
      <x:c r="AB34" s="48" t="n">
        <x:f>Model_Data!F34</x:f>
        <x:v>2238.4548463578362</x:v>
      </x:c>
    </x:row>
    <x:row r="35">
      <x:c r="A35" s="48" t="n">
        <x:f>Model_Data!A35</x:f>
        <x:v>-43.5</x:v>
      </x:c>
      <x:c r="B35" s="48" t="n">
        <x:f>0</x:f>
        <x:v>0</x:v>
      </x:c>
      <x:c r="C35" s="48" t="n">
        <x:f>((SQRT((Inputs!$C$52+Inputs!$C$5)^2+Inputs!$C$52^2-2*(Inputs!$C$52+Inputs!$C$5)*Inputs!$C$52*COS(SQRT((Model_Data!A35)^2+Inputs!$C$6^2)/Inputs!$C$52))-Inputs!$C$5)*1000/Inputs!$C$12)</x:f>
        <x:v>2209.708488578056</x:v>
      </x:c>
      <x:c r="D35" s="48" t="n">
        <x:f>Model_Data!F35</x:f>
        <x:v>2200.611833358587</x:v>
      </x:c>
      <x:c r="E35" s="48" t="n">
        <x:f>Model_Data!AC35</x:f>
        <x:v>2096.268299107758</x:v>
      </x:c>
      <x:c r="F35" s="49"/>
      <x:c r="G35" s="48" t="n">
        <x:f>Model_Data!A35</x:f>
        <x:v>-43.5</x:v>
      </x:c>
      <x:c r="H35" s="48" t="n">
        <x:f>0</x:f>
        <x:v>0</x:v>
      </x:c>
      <x:c r="I35" s="48" t="n">
        <x:f>Model_Data!Y35</x:f>
        <x:v>210.8483953416035</x:v>
      </x:c>
      <x:c r="J35" s="48" t="n">
        <x:f>Model_Data!X35</x:f>
        <x:v>22.55480739682735</x:v>
      </x:c>
      <x:c r="K35" s="48" t="n">
        <x:f>Model_Data!A35</x:f>
        <x:v>-43.5</x:v>
      </x:c>
      <x:c r="L35" s="48" t="n">
        <x:f>Model_Data!Y35</x:f>
        <x:v>210.8483953416035</x:v>
      </x:c>
      <x:c r="M35" s="48" t="n">
        <x:f>Model_Data!X35</x:f>
        <x:v>22.55480739682735</x:v>
      </x:c>
      <x:c r="N35" s="48" t="n">
        <x:f>-(Model_Data!AC35-Model_Data!F35)*Inputs!$C$12</x:f>
        <x:v>185.73149096647512</x:v>
      </x:c>
      <x:c r="O35" s="49"/>
      <x:c r="P35" s="48" t="n">
        <x:f>Model_Data!A35</x:f>
        <x:v>-43.5</x:v>
      </x:c>
      <x:c r="Q35" s="48" t="n">
        <x:f>Model_Data!P35</x:f>
        <x:v>369.0267273985228</x:v>
      </x:c>
      <x:c r="R35" s="48" t="n">
        <x:f>Model_Data!AM35</x:f>
        <x:v>338.2382872227936</x:v>
      </x:c>
      <x:c r="S35" s="48" t="n">
        <x:f>Model_Data!Q35</x:f>
        <x:v>55.40941852830673</x:v>
      </x:c>
      <x:c r="T35" s="48" t="n">
        <x:f>Model_Data!AN35</x:f>
        <x:v>50.78652961303207</x:v>
      </x:c>
      <x:c r="U35" s="49"/>
      <x:c r="V35" s="48" t="n">
        <x:f>Model_Data!A35</x:f>
        <x:v>-43.5</x:v>
      </x:c>
      <x:c r="W35" s="48" t="n">
        <x:f>Model_Data!B35-Inputs!$C$5</x:f>
        <x:v>2.1025000000000205</x:v>
      </x:c>
      <x:c r="X35" s="49"/>
      <x:c r="Y35" s="48" t="n">
        <x:f>Model_Data!A35</x:f>
        <x:v>-43.5</x:v>
      </x:c>
      <x:c r="Z35" s="48" t="n">
        <x:f>0</x:f>
        <x:v>0</x:v>
      </x:c>
      <x:c r="AA35" s="48" t="n">
        <x:f>((SQRT((Inputs!$C$52+Inputs!$C$5)^2+Inputs!$C$52^2-2*(Inputs!$C$52+Inputs!$C$5)*Inputs!$C$52*COS(SQRT((Model_Data!A35)^2+Inputs!$C$6^2)/Inputs!$C$52))-Inputs!$C$5)*1000/Inputs!$C$12)</x:f>
        <x:v>2209.708488578056</x:v>
      </x:c>
      <x:c r="AB35" s="48" t="n">
        <x:f>Model_Data!F35</x:f>
        <x:v>2200.611833358587</x:v>
      </x:c>
    </x:row>
    <x:row r="36">
      <x:c r="A36" s="48" t="n">
        <x:f>Model_Data!A36</x:f>
        <x:v>-43</x:v>
      </x:c>
      <x:c r="B36" s="48" t="n">
        <x:f>0</x:f>
        <x:v>0</x:v>
      </x:c>
      <x:c r="C36" s="48" t="n">
        <x:f>((SQRT((Inputs!$C$52+Inputs!$C$5)^2+Inputs!$C$52^2-2*(Inputs!$C$52+Inputs!$C$5)*Inputs!$C$52*COS(SQRT((Model_Data!A36)^2+Inputs!$C$6^2)/Inputs!$C$52))-Inputs!$C$5)*1000/Inputs!$C$12)</x:f>
        <x:v>2171.9273954940345</x:v>
      </x:c>
      <x:c r="D36" s="48" t="n">
        <x:f>Model_Data!F36</x:f>
        <x:v>2163.1879711008464</x:v>
      </x:c>
      <x:c r="E36" s="48" t="n">
        <x:f>Model_Data!AC36</x:f>
        <x:v>2065.038355490313</x:v>
      </x:c>
      <x:c r="F36" s="49"/>
      <x:c r="G36" s="48" t="n">
        <x:f>Model_Data!A36</x:f>
        <x:v>-43</x:v>
      </x:c>
      <x:c r="H36" s="48" t="n">
        <x:f>0</x:f>
        <x:v>0</x:v>
      </x:c>
      <x:c r="I36" s="48" t="n">
        <x:f>Model_Data!Y36</x:f>
        <x:v>180.5581841932563</x:v>
      </x:c>
      <x:c r="J36" s="48" t="n">
        <x:f>Model_Data!X36</x:f>
        <x:v>3.69479063881065</x:v>
      </x:c>
      <x:c r="K36" s="48" t="n">
        <x:f>Model_Data!A36</x:f>
        <x:v>-43</x:v>
      </x:c>
      <x:c r="L36" s="48" t="n">
        <x:f>Model_Data!Y36</x:f>
        <x:v>180.5581841932563</x:v>
      </x:c>
      <x:c r="M36" s="48" t="n">
        <x:f>Model_Data!X36</x:f>
        <x:v>3.69479063881065</x:v>
      </x:c>
      <x:c r="N36" s="48" t="n">
        <x:f>-(Model_Data!AC36-Model_Data!F36)*Inputs!$C$12</x:f>
        <x:v>174.70631578674983</x:v>
      </x:c>
      <x:c r="O36" s="49"/>
      <x:c r="P36" s="48" t="n">
        <x:f>Model_Data!A36</x:f>
        <x:v>-43</x:v>
      </x:c>
      <x:c r="Q36" s="48" t="n">
        <x:f>Model_Data!P36</x:f>
        <x:v>364.8601882793628</x:v>
      </x:c>
      <x:c r="R36" s="48" t="n">
        <x:f>Model_Data!AM36</x:f>
        <x:v>318.9536821423644</x:v>
      </x:c>
      <x:c r="S36" s="48" t="n">
        <x:f>Model_Data!Q36</x:f>
        <x:v>54.78381205395838</x:v>
      </x:c>
      <x:c r="T36" s="48" t="n">
        <x:f>Model_Data!AN36</x:f>
        <x:v>47.89094326461929</x:v>
      </x:c>
      <x:c r="U36" s="49"/>
      <x:c r="V36" s="48" t="n">
        <x:f>Model_Data!A36</x:f>
        <x:v>-43</x:v>
      </x:c>
      <x:c r="W36" s="48" t="n">
        <x:f>Model_Data!B36-Inputs!$C$5</x:f>
        <x:v>2.0544444444444707</x:v>
      </x:c>
      <x:c r="X36" s="49"/>
      <x:c r="Y36" s="48" t="n">
        <x:f>Model_Data!A36</x:f>
        <x:v>-43</x:v>
      </x:c>
      <x:c r="Z36" s="48" t="n">
        <x:f>0</x:f>
        <x:v>0</x:v>
      </x:c>
      <x:c r="AA36" s="48" t="n">
        <x:f>((SQRT((Inputs!$C$52+Inputs!$C$5)^2+Inputs!$C$52^2-2*(Inputs!$C$52+Inputs!$C$5)*Inputs!$C$52*COS(SQRT((Model_Data!A36)^2+Inputs!$C$6^2)/Inputs!$C$52))-Inputs!$C$5)*1000/Inputs!$C$12)</x:f>
        <x:v>2171.9273954940345</x:v>
      </x:c>
      <x:c r="AB36" s="48" t="n">
        <x:f>Model_Data!F36</x:f>
        <x:v>2163.1879711008464</x:v>
      </x:c>
    </x:row>
    <x:row r="37">
      <x:c r="A37" s="48" t="n">
        <x:f>Model_Data!A37</x:f>
        <x:v>-42.5</x:v>
      </x:c>
      <x:c r="B37" s="48" t="n">
        <x:f>0</x:f>
        <x:v>0</x:v>
      </x:c>
      <x:c r="C37" s="48" t="n">
        <x:f>((SQRT((Inputs!$C$52+Inputs!$C$5)^2+Inputs!$C$52^2-2*(Inputs!$C$52+Inputs!$C$5)*Inputs!$C$52*COS(SQRT((Model_Data!A37)^2+Inputs!$C$6^2)/Inputs!$C$52))-Inputs!$C$5)*1000/Inputs!$C$12)</x:f>
        <x:v>2134.576784639611</x:v>
      </x:c>
      <x:c r="D37" s="48" t="n">
        <x:f>Model_Data!F37</x:f>
        <x:v>2126.18370857261</x:v>
      </x:c>
      <x:c r="E37" s="48" t="n">
        <x:f>Model_Data!AC37</x:f>
        <x:v>2030.612257711164</x:v>
      </x:c>
      <x:c r="F37" s="49"/>
      <x:c r="G37" s="48" t="n">
        <x:f>Model_Data!A37</x:f>
        <x:v>-42.5</x:v>
      </x:c>
      <x:c r="H37" s="48" t="n">
        <x:f>0</x:f>
        <x:v>0</x:v>
      </x:c>
      <x:c r="I37" s="48" t="n">
        <x:f>Model_Data!Y37</x:f>
        <x:v>181.7291755177202</x:v>
      </x:c>
      <x:c r="J37" s="48" t="n">
        <x:f>Model_Data!X37</x:f>
        <x:v>9.477549494288523</x:v>
      </x:c>
      <x:c r="K37" s="48" t="n">
        <x:f>Model_Data!A37</x:f>
        <x:v>-42.5</x:v>
      </x:c>
      <x:c r="L37" s="48" t="n">
        <x:f>Model_Data!Y37</x:f>
        <x:v>181.7291755177202</x:v>
      </x:c>
      <x:c r="M37" s="48" t="n">
        <x:f>Model_Data!X37</x:f>
        <x:v>9.477549494288523</x:v>
      </x:c>
      <x:c r="N37" s="48" t="n">
        <x:f>-(Model_Data!AC37-Model_Data!F37)*Inputs!$C$12</x:f>
        <x:v>170.11718253337432</x:v>
      </x:c>
      <x:c r="O37" s="49"/>
      <x:c r="P37" s="48" t="n">
        <x:f>Model_Data!A37</x:f>
        <x:v>-42.5</x:v>
      </x:c>
      <x:c r="Q37" s="48" t="n">
        <x:f>Model_Data!P37</x:f>
        <x:v>360.6911047401809</x:v>
      </x:c>
      <x:c r="R37" s="48" t="n">
        <x:f>Model_Data!AM37</x:f>
        <x:v>345.1024300021345</x:v>
      </x:c>
      <x:c r="S37" s="48" t="n">
        <x:f>Model_Data!Q37</x:f>
        <x:v>54.1578235345617</x:v>
      </x:c>
      <x:c r="T37" s="48" t="n">
        <x:f>Model_Data!AN37</x:f>
        <x:v>51.81718168200218</x:v>
      </x:c>
      <x:c r="U37" s="49"/>
      <x:c r="V37" s="48" t="n">
        <x:f>Model_Data!A37</x:f>
        <x:v>-42.5</x:v>
      </x:c>
      <x:c r="W37" s="48" t="n">
        <x:f>Model_Data!B37-Inputs!$C$5</x:f>
        <x:v>2.006944444444457</x:v>
      </x:c>
      <x:c r="X37" s="49"/>
      <x:c r="Y37" s="48" t="n">
        <x:f>Model_Data!A37</x:f>
        <x:v>-42.5</x:v>
      </x:c>
      <x:c r="Z37" s="48" t="n">
        <x:f>0</x:f>
        <x:v>0</x:v>
      </x:c>
      <x:c r="AA37" s="48" t="n">
        <x:f>((SQRT((Inputs!$C$52+Inputs!$C$5)^2+Inputs!$C$52^2-2*(Inputs!$C$52+Inputs!$C$5)*Inputs!$C$52*COS(SQRT((Model_Data!A37)^2+Inputs!$C$6^2)/Inputs!$C$52))-Inputs!$C$5)*1000/Inputs!$C$12)</x:f>
        <x:v>2134.576784639611</x:v>
      </x:c>
      <x:c r="AB37" s="48" t="n">
        <x:f>Model_Data!F37</x:f>
        <x:v>2126.18370857261</x:v>
      </x:c>
    </x:row>
    <x:row r="38">
      <x:c r="A38" s="48" t="n">
        <x:f>Model_Data!A38</x:f>
        <x:v>-42</x:v>
      </x:c>
      <x:c r="B38" s="48" t="n">
        <x:f>0</x:f>
        <x:v>0</x:v>
      </x:c>
      <x:c r="C38" s="48" t="n">
        <x:f>((SQRT((Inputs!$C$52+Inputs!$C$5)^2+Inputs!$C$52^2-2*(Inputs!$C$52+Inputs!$C$5)*Inputs!$C$52*COS(SQRT((Model_Data!A38)^2+Inputs!$C$6^2)/Inputs!$C$52))-Inputs!$C$5)*1000/Inputs!$C$12)</x:f>
        <x:v>2097.656872513326</x:v>
      </x:c>
      <x:c r="D38" s="48" t="n">
        <x:f>Model_Data!F38</x:f>
        <x:v>2089.5994901917893</x:v>
      </x:c>
      <x:c r="E38" s="48" t="n">
        <x:f>Model_Data!AC38</x:f>
        <x:v>1989.964946236575</x:v>
      </x:c>
      <x:c r="F38" s="49"/>
      <x:c r="G38" s="48" t="n">
        <x:f>Model_Data!A38</x:f>
        <x:v>-42</x:v>
      </x:c>
      <x:c r="H38" s="48" t="n">
        <x:f>0</x:f>
        <x:v>0</x:v>
      </x:c>
      <x:c r="I38" s="48" t="n">
        <x:f>Model_Data!Y38</x:f>
        <x:v>170.62817299697477</x:v>
      </x:c>
      <x:c r="J38" s="48" t="n">
        <x:f>Model_Data!X38</x:f>
        <x:v>-8.691303525994272</x:v>
      </x:c>
      <x:c r="K38" s="48" t="n">
        <x:f>Model_Data!A38</x:f>
        <x:v>-42</x:v>
      </x:c>
      <x:c r="L38" s="48" t="n">
        <x:f>Model_Data!Y38</x:f>
        <x:v>170.62817299697477</x:v>
      </x:c>
      <x:c r="M38" s="48" t="n">
        <x:f>Model_Data!X38</x:f>
        <x:v>-8.691303525994272</x:v>
      </x:c>
      <x:c r="N38" s="48" t="n">
        <x:f>-(Model_Data!AC38-Model_Data!F38)*Inputs!$C$12</x:f>
        <x:v>177.3494882402813</x:v>
      </x:c>
      <x:c r="O38" s="49"/>
      <x:c r="P38" s="48" t="n">
        <x:f>Model_Data!A38</x:f>
        <x:v>-42</x:v>
      </x:c>
      <x:c r="Q38" s="48" t="n">
        <x:f>Model_Data!P38</x:f>
        <x:v>356.5195028526432</x:v>
      </x:c>
      <x:c r="R38" s="48" t="n">
        <x:f>Model_Data!AM38</x:f>
        <x:v>340.27294612515107</x:v>
      </x:c>
      <x:c r="S38" s="48" t="n">
        <x:f>Model_Data!Q38</x:f>
        <x:v>53.531456884781264</x:v>
      </x:c>
      <x:c r="T38" s="48" t="n">
        <x:f>Model_Data!AN38</x:f>
        <x:v>51.09203395272539</x:v>
      </x:c>
      <x:c r="U38" s="49"/>
      <x:c r="V38" s="48" t="n">
        <x:f>Model_Data!A38</x:f>
        <x:v>-42</x:v>
      </x:c>
      <x:c r="W38" s="48" t="n">
        <x:f>Model_Data!B38-Inputs!$C$5</x:f>
        <x:v>1.9599999999999795</x:v>
      </x:c>
      <x:c r="X38" s="49"/>
      <x:c r="Y38" s="48" t="n">
        <x:f>Model_Data!A38</x:f>
        <x:v>-42</x:v>
      </x:c>
      <x:c r="Z38" s="48" t="n">
        <x:f>0</x:f>
        <x:v>0</x:v>
      </x:c>
      <x:c r="AA38" s="48" t="n">
        <x:f>((SQRT((Inputs!$C$52+Inputs!$C$5)^2+Inputs!$C$52^2-2*(Inputs!$C$52+Inputs!$C$5)*Inputs!$C$52*COS(SQRT((Model_Data!A38)^2+Inputs!$C$6^2)/Inputs!$C$52))-Inputs!$C$5)*1000/Inputs!$C$12)</x:f>
        <x:v>2097.656872513326</x:v>
      </x:c>
      <x:c r="AB38" s="48" t="n">
        <x:f>Model_Data!F38</x:f>
        <x:v>2089.5994901917893</x:v>
      </x:c>
    </x:row>
    <x:row r="39">
      <x:c r="A39" s="48" t="n">
        <x:f>Model_Data!A39</x:f>
        <x:v>-41.5</x:v>
      </x:c>
      <x:c r="B39" s="48" t="n">
        <x:f>0</x:f>
        <x:v>0</x:v>
      </x:c>
      <x:c r="C39" s="48" t="n">
        <x:f>((SQRT((Inputs!$C$52+Inputs!$C$5)^2+Inputs!$C$52^2-2*(Inputs!$C$52+Inputs!$C$5)*Inputs!$C$52*COS(SQRT((Model_Data!A39)^2+Inputs!$C$6^2)/Inputs!$C$52))-Inputs!$C$5)*1000/Inputs!$C$12)</x:f>
        <x:v>2061.1678732608475</x:v>
      </x:c>
      <x:c r="D39" s="48" t="n">
        <x:f>Model_Data!F39</x:f>
        <x:v>2053.4357557919698</x:v>
      </x:c>
      <x:c r="E39" s="48" t="n">
        <x:f>Model_Data!AC39</x:f>
        <x:v>1949.3721661921122</x:v>
      </x:c>
      <x:c r="F39" s="49"/>
      <x:c r="G39" s="48" t="n">
        <x:f>Model_Data!A39</x:f>
        <x:v>-41.5</x:v>
      </x:c>
      <x:c r="H39" s="48" t="n">
        <x:f>0</x:f>
        <x:v>0</x:v>
      </x:c>
      <x:c r="I39" s="48" t="n">
        <x:f>Model_Data!Y39</x:f>
        <x:v>171.38557913735212</x:v>
      </x:c>
      <x:c r="J39" s="48" t="n">
        <x:f>Model_Data!X39</x:f>
        <x:v>-15.792555414769886</x:v>
      </x:c>
      <x:c r="K39" s="48" t="n">
        <x:f>Model_Data!A39</x:f>
        <x:v>-41.5</x:v>
      </x:c>
      <x:c r="L39" s="48" t="n">
        <x:f>Model_Data!Y39</x:f>
        <x:v>171.38557913735212</x:v>
      </x:c>
      <x:c r="M39" s="48" t="n">
        <x:f>Model_Data!X39</x:f>
        <x:v>-15.792555414769886</x:v>
      </x:c>
      <x:c r="N39" s="48" t="n">
        <x:f>-(Model_Data!AC39-Model_Data!F39)*Inputs!$C$12</x:f>
        <x:v>185.23318948774644</x:v>
      </x:c>
      <x:c r="O39" s="49"/>
      <x:c r="P39" s="48" t="n">
        <x:f>Model_Data!A39</x:f>
        <x:v>-41.5</x:v>
      </x:c>
      <x:c r="Q39" s="48" t="n">
        <x:f>Model_Data!P39</x:f>
        <x:v>352.3454087967366</x:v>
      </x:c>
      <x:c r="R39" s="48" t="n">
        <x:f>Model_Data!AM39</x:f>
        <x:v>362.0055736474569</x:v>
      </x:c>
      <x:c r="S39" s="48" t="n">
        <x:f>Model_Data!Q39</x:f>
        <x:v>52.90471603554604</x:v>
      </x:c>
      <x:c r="T39" s="48" t="n">
        <x:f>Model_Data!AN39</x:f>
        <x:v>54.3551912383569</x:v>
      </x:c>
      <x:c r="U39" s="49"/>
      <x:c r="V39" s="48" t="n">
        <x:f>Model_Data!A39</x:f>
        <x:v>-41.5</x:v>
      </x:c>
      <x:c r="W39" s="48" t="n">
        <x:f>Model_Data!B39-Inputs!$C$5</x:f>
        <x:v>1.913611111111095</x:v>
      </x:c>
      <x:c r="X39" s="49"/>
      <x:c r="Y39" s="48" t="n">
        <x:f>Model_Data!A39</x:f>
        <x:v>-41.5</x:v>
      </x:c>
      <x:c r="Z39" s="48" t="n">
        <x:f>0</x:f>
        <x:v>0</x:v>
      </x:c>
      <x:c r="AA39" s="48" t="n">
        <x:f>((SQRT((Inputs!$C$52+Inputs!$C$5)^2+Inputs!$C$52^2-2*(Inputs!$C$52+Inputs!$C$5)*Inputs!$C$52*COS(SQRT((Model_Data!A39)^2+Inputs!$C$6^2)/Inputs!$C$52))-Inputs!$C$5)*1000/Inputs!$C$12)</x:f>
        <x:v>2061.1678732608475</x:v>
      </x:c>
      <x:c r="AB39" s="48" t="n">
        <x:f>Model_Data!F39</x:f>
        <x:v>2053.4357557919698</x:v>
      </x:c>
    </x:row>
    <x:row r="40">
      <x:c r="A40" s="48" t="n">
        <x:f>Model_Data!A40</x:f>
        <x:v>-41</x:v>
      </x:c>
      <x:c r="B40" s="48" t="n">
        <x:f>0</x:f>
        <x:v>0</x:v>
      </x:c>
      <x:c r="C40" s="48" t="n">
        <x:f>((SQRT((Inputs!$C$52+Inputs!$C$5)^2+Inputs!$C$52^2-2*(Inputs!$C$52+Inputs!$C$5)*Inputs!$C$52*COS(SQRT((Model_Data!A40)^2+Inputs!$C$6^2)/Inputs!$C$52))-Inputs!$C$5)*1000/Inputs!$C$12)</x:f>
        <x:v>2025.1099986616898</x:v>
      </x:c>
      <x:c r="D40" s="48" t="n">
        <x:f>Model_Data!F40</x:f>
        <x:v>2017.6929405986523</x:v>
      </x:c>
      <x:c r="E40" s="48" t="n">
        <x:f>Model_Data!AC40</x:f>
        <x:v>1909.5007750128811</x:v>
      </x:c>
      <x:c r="F40" s="49"/>
      <x:c r="G40" s="48" t="n">
        <x:f>Model_Data!A40</x:f>
        <x:v>-41</x:v>
      </x:c>
      <x:c r="H40" s="48" t="n">
        <x:f>0</x:f>
        <x:v>0</x:v>
      </x:c>
      <x:c r="I40" s="48" t="n">
        <x:f>Model_Data!Y40</x:f>
        <x:v>176.66624192778235</x:v>
      </x:c>
      <x:c r="J40" s="48" t="n">
        <x:f>Model_Data!X40</x:f>
        <x:v>-17.886266996681616</x:v>
      </x:c>
      <x:c r="K40" s="48" t="n">
        <x:f>Model_Data!A40</x:f>
        <x:v>-41</x:v>
      </x:c>
      <x:c r="L40" s="48" t="n">
        <x:f>Model_Data!Y40</x:f>
        <x:v>176.66624192778235</x:v>
      </x:c>
      <x:c r="M40" s="48" t="n">
        <x:f>Model_Data!X40</x:f>
        <x:v>-17.886266996681616</x:v>
      </x:c>
      <x:c r="N40" s="48" t="n">
        <x:f>-(Model_Data!AC40-Model_Data!F40)*Inputs!$C$12</x:f>
        <x:v>192.58205474267263</x:v>
      </x:c>
      <x:c r="O40" s="49"/>
      <x:c r="P40" s="48" t="n">
        <x:f>Model_Data!A40</x:f>
        <x:v>-41</x:v>
      </x:c>
      <x:c r="Q40" s="48" t="n">
        <x:f>Model_Data!P40</x:f>
        <x:v>348.16884888314235</x:v>
      </x:c>
      <x:c r="R40" s="48" t="n">
        <x:f>Model_Data!AM40</x:f>
        <x:v>379.704203482288</x:v>
      </x:c>
      <x:c r="S40" s="48" t="n">
        <x:f>Model_Data!Q40</x:f>
        <x:v>52.27760493740877</x:v>
      </x:c>
      <x:c r="T40" s="48" t="n">
        <x:f>Model_Data!AN40</x:f>
        <x:v>57.01264316550871</x:v>
      </x:c>
      <x:c r="U40" s="49"/>
      <x:c r="V40" s="48" t="n">
        <x:f>Model_Data!A40</x:f>
        <x:v>-41</x:v>
      </x:c>
      <x:c r="W40" s="48" t="n">
        <x:f>Model_Data!B40-Inputs!$C$5</x:f>
        <x:v>1.8677777777778033</x:v>
      </x:c>
      <x:c r="X40" s="49"/>
      <x:c r="Y40" s="48" t="n">
        <x:f>Model_Data!A40</x:f>
        <x:v>-41</x:v>
      </x:c>
      <x:c r="Z40" s="48" t="n">
        <x:f>0</x:f>
        <x:v>0</x:v>
      </x:c>
      <x:c r="AA40" s="48" t="n">
        <x:f>((SQRT((Inputs!$C$52+Inputs!$C$5)^2+Inputs!$C$52^2-2*(Inputs!$C$52+Inputs!$C$5)*Inputs!$C$52*COS(SQRT((Model_Data!A40)^2+Inputs!$C$6^2)/Inputs!$C$52))-Inputs!$C$5)*1000/Inputs!$C$12)</x:f>
        <x:v>2025.1099986616898</x:v>
      </x:c>
      <x:c r="AB40" s="48" t="n">
        <x:f>Model_Data!F40</x:f>
        <x:v>2017.6929405986523</x:v>
      </x:c>
    </x:row>
    <x:row r="41">
      <x:c r="A41" s="48" t="n">
        <x:f>Model_Data!A41</x:f>
        <x:v>-40.5</x:v>
      </x:c>
      <x:c r="B41" s="48" t="n">
        <x:f>0</x:f>
        <x:v>0</x:v>
      </x:c>
      <x:c r="C41" s="48" t="n">
        <x:f>((SQRT((Inputs!$C$52+Inputs!$C$5)^2+Inputs!$C$52^2-2*(Inputs!$C$52+Inputs!$C$5)*Inputs!$C$52*COS(SQRT((Model_Data!A41)^2+Inputs!$C$6^2)/Inputs!$C$52))-Inputs!$C$5)*1000/Inputs!$C$12)</x:f>
        <x:v>1989.483458127327</x:v>
      </x:c>
      <x:c r="D41" s="48" t="n">
        <x:f>Model_Data!F41</x:f>
        <x:v>1982.3714752072171</x:v>
      </x:c>
      <x:c r="E41" s="48" t="n">
        <x:f>Model_Data!AC41</x:f>
        <x:v>1867.656189717457</x:v>
      </x:c>
      <x:c r="F41" s="49"/>
      <x:c r="G41" s="48" t="n">
        <x:f>Model_Data!A41</x:f>
        <x:v>-40.5</x:v>
      </x:c>
      <x:c r="H41" s="48" t="n">
        <x:f>0</x:f>
        <x:v>0</x:v>
      </x:c>
      <x:c r="I41" s="48" t="n">
        <x:f>Model_Data!Y41</x:f>
        <x:v>191.24651788731785</x:v>
      </x:c>
      <x:c r="J41" s="48" t="n">
        <x:f>Model_Data!X41</x:f>
        <x:v>-15.042977474303433</x:v>
      </x:c>
      <x:c r="K41" s="48" t="n">
        <x:f>Model_Data!A41</x:f>
        <x:v>-40.5</x:v>
      </x:c>
      <x:c r="L41" s="48" t="n">
        <x:f>Model_Data!Y41</x:f>
        <x:v>191.24651788731785</x:v>
      </x:c>
      <x:c r="M41" s="48" t="n">
        <x:f>Model_Data!X41</x:f>
        <x:v>-15.042977474303433</x:v>
      </x:c>
      <x:c r="N41" s="48" t="n">
        <x:f>-(Model_Data!AC41-Model_Data!F41)*Inputs!$C$12</x:f>
        <x:v>204.19320817177308</x:v>
      </x:c>
      <x:c r="O41" s="49"/>
      <x:c r="P41" s="48" t="n">
        <x:f>Model_Data!A41</x:f>
        <x:v>-40.5</x:v>
      </x:c>
      <x:c r="Q41" s="48" t="n">
        <x:f>Model_Data!P41</x:f>
        <x:v>343.98984952458704</x:v>
      </x:c>
      <x:c r="R41" s="48" t="n">
        <x:f>Model_Data!AM41</x:f>
        <x:v>377.3350791899247</x:v>
      </x:c>
      <x:c r="S41" s="48" t="n">
        <x:f>Model_Data!Q41</x:f>
        <x:v>51.65012755624431</x:v>
      </x:c>
      <x:c r="T41" s="48" t="n">
        <x:f>Model_Data!AN41</x:f>
        <x:v>56.656918797286</x:v>
      </x:c>
      <x:c r="U41" s="49"/>
      <x:c r="V41" s="48" t="n">
        <x:f>Model_Data!A41</x:f>
        <x:v>-40.5</x:v>
      </x:c>
      <x:c r="W41" s="48" t="n">
        <x:f>Model_Data!B41-Inputs!$C$5</x:f>
        <x:v>1.822499999999991</x:v>
      </x:c>
      <x:c r="X41" s="49"/>
      <x:c r="Y41" s="48" t="n">
        <x:f>Model_Data!A41</x:f>
        <x:v>-40.5</x:v>
      </x:c>
      <x:c r="Z41" s="48" t="n">
        <x:f>0</x:f>
        <x:v>0</x:v>
      </x:c>
      <x:c r="AA41" s="48" t="n">
        <x:f>((SQRT((Inputs!$C$52+Inputs!$C$5)^2+Inputs!$C$52^2-2*(Inputs!$C$52+Inputs!$C$5)*Inputs!$C$52*COS(SQRT((Model_Data!A41)^2+Inputs!$C$6^2)/Inputs!$C$52))-Inputs!$C$5)*1000/Inputs!$C$12)</x:f>
        <x:v>1989.483458127327</x:v>
      </x:c>
      <x:c r="AB41" s="48" t="n">
        <x:f>Model_Data!F41</x:f>
        <x:v>1982.3714752072171</x:v>
      </x:c>
    </x:row>
    <x:row r="42">
      <x:c r="A42" s="48" t="n">
        <x:f>Model_Data!A42</x:f>
        <x:v>-40</x:v>
      </x:c>
      <x:c r="B42" s="48" t="n">
        <x:f>0</x:f>
        <x:v>0</x:v>
      </x:c>
      <x:c r="C42" s="48" t="n">
        <x:f>((SQRT((Inputs!$C$52+Inputs!$C$5)^2+Inputs!$C$52^2-2*(Inputs!$C$52+Inputs!$C$5)*Inputs!$C$52*COS(SQRT((Model_Data!A42)^2+Inputs!$C$6^2)/Inputs!$C$52))-Inputs!$C$5)*1000/Inputs!$C$12)</x:f>
        <x:v>1954.2884586951907</x:v>
      </x:c>
      <x:c r="D42" s="48" t="n">
        <x:f>Model_Data!F42</x:f>
        <x:v>1947.4717855689696</x:v>
      </x:c>
      <x:c r="E42" s="48" t="n">
        <x:f>Model_Data!AC42</x:f>
        <x:v>1820.073882562747</x:v>
      </x:c>
      <x:c r="F42" s="49"/>
      <x:c r="G42" s="48" t="n">
        <x:f>Model_Data!A42</x:f>
        <x:v>-40</x:v>
      </x:c>
      <x:c r="H42" s="48" t="n">
        <x:f>0</x:f>
        <x:v>0</x:v>
      </x:c>
      <x:c r="I42" s="48" t="n">
        <x:f>Model_Data!Y42</x:f>
        <x:v>197.66557297497732</x:v>
      </x:c>
      <x:c r="J42" s="48" t="n">
        <x:f>Model_Data!X42</x:f>
        <x:v>-31.231711064274894</x:v>
      </x:c>
      <x:c r="K42" s="48" t="n">
        <x:f>Model_Data!A42</x:f>
        <x:v>-40</x:v>
      </x:c>
      <x:c r="L42" s="48" t="n">
        <x:f>Model_Data!Y42</x:f>
        <x:v>197.66557297497732</x:v>
      </x:c>
      <x:c r="M42" s="48" t="n">
        <x:f>Model_Data!X42</x:f>
        <x:v>-31.231711064274894</x:v>
      </x:c>
      <x:c r="N42" s="48" t="n">
        <x:f>-(Model_Data!AC42-Model_Data!F42)*Inputs!$C$12</x:f>
        <x:v>226.7682673510762</x:v>
      </x:c>
      <x:c r="O42" s="49"/>
      <x:c r="P42" s="48" t="n">
        <x:f>Model_Data!A42</x:f>
        <x:v>-40</x:v>
      </x:c>
      <x:c r="Q42" s="48" t="n">
        <x:f>Model_Data!P42</x:f>
        <x:v>339.80843724993974</x:v>
      </x:c>
      <x:c r="R42" s="48" t="n">
        <x:f>Model_Data!AM42</x:f>
        <x:v>355.33588521439015</x:v>
      </x:c>
      <x:c r="S42" s="48" t="n">
        <x:f>Model_Data!Q42</x:f>
        <x:v>51.02228787536633</x:v>
      </x:c>
      <x:c r="T42" s="48" t="n">
        <x:f>Model_Data!AN42</x:f>
        <x:v>53.3537365186772</x:v>
      </x:c>
      <x:c r="U42" s="49"/>
      <x:c r="V42" s="48" t="n">
        <x:f>Model_Data!A42</x:f>
        <x:v>-40</x:v>
      </x:c>
      <x:c r="W42" s="48" t="n">
        <x:f>Model_Data!B42-Inputs!$C$5</x:f>
        <x:v>1.7777777777777715</x:v>
      </x:c>
      <x:c r="X42" s="49"/>
      <x:c r="Y42" s="48" t="n">
        <x:f>Model_Data!A42</x:f>
        <x:v>-40</x:v>
      </x:c>
      <x:c r="Z42" s="48" t="n">
        <x:f>0</x:f>
        <x:v>0</x:v>
      </x:c>
      <x:c r="AA42" s="48" t="n">
        <x:f>((SQRT((Inputs!$C$52+Inputs!$C$5)^2+Inputs!$C$52^2-2*(Inputs!$C$52+Inputs!$C$5)*Inputs!$C$52*COS(SQRT((Model_Data!A42)^2+Inputs!$C$6^2)/Inputs!$C$52))-Inputs!$C$5)*1000/Inputs!$C$12)</x:f>
        <x:v>1954.2884586951907</x:v>
      </x:c>
      <x:c r="AB42" s="48" t="n">
        <x:f>Model_Data!F42</x:f>
        <x:v>1947.4717855689696</x:v>
      </x:c>
    </x:row>
    <x:row r="43">
      <x:c r="A43" s="48" t="n">
        <x:f>Model_Data!A43</x:f>
        <x:v>-39.5</x:v>
      </x:c>
      <x:c r="B43" s="48" t="n">
        <x:f>0</x:f>
        <x:v>0</x:v>
      </x:c>
      <x:c r="C43" s="48" t="n">
        <x:f>((SQRT((Inputs!$C$52+Inputs!$C$5)^2+Inputs!$C$52^2-2*(Inputs!$C$52+Inputs!$C$5)*Inputs!$C$52*COS(SQRT((Model_Data!A43)^2+Inputs!$C$6^2)/Inputs!$C$52))-Inputs!$C$5)*1000/Inputs!$C$12)</x:f>
        <x:v>1919.5252050223141</x:v>
      </x:c>
      <x:c r="D43" s="48" t="n">
        <x:f>Model_Data!F43</x:f>
        <x:v>1912.9942929643466</x:v>
      </x:c>
      <x:c r="E43" s="48" t="n">
        <x:f>Model_Data!AC43</x:f>
        <x:v>1782.6032609411293</x:v>
      </x:c>
      <x:c r="F43" s="49"/>
      <x:c r="G43" s="48" t="n">
        <x:f>Model_Data!A43</x:f>
        <x:v>-39.5</x:v>
      </x:c>
      <x:c r="H43" s="48" t="n">
        <x:f>0</x:f>
        <x:v>0</x:v>
      </x:c>
      <x:c r="I43" s="48" t="n">
        <x:f>Model_Data!Y43</x:f>
        <x:v>200.98178735327417</x:v>
      </x:c>
      <x:c r="J43" s="48" t="n">
        <x:f>Model_Data!X43</x:f>
        <x:v>-33.241151326098546</x:v>
      </x:c>
      <x:c r="K43" s="48" t="n">
        <x:f>Model_Data!A43</x:f>
        <x:v>-39.5</x:v>
      </x:c>
      <x:c r="L43" s="48" t="n">
        <x:f>Model_Data!Y43</x:f>
        <x:v>200.98178735327417</x:v>
      </x:c>
      <x:c r="M43" s="48" t="n">
        <x:f>Model_Data!X43</x:f>
        <x:v>-33.241151326098546</x:v>
      </x:c>
      <x:c r="N43" s="48" t="n">
        <x:f>-(Model_Data!AC43-Model_Data!F43)*Inputs!$C$12</x:f>
        <x:v>232.0960370013269</x:v>
      </x:c>
      <x:c r="O43" s="49"/>
      <x:c r="P43" s="48" t="n">
        <x:f>Model_Data!A43</x:f>
        <x:v>-39.5</x:v>
      </x:c>
      <x:c r="Q43" s="48" t="n">
        <x:f>Model_Data!P43</x:f>
        <x:v>335.62463871039654</x:v>
      </x:c>
      <x:c r="R43" s="48" t="n">
        <x:f>Model_Data!AM43</x:f>
        <x:v>314.96723845502856</x:v>
      </x:c>
      <x:c r="S43" s="48" t="n">
        <x:f>Model_Data!Q43</x:f>
        <x:v>50.39408989645594</x:v>
      </x:c>
      <x:c r="T43" s="48" t="n">
        <x:f>Model_Data!AN43</x:f>
        <x:v>47.29237814640069</x:v>
      </x:c>
      <x:c r="U43" s="49"/>
      <x:c r="V43" s="48" t="n">
        <x:f>Model_Data!A43</x:f>
        <x:v>-39.5</x:v>
      </x:c>
      <x:c r="W43" s="48" t="n">
        <x:f>Model_Data!B43-Inputs!$C$5</x:f>
        <x:v>1.7336111111110881</x:v>
      </x:c>
      <x:c r="X43" s="49"/>
      <x:c r="Y43" s="48" t="n">
        <x:f>Model_Data!A43</x:f>
        <x:v>-39.5</x:v>
      </x:c>
      <x:c r="Z43" s="48" t="n">
        <x:f>0</x:f>
        <x:v>0</x:v>
      </x:c>
      <x:c r="AA43" s="48" t="n">
        <x:f>((SQRT((Inputs!$C$52+Inputs!$C$5)^2+Inputs!$C$52^2-2*(Inputs!$C$52+Inputs!$C$5)*Inputs!$C$52*COS(SQRT((Model_Data!A43)^2+Inputs!$C$6^2)/Inputs!$C$52))-Inputs!$C$5)*1000/Inputs!$C$12)</x:f>
        <x:v>1919.5252050223141</x:v>
      </x:c>
      <x:c r="AB43" s="48" t="n">
        <x:f>Model_Data!F43</x:f>
        <x:v>1912.9942929643466</x:v>
      </x:c>
    </x:row>
    <x:row r="44">
      <x:c r="A44" s="48" t="n">
        <x:f>Model_Data!A44</x:f>
        <x:v>-39</x:v>
      </x:c>
      <x:c r="B44" s="48" t="n">
        <x:f>0</x:f>
        <x:v>0</x:v>
      </x:c>
      <x:c r="C44" s="48" t="n">
        <x:f>((SQRT((Inputs!$C$52+Inputs!$C$5)^2+Inputs!$C$52^2-2*(Inputs!$C$52+Inputs!$C$5)*Inputs!$C$52*COS(SQRT((Model_Data!A44)^2+Inputs!$C$6^2)/Inputs!$C$52))-Inputs!$C$5)*1000/Inputs!$C$12)</x:f>
        <x:v>1885.1938993782433</x:v>
      </x:c>
      <x:c r="D44" s="48" t="n">
        <x:f>Model_Data!F44</x:f>
        <x:v>1878.9394139868214</x:v>
      </x:c>
      <x:c r="E44" s="48" t="n">
        <x:f>Model_Data!AC44</x:f>
        <x:v>1758.3518395529575</x:v>
      </x:c>
      <x:c r="F44" s="49"/>
      <x:c r="G44" s="48" t="n">
        <x:f>Model_Data!A44</x:f>
        <x:v>-39</x:v>
      </x:c>
      <x:c r="H44" s="48" t="n">
        <x:f>0</x:f>
        <x:v>0</x:v>
      </x:c>
      <x:c r="I44" s="48" t="n">
        <x:f>Model_Data!Y44</x:f>
        <x:v>184.54420924136062</x:v>
      </x:c>
      <x:c r="J44" s="48" t="n">
        <x:f>Model_Data!X44</x:f>
        <x:v>-32.02020136507765</x:v>
      </x:c>
      <x:c r="K44" s="48" t="n">
        <x:f>Model_Data!A44</x:f>
        <x:v>-39</x:v>
      </x:c>
      <x:c r="L44" s="48" t="n">
        <x:f>Model_Data!Y44</x:f>
        <x:v>184.54420924136062</x:v>
      </x:c>
      <x:c r="M44" s="48" t="n">
        <x:f>Model_Data!X44</x:f>
        <x:v>-32.02020136507765</x:v>
      </x:c>
      <x:c r="N44" s="48" t="n">
        <x:f>-(Model_Data!AC44-Model_Data!F44)*Inputs!$C$12</x:f>
        <x:v>214.64588249227774</x:v>
      </x:c>
      <x:c r="O44" s="49"/>
      <x:c r="P44" s="48" t="n">
        <x:f>Model_Data!A44</x:f>
        <x:v>-39</x:v>
      </x:c>
      <x:c r="Q44" s="48" t="n">
        <x:f>Model_Data!P44</x:f>
        <x:v>331.4384806597445</x:v>
      </x:c>
      <x:c r="R44" s="48" t="n">
        <x:f>Model_Data!AM44</x:f>
        <x:v>348.4273363549619</x:v>
      </x:c>
      <x:c r="S44" s="48" t="n">
        <x:f>Model_Data!Q44</x:f>
        <x:v>49.76553763659828</x:v>
      </x:c>
      <x:c r="T44" s="48" t="n">
        <x:f>Model_Data!AN44</x:f>
        <x:v>52.3164168701144</x:v>
      </x:c>
      <x:c r="U44" s="49"/>
      <x:c r="V44" s="48" t="n">
        <x:f>Model_Data!A44</x:f>
        <x:v>-39</x:v>
      </x:c>
      <x:c r="W44" s="48" t="n">
        <x:f>Model_Data!B44-Inputs!$C$5</x:f>
        <x:v>1.6899999999999977</x:v>
      </x:c>
      <x:c r="X44" s="49"/>
      <x:c r="Y44" s="48" t="n">
        <x:f>Model_Data!A44</x:f>
        <x:v>-39</x:v>
      </x:c>
      <x:c r="Z44" s="48" t="n">
        <x:f>0</x:f>
        <x:v>0</x:v>
      </x:c>
      <x:c r="AA44" s="48" t="n">
        <x:f>((SQRT((Inputs!$C$52+Inputs!$C$5)^2+Inputs!$C$52^2-2*(Inputs!$C$52+Inputs!$C$5)*Inputs!$C$52*COS(SQRT((Model_Data!A44)^2+Inputs!$C$6^2)/Inputs!$C$52))-Inputs!$C$5)*1000/Inputs!$C$12)</x:f>
        <x:v>1885.1938993782433</x:v>
      </x:c>
      <x:c r="AB44" s="48" t="n">
        <x:f>Model_Data!F44</x:f>
        <x:v>1878.9394139868214</x:v>
      </x:c>
    </x:row>
    <x:row r="45">
      <x:c r="A45" s="48" t="n">
        <x:f>Model_Data!A45</x:f>
        <x:v>-38.5</x:v>
      </x:c>
      <x:c r="B45" s="48" t="n">
        <x:f>0</x:f>
        <x:v>0</x:v>
      </x:c>
      <x:c r="C45" s="48" t="n">
        <x:f>((SQRT((Inputs!$C$52+Inputs!$C$5)^2+Inputs!$C$52^2-2*(Inputs!$C$52+Inputs!$C$5)*Inputs!$C$52*COS(SQRT((Model_Data!A45)^2+Inputs!$C$6^2)/Inputs!$C$52))-Inputs!$C$5)*1000/Inputs!$C$12)</x:f>
        <x:v>1851.2947416406298</x:v>
      </x:c>
      <x:c r="D45" s="48" t="n">
        <x:f>Model_Data!F45</x:f>
        <x:v>1845.3075605229446</x:v>
      </x:c>
      <x:c r="E45" s="48" t="n">
        <x:f>Model_Data!AC45</x:f>
        <x:v>1708.3590747742153</x:v>
      </x:c>
      <x:c r="F45" s="49"/>
      <x:c r="G45" s="48" t="n">
        <x:f>Model_Data!A45</x:f>
        <x:v>-38.5</x:v>
      </x:c>
      <x:c r="H45" s="48" t="n">
        <x:f>0</x:f>
        <x:v>0</x:v>
      </x:c>
      <x:c r="I45" s="48" t="n">
        <x:f>Model_Data!Y45</x:f>
        <x:v>211.63430992610967</x:v>
      </x:c>
      <x:c r="J45" s="48" t="n">
        <x:f>Model_Data!X45</x:f>
        <x:v>-34.295384147954024</x:v>
      </x:c>
      <x:c r="K45" s="48" t="n">
        <x:f>Model_Data!A45</x:f>
        <x:v>-38.5</x:v>
      </x:c>
      <x:c r="L45" s="48" t="n">
        <x:f>Model_Data!Y45</x:f>
        <x:v>211.63430992610967</x:v>
      </x:c>
      <x:c r="M45" s="48" t="n">
        <x:f>Model_Data!X45</x:f>
        <x:v>-34.295384147954024</x:v>
      </x:c>
      <x:c r="N45" s="48" t="n">
        <x:f>-(Model_Data!AC45-Model_Data!F45)*Inputs!$C$12</x:f>
        <x:v>243.76830463273825</x:v>
      </x:c>
      <x:c r="O45" s="49"/>
      <x:c r="P45" s="48" t="n">
        <x:f>Model_Data!A45</x:f>
        <x:v>-38.5</x:v>
      </x:c>
      <x:c r="Q45" s="48" t="n">
        <x:f>Model_Data!P45</x:f>
        <x:v>327.2499899624563</x:v>
      </x:c>
      <x:c r="R45" s="48" t="n">
        <x:f>Model_Data!AM45</x:f>
        <x:v>356.4903792555924</x:v>
      </x:c>
      <x:c r="S45" s="48" t="n">
        <x:f>Model_Data!Q45</x:f>
        <x:v>49.13663512949795</x:v>
      </x:c>
      <x:c r="T45" s="48" t="n">
        <x:f>Model_Data!AN45</x:f>
        <x:v>53.527083972311175</x:v>
      </x:c>
      <x:c r="U45" s="49"/>
      <x:c r="V45" s="48" t="n">
        <x:f>Model_Data!A45</x:f>
        <x:v>-38.5</x:v>
      </x:c>
      <x:c r="W45" s="48" t="n">
        <x:f>Model_Data!B45-Inputs!$C$5</x:f>
        <x:v>1.6469444444444434</x:v>
      </x:c>
      <x:c r="X45" s="49"/>
      <x:c r="Y45" s="48" t="n">
        <x:f>Model_Data!A45</x:f>
        <x:v>-38.5</x:v>
      </x:c>
      <x:c r="Z45" s="48" t="n">
        <x:f>0</x:f>
        <x:v>0</x:v>
      </x:c>
      <x:c r="AA45" s="48" t="n">
        <x:f>((SQRT((Inputs!$C$52+Inputs!$C$5)^2+Inputs!$C$52^2-2*(Inputs!$C$52+Inputs!$C$5)*Inputs!$C$52*COS(SQRT((Model_Data!A45)^2+Inputs!$C$6^2)/Inputs!$C$52))-Inputs!$C$5)*1000/Inputs!$C$12)</x:f>
        <x:v>1851.2947416406298</x:v>
      </x:c>
      <x:c r="AB45" s="48" t="n">
        <x:f>Model_Data!F45</x:f>
        <x:v>1845.3075605229446</x:v>
      </x:c>
    </x:row>
    <x:row r="46">
      <x:c r="A46" s="48" t="n">
        <x:f>Model_Data!A46</x:f>
        <x:v>-38</x:v>
      </x:c>
      <x:c r="B46" s="48" t="n">
        <x:f>0</x:f>
        <x:v>0</x:v>
      </x:c>
      <x:c r="C46" s="48" t="n">
        <x:f>((SQRT((Inputs!$C$52+Inputs!$C$5)^2+Inputs!$C$52^2-2*(Inputs!$C$52+Inputs!$C$5)*Inputs!$C$52*COS(SQRT((Model_Data!A46)^2+Inputs!$C$6^2)/Inputs!$C$52))-Inputs!$C$5)*1000/Inputs!$C$12)</x:f>
        <x:v>1817.8279292902807</x:v>
      </x:c>
      <x:c r="D46" s="48" t="n">
        <x:f>Model_Data!F46</x:f>
        <x:v>1812.0991397334715</x:v>
      </x:c>
      <x:c r="E46" s="48" t="n">
        <x:f>Model_Data!AC46</x:f>
        <x:v>1687.3472838363</x:v>
      </x:c>
      <x:c r="F46" s="49"/>
      <x:c r="G46" s="48" t="n">
        <x:f>Model_Data!A46</x:f>
        <x:v>-38</x:v>
      </x:c>
      <x:c r="H46" s="48" t="n">
        <x:f>0</x:f>
        <x:v>0</x:v>
      </x:c>
      <x:c r="I46" s="48" t="n">
        <x:f>Model_Data!Y46</x:f>
        <x:v>202.93658014849487</x:v>
      </x:c>
      <x:c r="J46" s="48" t="n">
        <x:f>Model_Data!X46</x:f>
        <x:v>-21.15737906152213</x:v>
      </x:c>
      <x:c r="K46" s="48" t="n">
        <x:f>Model_Data!A46</x:f>
        <x:v>-38</x:v>
      </x:c>
      <x:c r="L46" s="48" t="n">
        <x:f>Model_Data!Y46</x:f>
        <x:v>202.93658014849487</x:v>
      </x:c>
      <x:c r="M46" s="48" t="n">
        <x:f>Model_Data!X46</x:f>
        <x:v>-21.15737906152213</x:v>
      </x:c>
      <x:c r="N46" s="48" t="n">
        <x:f>-(Model_Data!AC46-Model_Data!F46)*Inputs!$C$12</x:f>
        <x:v>222.05830349696524</x:v>
      </x:c>
      <x:c r="O46" s="49"/>
      <x:c r="P46" s="48" t="n">
        <x:f>Model_Data!A46</x:f>
        <x:v>-38</x:v>
      </x:c>
      <x:c r="Q46" s="48" t="n">
        <x:f>Model_Data!P46</x:f>
        <x:v>323.0591935966004</x:v>
      </x:c>
      <x:c r="R46" s="48" t="n">
        <x:f>Model_Data!AM46</x:f>
        <x:v>366.83142083111306</x:v>
      </x:c>
      <x:c r="S46" s="48" t="n">
        <x:f>Model_Data!Q46</x:f>
        <x:v>48.507386425915975</x:v>
      </x:c>
      <x:c r="T46" s="48" t="n">
        <x:f>Model_Data!AN46</x:f>
        <x:v>55.07979291758455</x:v>
      </x:c>
      <x:c r="U46" s="49"/>
      <x:c r="V46" s="48" t="n">
        <x:f>Model_Data!A46</x:f>
        <x:v>-38</x:v>
      </x:c>
      <x:c r="W46" s="48" t="n">
        <x:f>Model_Data!B46-Inputs!$C$5</x:f>
        <x:v>1.6044444444444252</x:v>
      </x:c>
      <x:c r="X46" s="49"/>
      <x:c r="Y46" s="48" t="n">
        <x:f>Model_Data!A46</x:f>
        <x:v>-38</x:v>
      </x:c>
      <x:c r="Z46" s="48" t="n">
        <x:f>0</x:f>
        <x:v>0</x:v>
      </x:c>
      <x:c r="AA46" s="48" t="n">
        <x:f>((SQRT((Inputs!$C$52+Inputs!$C$5)^2+Inputs!$C$52^2-2*(Inputs!$C$52+Inputs!$C$5)*Inputs!$C$52*COS(SQRT((Model_Data!A46)^2+Inputs!$C$6^2)/Inputs!$C$52))-Inputs!$C$5)*1000/Inputs!$C$12)</x:f>
        <x:v>1817.8279292902807</x:v>
      </x:c>
      <x:c r="AB46" s="48" t="n">
        <x:f>Model_Data!F46</x:f>
        <x:v>1812.0991397334715</x:v>
      </x:c>
    </x:row>
    <x:row r="47">
      <x:c r="A47" s="48" t="n">
        <x:f>Model_Data!A47</x:f>
        <x:v>-37.5</x:v>
      </x:c>
      <x:c r="B47" s="48" t="n">
        <x:f>0</x:f>
        <x:v>0</x:v>
      </x:c>
      <x:c r="C47" s="48" t="n">
        <x:f>((SQRT((Inputs!$C$52+Inputs!$C$5)^2+Inputs!$C$52^2-2*(Inputs!$C$52+Inputs!$C$5)*Inputs!$C$52*COS(SQRT((Model_Data!A47)^2+Inputs!$C$6^2)/Inputs!$C$52))-Inputs!$C$5)*1000/Inputs!$C$12)</x:f>
        <x:v>1784.7936574050277</x:v>
      </x:c>
      <x:c r="D47" s="48" t="n">
        <x:f>Model_Data!F47</x:f>
        <x:v>1779.3145540322525</x:v>
      </x:c>
      <x:c r="E47" s="48" t="n">
        <x:f>Model_Data!AC47</x:f>
        <x:v>1635.7617595487268</x:v>
      </x:c>
      <x:c r="F47" s="49"/>
      <x:c r="G47" s="48" t="n">
        <x:f>Model_Data!A47</x:f>
        <x:v>-37.5</x:v>
      </x:c>
      <x:c r="H47" s="48" t="n">
        <x:f>0</x:f>
        <x:v>0</x:v>
      </x:c>
      <x:c r="I47" s="48" t="n">
        <x:f>Model_Data!Y47</x:f>
        <x:v>239.1871485288169</x:v>
      </x:c>
      <x:c r="J47" s="48" t="n">
        <x:f>Model_Data!X47</x:f>
        <x:v>-18.69341167436205</x:v>
      </x:c>
      <x:c r="K47" s="48" t="n">
        <x:f>Model_Data!A47</x:f>
        <x:v>-37.5</x:v>
      </x:c>
      <x:c r="L47" s="48" t="n">
        <x:f>Model_Data!Y47</x:f>
        <x:v>239.1871485288169</x:v>
      </x:c>
      <x:c r="M47" s="48" t="n">
        <x:f>Model_Data!X47</x:f>
        <x:v>-18.69341167436205</x:v>
      </x:c>
      <x:c r="N47" s="48" t="n">
        <x:f>-(Model_Data!AC47-Model_Data!F47)*Inputs!$C$12</x:f>
        <x:v>255.52397418067585</x:v>
      </x:c>
      <x:c r="O47" s="49"/>
      <x:c r="P47" s="48" t="n">
        <x:f>Model_Data!A47</x:f>
        <x:v>-37.5</x:v>
      </x:c>
      <x:c r="Q47" s="48" t="n">
        <x:f>Model_Data!P47</x:f>
        <x:v>318.8661186490208</x:v>
      </x:c>
      <x:c r="R47" s="48" t="n">
        <x:f>Model_Data!AM47</x:f>
        <x:v>371.67029926577015</x:v>
      </x:c>
      <x:c r="S47" s="48" t="n">
        <x:f>Model_Data!Q47</x:f>
        <x:v>47.87779559294607</x:v>
      </x:c>
      <x:c r="T47" s="48" t="n">
        <x:f>Model_Data!AN47</x:f>
        <x:v>55.80635124110663</x:v>
      </x:c>
      <x:c r="U47" s="49"/>
      <x:c r="V47" s="48" t="n">
        <x:f>Model_Data!A47</x:f>
        <x:v>-37.5</x:v>
      </x:c>
      <x:c r="W47" s="48" t="n">
        <x:f>Model_Data!B47-Inputs!$C$5</x:f>
        <x:v>1.5625</x:v>
      </x:c>
      <x:c r="X47" s="49"/>
      <x:c r="Y47" s="48" t="n">
        <x:f>Model_Data!A47</x:f>
        <x:v>-37.5</x:v>
      </x:c>
      <x:c r="Z47" s="48" t="n">
        <x:f>0</x:f>
        <x:v>0</x:v>
      </x:c>
      <x:c r="AA47" s="48" t="n">
        <x:f>((SQRT((Inputs!$C$52+Inputs!$C$5)^2+Inputs!$C$52^2-2*(Inputs!$C$52+Inputs!$C$5)*Inputs!$C$52*COS(SQRT((Model_Data!A47)^2+Inputs!$C$6^2)/Inputs!$C$52))-Inputs!$C$5)*1000/Inputs!$C$12)</x:f>
        <x:v>1784.7936574050277</x:v>
      </x:c>
      <x:c r="AB47" s="48" t="n">
        <x:f>Model_Data!F47</x:f>
        <x:v>1779.3145540322525</x:v>
      </x:c>
    </x:row>
    <x:row r="48">
      <x:c r="A48" s="48" t="n">
        <x:f>Model_Data!A48</x:f>
        <x:v>-37</x:v>
      </x:c>
      <x:c r="B48" s="48" t="n">
        <x:f>0</x:f>
        <x:v>0</x:v>
      </x:c>
      <x:c r="C48" s="48" t="n">
        <x:f>((SQRT((Inputs!$C$52+Inputs!$C$5)^2+Inputs!$C$52^2-2*(Inputs!$C$52+Inputs!$C$5)*Inputs!$C$52*COS(SQRT((Model_Data!A48)^2+Inputs!$C$6^2)/Inputs!$C$52))-Inputs!$C$5)*1000/Inputs!$C$12)</x:f>
        <x:v>1752.1921186527331</x:v>
      </x:c>
      <x:c r="D48" s="48" t="n">
        <x:f>Model_Data!F48</x:f>
        <x:v>1746.9542010692446</x:v>
      </x:c>
      <x:c r="E48" s="48" t="n">
        <x:f>Model_Data!AC48</x:f>
        <x:v>1601.0321785376766</x:v>
      </x:c>
      <x:c r="F48" s="49"/>
      <x:c r="G48" s="48" t="n">
        <x:f>Model_Data!A48</x:f>
        <x:v>-37</x:v>
      </x:c>
      <x:c r="H48" s="48" t="n">
        <x:f>0</x:f>
        <x:v>0</x:v>
      </x:c>
      <x:c r="I48" s="48" t="n">
        <x:f>Model_Data!Y48</x:f>
        <x:v>236.18872035541293</x:v>
      </x:c>
      <x:c r="J48" s="48" t="n">
        <x:f>Model_Data!X48</x:f>
        <x:v>-25.83766278531854</x:v>
      </x:c>
      <x:c r="K48" s="48" t="n">
        <x:f>Model_Data!A48</x:f>
        <x:v>-37</x:v>
      </x:c>
      <x:c r="L48" s="48" t="n">
        <x:f>Model_Data!Y48</x:f>
        <x:v>236.18872035541293</x:v>
      </x:c>
      <x:c r="M48" s="48" t="n">
        <x:f>Model_Data!X48</x:f>
        <x:v>-25.83766278531854</x:v>
      </x:c>
      <x:c r="N48" s="48" t="n">
        <x:f>-(Model_Data!AC48-Model_Data!F48)*Inputs!$C$12</x:f>
        <x:v>259.74120010619106</x:v>
      </x:c>
      <x:c r="O48" s="49"/>
      <x:c r="P48" s="48" t="n">
        <x:f>Model_Data!A48</x:f>
        <x:v>-37</x:v>
      </x:c>
      <x:c r="Q48" s="48" t="n">
        <x:f>Model_Data!P48</x:f>
        <x:v>314.6707923143367</x:v>
      </x:c>
      <x:c r="R48" s="48" t="n">
        <x:f>Model_Data!AM48</x:f>
        <x:v>355.48139120546693</x:v>
      </x:c>
      <x:c r="S48" s="48" t="n">
        <x:f>Model_Data!Q48</x:f>
        <x:v>47.247866713864376</x:v>
      </x:c>
      <x:c r="T48" s="48" t="n">
        <x:f>Model_Data!AN48</x:f>
        <x:v>53.37558426508513</x:v>
      </x:c>
      <x:c r="U48" s="49"/>
      <x:c r="V48" s="48" t="n">
        <x:f>Model_Data!A48</x:f>
        <x:v>-37</x:v>
      </x:c>
      <x:c r="W48" s="48" t="n">
        <x:f>Model_Data!B48-Inputs!$C$5</x:f>
        <x:v>1.5211111111111109</x:v>
      </x:c>
      <x:c r="X48" s="49"/>
      <x:c r="Y48" s="48" t="n">
        <x:f>Model_Data!A48</x:f>
        <x:v>-37</x:v>
      </x:c>
      <x:c r="Z48" s="48" t="n">
        <x:f>0</x:f>
        <x:v>0</x:v>
      </x:c>
      <x:c r="AA48" s="48" t="n">
        <x:f>((SQRT((Inputs!$C$52+Inputs!$C$5)^2+Inputs!$C$52^2-2*(Inputs!$C$52+Inputs!$C$5)*Inputs!$C$52*COS(SQRT((Model_Data!A48)^2+Inputs!$C$6^2)/Inputs!$C$52))-Inputs!$C$5)*1000/Inputs!$C$12)</x:f>
        <x:v>1752.1921186527331</x:v>
      </x:c>
      <x:c r="AB48" s="48" t="n">
        <x:f>Model_Data!F48</x:f>
        <x:v>1746.9542010692446</x:v>
      </x:c>
    </x:row>
    <x:row r="49">
      <x:c r="A49" s="48" t="n">
        <x:f>Model_Data!A49</x:f>
        <x:v>-36.5</x:v>
      </x:c>
      <x:c r="B49" s="48" t="n">
        <x:f>0</x:f>
        <x:v>0</x:v>
      </x:c>
      <x:c r="C49" s="48" t="n">
        <x:f>((SQRT((Inputs!$C$52+Inputs!$C$5)^2+Inputs!$C$52^2-2*(Inputs!$C$52+Inputs!$C$5)*Inputs!$C$52*COS(SQRT((Model_Data!A49)^2+Inputs!$C$6^2)/Inputs!$C$52))-Inputs!$C$5)*1000/Inputs!$C$12)</x:f>
        <x:v>1720.0235032886708</x:v>
      </x:c>
      <x:c r="D49" s="48" t="n">
        <x:f>Model_Data!F49</x:f>
        <x:v>1715.0184737096579</x:v>
      </x:c>
      <x:c r="E49" s="48" t="n">
        <x:f>Model_Data!AC49</x:f>
        <x:v>1555.532393857713</x:v>
      </x:c>
      <x:c r="F49" s="49"/>
      <x:c r="G49" s="48" t="n">
        <x:f>Model_Data!A49</x:f>
        <x:v>-36.5</x:v>
      </x:c>
      <x:c r="H49" s="48" t="n">
        <x:f>0</x:f>
        <x:v>0</x:v>
      </x:c>
      <x:c r="I49" s="48" t="n">
        <x:f>Model_Data!Y49</x:f>
        <x:v>264.8535608975177</x:v>
      </x:c>
      <x:c r="J49" s="48" t="n">
        <x:f>Model_Data!X49</x:f>
        <x:v>-21.548035323184823</x:v>
      </x:c>
      <x:c r="K49" s="48" t="n">
        <x:f>Model_Data!A49</x:f>
        <x:v>-36.5</x:v>
      </x:c>
      <x:c r="L49" s="48" t="n">
        <x:f>Model_Data!Y49</x:f>
        <x:v>264.8535608975177</x:v>
      </x:c>
      <x:c r="M49" s="48" t="n">
        <x:f>Model_Data!X49</x:f>
        <x:v>-21.548035323184823</x:v>
      </x:c>
      <x:c r="N49" s="48" t="n">
        <x:f>-(Model_Data!AC49-Model_Data!F49)*Inputs!$C$12</x:f>
        <x:v>283.88522213646183</x:v>
      </x:c>
      <x:c r="O49" s="49"/>
      <x:c r="P49" s="48" t="n">
        <x:f>Model_Data!A49</x:f>
        <x:v>-36.5</x:v>
      </x:c>
      <x:c r="Q49" s="48" t="n">
        <x:f>Model_Data!P49</x:f>
        <x:v>310.4732418857566</x:v>
      </x:c>
      <x:c r="R49" s="48" t="n">
        <x:f>Model_Data!AM49</x:f>
        <x:v>369.34297482257534</x:v>
      </x:c>
      <x:c r="S49" s="48" t="n">
        <x:f>Model_Data!Q49</x:f>
        <x:v>46.61760388675024</x:v>
      </x:c>
      <x:c r="T49" s="48" t="n">
        <x:f>Model_Data!AN49</x:f>
        <x:v>55.45690312651282</x:v>
      </x:c>
      <x:c r="U49" s="49"/>
      <x:c r="V49" s="48" t="n">
        <x:f>Model_Data!A49</x:f>
        <x:v>-36.5</x:v>
      </x:c>
      <x:c r="W49" s="48" t="n">
        <x:f>Model_Data!B49-Inputs!$C$5</x:f>
        <x:v>1.4802777777777578</x:v>
      </x:c>
      <x:c r="X49" s="49"/>
      <x:c r="Y49" s="48" t="n">
        <x:f>Model_Data!A49</x:f>
        <x:v>-36.5</x:v>
      </x:c>
      <x:c r="Z49" s="48" t="n">
        <x:f>0</x:f>
        <x:v>0</x:v>
      </x:c>
      <x:c r="AA49" s="48" t="n">
        <x:f>((SQRT((Inputs!$C$52+Inputs!$C$5)^2+Inputs!$C$52^2-2*(Inputs!$C$52+Inputs!$C$5)*Inputs!$C$52*COS(SQRT((Model_Data!A49)^2+Inputs!$C$6^2)/Inputs!$C$52))-Inputs!$C$5)*1000/Inputs!$C$12)</x:f>
        <x:v>1720.0235032886708</x:v>
      </x:c>
      <x:c r="AB49" s="48" t="n">
        <x:f>Model_Data!F49</x:f>
        <x:v>1715.0184737096579</x:v>
      </x:c>
    </x:row>
    <x:row r="50">
      <x:c r="A50" s="48" t="n">
        <x:f>Model_Data!A50</x:f>
        <x:v>-36</x:v>
      </x:c>
      <x:c r="B50" s="48" t="n">
        <x:f>0</x:f>
        <x:v>0</x:v>
      </x:c>
      <x:c r="C50" s="48" t="n">
        <x:f>((SQRT((Inputs!$C$52+Inputs!$C$5)^2+Inputs!$C$52^2-2*(Inputs!$C$52+Inputs!$C$5)*Inputs!$C$52*COS(SQRT((Model_Data!A50)^2+Inputs!$C$6^2)/Inputs!$C$52))-Inputs!$C$5)*1000/Inputs!$C$12)</x:f>
        <x:v>1688.2879991473199</x:v>
      </x:c>
      <x:c r="D50" s="48" t="n">
        <x:f>Model_Data!F50</x:f>
        <x:v>1683.507760020096</x:v>
      </x:c>
      <x:c r="E50" s="48" t="n">
        <x:f>Model_Data!AC50</x:f>
        <x:v>1530.1460843949208</x:v>
      </x:c>
      <x:c r="F50" s="49"/>
      <x:c r="G50" s="48" t="n">
        <x:f>Model_Data!A50</x:f>
        <x:v>-36</x:v>
      </x:c>
      <x:c r="H50" s="48" t="n">
        <x:f>0</x:f>
        <x:v>0</x:v>
      </x:c>
      <x:c r="I50" s="48" t="n">
        <x:f>Model_Data!Y50</x:f>
        <x:v>273.24610443212225</x:v>
      </x:c>
      <x:c r="J50" s="48" t="n">
        <x:f>Model_Data!X50</x:f>
        <x:v>-2.286662206392558</x:v>
      </x:c>
      <x:c r="K50" s="48" t="n">
        <x:f>Model_Data!A50</x:f>
        <x:v>-36</x:v>
      </x:c>
      <x:c r="L50" s="48" t="n">
        <x:f>Model_Data!Y50</x:f>
        <x:v>273.24610443212225</x:v>
      </x:c>
      <x:c r="M50" s="48" t="n">
        <x:f>Model_Data!X50</x:f>
        <x:v>-2.286662206392558</x:v>
      </x:c>
      <x:c r="N50" s="48" t="n">
        <x:f>-(Model_Data!AC50-Model_Data!F50)*Inputs!$C$12</x:f>
        <x:v>272.9837826128118</x:v>
      </x:c>
      <x:c r="O50" s="49"/>
      <x:c r="P50" s="48" t="n">
        <x:f>Model_Data!A50</x:f>
        <x:v>-36</x:v>
      </x:c>
      <x:c r="Q50" s="48" t="n">
        <x:f>Model_Data!P50</x:f>
        <x:v>306.2734947710851</x:v>
      </x:c>
      <x:c r="R50" s="48" t="n">
        <x:f>Model_Data!AM50</x:f>
        <x:v>338.2824754723515</x:v>
      </x:c>
      <x:c r="S50" s="48" t="n">
        <x:f>Model_Data!Q50</x:f>
        <x:v>45.987011226889656</x:v>
      </x:c>
      <x:c r="T50" s="48" t="n">
        <x:f>Model_Data!AN50</x:f>
        <x:v>50.79316448533807</x:v>
      </x:c>
      <x:c r="U50" s="49"/>
      <x:c r="V50" s="48" t="n">
        <x:f>Model_Data!A50</x:f>
        <x:v>-36</x:v>
      </x:c>
      <x:c r="W50" s="48" t="n">
        <x:f>Model_Data!B50-Inputs!$C$5</x:f>
        <x:v>1.4399999999999977</x:v>
      </x:c>
      <x:c r="X50" s="49"/>
      <x:c r="Y50" s="48" t="n">
        <x:f>Model_Data!A50</x:f>
        <x:v>-36</x:v>
      </x:c>
      <x:c r="Z50" s="48" t="n">
        <x:f>0</x:f>
        <x:v>0</x:v>
      </x:c>
      <x:c r="AA50" s="48" t="n">
        <x:f>((SQRT((Inputs!$C$52+Inputs!$C$5)^2+Inputs!$C$52^2-2*(Inputs!$C$52+Inputs!$C$5)*Inputs!$C$52*COS(SQRT((Model_Data!A50)^2+Inputs!$C$6^2)/Inputs!$C$52))-Inputs!$C$5)*1000/Inputs!$C$12)</x:f>
        <x:v>1688.2879991473199</x:v>
      </x:c>
      <x:c r="AB50" s="48" t="n">
        <x:f>Model_Data!F50</x:f>
        <x:v>1683.507760020096</x:v>
      </x:c>
    </x:row>
    <x:row r="51">
      <x:c r="A51" s="48" t="n">
        <x:f>Model_Data!A51</x:f>
        <x:v>-35.5</x:v>
      </x:c>
      <x:c r="B51" s="48" t="n">
        <x:f>0</x:f>
        <x:v>0</x:v>
      </x:c>
      <x:c r="C51" s="48" t="n">
        <x:f>((SQRT((Inputs!$C$52+Inputs!$C$5)^2+Inputs!$C$52^2-2*(Inputs!$C$52+Inputs!$C$5)*Inputs!$C$52*COS(SQRT((Model_Data!A51)^2+Inputs!$C$6^2)/Inputs!$C$52))-Inputs!$C$5)*1000/Inputs!$C$12)</x:f>
        <x:v>1656.9857916385645</x:v>
      </x:c>
      <x:c r="D51" s="48" t="n">
        <x:f>Model_Data!F51</x:f>
        <x:v>1652.4224432422736</x:v>
      </x:c>
      <x:c r="E51" s="48" t="n">
        <x:f>Model_Data!AC51</x:f>
        <x:v>1493.4467288531112</x:v>
      </x:c>
      <x:c r="F51" s="49"/>
      <x:c r="G51" s="48" t="n">
        <x:f>Model_Data!A51</x:f>
        <x:v>-35.5</x:v>
      </x:c>
      <x:c r="H51" s="48" t="n">
        <x:f>0</x:f>
        <x:v>0</x:v>
      </x:c>
      <x:c r="I51" s="48" t="n">
        <x:f>Model_Data!Y51</x:f>
        <x:v>284.9525044867838</x:v>
      </x:c>
      <x:c r="J51" s="48" t="n">
        <x:f>Model_Data!X51</x:f>
        <x:v>-0.6339718611461809</x:v>
      </x:c>
      <x:c r="K51" s="48" t="n">
        <x:f>Model_Data!A51</x:f>
        <x:v>-35.5</x:v>
      </x:c>
      <x:c r="L51" s="48" t="n">
        <x:f>Model_Data!Y51</x:f>
        <x:v>284.9525044867838</x:v>
      </x:c>
      <x:c r="M51" s="48" t="n">
        <x:f>Model_Data!X51</x:f>
        <x:v>-0.6339718611461809</x:v>
      </x:c>
      <x:c r="N51" s="48" t="n">
        <x:f>-(Model_Data!AC51-Model_Data!F51)*Inputs!$C$12</x:f>
        <x:v>282.97677161270923</x:v>
      </x:c>
      <x:c r="O51" s="49"/>
      <x:c r="P51" s="48" t="n">
        <x:f>Model_Data!A51</x:f>
        <x:v>-35.5</x:v>
      </x:c>
      <x:c r="Q51" s="48" t="n">
        <x:f>Model_Data!P51</x:f>
        <x:v>302.0715784808999</x:v>
      </x:c>
      <x:c r="R51" s="48" t="n">
        <x:f>Model_Data!AM51</x:f>
        <x:v>314.05984233133495</x:v>
      </x:c>
      <x:c r="S51" s="48" t="n">
        <x:f>Model_Data!Q51</x:f>
        <x:v>45.356092864999994</x:v>
      </x:c>
      <x:c r="T51" s="48" t="n">
        <x:f>Model_Data!AN51</x:f>
        <x:v>47.15613248218243</x:v>
      </x:c>
      <x:c r="U51" s="49"/>
      <x:c r="V51" s="48" t="n">
        <x:f>Model_Data!A51</x:f>
        <x:v>-35.5</x:v>
      </x:c>
      <x:c r="W51" s="48" t="n">
        <x:f>Model_Data!B51-Inputs!$C$5</x:f>
        <x:v>1.4002777777777737</x:v>
      </x:c>
      <x:c r="X51" s="49"/>
      <x:c r="Y51" s="48" t="n">
        <x:f>Model_Data!A51</x:f>
        <x:v>-35.5</x:v>
      </x:c>
      <x:c r="Z51" s="48" t="n">
        <x:f>0</x:f>
        <x:v>0</x:v>
      </x:c>
      <x:c r="AA51" s="48" t="n">
        <x:f>((SQRT((Inputs!$C$52+Inputs!$C$5)^2+Inputs!$C$52^2-2*(Inputs!$C$52+Inputs!$C$5)*Inputs!$C$52*COS(SQRT((Model_Data!A51)^2+Inputs!$C$6^2)/Inputs!$C$52))-Inputs!$C$5)*1000/Inputs!$C$12)</x:f>
        <x:v>1656.9857916385645</x:v>
      </x:c>
      <x:c r="AB51" s="48" t="n">
        <x:f>Model_Data!F51</x:f>
        <x:v>1652.4224432422736</x:v>
      </x:c>
    </x:row>
    <x:row r="52">
      <x:c r="A52" s="48" t="n">
        <x:f>Model_Data!A52</x:f>
        <x:v>-35</x:v>
      </x:c>
      <x:c r="B52" s="48" t="n">
        <x:f>0</x:f>
        <x:v>0</x:v>
      </x:c>
      <x:c r="C52" s="48" t="n">
        <x:f>((SQRT((Inputs!$C$52+Inputs!$C$5)^2+Inputs!$C$52^2-2*(Inputs!$C$52+Inputs!$C$5)*Inputs!$C$52*COS(SQRT((Model_Data!A52)^2+Inputs!$C$6^2)/Inputs!$C$52))-Inputs!$C$5)*1000/Inputs!$C$12)</x:f>
        <x:v>1626.1170637436685</x:v>
      </x:c>
      <x:c r="D52" s="48" t="n">
        <x:f>Model_Data!F52</x:f>
        <x:v>1621.7629017832137</x:v>
      </x:c>
      <x:c r="E52" s="48" t="n">
        <x:f>Model_Data!AC52</x:f>
        <x:v>1460.022275353615</x:v>
      </x:c>
      <x:c r="F52" s="49"/>
      <x:c r="G52" s="48" t="n">
        <x:f>Model_Data!A52</x:f>
        <x:v>-35</x:v>
      </x:c>
      <x:c r="H52" s="48" t="n">
        <x:f>0</x:f>
        <x:v>0</x:v>
      </x:c>
      <x:c r="I52" s="48" t="n">
        <x:f>Model_Data!Y52</x:f>
        <x:v>280.71344003946786</x:v>
      </x:c>
      <x:c r="J52" s="48" t="n">
        <x:f>Model_Data!X52</x:f>
        <x:v>-9.708529731781153</x:v>
      </x:c>
      <x:c r="K52" s="48" t="n">
        <x:f>Model_Data!A52</x:f>
        <x:v>-35</x:v>
      </x:c>
      <x:c r="L52" s="48" t="n">
        <x:f>Model_Data!Y52</x:f>
        <x:v>280.71344003946786</x:v>
      </x:c>
      <x:c r="M52" s="48" t="n">
        <x:f>Model_Data!X52</x:f>
        <x:v>-9.708529731781153</x:v>
      </x:c>
      <x:c r="N52" s="48" t="n">
        <x:f>-(Model_Data!AC52-Model_Data!F52)*Inputs!$C$12</x:f>
        <x:v>287.8983150446857</x:v>
      </x:c>
      <x:c r="O52" s="49"/>
      <x:c r="P52" s="48" t="n">
        <x:f>Model_Data!A52</x:f>
        <x:v>-35</x:v>
      </x:c>
      <x:c r="Q52" s="48" t="n">
        <x:f>Model_Data!P52</x:f>
        <x:v>297.8675206210937</x:v>
      </x:c>
      <x:c r="R52" s="48" t="n">
        <x:f>Model_Data!AM52</x:f>
        <x:v>347.75645538547906</x:v>
      </x:c>
      <x:c r="S52" s="48" t="n">
        <x:f>Model_Data!Q52</x:f>
        <x:v>44.72485294611017</x:v>
      </x:c>
      <x:c r="T52" s="48" t="n">
        <x:f>Model_Data!AN52</x:f>
        <x:v>52.21568399181368</x:v>
      </x:c>
      <x:c r="U52" s="49"/>
      <x:c r="V52" s="48" t="n">
        <x:f>Model_Data!A52</x:f>
        <x:v>-35</x:v>
      </x:c>
      <x:c r="W52" s="48" t="n">
        <x:f>Model_Data!B52-Inputs!$C$5</x:f>
        <x:v>1.3611111111110858</x:v>
      </x:c>
      <x:c r="X52" s="49"/>
      <x:c r="Y52" s="48" t="n">
        <x:f>Model_Data!A52</x:f>
        <x:v>-35</x:v>
      </x:c>
      <x:c r="Z52" s="48" t="n">
        <x:f>0</x:f>
        <x:v>0</x:v>
      </x:c>
      <x:c r="AA52" s="48" t="n">
        <x:f>((SQRT((Inputs!$C$52+Inputs!$C$5)^2+Inputs!$C$52^2-2*(Inputs!$C$52+Inputs!$C$5)*Inputs!$C$52*COS(SQRT((Model_Data!A52)^2+Inputs!$C$6^2)/Inputs!$C$52))-Inputs!$C$5)*1000/Inputs!$C$12)</x:f>
        <x:v>1626.1170637436685</x:v>
      </x:c>
      <x:c r="AB52" s="48" t="n">
        <x:f>Model_Data!F52</x:f>
        <x:v>1621.7629017832137</x:v>
      </x:c>
    </x:row>
    <x:row r="53">
      <x:c r="A53" s="48" t="n">
        <x:f>Model_Data!A53</x:f>
        <x:v>-34.5</x:v>
      </x:c>
      <x:c r="B53" s="48" t="n">
        <x:f>0</x:f>
        <x:v>0</x:v>
      </x:c>
      <x:c r="C53" s="48" t="n">
        <x:f>((SQRT((Inputs!$C$52+Inputs!$C$5)^2+Inputs!$C$52^2-2*(Inputs!$C$52+Inputs!$C$5)*Inputs!$C$52*COS(SQRT((Model_Data!A53)^2+Inputs!$C$6^2)/Inputs!$C$52))-Inputs!$C$5)*1000/Inputs!$C$12)</x:f>
        <x:v>1595.6819960061448</x:v>
      </x:c>
      <x:c r="D53" s="48" t="n">
        <x:f>Model_Data!F53</x:f>
        <x:v>1591.5295091914868</x:v>
      </x:c>
      <x:c r="E53" s="48" t="n">
        <x:f>Model_Data!AC53</x:f>
        <x:v>1409.8536469408293</x:v>
      </x:c>
      <x:c r="F53" s="49"/>
      <x:c r="G53" s="48" t="n">
        <x:f>Model_Data!A53</x:f>
        <x:v>-34.5</x:v>
      </x:c>
      <x:c r="H53" s="48" t="n">
        <x:f>0</x:f>
        <x:v>0</x:v>
      </x:c>
      <x:c r="I53" s="48" t="n">
        <x:f>Model_Data!Y53</x:f>
        <x:v>316.314878049505</x:v>
      </x:c>
      <x:c r="J53" s="48" t="n">
        <x:f>Model_Data!X53</x:f>
        <x:v>-9.85965082687293</x:v>
      </x:c>
      <x:c r="K53" s="48" t="n">
        <x:f>Model_Data!A53</x:f>
        <x:v>-34.5</x:v>
      </x:c>
      <x:c r="L53" s="48" t="n">
        <x:f>Model_Data!Y53</x:f>
        <x:v>316.314878049505</x:v>
      </x:c>
      <x:c r="M53" s="48" t="n">
        <x:f>Model_Data!X53</x:f>
        <x:v>-9.85965082687293</x:v>
      </x:c>
      <x:c r="N53" s="48" t="n">
        <x:f>-(Model_Data!AC53-Model_Data!F53)*Inputs!$C$12</x:f>
        <x:v>323.3830348061703</x:v>
      </x:c>
      <x:c r="O53" s="49"/>
      <x:c r="P53" s="48" t="n">
        <x:f>Model_Data!A53</x:f>
        <x:v>-34.5</x:v>
      </x:c>
      <x:c r="Q53" s="48" t="n">
        <x:f>Model_Data!P53</x:f>
        <x:v>293.66134891224647</x:v>
      </x:c>
      <x:c r="R53" s="48" t="n">
        <x:f>Model_Data!AM53</x:f>
        <x:v>355.1955134131276</x:v>
      </x:c>
      <x:c r="S53" s="48" t="n">
        <x:f>Model_Data!Q53</x:f>
        <x:v>44.09329563246944</x:v>
      </x:c>
      <x:c r="T53" s="48" t="n">
        <x:f>Model_Data!AN53</x:f>
        <x:v>53.33265967164079</x:v>
      </x:c>
      <x:c r="U53" s="49"/>
      <x:c r="V53" s="48" t="n">
        <x:f>Model_Data!A53</x:f>
        <x:v>-34.5</x:v>
      </x:c>
      <x:c r="W53" s="48" t="n">
        <x:f>Model_Data!B53-Inputs!$C$5</x:f>
        <x:v>1.322499999999991</x:v>
      </x:c>
      <x:c r="X53" s="49"/>
      <x:c r="Y53" s="48" t="n">
        <x:f>Model_Data!A53</x:f>
        <x:v>-34.5</x:v>
      </x:c>
      <x:c r="Z53" s="48" t="n">
        <x:f>0</x:f>
        <x:v>0</x:v>
      </x:c>
      <x:c r="AA53" s="48" t="n">
        <x:f>((SQRT((Inputs!$C$52+Inputs!$C$5)^2+Inputs!$C$52^2-2*(Inputs!$C$52+Inputs!$C$5)*Inputs!$C$52*COS(SQRT((Model_Data!A53)^2+Inputs!$C$6^2)/Inputs!$C$52))-Inputs!$C$5)*1000/Inputs!$C$12)</x:f>
        <x:v>1595.6819960061448</x:v>
      </x:c>
      <x:c r="AB53" s="48" t="n">
        <x:f>Model_Data!F53</x:f>
        <x:v>1591.5295091914868</x:v>
      </x:c>
    </x:row>
    <x:row r="54">
      <x:c r="A54" s="48" t="n">
        <x:f>Model_Data!A54</x:f>
        <x:v>-34</x:v>
      </x:c>
      <x:c r="B54" s="48" t="n">
        <x:f>0</x:f>
        <x:v>0</x:v>
      </x:c>
      <x:c r="C54" s="48" t="n">
        <x:f>((SQRT((Inputs!$C$52+Inputs!$C$5)^2+Inputs!$C$52^2-2*(Inputs!$C$52+Inputs!$C$5)*Inputs!$C$52*COS(SQRT((Model_Data!A54)^2+Inputs!$C$6^2)/Inputs!$C$52))-Inputs!$C$5)*1000/Inputs!$C$12)</x:f>
        <x:v>1565.6807665318488</x:v>
      </x:c>
      <x:c r="D54" s="48" t="n">
        <x:f>Model_Data!F54</x:f>
        <x:v>1561.7226341407977</x:v>
      </x:c>
      <x:c r="E54" s="48" t="n">
        <x:f>Model_Data!AC54</x:f>
        <x:v>1383.9611627288964</x:v>
      </x:c>
      <x:c r="F54" s="49"/>
      <x:c r="G54" s="48" t="n">
        <x:f>Model_Data!A54</x:f>
        <x:v>-34</x:v>
      </x:c>
      <x:c r="H54" s="48" t="n">
        <x:f>0</x:f>
        <x:v>0</x:v>
      </x:c>
      <x:c r="I54" s="48" t="n">
        <x:f>Model_Data!Y54</x:f>
        <x:v>319.4152549266823</x:v>
      </x:c>
      <x:c r="J54" s="48" t="n">
        <x:f>Model_Data!X54</x:f>
        <x:v>0.233219012771956</x:v>
      </x:c>
      <x:c r="K54" s="48" t="n">
        <x:f>Model_Data!A54</x:f>
        <x:v>-34</x:v>
      </x:c>
      <x:c r="L54" s="48" t="n">
        <x:f>Model_Data!Y54</x:f>
        <x:v>319.4152549266823</x:v>
      </x:c>
      <x:c r="M54" s="48" t="n">
        <x:f>Model_Data!X54</x:f>
        <x:v>0.233219012771956</x:v>
      </x:c>
      <x:c r="N54" s="48" t="n">
        <x:f>-(Model_Data!AC54-Model_Data!F54)*Inputs!$C$12</x:f>
        <x:v>316.4154191131843</x:v>
      </x:c>
      <x:c r="O54" s="49"/>
      <x:c r="P54" s="48" t="n">
        <x:f>Model_Data!A54</x:f>
        <x:v>-34</x:v>
      </x:c>
      <x:c r="Q54" s="48" t="n">
        <x:f>Model_Data!P54</x:f>
        <x:v>289.4530911666152</x:v>
      </x:c>
      <x:c r="R54" s="48" t="n">
        <x:f>Model_Data!AM54</x:f>
        <x:v>308.8603249510925</x:v>
      </x:c>
      <x:c r="S54" s="48" t="n">
        <x:f>Model_Data!Q54</x:f>
        <x:v>43.46142510009238</x:v>
      </x:c>
      <x:c r="T54" s="48" t="n">
        <x:f>Model_Data!AN54</x:f>
        <x:v>46.375424166830705</x:v>
      </x:c>
      <x:c r="U54" s="49"/>
      <x:c r="V54" s="48" t="n">
        <x:f>Model_Data!A54</x:f>
        <x:v>-34</x:v>
      </x:c>
      <x:c r="W54" s="48" t="n">
        <x:f>Model_Data!B54-Inputs!$C$5</x:f>
        <x:v>1.284444444444432</x:v>
      </x:c>
      <x:c r="X54" s="49"/>
      <x:c r="Y54" s="48" t="n">
        <x:f>Model_Data!A54</x:f>
        <x:v>-34</x:v>
      </x:c>
      <x:c r="Z54" s="48" t="n">
        <x:f>0</x:f>
        <x:v>0</x:v>
      </x:c>
      <x:c r="AA54" s="48" t="n">
        <x:f>((SQRT((Inputs!$C$52+Inputs!$C$5)^2+Inputs!$C$52^2-2*(Inputs!$C$52+Inputs!$C$5)*Inputs!$C$52*COS(SQRT((Model_Data!A54)^2+Inputs!$C$6^2)/Inputs!$C$52))-Inputs!$C$5)*1000/Inputs!$C$12)</x:f>
        <x:v>1565.6807665318488</x:v>
      </x:c>
      <x:c r="AB54" s="48" t="n">
        <x:f>Model_Data!F54</x:f>
        <x:v>1561.7226341407977</x:v>
      </x:c>
    </x:row>
    <x:row r="55">
      <x:c r="A55" s="48" t="n">
        <x:f>Model_Data!A55</x:f>
        <x:v>-33.5</x:v>
      </x:c>
      <x:c r="B55" s="48" t="n">
        <x:f>0</x:f>
        <x:v>0</x:v>
      </x:c>
      <x:c r="C55" s="48" t="n">
        <x:f>((SQRT((Inputs!$C$52+Inputs!$C$5)^2+Inputs!$C$52^2-2*(Inputs!$C$52+Inputs!$C$5)*Inputs!$C$52*COS(SQRT((Model_Data!A55)^2+Inputs!$C$6^2)/Inputs!$C$52))-Inputs!$C$5)*1000/Inputs!$C$12)</x:f>
        <x:v>1536.1135509787923</x:v>
      </x:c>
      <x:c r="D55" s="48" t="n">
        <x:f>Model_Data!F55</x:f>
        <x:v>1532.3426404141778</x:v>
      </x:c>
      <x:c r="E55" s="48" t="n">
        <x:f>Model_Data!AC55</x:f>
        <x:v>1354.166960904519</x:v>
      </x:c>
      <x:c r="F55" s="49"/>
      <x:c r="G55" s="48" t="n">
        <x:f>Model_Data!A55</x:f>
        <x:v>-33.5</x:v>
      </x:c>
      <x:c r="H55" s="48" t="n">
        <x:f>0</x:f>
        <x:v>0</x:v>
      </x:c>
      <x:c r="I55" s="48" t="n">
        <x:f>Model_Data!Y55</x:f>
        <x:v>328.4448057508986</x:v>
      </x:c>
      <x:c r="J55" s="48" t="n">
        <x:f>Model_Data!X55</x:f>
        <x:v>8.500195567439437</x:v>
      </x:c>
      <x:c r="K55" s="48" t="n">
        <x:f>Model_Data!A55</x:f>
        <x:v>-33.5</x:v>
      </x:c>
      <x:c r="L55" s="48" t="n">
        <x:f>Model_Data!Y55</x:f>
        <x:v>328.4448057508986</x:v>
      </x:c>
      <x:c r="M55" s="48" t="n">
        <x:f>Model_Data!X55</x:f>
        <x:v>8.500195567439437</x:v>
      </x:c>
      <x:c r="N55" s="48" t="n">
        <x:f>-(Model_Data!AC55-Model_Data!F55)*Inputs!$C$12</x:f>
        <x:v>317.15270952719254</x:v>
      </x:c>
      <x:c r="O55" s="49"/>
      <x:c r="P55" s="48" t="n">
        <x:f>Model_Data!A55</x:f>
        <x:v>-33.5</x:v>
      </x:c>
      <x:c r="Q55" s="48" t="n">
        <x:f>Model_Data!P55</x:f>
        <x:v>285.24277529395476</x:v>
      </x:c>
      <x:c r="R55" s="48" t="n">
        <x:f>Model_Data!AM55</x:f>
        <x:v>321.33106228302495</x:v>
      </x:c>
      <x:c r="S55" s="48" t="n">
        <x:f>Model_Data!Q55</x:f>
        <x:v>42.82924553963285</x:v>
      </x:c>
      <x:c r="T55" s="48" t="n">
        <x:f>Model_Data!AN55</x:f>
        <x:v>48.24790724970345</x:v>
      </x:c>
      <x:c r="U55" s="49"/>
      <x:c r="V55" s="48" t="n">
        <x:f>Model_Data!A55</x:f>
        <x:v>-33.5</x:v>
      </x:c>
      <x:c r="W55" s="48" t="n">
        <x:f>Model_Data!B55-Inputs!$C$5</x:f>
        <x:v>1.2469444444444662</x:v>
      </x:c>
      <x:c r="X55" s="49"/>
      <x:c r="Y55" s="48" t="n">
        <x:f>Model_Data!A55</x:f>
        <x:v>-33.5</x:v>
      </x:c>
      <x:c r="Z55" s="48" t="n">
        <x:f>0</x:f>
        <x:v>0</x:v>
      </x:c>
      <x:c r="AA55" s="48" t="n">
        <x:f>((SQRT((Inputs!$C$52+Inputs!$C$5)^2+Inputs!$C$52^2-2*(Inputs!$C$52+Inputs!$C$5)*Inputs!$C$52*COS(SQRT((Model_Data!A55)^2+Inputs!$C$6^2)/Inputs!$C$52))-Inputs!$C$5)*1000/Inputs!$C$12)</x:f>
        <x:v>1536.1135509787923</x:v>
      </x:c>
      <x:c r="AB55" s="48" t="n">
        <x:f>Model_Data!F55</x:f>
        <x:v>1532.3426404141778</x:v>
      </x:c>
    </x:row>
    <x:row r="56">
      <x:c r="A56" s="48" t="n">
        <x:f>Model_Data!A56</x:f>
        <x:v>-33</x:v>
      </x:c>
      <x:c r="B56" s="48" t="n">
        <x:f>0</x:f>
        <x:v>0</x:v>
      </x:c>
      <x:c r="C56" s="48" t="n">
        <x:f>((SQRT((Inputs!$C$52+Inputs!$C$5)^2+Inputs!$C$52^2-2*(Inputs!$C$52+Inputs!$C$5)*Inputs!$C$52*COS(SQRT((Model_Data!A56)^2+Inputs!$C$6^2)/Inputs!$C$52))-Inputs!$C$5)*1000/Inputs!$C$12)</x:f>
        <x:v>1506.9805225566647</x:v>
      </x:c>
      <x:c r="D56" s="48" t="n">
        <x:f>Model_Data!F56</x:f>
        <x:v>1503.3898868855904</x:v>
      </x:c>
      <x:c r="E56" s="48" t="n">
        <x:f>Model_Data!AC56</x:f>
        <x:v>1320.064693134566</x:v>
      </x:c>
      <x:c r="F56" s="49"/>
      <x:c r="G56" s="48" t="n">
        <x:f>Model_Data!A56</x:f>
        <x:v>-33</x:v>
      </x:c>
      <x:c r="H56" s="48" t="n">
        <x:f>0</x:f>
        <x:v>0</x:v>
      </x:c>
      <x:c r="I56" s="48" t="n">
        <x:f>Model_Data!Y56</x:f>
        <x:v>342.0571204684842</x:v>
      </x:c>
      <x:c r="J56" s="48" t="n">
        <x:f>Model_Data!X56</x:f>
        <x:v>12.884972617306985</x:v>
      </x:c>
      <x:c r="K56" s="48" t="n">
        <x:f>Model_Data!A56</x:f>
        <x:v>-33</x:v>
      </x:c>
      <x:c r="L56" s="48" t="n">
        <x:f>Model_Data!Y56</x:f>
        <x:v>342.0571204684842</x:v>
      </x:c>
      <x:c r="M56" s="48" t="n">
        <x:f>Model_Data!X56</x:f>
        <x:v>12.884972617306985</x:v>
      </x:c>
      <x:c r="N56" s="48" t="n">
        <x:f>-(Model_Data!AC56-Model_Data!F56)*Inputs!$C$12</x:f>
        <x:v>326.31884487682356</x:v>
      </x:c>
      <x:c r="O56" s="49"/>
      <x:c r="P56" s="48" t="n">
        <x:f>Model_Data!A56</x:f>
        <x:v>-33</x:v>
      </x:c>
      <x:c r="Q56" s="48" t="n">
        <x:f>Model_Data!P56</x:f>
        <x:v>281.0304293043373</x:v>
      </x:c>
      <x:c r="R56" s="48" t="n">
        <x:f>Model_Data!AM56</x:f>
        <x:v>316.859491910418</x:v>
      </x:c>
      <x:c r="S56" s="48" t="n">
        <x:f>Model_Data!Q56</x:f>
        <x:v>42.196761156807405</x:v>
      </x:c>
      <x:c r="T56" s="48" t="n">
        <x:f>Model_Data!AN56</x:f>
        <x:v>47.57650028684955</x:v>
      </x:c>
      <x:c r="U56" s="49"/>
      <x:c r="V56" s="48" t="n">
        <x:f>Model_Data!A56</x:f>
        <x:v>-33</x:v>
      </x:c>
      <x:c r="W56" s="48" t="n">
        <x:f>Model_Data!B56-Inputs!$C$5</x:f>
        <x:v>1.2099999999999795</x:v>
      </x:c>
      <x:c r="X56" s="49"/>
      <x:c r="Y56" s="48" t="n">
        <x:f>Model_Data!A56</x:f>
        <x:v>-33</x:v>
      </x:c>
      <x:c r="Z56" s="48" t="n">
        <x:f>0</x:f>
        <x:v>0</x:v>
      </x:c>
      <x:c r="AA56" s="48" t="n">
        <x:f>((SQRT((Inputs!$C$52+Inputs!$C$5)^2+Inputs!$C$52^2-2*(Inputs!$C$52+Inputs!$C$5)*Inputs!$C$52*COS(SQRT((Model_Data!A56)^2+Inputs!$C$6^2)/Inputs!$C$52))-Inputs!$C$5)*1000/Inputs!$C$12)</x:f>
        <x:v>1506.9805225566647</x:v>
      </x:c>
      <x:c r="AB56" s="48" t="n">
        <x:f>Model_Data!F56</x:f>
        <x:v>1503.3898868855904</x:v>
      </x:c>
    </x:row>
    <x:row r="57">
      <x:c r="A57" s="48" t="n">
        <x:f>Model_Data!A57</x:f>
        <x:v>-32.5</x:v>
      </x:c>
      <x:c r="B57" s="48" t="n">
        <x:f>0</x:f>
        <x:v>0</x:v>
      </x:c>
      <x:c r="C57" s="48" t="n">
        <x:f>((SQRT((Inputs!$C$52+Inputs!$C$5)^2+Inputs!$C$52^2-2*(Inputs!$C$52+Inputs!$C$5)*Inputs!$C$52*COS(SQRT((Model_Data!A57)^2+Inputs!$C$6^2)/Inputs!$C$52))-Inputs!$C$5)*1000/Inputs!$C$12)</x:f>
        <x:v>1478.281852017923</x:v>
      </x:c>
      <x:c r="D57" s="48" t="n">
        <x:f>Model_Data!F57</x:f>
        <x:v>1474.864727503037</x:v>
      </x:c>
      <x:c r="E57" s="48" t="n">
        <x:f>Model_Data!AC57</x:f>
        <x:v>1287.309018256957</x:v>
      </x:c>
      <x:c r="F57" s="49"/>
      <x:c r="G57" s="48" t="n">
        <x:f>Model_Data!A57</x:f>
        <x:v>-32.5</x:v>
      </x:c>
      <x:c r="H57" s="48" t="n">
        <x:f>0</x:f>
        <x:v>0</x:v>
      </x:c>
      <x:c r="I57" s="48" t="n">
        <x:f>Model_Data!Y57</x:f>
        <x:v>350.9183412247295</x:v>
      </x:c>
      <x:c r="J57" s="48" t="n">
        <x:f>Model_Data!X57</x:f>
        <x:v>14.196906765365963</x:v>
      </x:c>
      <x:c r="K57" s="48" t="n">
        <x:f>Model_Data!A57</x:f>
        <x:v>-32.5</x:v>
      </x:c>
      <x:c r="L57" s="48" t="n">
        <x:f>Model_Data!Y57</x:f>
        <x:v>350.9183412247295</x:v>
      </x:c>
      <x:c r="M57" s="48" t="n">
        <x:f>Model_Data!X57</x:f>
        <x:v>14.196906765365963</x:v>
      </x:c>
      <x:c r="N57" s="48" t="n">
        <x:f>-(Model_Data!AC57-Model_Data!F57)*Inputs!$C$12</x:f>
        <x:v>333.84916245802265</x:v>
      </x:c>
      <x:c r="O57" s="49"/>
      <x:c r="P57" s="48" t="n">
        <x:f>Model_Data!A57</x:f>
        <x:v>-32.5</x:v>
      </x:c>
      <x:c r="Q57" s="48" t="n">
        <x:f>Model_Data!P57</x:f>
        <x:v>276.81608131206303</x:v>
      </x:c>
      <x:c r="R57" s="48" t="n">
        <x:f>Model_Data!AM57</x:f>
        <x:v>275.1765872350006</x:v>
      </x:c>
      <x:c r="S57" s="48" t="n">
        <x:f>Model_Data!Q57</x:f>
        <x:v>41.56397617298244</x:v>
      </x:c>
      <x:c r="T57" s="48" t="n">
        <x:f>Model_Data!AN57</x:f>
        <x:v>41.31780589114124</x:v>
      </x:c>
      <x:c r="U57" s="49"/>
      <x:c r="V57" s="48" t="n">
        <x:f>Model_Data!A57</x:f>
        <x:v>-32.5</x:v>
      </x:c>
      <x:c r="W57" s="48" t="n">
        <x:f>Model_Data!B57-Inputs!$C$5</x:f>
        <x:v>1.1736111111110858</x:v>
      </x:c>
      <x:c r="X57" s="49"/>
      <x:c r="Y57" s="48" t="n">
        <x:f>Model_Data!A57</x:f>
        <x:v>-32.5</x:v>
      </x:c>
      <x:c r="Z57" s="48" t="n">
        <x:f>0</x:f>
        <x:v>0</x:v>
      </x:c>
      <x:c r="AA57" s="48" t="n">
        <x:f>((SQRT((Inputs!$C$52+Inputs!$C$5)^2+Inputs!$C$52^2-2*(Inputs!$C$52+Inputs!$C$5)*Inputs!$C$52*COS(SQRT((Model_Data!A57)^2+Inputs!$C$6^2)/Inputs!$C$52))-Inputs!$C$5)*1000/Inputs!$C$12)</x:f>
        <x:v>1478.281852017923</x:v>
      </x:c>
      <x:c r="AB57" s="48" t="n">
        <x:f>Model_Data!F57</x:f>
        <x:v>1474.864727503037</x:v>
      </x:c>
    </x:row>
    <x:row r="58">
      <x:c r="A58" s="48" t="n">
        <x:f>Model_Data!A58</x:f>
        <x:v>-32</x:v>
      </x:c>
      <x:c r="B58" s="48" t="n">
        <x:f>0</x:f>
        <x:v>0</x:v>
      </x:c>
      <x:c r="C58" s="48" t="n">
        <x:f>((SQRT((Inputs!$C$52+Inputs!$C$5)^2+Inputs!$C$52^2-2*(Inputs!$C$52+Inputs!$C$5)*Inputs!$C$52*COS(SQRT((Model_Data!A58)^2+Inputs!$C$6^2)/Inputs!$C$52))-Inputs!$C$5)*1000/Inputs!$C$12)</x:f>
        <x:v>1450.017707656291</x:v>
      </x:c>
      <x:c r="D58" s="48" t="n">
        <x:f>Model_Data!F58</x:f>
        <x:v>1446.7675112688235</x:v>
      </x:c>
      <x:c r="E58" s="48" t="n">
        <x:f>Model_Data!AC58</x:f>
        <x:v>1259.9987994430683</x:v>
      </x:c>
      <x:c r="F58" s="49"/>
      <x:c r="G58" s="48" t="n">
        <x:f>Model_Data!A58</x:f>
        <x:v>-32</x:v>
      </x:c>
      <x:c r="H58" s="48" t="n">
        <x:f>0</x:f>
        <x:v>0</x:v>
      </x:c>
      <x:c r="I58" s="48" t="n">
        <x:f>Model_Data!Y58</x:f>
        <x:v>340.91681406553505</x:v>
      </x:c>
      <x:c r="J58" s="48" t="n">
        <x:f>Model_Data!X58</x:f>
        <x:v>5.730826646134426</x:v>
      </x:c>
      <x:c r="K58" s="48" t="n">
        <x:f>Model_Data!A58</x:f>
        <x:v>-32</x:v>
      </x:c>
      <x:c r="L58" s="48" t="n">
        <x:f>Model_Data!Y58</x:f>
        <x:v>340.91681406553505</x:v>
      </x:c>
      <x:c r="M58" s="48" t="n">
        <x:f>Model_Data!X58</x:f>
        <x:v>5.730826646134426</x:v>
      </x:c>
      <x:c r="N58" s="48" t="n">
        <x:f>-(Model_Data!AC58-Model_Data!F58)*Inputs!$C$12</x:f>
        <x:v>332.44830704984423</x:v>
      </x:c>
      <x:c r="O58" s="49"/>
      <x:c r="P58" s="48" t="n">
        <x:f>Model_Data!A58</x:f>
        <x:v>-32</x:v>
      </x:c>
      <x:c r="Q58" s="48" t="n">
        <x:f>Model_Data!P58</x:f>
        <x:v>272.599759519926</x:v>
      </x:c>
      <x:c r="R58" s="48" t="n">
        <x:f>Model_Data!AM58</x:f>
        <x:v>279.49268607053455</x:v>
      </x:c>
      <x:c r="S58" s="48" t="n">
        <x:f>Model_Data!Q58</x:f>
        <x:v>40.930894822811716</x:v>
      </x:c>
      <x:c r="T58" s="48" t="n">
        <x:f>Model_Data!AN58</x:f>
        <x:v>41.965868779359546</x:v>
      </x:c>
      <x:c r="U58" s="49"/>
      <x:c r="V58" s="48" t="n">
        <x:f>Model_Data!A58</x:f>
        <x:v>-32</x:v>
      </x:c>
      <x:c r="W58" s="48" t="n">
        <x:f>Model_Data!B58-Inputs!$C$5</x:f>
        <x:v>1.137777777777785</x:v>
      </x:c>
      <x:c r="X58" s="49"/>
      <x:c r="Y58" s="48" t="n">
        <x:f>Model_Data!A58</x:f>
        <x:v>-32</x:v>
      </x:c>
      <x:c r="Z58" s="48" t="n">
        <x:f>0</x:f>
        <x:v>0</x:v>
      </x:c>
      <x:c r="AA58" s="48" t="n">
        <x:f>((SQRT((Inputs!$C$52+Inputs!$C$5)^2+Inputs!$C$52^2-2*(Inputs!$C$52+Inputs!$C$5)*Inputs!$C$52*COS(SQRT((Model_Data!A58)^2+Inputs!$C$6^2)/Inputs!$C$52))-Inputs!$C$5)*1000/Inputs!$C$12)</x:f>
        <x:v>1450.017707656291</x:v>
      </x:c>
      <x:c r="AB58" s="48" t="n">
        <x:f>Model_Data!F58</x:f>
        <x:v>1446.7675112688235</x:v>
      </x:c>
    </x:row>
    <x:row r="59">
      <x:c r="A59" s="48" t="n">
        <x:f>Model_Data!A59</x:f>
        <x:v>-31.5</x:v>
      </x:c>
      <x:c r="B59" s="48" t="n">
        <x:f>0</x:f>
        <x:v>0</x:v>
      </x:c>
      <x:c r="C59" s="48" t="n">
        <x:f>((SQRT((Inputs!$C$52+Inputs!$C$5)^2+Inputs!$C$52^2-2*(Inputs!$C$52+Inputs!$C$5)*Inputs!$C$52*COS(SQRT((Model_Data!A59)^2+Inputs!$C$6^2)/Inputs!$C$52))-Inputs!$C$5)*1000/Inputs!$C$12)</x:f>
        <x:v>1422.1882553000517</x:v>
      </x:c>
      <x:c r="D59" s="48" t="n">
        <x:f>Model_Data!F59</x:f>
        <x:v>1419.0985822283808</x:v>
      </x:c>
      <x:c r="E59" s="48" t="n">
        <x:f>Model_Data!AC59</x:f>
        <x:v>1226.3691826767422</x:v>
      </x:c>
      <x:c r="F59" s="49"/>
      <x:c r="G59" s="48" t="n">
        <x:f>Model_Data!A59</x:f>
        <x:v>-31.5</x:v>
      </x:c>
      <x:c r="H59" s="48" t="n">
        <x:f>0</x:f>
        <x:v>0</x:v>
      </x:c>
      <x:c r="I59" s="48" t="n">
        <x:f>Model_Data!Y59</x:f>
        <x:v>355.15219987006986</x:v>
      </x:c>
      <x:c r="J59" s="48" t="n">
        <x:f>Model_Data!X59</x:f>
        <x:v>9.295817115602365</x:v>
      </x:c>
      <x:c r="K59" s="48" t="n">
        <x:f>Model_Data!A59</x:f>
        <x:v>-31.5</x:v>
      </x:c>
      <x:c r="L59" s="48" t="n">
        <x:f>Model_Data!Y59</x:f>
        <x:v>355.15219987006986</x:v>
      </x:c>
      <x:c r="M59" s="48" t="n">
        <x:f>Model_Data!X59</x:f>
        <x:v>9.295817115602365</x:v>
      </x:c>
      <x:c r="N59" s="48" t="n">
        <x:f>-(Model_Data!AC59-Model_Data!F59)*Inputs!$C$12</x:f>
        <x:v>343.0583312019167</x:v>
      </x:c>
      <x:c r="O59" s="49"/>
      <x:c r="P59" s="48" t="n">
        <x:f>Model_Data!A59</x:f>
        <x:v>-31.5</x:v>
      </x:c>
      <x:c r="Q59" s="48" t="n">
        <x:f>Model_Data!P59</x:f>
        <x:v>268.38149222203356</x:v>
      </x:c>
      <x:c r="R59" s="48" t="n">
        <x:f>Model_Data!AM59</x:f>
        <x:v>288.14417854828207</x:v>
      </x:c>
      <x:c r="S59" s="48" t="n">
        <x:f>Model_Data!Q59</x:f>
        <x:v>40.29752135465969</x:v>
      </x:c>
      <x:c r="T59" s="48" t="n">
        <x:f>Model_Data!AN59</x:f>
        <x:v>43.26489167391623</x:v>
      </x:c>
      <x:c r="U59" s="49"/>
      <x:c r="V59" s="48" t="n">
        <x:f>Model_Data!A59</x:f>
        <x:v>-31.5</x:v>
      </x:c>
      <x:c r="W59" s="48" t="n">
        <x:f>Model_Data!B59-Inputs!$C$5</x:f>
        <x:v>1.1025000000000205</x:v>
      </x:c>
      <x:c r="X59" s="49"/>
      <x:c r="Y59" s="48" t="n">
        <x:f>Model_Data!A59</x:f>
        <x:v>-31.5</x:v>
      </x:c>
      <x:c r="Z59" s="48" t="n">
        <x:f>0</x:f>
        <x:v>0</x:v>
      </x:c>
      <x:c r="AA59" s="48" t="n">
        <x:f>((SQRT((Inputs!$C$52+Inputs!$C$5)^2+Inputs!$C$52^2-2*(Inputs!$C$52+Inputs!$C$5)*Inputs!$C$52*COS(SQRT((Model_Data!A59)^2+Inputs!$C$6^2)/Inputs!$C$52))-Inputs!$C$5)*1000/Inputs!$C$12)</x:f>
        <x:v>1422.1882553000517</x:v>
      </x:c>
      <x:c r="AB59" s="48" t="n">
        <x:f>Model_Data!F59</x:f>
        <x:v>1419.0985822283808</x:v>
      </x:c>
    </x:row>
    <x:row r="60">
      <x:c r="A60" s="48" t="n">
        <x:f>Model_Data!A60</x:f>
        <x:v>-31</x:v>
      </x:c>
      <x:c r="B60" s="48" t="n">
        <x:f>0</x:f>
        <x:v>0</x:v>
      </x:c>
      <x:c r="C60" s="48" t="n">
        <x:f>((SQRT((Inputs!$C$52+Inputs!$C$5)^2+Inputs!$C$52^2-2*(Inputs!$C$52+Inputs!$C$5)*Inputs!$C$52*COS(SQRT((Model_Data!A60)^2+Inputs!$C$6^2)/Inputs!$C$52))-Inputs!$C$5)*1000/Inputs!$C$12)</x:f>
        <x:v>1394.7936583071323</x:v>
      </x:c>
      <x:c r="D60" s="48" t="n">
        <x:f>Model_Data!F60</x:f>
        <x:v>1391.8582794492854</x:v>
      </x:c>
      <x:c r="E60" s="48" t="n">
        <x:f>Model_Data!AC60</x:f>
        <x:v>1187.5209787047736</x:v>
      </x:c>
      <x:c r="F60" s="49"/>
      <x:c r="G60" s="48" t="n">
        <x:f>Model_Data!A60</x:f>
        <x:v>-31</x:v>
      </x:c>
      <x:c r="H60" s="48" t="n">
        <x:f>0</x:f>
        <x:v>0</x:v>
      </x:c>
      <x:c r="I60" s="48" t="n">
        <x:f>Model_Data!Y60</x:f>
        <x:v>353.2610093246909</x:v>
      </x:c>
      <x:c r="J60" s="48" t="n">
        <x:f>Model_Data!X60</x:f>
        <x:v>-13.189582675327635</x:v>
      </x:c>
      <x:c r="K60" s="48" t="n">
        <x:f>Model_Data!A60</x:f>
        <x:v>-31</x:v>
      </x:c>
      <x:c r="L60" s="48" t="n">
        <x:f>Model_Data!Y60</x:f>
        <x:v>353.2610093246909</x:v>
      </x:c>
      <x:c r="M60" s="48" t="n">
        <x:f>Model_Data!X60</x:f>
        <x:v>-13.189582675327635</x:v>
      </x:c>
      <x:c r="N60" s="48" t="n">
        <x:f>-(Model_Data!AC60-Model_Data!F60)*Inputs!$C$12</x:f>
        <x:v>363.72039532523104</x:v>
      </x:c>
      <x:c r="O60" s="49"/>
      <x:c r="P60" s="48" t="n">
        <x:f>Model_Data!A60</x:f>
        <x:v>-31</x:v>
      </x:c>
      <x:c r="Q60" s="48" t="n">
        <x:f>Model_Data!P60</x:f>
        <x:v>264.16130781663014</x:v>
      </x:c>
      <x:c r="R60" s="48" t="n">
        <x:f>Model_Data!AM60</x:f>
        <x:v>238.13849277175905</x:v>
      </x:c>
      <x:c r="S60" s="48" t="n">
        <x:f>Model_Data!Q60</x:f>
        <x:v>39.663860032527054</x:v>
      </x:c>
      <x:c r="T60" s="48" t="n">
        <x:f>Model_Data!AN60</x:f>
        <x:v>35.75653044621007</x:v>
      </x:c>
      <x:c r="U60" s="49"/>
      <x:c r="V60" s="48" t="n">
        <x:f>Model_Data!A60</x:f>
        <x:v>-31</x:v>
      </x:c>
      <x:c r="W60" s="48" t="n">
        <x:f>Model_Data!B60-Inputs!$C$5</x:f>
        <x:v>1.067777777777792</x:v>
      </x:c>
      <x:c r="X60" s="49"/>
      <x:c r="Y60" s="48" t="n">
        <x:f>Model_Data!A60</x:f>
        <x:v>-31</x:v>
      </x:c>
      <x:c r="Z60" s="48" t="n">
        <x:f>0</x:f>
        <x:v>0</x:v>
      </x:c>
      <x:c r="AA60" s="48" t="n">
        <x:f>((SQRT((Inputs!$C$52+Inputs!$C$5)^2+Inputs!$C$52^2-2*(Inputs!$C$52+Inputs!$C$5)*Inputs!$C$52*COS(SQRT((Model_Data!A60)^2+Inputs!$C$6^2)/Inputs!$C$52))-Inputs!$C$5)*1000/Inputs!$C$12)</x:f>
        <x:v>1394.7936583071323</x:v>
      </x:c>
      <x:c r="AB60" s="48" t="n">
        <x:f>Model_Data!F60</x:f>
        <x:v>1391.8582794492854</x:v>
      </x:c>
    </x:row>
    <x:row r="61">
      <x:c r="A61" s="48" t="n">
        <x:f>Model_Data!A61</x:f>
        <x:v>-30.5</x:v>
      </x:c>
      <x:c r="B61" s="48" t="n">
        <x:f>0</x:f>
        <x:v>0</x:v>
      </x:c>
      <x:c r="C61" s="48" t="n">
        <x:f>((SQRT((Inputs!$C$52+Inputs!$C$5)^2+Inputs!$C$52^2-2*(Inputs!$C$52+Inputs!$C$5)*Inputs!$C$52*COS(SQRT((Model_Data!A61)^2+Inputs!$C$6^2)/Inputs!$C$52))-Inputs!$C$5)*1000/Inputs!$C$12)</x:f>
        <x:v>1367.8340775619401</x:v>
      </x:c>
      <x:c r="D61" s="48" t="n">
        <x:f>Model_Data!F61</x:f>
        <x:v>1365.0469370056433</x:v>
      </x:c>
      <x:c r="E61" s="48" t="n">
        <x:f>Model_Data!AC61</x:f>
        <x:v>1172.0372701785657</x:v>
      </x:c>
      <x:c r="F61" s="49"/>
      <x:c r="G61" s="48" t="n">
        <x:f>Model_Data!A61</x:f>
        <x:v>-30.5</x:v>
      </x:c>
      <x:c r="H61" s="48" t="n">
        <x:f>0</x:f>
        <x:v>0</x:v>
      </x:c>
      <x:c r="I61" s="48" t="n">
        <x:f>Model_Data!Y61</x:f>
        <x:v>338.6571544092517</x:v>
      </x:c>
      <x:c r="J61" s="48" t="n">
        <x:f>Model_Data!X61</x:f>
        <x:v>-7.467318037700602</x:v>
      </x:c>
      <x:c r="K61" s="48" t="n">
        <x:f>Model_Data!A61</x:f>
        <x:v>-30.5</x:v>
      </x:c>
      <x:c r="L61" s="48" t="n">
        <x:f>Model_Data!Y61</x:f>
        <x:v>338.6571544092517</x:v>
      </x:c>
      <x:c r="M61" s="48" t="n">
        <x:f>Model_Data!X61</x:f>
        <x:v>-7.467318037700602</x:v>
      </x:c>
      <x:c r="N61" s="48" t="n">
        <x:f>-(Model_Data!AC61-Model_Data!F61)*Inputs!$C$12</x:f>
        <x:v>343.5572069521981</x:v>
      </x:c>
      <x:c r="O61" s="49"/>
      <x:c r="P61" s="48" t="n">
        <x:f>Model_Data!A61</x:f>
        <x:v>-30.5</x:v>
      </x:c>
      <x:c r="Q61" s="48" t="n">
        <x:f>Model_Data!P61</x:f>
        <x:v>259.939234788817</x:v>
      </x:c>
      <x:c r="R61" s="48" t="n">
        <x:f>Model_Data!AM61</x:f>
        <x:v>234.24333788807417</x:v>
      </x:c>
      <x:c r="S61" s="48" t="n">
        <x:f>Model_Data!Q61</x:f>
        <x:v>39.02991513345601</x:v>
      </x:c>
      <x:c r="T61" s="48" t="n">
        <x:f>Model_Data!AN61</x:f>
        <x:v>35.17167235556669</x:v>
      </x:c>
      <x:c r="U61" s="49"/>
      <x:c r="V61" s="48" t="n">
        <x:f>Model_Data!A61</x:f>
        <x:v>-30.5</x:v>
      </x:c>
      <x:c r="W61" s="48" t="n">
        <x:f>Model_Data!B61-Inputs!$C$5</x:f>
        <x:v>1.0336111111110995</x:v>
      </x:c>
      <x:c r="X61" s="49"/>
      <x:c r="Y61" s="48" t="n">
        <x:f>Model_Data!A61</x:f>
        <x:v>-30.5</x:v>
      </x:c>
      <x:c r="Z61" s="48" t="n">
        <x:f>0</x:f>
        <x:v>0</x:v>
      </x:c>
      <x:c r="AA61" s="48" t="n">
        <x:f>((SQRT((Inputs!$C$52+Inputs!$C$5)^2+Inputs!$C$52^2-2*(Inputs!$C$52+Inputs!$C$5)*Inputs!$C$52*COS(SQRT((Model_Data!A61)^2+Inputs!$C$6^2)/Inputs!$C$52))-Inputs!$C$5)*1000/Inputs!$C$12)</x:f>
        <x:v>1367.8340775619401</x:v>
      </x:c>
      <x:c r="AB61" s="48" t="n">
        <x:f>Model_Data!F61</x:f>
        <x:v>1365.0469370056433</x:v>
      </x:c>
    </x:row>
    <x:row r="62">
      <x:c r="A62" s="48" t="n">
        <x:f>Model_Data!A62</x:f>
        <x:v>-30</x:v>
      </x:c>
      <x:c r="B62" s="48" t="n">
        <x:f>0</x:f>
        <x:v>0</x:v>
      </x:c>
      <x:c r="C62" s="48" t="n">
        <x:f>((SQRT((Inputs!$C$52+Inputs!$C$5)^2+Inputs!$C$52^2-2*(Inputs!$C$52+Inputs!$C$5)*Inputs!$C$52*COS(SQRT((Model_Data!A62)^2+Inputs!$C$6^2)/Inputs!$C$52))-Inputs!$C$5)*1000/Inputs!$C$12)</x:f>
        <x:v>1341.3096714700305</x:v>
      </x:c>
      <x:c r="D62" s="48" t="n">
        <x:f>Model_Data!F62</x:f>
        <x:v>1338.6648839632076</x:v>
      </x:c>
      <x:c r="E62" s="48" t="n">
        <x:f>Model_Data!AC62</x:f>
        <x:v>1140.9183160302812</x:v>
      </x:c>
      <x:c r="F62" s="49"/>
      <x:c r="G62" s="48" t="n">
        <x:f>Model_Data!A62</x:f>
        <x:v>-30</x:v>
      </x:c>
      <x:c r="H62" s="48" t="n">
        <x:f>0</x:f>
        <x:v>0</x:v>
      </x:c>
      <x:c r="I62" s="48" t="n">
        <x:f>Model_Data!Y62</x:f>
        <x:v>336.97644838088075</x:v>
      </x:c>
      <x:c r="J62" s="48" t="n">
        <x:f>Model_Data!X62</x:f>
        <x:v>-17.51801383367469</x:v>
      </x:c>
      <x:c r="K62" s="48" t="n">
        <x:f>Model_Data!A62</x:f>
        <x:v>-30</x:v>
      </x:c>
      <x:c r="L62" s="48" t="n">
        <x:f>Model_Data!Y62</x:f>
        <x:v>336.97644838088075</x:v>
      </x:c>
      <x:c r="M62" s="48" t="n">
        <x:f>Model_Data!X62</x:f>
        <x:v>-17.51801383367469</x:v>
      </x:c>
      <x:c r="N62" s="48" t="n">
        <x:f>-(Model_Data!AC62-Model_Data!F62)*Inputs!$C$12</x:f>
        <x:v>351.988890920609</x:v>
      </x:c>
      <x:c r="O62" s="49"/>
      <x:c r="P62" s="48" t="n">
        <x:f>Model_Data!A62</x:f>
        <x:v>-30</x:v>
      </x:c>
      <x:c r="Q62" s="48" t="n">
        <x:f>Model_Data!P62</x:f>
        <x:v>255.71530170509504</x:v>
      </x:c>
      <x:c r="R62" s="48" t="n">
        <x:f>Model_Data!AM62</x:f>
        <x:v>236.16063340596156</x:v>
      </x:c>
      <x:c r="S62" s="48" t="n">
        <x:f>Model_Data!Q62</x:f>
        <x:v>38.39569094671097</x:v>
      </x:c>
      <x:c r="T62" s="48" t="n">
        <x:f>Model_Data!AN62</x:f>
        <x:v>35.4595545654597</x:v>
      </x:c>
      <x:c r="U62" s="49"/>
      <x:c r="V62" s="48" t="n">
        <x:f>Model_Data!A62</x:f>
        <x:v>-30</x:v>
      </x:c>
      <x:c r="W62" s="48" t="n">
        <x:f>Model_Data!B62-Inputs!$C$5</x:f>
        <x:v>1</x:v>
      </x:c>
      <x:c r="X62" s="49"/>
      <x:c r="Y62" s="48" t="n">
        <x:f>Model_Data!A62</x:f>
        <x:v>-30</x:v>
      </x:c>
      <x:c r="Z62" s="48" t="n">
        <x:f>0</x:f>
        <x:v>0</x:v>
      </x:c>
      <x:c r="AA62" s="48" t="n">
        <x:f>((SQRT((Inputs!$C$52+Inputs!$C$5)^2+Inputs!$C$52^2-2*(Inputs!$C$52+Inputs!$C$5)*Inputs!$C$52*COS(SQRT((Model_Data!A62)^2+Inputs!$C$6^2)/Inputs!$C$52))-Inputs!$C$5)*1000/Inputs!$C$12)</x:f>
        <x:v>1341.3096714700305</x:v>
      </x:c>
      <x:c r="AB62" s="48" t="n">
        <x:f>Model_Data!F62</x:f>
        <x:v>1338.6648839632076</x:v>
      </x:c>
    </x:row>
    <x:row r="63">
      <x:c r="A63" s="48" t="n">
        <x:f>Model_Data!A63</x:f>
        <x:v>-29.5</x:v>
      </x:c>
      <x:c r="B63" s="48" t="n">
        <x:f>0</x:f>
        <x:v>0</x:v>
      </x:c>
      <x:c r="C63" s="48" t="n">
        <x:f>((SQRT((Inputs!$C$52+Inputs!$C$5)^2+Inputs!$C$52^2-2*(Inputs!$C$52+Inputs!$C$5)*Inputs!$C$52*COS(SQRT((Model_Data!A63)^2+Inputs!$C$6^2)/Inputs!$C$52))-Inputs!$C$5)*1000/Inputs!$C$12)</x:f>
        <x:v>1315.2205959528692</x:v>
      </x:c>
      <x:c r="D63" s="48" t="n">
        <x:f>Model_Data!F63</x:f>
        <x:v>1312.7124443657435</x:v>
      </x:c>
      <x:c r="E63" s="48" t="n">
        <x:f>Model_Data!AC63</x:f>
        <x:v>1110.444972722315</x:v>
      </x:c>
      <x:c r="F63" s="49"/>
      <x:c r="G63" s="48" t="n">
        <x:f>Model_Data!A63</x:f>
        <x:v>-29.5</x:v>
      </x:c>
      <x:c r="H63" s="48" t="n">
        <x:f>0</x:f>
        <x:v>0</x:v>
      </x:c>
      <x:c r="I63" s="48" t="n">
        <x:f>Model_Data!Y63</x:f>
        <x:v>326.24732503276135</x:v>
      </x:c>
      <x:c r="J63" s="48" t="n">
        <x:f>Model_Data!X63</x:f>
        <x:v>-36.167878297776255</x:v>
      </x:c>
      <x:c r="K63" s="48" t="n">
        <x:f>Model_Data!A63</x:f>
        <x:v>-29.5</x:v>
      </x:c>
      <x:c r="L63" s="48" t="n">
        <x:f>Model_Data!Y63</x:f>
        <x:v>326.24732503276135</x:v>
      </x:c>
      <x:c r="M63" s="48" t="n">
        <x:f>Model_Data!X63</x:f>
        <x:v>-36.167878297776255</x:v>
      </x:c>
      <x:c r="N63" s="48" t="n">
        <x:f>-(Model_Data!AC63-Model_Data!F63)*Inputs!$C$12</x:f>
        <x:v>360.03609952530275</x:v>
      </x:c>
      <x:c r="O63" s="49"/>
      <x:c r="P63" s="48" t="n">
        <x:f>Model_Data!A63</x:f>
        <x:v>-29.5</x:v>
      </x:c>
      <x:c r="Q63" s="48" t="n">
        <x:f>Model_Data!P63</x:f>
        <x:v>251.4895372385581</x:v>
      </x:c>
      <x:c r="R63" s="48" t="n">
        <x:f>Model_Data!AM63</x:f>
        <x:v>243.54226020022907</x:v>
      </x:c>
      <x:c r="S63" s="48" t="n">
        <x:f>Model_Data!Q63</x:f>
        <x:v>37.76119177756128</x:v>
      </x:c>
      <x:c r="T63" s="48" t="n">
        <x:f>Model_Data!AN63</x:f>
        <x:v>36.56790693697133</x:v>
      </x:c>
      <x:c r="U63" s="49"/>
      <x:c r="V63" s="48" t="n">
        <x:f>Model_Data!A63</x:f>
        <x:v>-29.5</x:v>
      </x:c>
      <x:c r="W63" s="48" t="n">
        <x:f>Model_Data!B63-Inputs!$C$5</x:f>
        <x:v>0.9669444444444366</x:v>
      </x:c>
      <x:c r="X63" s="49"/>
      <x:c r="Y63" s="48" t="n">
        <x:f>Model_Data!A63</x:f>
        <x:v>-29.5</x:v>
      </x:c>
      <x:c r="Z63" s="48" t="n">
        <x:f>0</x:f>
        <x:v>0</x:v>
      </x:c>
      <x:c r="AA63" s="48" t="n">
        <x:f>((SQRT((Inputs!$C$52+Inputs!$C$5)^2+Inputs!$C$52^2-2*(Inputs!$C$52+Inputs!$C$5)*Inputs!$C$52*COS(SQRT((Model_Data!A63)^2+Inputs!$C$6^2)/Inputs!$C$52))-Inputs!$C$5)*1000/Inputs!$C$12)</x:f>
        <x:v>1315.2205959528692</x:v>
      </x:c>
      <x:c r="AB63" s="48" t="n">
        <x:f>Model_Data!F63</x:f>
        <x:v>1312.7124443657435</x:v>
      </x:c>
    </x:row>
    <x:row r="64">
      <x:c r="A64" s="48" t="n">
        <x:f>Model_Data!A64</x:f>
        <x:v>-29</x:v>
      </x:c>
      <x:c r="B64" s="48" t="n">
        <x:f>0</x:f>
        <x:v>0</x:v>
      </x:c>
      <x:c r="C64" s="48" t="n">
        <x:f>((SQRT((Inputs!$C$52+Inputs!$C$5)^2+Inputs!$C$52^2-2*(Inputs!$C$52+Inputs!$C$5)*Inputs!$C$52*COS(SQRT((Model_Data!A64)^2+Inputs!$C$6^2)/Inputs!$C$52))-Inputs!$C$5)*1000/Inputs!$C$12)</x:f>
        <x:v>1289.5670044428514</x:v>
      </x:c>
      <x:c r="D64" s="48" t="n">
        <x:f>Model_Data!F64</x:f>
        <x:v>1287.1899372112048</x:v>
      </x:c>
      <x:c r="E64" s="48" t="n">
        <x:f>Model_Data!AC64</x:f>
        <x:v>1089.2305828887531</x:v>
      </x:c>
      <x:c r="F64" s="49"/>
      <x:c r="G64" s="48" t="n">
        <x:f>Model_Data!A64</x:f>
        <x:v>-29</x:v>
      </x:c>
      <x:c r="H64" s="48" t="n">
        <x:f>0</x:f>
        <x:v>0</x:v>
      </x:c>
      <x:c r="I64" s="48" t="n">
        <x:f>Model_Data!Y64</x:f>
        <x:v>331.8773601232655</x:v>
      </x:c>
      <x:c r="J64" s="48" t="n">
        <x:f>Model_Data!X64</x:f>
        <x:v>-22.86382175599607</x:v>
      </x:c>
      <x:c r="K64" s="48" t="n">
        <x:f>Model_Data!A64</x:f>
        <x:v>-29</x:v>
      </x:c>
      <x:c r="L64" s="48" t="n">
        <x:f>Model_Data!Y64</x:f>
        <x:v>331.8773601232655</x:v>
      </x:c>
      <x:c r="M64" s="48" t="n">
        <x:f>Model_Data!X64</x:f>
        <x:v>-22.86382175599607</x:v>
      </x:c>
      <x:c r="N64" s="48" t="n">
        <x:f>-(Model_Data!AC64-Model_Data!F64)*Inputs!$C$12</x:f>
        <x:v>352.3676506939639</x:v>
      </x:c>
      <x:c r="O64" s="49"/>
      <x:c r="P64" s="48" t="n">
        <x:f>Model_Data!A64</x:f>
        <x:v>-29</x:v>
      </x:c>
      <x:c r="Q64" s="48" t="n">
        <x:f>Model_Data!P64</x:f>
        <x:v>247.26197014497302</x:v>
      </x:c>
      <x:c r="R64" s="48" t="n">
        <x:f>Model_Data!AM64</x:f>
        <x:v>221.97951412254042</x:v>
      </x:c>
      <x:c r="S64" s="48" t="n">
        <x:f>Model_Data!Q64</x:f>
        <x:v>37.12642194368964</x:v>
      </x:c>
      <x:c r="T64" s="48" t="n">
        <x:f>Model_Data!AN64</x:f>
        <x:v>33.33025737575682</x:v>
      </x:c>
      <x:c r="U64" s="49"/>
      <x:c r="V64" s="48" t="n">
        <x:f>Model_Data!A64</x:f>
        <x:v>-29</x:v>
      </x:c>
      <x:c r="W64" s="48" t="n">
        <x:f>Model_Data!B64-Inputs!$C$5</x:f>
        <x:v>0.9344444444444662</x:v>
      </x:c>
      <x:c r="X64" s="49"/>
      <x:c r="Y64" s="48" t="n">
        <x:f>Model_Data!A64</x:f>
        <x:v>-29</x:v>
      </x:c>
      <x:c r="Z64" s="48" t="n">
        <x:f>0</x:f>
        <x:v>0</x:v>
      </x:c>
      <x:c r="AA64" s="48" t="n">
        <x:f>((SQRT((Inputs!$C$52+Inputs!$C$5)^2+Inputs!$C$52^2-2*(Inputs!$C$52+Inputs!$C$5)*Inputs!$C$52*COS(SQRT((Model_Data!A64)^2+Inputs!$C$6^2)/Inputs!$C$52))-Inputs!$C$5)*1000/Inputs!$C$12)</x:f>
        <x:v>1289.5670044428514</x:v>
      </x:c>
      <x:c r="AB64" s="48" t="n">
        <x:f>Model_Data!F64</x:f>
        <x:v>1287.1899372112048</x:v>
      </x:c>
    </x:row>
    <x:row r="65">
      <x:c r="A65" s="48" t="n">
        <x:f>Model_Data!A65</x:f>
        <x:v>-28.5</x:v>
      </x:c>
      <x:c r="B65" s="48" t="n">
        <x:f>0</x:f>
        <x:v>0</x:v>
      </x:c>
      <x:c r="C65" s="48" t="n">
        <x:f>((SQRT((Inputs!$C$52+Inputs!$C$5)^2+Inputs!$C$52^2-2*(Inputs!$C$52+Inputs!$C$5)*Inputs!$C$52*COS(SQRT((Model_Data!A65)^2+Inputs!$C$6^2)/Inputs!$C$52))-Inputs!$C$5)*1000/Inputs!$C$12)</x:f>
        <x:v>1264.3490478827257</x:v>
      </x:c>
      <x:c r="D65" s="48" t="n">
        <x:f>Model_Data!F65</x:f>
        <x:v>1262.09767644656</x:v>
      </x:c>
      <x:c r="E65" s="48" t="n">
        <x:f>Model_Data!AC65</x:f>
        <x:v>1072.3234850230751</x:v>
      </x:c>
      <x:c r="F65" s="49"/>
      <x:c r="G65" s="48" t="n">
        <x:f>Model_Data!A65</x:f>
        <x:v>-28.5</x:v>
      </x:c>
      <x:c r="H65" s="48" t="n">
        <x:f>0</x:f>
        <x:v>0</x:v>
      </x:c>
      <x:c r="I65" s="48" t="n">
        <x:f>Model_Data!Y65</x:f>
        <x:v>310.24247262167495</x:v>
      </x:c>
      <x:c r="J65" s="48" t="n">
        <x:f>Model_Data!X65</x:f>
        <x:v>-29.731374520275047</x:v>
      </x:c>
      <x:c r="K65" s="48" t="n">
        <x:f>Model_Data!A65</x:f>
        <x:v>-28.5</x:v>
      </x:c>
      <x:c r="L65" s="48" t="n">
        <x:f>Model_Data!Y65</x:f>
        <x:v>310.24247262167495</x:v>
      </x:c>
      <x:c r="M65" s="48" t="n">
        <x:f>Model_Data!X65</x:f>
        <x:v>-29.731374520275047</x:v>
      </x:c>
      <x:c r="N65" s="48" t="n">
        <x:f>-(Model_Data!AC65-Model_Data!F65)*Inputs!$C$12</x:f>
        <x:v>337.79806073380297</x:v>
      </x:c>
      <x:c r="O65" s="49"/>
      <x:c r="P65" s="48" t="n">
        <x:f>Model_Data!A65</x:f>
        <x:v>-28.5</x:v>
      </x:c>
      <x:c r="Q65" s="48" t="n">
        <x:f>Model_Data!P65</x:f>
        <x:v>243.03262925423041</x:v>
      </x:c>
      <x:c r="R65" s="48" t="n">
        <x:f>Model_Data!AM65</x:f>
        <x:v>213.6323248183544</x:v>
      </x:c>
      <x:c r="S65" s="48" t="n">
        <x:f>Model_Data!Q65</x:f>
        <x:v>36.491385773908476</x:v>
      </x:c>
      <x:c r="T65" s="48" t="n">
        <x:f>Model_Data!AN65</x:f>
        <x:v>32.07692564840156</x:v>
      </x:c>
      <x:c r="U65" s="49"/>
      <x:c r="V65" s="48" t="n">
        <x:f>Model_Data!A65</x:f>
        <x:v>-28.5</x:v>
      </x:c>
      <x:c r="W65" s="48" t="n">
        <x:f>Model_Data!B65-Inputs!$C$5</x:f>
        <x:v>0.902499999999975</x:v>
      </x:c>
      <x:c r="X65" s="49"/>
      <x:c r="Y65" s="48" t="n">
        <x:f>Model_Data!A65</x:f>
        <x:v>-28.5</x:v>
      </x:c>
      <x:c r="Z65" s="48" t="n">
        <x:f>0</x:f>
        <x:v>0</x:v>
      </x:c>
      <x:c r="AA65" s="48" t="n">
        <x:f>((SQRT((Inputs!$C$52+Inputs!$C$5)^2+Inputs!$C$52^2-2*(Inputs!$C$52+Inputs!$C$5)*Inputs!$C$52*COS(SQRT((Model_Data!A65)^2+Inputs!$C$6^2)/Inputs!$C$52))-Inputs!$C$5)*1000/Inputs!$C$12)</x:f>
        <x:v>1264.3490478827257</x:v>
      </x:c>
      <x:c r="AB65" s="48" t="n">
        <x:f>Model_Data!F65</x:f>
        <x:v>1262.09767644656</x:v>
      </x:c>
    </x:row>
    <x:row r="66">
      <x:c r="A66" s="48" t="n">
        <x:f>Model_Data!A66</x:f>
        <x:v>-28</x:v>
      </x:c>
      <x:c r="B66" s="48" t="n">
        <x:f>0</x:f>
        <x:v>0</x:v>
      </x:c>
      <x:c r="C66" s="48" t="n">
        <x:f>((SQRT((Inputs!$C$52+Inputs!$C$5)^2+Inputs!$C$52^2-2*(Inputs!$C$52+Inputs!$C$5)*Inputs!$C$52*COS(SQRT((Model_Data!A66)^2+Inputs!$C$6^2)/Inputs!$C$52))-Inputs!$C$5)*1000/Inputs!$C$12)</x:f>
        <x:v>1239.5668747174202</x:v>
      </x:c>
      <x:c r="D66" s="48" t="n">
        <x:f>Model_Data!F66</x:f>
        <x:v>1237.4359709468442</x:v>
      </x:c>
      <x:c r="E66" s="48" t="n">
        <x:f>Model_Data!AC66</x:f>
        <x:v>1032.8594782824728</x:v>
      </x:c>
      <x:c r="F66" s="49"/>
      <x:c r="G66" s="48" t="n">
        <x:f>Model_Data!A66</x:f>
        <x:v>-28</x:v>
      </x:c>
      <x:c r="H66" s="48" t="n">
        <x:f>0</x:f>
        <x:v>0</x:v>
      </x:c>
      <x:c r="I66" s="48" t="n">
        <x:f>Model_Data!Y66</x:f>
        <x:v>313.2831784265769</x:v>
      </x:c>
      <x:c r="J66" s="48" t="n">
        <x:f>Model_Data!X66</x:f>
        <x:v>-53.01751827704016</x:v>
      </x:c>
      <x:c r="K66" s="48" t="n">
        <x:f>Model_Data!A66</x:f>
        <x:v>-28</x:v>
      </x:c>
      <x:c r="L66" s="48" t="n">
        <x:f>Model_Data!Y66</x:f>
        <x:v>313.2831784265769</x:v>
      </x:c>
      <x:c r="M66" s="48" t="n">
        <x:f>Model_Data!X66</x:f>
        <x:v>-53.01751827704016</x:v>
      </x:c>
      <x:c r="N66" s="48" t="n">
        <x:f>-(Model_Data!AC66-Model_Data!F66)*Inputs!$C$12</x:f>
        <x:v>364.14615694258123</x:v>
      </x:c>
      <x:c r="O66" s="49"/>
      <x:c r="P66" s="48" t="n">
        <x:f>Model_Data!A66</x:f>
        <x:v>-28</x:v>
      </x:c>
      <x:c r="Q66" s="48" t="n">
        <x:f>Model_Data!P66</x:f>
        <x:v>238.80154350054</x:v>
      </x:c>
      <x:c r="R66" s="48" t="n">
        <x:f>Model_Data!AM66</x:f>
        <x:v>217.6420816668724</x:v>
      </x:c>
      <x:c r="S66" s="48" t="n">
        <x:f>Model_Data!Q66</x:f>
        <x:v>35.8560876126937</x:v>
      </x:c>
      <x:c r="T66" s="48" t="n">
        <x:f>Model_Data!AN66</x:f>
        <x:v>32.678991241272136</x:v>
      </x:c>
      <x:c r="U66" s="49"/>
      <x:c r="V66" s="48" t="n">
        <x:f>Model_Data!A66</x:f>
        <x:v>-28</x:v>
      </x:c>
      <x:c r="W66" s="48" t="n">
        <x:f>Model_Data!B66-Inputs!$C$5</x:f>
        <x:v>0.8711111111111336</x:v>
      </x:c>
      <x:c r="X66" s="49"/>
      <x:c r="Y66" s="48" t="n">
        <x:f>Model_Data!A66</x:f>
        <x:v>-28</x:v>
      </x:c>
      <x:c r="Z66" s="48" t="n">
        <x:f>0</x:f>
        <x:v>0</x:v>
      </x:c>
      <x:c r="AA66" s="48" t="n">
        <x:f>((SQRT((Inputs!$C$52+Inputs!$C$5)^2+Inputs!$C$52^2-2*(Inputs!$C$52+Inputs!$C$5)*Inputs!$C$52*COS(SQRT((Model_Data!A66)^2+Inputs!$C$6^2)/Inputs!$C$52))-Inputs!$C$5)*1000/Inputs!$C$12)</x:f>
        <x:v>1239.5668747174202</x:v>
      </x:c>
      <x:c r="AB66" s="48" t="n">
        <x:f>Model_Data!F66</x:f>
        <x:v>1237.4359709468442</x:v>
      </x:c>
    </x:row>
    <x:row r="67">
      <x:c r="A67" s="48" t="n">
        <x:f>Model_Data!A67</x:f>
        <x:v>-27.5</x:v>
      </x:c>
      <x:c r="B67" s="48" t="n">
        <x:f>0</x:f>
        <x:v>0</x:v>
      </x:c>
      <x:c r="C67" s="48" t="n">
        <x:f>((SQRT((Inputs!$C$52+Inputs!$C$5)^2+Inputs!$C$52^2-2*(Inputs!$C$52+Inputs!$C$5)*Inputs!$C$52*COS(SQRT((Model_Data!A67)^2+Inputs!$C$6^2)/Inputs!$C$52))-Inputs!$C$5)*1000/Inputs!$C$12)</x:f>
        <x:v>1215.2206308890595</x:v>
      </x:c>
      <x:c r="D67" s="48" t="n">
        <x:f>Model_Data!F67</x:f>
        <x:v>1213.2051244995746</x:v>
      </x:c>
      <x:c r="E67" s="48" t="n">
        <x:f>Model_Data!AC67</x:f>
        <x:v>1012.1584343218391</x:v>
      </x:c>
      <x:c r="F67" s="49"/>
      <x:c r="G67" s="48" t="n">
        <x:f>Model_Data!A67</x:f>
        <x:v>-27.5</x:v>
      </x:c>
      <x:c r="H67" s="48" t="n">
        <x:f>0</x:f>
        <x:v>0</x:v>
      </x:c>
      <x:c r="I67" s="48" t="n">
        <x:f>Model_Data!Y67</x:f>
        <x:v>296.8437612590685</x:v>
      </x:c>
      <x:c r="J67" s="48" t="n">
        <x:f>Model_Data!X67</x:f>
        <x:v>-63.02108594889231</x:v>
      </x:c>
      <x:c r="K67" s="48" t="n">
        <x:f>Model_Data!A67</x:f>
        <x:v>-27.5</x:v>
      </x:c>
      <x:c r="L67" s="48" t="n">
        <x:f>Model_Data!Y67</x:f>
        <x:v>296.8437612590685</x:v>
      </x:c>
      <x:c r="M67" s="48" t="n">
        <x:f>Model_Data!X67</x:f>
        <x:v>-63.02108594889231</x:v>
      </x:c>
      <x:c r="N67" s="48" t="n">
        <x:f>-(Model_Data!AC67-Model_Data!F67)*Inputs!$C$12</x:f>
        <x:v>357.8631085163692</x:v>
      </x:c>
      <x:c r="O67" s="49"/>
      <x:c r="P67" s="48" t="n">
        <x:f>Model_Data!A67</x:f>
        <x:v>-27.5</x:v>
      </x:c>
      <x:c r="Q67" s="48" t="n">
        <x:f>Model_Data!P67</x:f>
        <x:v>234.56874188968868</x:v>
      </x:c>
      <x:c r="R67" s="48" t="n">
        <x:f>Model_Data!AM67</x:f>
        <x:v>196.6495314187341</x:v>
      </x:c>
      <x:c r="S67" s="48" t="n">
        <x:f>Model_Data!Q67</x:f>
        <x:v>35.22053181526857</x:v>
      </x:c>
      <x:c r="T67" s="48" t="n">
        <x:f>Model_Data!AN67</x:f>
        <x:v>29.5269566694796</x:v>
      </x:c>
      <x:c r="U67" s="49"/>
      <x:c r="V67" s="48" t="n">
        <x:f>Model_Data!A67</x:f>
        <x:v>-27.5</x:v>
      </x:c>
      <x:c r="W67" s="48" t="n">
        <x:f>Model_Data!B67-Inputs!$C$5</x:f>
        <x:v>0.8402777777777715</x:v>
      </x:c>
      <x:c r="X67" s="49"/>
      <x:c r="Y67" s="48" t="n">
        <x:f>Model_Data!A67</x:f>
        <x:v>-27.5</x:v>
      </x:c>
      <x:c r="Z67" s="48" t="n">
        <x:f>0</x:f>
        <x:v>0</x:v>
      </x:c>
      <x:c r="AA67" s="48" t="n">
        <x:f>((SQRT((Inputs!$C$52+Inputs!$C$5)^2+Inputs!$C$52^2-2*(Inputs!$C$52+Inputs!$C$5)*Inputs!$C$52*COS(SQRT((Model_Data!A67)^2+Inputs!$C$6^2)/Inputs!$C$52))-Inputs!$C$5)*1000/Inputs!$C$12)</x:f>
        <x:v>1215.2206308890595</x:v>
      </x:c>
      <x:c r="AB67" s="48" t="n">
        <x:f>Model_Data!F67</x:f>
        <x:v>1213.2051244995746</x:v>
      </x:c>
    </x:row>
    <x:row r="68">
      <x:c r="A68" s="48" t="n">
        <x:f>Model_Data!A68</x:f>
        <x:v>-27</x:v>
      </x:c>
      <x:c r="B68" s="48" t="n">
        <x:f>0</x:f>
        <x:v>0</x:v>
      </x:c>
      <x:c r="C68" s="48" t="n">
        <x:f>((SQRT((Inputs!$C$52+Inputs!$C$5)^2+Inputs!$C$52^2-2*(Inputs!$C$52+Inputs!$C$5)*Inputs!$C$52*COS(SQRT((Model_Data!A68)^2+Inputs!$C$6^2)/Inputs!$C$52))-Inputs!$C$5)*1000/Inputs!$C$12)</x:f>
        <x:v>1191.3104598367102</x:v>
      </x:c>
      <x:c r="D68" s="48" t="n">
        <x:f>Model_Data!F68</x:f>
        <x:v>1189.4054357952016</x:v>
      </x:c>
      <x:c r="E68" s="48" t="n">
        <x:f>Model_Data!AC68</x:f>
        <x:v>988.7870810731198</x:v>
      </x:c>
      <x:c r="F68" s="49"/>
      <x:c r="G68" s="48" t="n">
        <x:f>Model_Data!A68</x:f>
        <x:v>-27</x:v>
      </x:c>
      <x:c r="H68" s="48" t="n">
        <x:f>0</x:f>
        <x:v>0</x:v>
      </x:c>
      <x:c r="I68" s="48" t="n">
        <x:f>Model_Data!Y68</x:f>
        <x:v>289.34226854097847</x:v>
      </x:c>
      <x:c r="J68" s="48" t="n">
        <x:f>Model_Data!X68</x:f>
        <x:v>-69.67153928411518</x:v>
      </x:c>
      <x:c r="K68" s="48" t="n">
        <x:f>Model_Data!A68</x:f>
        <x:v>-27</x:v>
      </x:c>
      <x:c r="L68" s="48" t="n">
        <x:f>Model_Data!Y68</x:f>
        <x:v>289.34226854097847</x:v>
      </x:c>
      <x:c r="M68" s="48" t="n">
        <x:f>Model_Data!X68</x:f>
        <x:v>-69.67153928411518</x:v>
      </x:c>
      <x:c r="N68" s="48" t="n">
        <x:f>-(Model_Data!AC68-Model_Data!F68)*Inputs!$C$12</x:f>
        <x:v>357.1006714053056</x:v>
      </x:c>
      <x:c r="O68" s="49"/>
      <x:c r="P68" s="48" t="n">
        <x:f>Model_Data!A68</x:f>
        <x:v>-27</x:v>
      </x:c>
      <x:c r="Q68" s="48" t="n">
        <x:f>Model_Data!P68</x:f>
        <x:v>230.3342535144111</x:v>
      </x:c>
      <x:c r="R68" s="48" t="n">
        <x:f>Model_Data!AM68</x:f>
        <x:v>220.46869172654624</x:v>
      </x:c>
      <x:c r="S68" s="48" t="n">
        <x:f>Model_Data!Q68</x:f>
        <x:v>34.58472274991158</x:v>
      </x:c>
      <x:c r="T68" s="48" t="n">
        <x:f>Model_Data!AN68</x:f>
        <x:v>33.10340716614809</x:v>
      </x:c>
      <x:c r="U68" s="49"/>
      <x:c r="V68" s="48" t="n">
        <x:f>Model_Data!A68</x:f>
        <x:v>-27</x:v>
      </x:c>
      <x:c r="W68" s="48" t="n">
        <x:f>Model_Data!B68-Inputs!$C$5</x:f>
        <x:v>0.8100000000000023</x:v>
      </x:c>
      <x:c r="X68" s="49"/>
      <x:c r="Y68" s="48" t="n">
        <x:f>Model_Data!A68</x:f>
        <x:v>-27</x:v>
      </x:c>
      <x:c r="Z68" s="48" t="n">
        <x:f>0</x:f>
        <x:v>0</x:v>
      </x:c>
      <x:c r="AA68" s="48" t="n">
        <x:f>((SQRT((Inputs!$C$52+Inputs!$C$5)^2+Inputs!$C$52^2-2*(Inputs!$C$52+Inputs!$C$5)*Inputs!$C$52*COS(SQRT((Model_Data!A68)^2+Inputs!$C$6^2)/Inputs!$C$52))-Inputs!$C$5)*1000/Inputs!$C$12)</x:f>
        <x:v>1191.3104598367102</x:v>
      </x:c>
      <x:c r="AB68" s="48" t="n">
        <x:f>Model_Data!F68</x:f>
        <x:v>1189.4054357952016</x:v>
      </x:c>
    </x:row>
    <x:row r="69">
      <x:c r="A69" s="48" t="n">
        <x:f>Model_Data!A69</x:f>
        <x:v>-26.5</x:v>
      </x:c>
      <x:c r="B69" s="48" t="n">
        <x:f>0</x:f>
        <x:v>0</x:v>
      </x:c>
      <x:c r="C69" s="48" t="n">
        <x:f>((SQRT((Inputs!$C$52+Inputs!$C$5)^2+Inputs!$C$52^2-2*(Inputs!$C$52+Inputs!$C$5)*Inputs!$C$52*COS(SQRT((Model_Data!A69)^2+Inputs!$C$6^2)/Inputs!$C$52))-Inputs!$C$5)*1000/Inputs!$C$12)</x:f>
        <x:v>1167.83650249044</x:v>
      </x:c>
      <x:c r="D69" s="48" t="n">
        <x:f>Model_Data!F69</x:f>
        <x:v>1166.0371984060328</x:v>
      </x:c>
      <x:c r="E69" s="48" t="n">
        <x:f>Model_Data!AC69</x:f>
        <x:v>959.9723295977628</x:v>
      </x:c>
      <x:c r="F69" s="49"/>
      <x:c r="G69" s="48" t="n">
        <x:f>Model_Data!A69</x:f>
        <x:v>-26.5</x:v>
      </x:c>
      <x:c r="H69" s="48" t="n">
        <x:f>0</x:f>
        <x:v>0</x:v>
      </x:c>
      <x:c r="I69" s="48" t="n">
        <x:f>Model_Data!Y69</x:f>
        <x:v>290.55977847508683</x:v>
      </x:c>
      <x:c r="J69" s="48" t="n">
        <x:f>Model_Data!X69</x:f>
        <x:v>-78.11942002863731</x:v>
      </x:c>
      <x:c r="K69" s="48" t="n">
        <x:f>Model_Data!A69</x:f>
        <x:v>-26.5</x:v>
      </x:c>
      <x:c r="L69" s="48" t="n">
        <x:f>Model_Data!Y69</x:f>
        <x:v>290.55977847508683</x:v>
      </x:c>
      <x:c r="M69" s="48" t="n">
        <x:f>Model_Data!X69</x:f>
        <x:v>-78.11942002863731</x:v>
      </x:c>
      <x:c r="N69" s="48" t="n">
        <x:f>-(Model_Data!AC69-Model_Data!F69)*Inputs!$C$12</x:f>
        <x:v>366.79546647872047</x:v>
      </x:c>
      <x:c r="O69" s="49"/>
      <x:c r="P69" s="48" t="n">
        <x:f>Model_Data!A69</x:f>
        <x:v>-26.5</x:v>
      </x:c>
      <x:c r="Q69" s="48" t="n">
        <x:f>Model_Data!P69</x:f>
        <x:v>226.0981075584823</x:v>
      </x:c>
      <x:c r="R69" s="48" t="n">
        <x:f>Model_Data!AM69</x:f>
        <x:v>198.23751812764385</x:v>
      </x:c>
      <x:c r="S69" s="48" t="n">
        <x:f>Model_Data!Q69</x:f>
        <x:v>33.94866479857092</x:v>
      </x:c>
      <x:c r="T69" s="48" t="n">
        <x:f>Model_Data!AN69</x:f>
        <x:v>29.765393112258838</x:v>
      </x:c>
      <x:c r="U69" s="49"/>
      <x:c r="V69" s="48" t="n">
        <x:f>Model_Data!A69</x:f>
        <x:v>-26.5</x:v>
      </x:c>
      <x:c r="W69" s="48" t="n">
        <x:f>Model_Data!B69-Inputs!$C$5</x:f>
        <x:v>0.7802777777777692</x:v>
      </x:c>
      <x:c r="X69" s="49"/>
      <x:c r="Y69" s="48" t="n">
        <x:f>Model_Data!A69</x:f>
        <x:v>-26.5</x:v>
      </x:c>
      <x:c r="Z69" s="48" t="n">
        <x:f>0</x:f>
        <x:v>0</x:v>
      </x:c>
      <x:c r="AA69" s="48" t="n">
        <x:f>((SQRT((Inputs!$C$52+Inputs!$C$5)^2+Inputs!$C$52^2-2*(Inputs!$C$52+Inputs!$C$5)*Inputs!$C$52*COS(SQRT((Model_Data!A69)^2+Inputs!$C$6^2)/Inputs!$C$52))-Inputs!$C$5)*1000/Inputs!$C$12)</x:f>
        <x:v>1167.83650249044</x:v>
      </x:c>
      <x:c r="AB69" s="48" t="n">
        <x:f>Model_Data!F69</x:f>
        <x:v>1166.0371984060328</x:v>
      </x:c>
    </x:row>
    <x:row r="70">
      <x:c r="A70" s="48" t="n">
        <x:f>Model_Data!A70</x:f>
        <x:v>-26</x:v>
      </x:c>
      <x:c r="B70" s="48" t="n">
        <x:f>0</x:f>
        <x:v>0</x:v>
      </x:c>
      <x:c r="C70" s="48" t="n">
        <x:f>((SQRT((Inputs!$C$52+Inputs!$C$5)^2+Inputs!$C$52^2-2*(Inputs!$C$52+Inputs!$C$5)*Inputs!$C$52*COS(SQRT((Model_Data!A70)^2+Inputs!$C$6^2)/Inputs!$C$52))-Inputs!$C$5)*1000/Inputs!$C$12)</x:f>
        <x:v>1144.7988972650598</x:v>
      </x:c>
      <x:c r="D70" s="48" t="n">
        <x:f>Model_Data!F70</x:f>
        <x:v>1143.1007007754386</x:v>
      </x:c>
      <x:c r="E70" s="48" t="n">
        <x:f>Model_Data!AC70</x:f>
        <x:v>945.2412860862692</x:v>
      </x:c>
      <x:c r="F70" s="49"/>
      <x:c r="G70" s="48" t="n">
        <x:f>Model_Data!A70</x:f>
        <x:v>-26</x:v>
      </x:c>
      <x:c r="H70" s="48" t="n">
        <x:f>0</x:f>
        <x:v>0</x:v>
      </x:c>
      <x:c r="I70" s="48" t="n">
        <x:f>Model_Data!Y70</x:f>
        <x:v>271.74352983421755</x:v>
      </x:c>
      <x:c r="J70" s="48" t="n">
        <x:f>Model_Data!X70</x:f>
        <x:v>-82.17349441978894</x:v>
      </x:c>
      <x:c r="K70" s="48" t="n">
        <x:f>Model_Data!A70</x:f>
        <x:v>-26</x:v>
      </x:c>
      <x:c r="L70" s="48" t="n">
        <x:f>Model_Data!Y70</x:f>
        <x:v>271.74352983421755</x:v>
      </x:c>
      <x:c r="M70" s="48" t="n">
        <x:f>Model_Data!X70</x:f>
        <x:v>-82.17349441978894</x:v>
      </x:c>
      <x:c r="N70" s="48" t="n">
        <x:f>-(Model_Data!AC70-Model_Data!F70)*Inputs!$C$12</x:f>
        <x:v>352.18975814672154</x:v>
      </x:c>
      <x:c r="O70" s="49"/>
      <x:c r="P70" s="48" t="n">
        <x:f>Model_Data!A70</x:f>
        <x:v>-26</x:v>
      </x:c>
      <x:c r="Q70" s="48" t="n">
        <x:f>Model_Data!P70</x:f>
        <x:v>221.86033326770485</x:v>
      </x:c>
      <x:c r="R70" s="48" t="n">
        <x:f>Model_Data!AM70</x:f>
        <x:v>192.02568655455252</x:v>
      </x:c>
      <x:c r="S70" s="48" t="n">
        <x:f>Model_Data!Q70</x:f>
        <x:v>33.31236235250824</x:v>
      </x:c>
      <x:c r="T70" s="48" t="n">
        <x:f>Model_Data!AN70</x:f>
        <x:v>28.83268566885173</x:v>
      </x:c>
      <x:c r="U70" s="49"/>
      <x:c r="V70" s="48" t="n">
        <x:f>Model_Data!A70</x:f>
        <x:v>-26</x:v>
      </x:c>
      <x:c r="W70" s="48" t="n">
        <x:f>Model_Data!B70-Inputs!$C$5</x:f>
        <x:v>0.751111111111129</x:v>
      </x:c>
      <x:c r="X70" s="49"/>
      <x:c r="Y70" s="48" t="n">
        <x:f>Model_Data!A70</x:f>
        <x:v>-26</x:v>
      </x:c>
      <x:c r="Z70" s="48" t="n">
        <x:f>0</x:f>
        <x:v>0</x:v>
      </x:c>
      <x:c r="AA70" s="48" t="n">
        <x:f>((SQRT((Inputs!$C$52+Inputs!$C$5)^2+Inputs!$C$52^2-2*(Inputs!$C$52+Inputs!$C$5)*Inputs!$C$52*COS(SQRT((Model_Data!A70)^2+Inputs!$C$6^2)/Inputs!$C$52))-Inputs!$C$5)*1000/Inputs!$C$12)</x:f>
        <x:v>1144.7988972650598</x:v>
      </x:c>
      <x:c r="AB70" s="48" t="n">
        <x:f>Model_Data!F70</x:f>
        <x:v>1143.1007007754386</x:v>
      </x:c>
    </x:row>
    <x:row r="71">
      <x:c r="A71" s="48" t="n">
        <x:f>Model_Data!A71</x:f>
        <x:v>-25.5</x:v>
      </x:c>
      <x:c r="B71" s="48" t="n">
        <x:f>0</x:f>
        <x:v>0</x:v>
      </x:c>
      <x:c r="C71" s="48" t="n">
        <x:f>((SQRT((Inputs!$C$52+Inputs!$C$5)^2+Inputs!$C$52^2-2*(Inputs!$C$52+Inputs!$C$5)*Inputs!$C$52*COS(SQRT((Model_Data!A71)^2+Inputs!$C$6^2)/Inputs!$C$52))-Inputs!$C$5)*1000/Inputs!$C$12)</x:f>
        <x:v>1122.1977800602508</x:v>
      </x:c>
      <x:c r="D71" s="48" t="n">
        <x:f>Model_Data!F71</x:f>
        <x:v>1120.5962262068354</x:v>
      </x:c>
      <x:c r="E71" s="48" t="n">
        <x:f>Model_Data!AC71</x:f>
        <x:v>910.288625491318</x:v>
      </x:c>
      <x:c r="F71" s="49"/>
      <x:c r="G71" s="48" t="n">
        <x:f>Model_Data!A71</x:f>
        <x:v>-25.5</x:v>
      </x:c>
      <x:c r="H71" s="48" t="n">
        <x:f>0</x:f>
        <x:v>0</x:v>
      </x:c>
      <x:c r="I71" s="48" t="n">
        <x:f>Model_Data!Y71</x:f>
        <x:v>271.72277085410076</x:v>
      </x:c>
      <x:c r="J71" s="48" t="n">
        <x:f>Model_Data!X71</x:f>
        <x:v>-104.31813701930129</x:v>
      </x:c>
      <x:c r="K71" s="48" t="n">
        <x:f>Model_Data!A71</x:f>
        <x:v>-25.5</x:v>
      </x:c>
      <x:c r="L71" s="48" t="n">
        <x:f>Model_Data!Y71</x:f>
        <x:v>271.72277085410076</x:v>
      </x:c>
      <x:c r="M71" s="48" t="n">
        <x:f>Model_Data!X71</x:f>
        <x:v>-104.31813701930129</x:v>
      </x:c>
      <x:c r="N71" s="48" t="n">
        <x:f>-(Model_Data!AC71-Model_Data!F71)*Inputs!$C$12</x:f>
        <x:v>374.3475292736208</x:v>
      </x:c>
      <x:c r="O71" s="49"/>
      <x:c r="P71" s="48" t="n">
        <x:f>Model_Data!A71</x:f>
        <x:v>-25.5</x:v>
      </x:c>
      <x:c r="Q71" s="48" t="n">
        <x:f>Model_Data!P71</x:f>
        <x:v>217.6209599799222</x:v>
      </x:c>
      <x:c r="R71" s="48" t="n">
        <x:f>Model_Data!AM71</x:f>
        <x:v>199.48475681912896</x:v>
      </x:c>
      <x:c r="S71" s="48" t="n">
        <x:f>Model_Data!Q71</x:f>
        <x:v>32.67581981680514</x:v>
      </x:c>
      <x:c r="T71" s="48" t="n">
        <x:f>Model_Data!AN71</x:f>
        <x:v>29.952666189058405</x:v>
      </x:c>
      <x:c r="U71" s="49"/>
      <x:c r="V71" s="48" t="n">
        <x:f>Model_Data!A71</x:f>
        <x:v>-25.5</x:v>
      </x:c>
      <x:c r="W71" s="48" t="n">
        <x:f>Model_Data!B71-Inputs!$C$5</x:f>
        <x:v>0.722500000000025</x:v>
      </x:c>
      <x:c r="X71" s="49"/>
      <x:c r="Y71" s="48" t="n">
        <x:f>Model_Data!A71</x:f>
        <x:v>-25.5</x:v>
      </x:c>
      <x:c r="Z71" s="48" t="n">
        <x:f>0</x:f>
        <x:v>0</x:v>
      </x:c>
      <x:c r="AA71" s="48" t="n">
        <x:f>((SQRT((Inputs!$C$52+Inputs!$C$5)^2+Inputs!$C$52^2-2*(Inputs!$C$52+Inputs!$C$5)*Inputs!$C$52*COS(SQRT((Model_Data!A71)^2+Inputs!$C$6^2)/Inputs!$C$52))-Inputs!$C$5)*1000/Inputs!$C$12)</x:f>
        <x:v>1122.1977800602508</x:v>
      </x:c>
      <x:c r="AB71" s="48" t="n">
        <x:f>Model_Data!F71</x:f>
        <x:v>1120.5962262068354</x:v>
      </x:c>
    </x:row>
    <x:row r="72">
      <x:c r="A72" s="48" t="n">
        <x:f>Model_Data!A72</x:f>
        <x:v>-25</x:v>
      </x:c>
      <x:c r="B72" s="48" t="n">
        <x:f>0</x:f>
        <x:v>0</x:v>
      </x:c>
      <x:c r="C72" s="48" t="n">
        <x:f>((SQRT((Inputs!$C$52+Inputs!$C$5)^2+Inputs!$C$52^2-2*(Inputs!$C$52+Inputs!$C$5)*Inputs!$C$52*COS(SQRT((Model_Data!A72)^2+Inputs!$C$6^2)/Inputs!$C$52))-Inputs!$C$5)*1000/Inputs!$C$12)</x:f>
        <x:v>1100.033284253411</x:v>
      </x:c>
      <x:c r="D72" s="48" t="n">
        <x:f>Model_Data!F72</x:f>
        <x:v>1098.5240528424165</x:v>
      </x:c>
      <x:c r="E72" s="48" t="n">
        <x:f>Model_Data!AC72</x:f>
        <x:v>898.3925288901809</x:v>
      </x:c>
      <x:c r="F72" s="49"/>
      <x:c r="G72" s="48" t="n">
        <x:f>Model_Data!A72</x:f>
        <x:v>-25</x:v>
      </x:c>
      <x:c r="H72" s="48" t="n">
        <x:f>0</x:f>
        <x:v>0</x:v>
      </x:c>
      <x:c r="I72" s="48" t="n">
        <x:f>Model_Data!Y72</x:f>
        <x:v>260.2713841318971</x:v>
      </x:c>
      <x:c r="J72" s="48" t="n">
        <x:f>Model_Data!X72</x:f>
        <x:v>-97.55297588358108</x:v>
      </x:c>
      <x:c r="K72" s="48" t="n">
        <x:f>Model_Data!A72</x:f>
        <x:v>-25</x:v>
      </x:c>
      <x:c r="L72" s="48" t="n">
        <x:f>Model_Data!Y72</x:f>
        <x:v>260.2713841318971</x:v>
      </x:c>
      <x:c r="M72" s="48" t="n">
        <x:f>Model_Data!X72</x:f>
        <x:v>-97.55297588358108</x:v>
      </x:c>
      <x:c r="N72" s="48" t="n">
        <x:f>-(Model_Data!AC72-Model_Data!F72)*Inputs!$C$12</x:f>
        <x:v>356.2341126349794</x:v>
      </x:c>
      <x:c r="O72" s="49"/>
      <x:c r="P72" s="48" t="n">
        <x:f>Model_Data!A72</x:f>
        <x:v>-25</x:v>
      </x:c>
      <x:c r="Q72" s="48" t="n">
        <x:f>Model_Data!P72</x:f>
        <x:v>213.38001711119432</x:v>
      </x:c>
      <x:c r="R72" s="48" t="n">
        <x:f>Model_Data!AM72</x:f>
        <x:v>221.0725897208249</x:v>
      </x:c>
      <x:c r="S72" s="48" t="n">
        <x:f>Model_Data!Q72</x:f>
        <x:v>32.03904160828744</x:v>
      </x:c>
      <x:c r="T72" s="48" t="n">
        <x:f>Model_Data!AN72</x:f>
        <x:v>33.194082540664404</x:v>
      </x:c>
      <x:c r="U72" s="49"/>
      <x:c r="V72" s="48" t="n">
        <x:f>Model_Data!A72</x:f>
        <x:v>-25</x:v>
      </x:c>
      <x:c r="W72" s="48" t="n">
        <x:f>Model_Data!B72-Inputs!$C$5</x:f>
        <x:v>0.6944444444444571</x:v>
      </x:c>
      <x:c r="X72" s="49"/>
      <x:c r="Y72" s="48" t="n">
        <x:f>Model_Data!A72</x:f>
        <x:v>-25</x:v>
      </x:c>
      <x:c r="Z72" s="48" t="n">
        <x:f>0</x:f>
        <x:v>0</x:v>
      </x:c>
      <x:c r="AA72" s="48" t="n">
        <x:f>((SQRT((Inputs!$C$52+Inputs!$C$5)^2+Inputs!$C$52^2-2*(Inputs!$C$52+Inputs!$C$5)*Inputs!$C$52*COS(SQRT((Model_Data!A72)^2+Inputs!$C$6^2)/Inputs!$C$52))-Inputs!$C$5)*1000/Inputs!$C$12)</x:f>
        <x:v>1100.033284253411</x:v>
      </x:c>
      <x:c r="AB72" s="48" t="n">
        <x:f>Model_Data!F72</x:f>
        <x:v>1098.5240528424165</x:v>
      </x:c>
    </x:row>
    <x:row r="73">
      <x:c r="A73" s="48" t="n">
        <x:f>Model_Data!A73</x:f>
        <x:v>-24.5</x:v>
      </x:c>
      <x:c r="B73" s="48" t="n">
        <x:f>0</x:f>
        <x:v>0</x:v>
      </x:c>
      <x:c r="C73" s="48" t="n">
        <x:f>((SQRT((Inputs!$C$52+Inputs!$C$5)^2+Inputs!$C$52^2-2*(Inputs!$C$52+Inputs!$C$5)*Inputs!$C$52*COS(SQRT((Model_Data!A73)^2+Inputs!$C$6^2)/Inputs!$C$52))-Inputs!$C$5)*1000/Inputs!$C$12)</x:f>
        <x:v>1078.3055406969088</x:v>
      </x:c>
      <x:c r="D73" s="48" t="n">
        <x:f>Model_Data!F73</x:f>
        <x:v>1076.8844536568934</x:v>
      </x:c>
      <x:c r="E73" s="48" t="n">
        <x:f>Model_Data!AC73</x:f>
        <x:v>858.6523869969701</x:v>
      </x:c>
      <x:c r="F73" s="49"/>
      <x:c r="G73" s="48" t="n">
        <x:f>Model_Data!A73</x:f>
        <x:v>-24.5</x:v>
      </x:c>
      <x:c r="H73" s="48" t="n">
        <x:f>0</x:f>
        <x:v>0</x:v>
      </x:c>
      <x:c r="I73" s="48" t="n">
        <x:f>Model_Data!Y73</x:f>
        <x:v>276.49363528949897</x:v>
      </x:c>
      <x:c r="J73" s="48" t="n">
        <x:f>Model_Data!X73</x:f>
        <x:v>-113.61582851930044</x:v>
      </x:c>
      <x:c r="K73" s="48" t="n">
        <x:f>Model_Data!A73</x:f>
        <x:v>-24.5</x:v>
      </x:c>
      <x:c r="L73" s="48" t="n">
        <x:f>Model_Data!Y73</x:f>
        <x:v>276.49363528949897</x:v>
      </x:c>
      <x:c r="M73" s="48" t="n">
        <x:f>Model_Data!X73</x:f>
        <x:v>-113.61582851930044</x:v>
      </x:c>
      <x:c r="N73" s="48" t="n">
        <x:f>-(Model_Data!AC73-Model_Data!F73)*Inputs!$C$12</x:f>
        <x:v>388.4530786546634</x:v>
      </x:c>
      <x:c r="O73" s="49"/>
      <x:c r="P73" s="48" t="n">
        <x:f>Model_Data!A73</x:f>
        <x:v>-24.5</x:v>
      </x:c>
      <x:c r="Q73" s="48" t="n">
        <x:f>Model_Data!P73</x:f>
        <x:v>209.13753414824896</x:v>
      </x:c>
      <x:c r="R73" s="48" t="n">
        <x:f>Model_Data!AM73</x:f>
        <x:v>222.45043993452782</x:v>
      </x:c>
      <x:c r="S73" s="48" t="n">
        <x:f>Model_Data!Q73</x:f>
        <x:v>31.402032154391737</x:v>
      </x:c>
      <x:c r="T73" s="48" t="n">
        <x:f>Model_Data!AN73</x:f>
        <x:v>33.40096695713631</x:v>
      </x:c>
      <x:c r="U73" s="49"/>
      <x:c r="V73" s="48" t="n">
        <x:f>Model_Data!A73</x:f>
        <x:v>-24.5</x:v>
      </x:c>
      <x:c r="W73" s="48" t="n">
        <x:f>Model_Data!B73-Inputs!$C$5</x:f>
        <x:v>0.6669444444444252</x:v>
      </x:c>
      <x:c r="X73" s="49"/>
      <x:c r="Y73" s="48" t="n">
        <x:f>Model_Data!A73</x:f>
        <x:v>-24.5</x:v>
      </x:c>
      <x:c r="Z73" s="48" t="n">
        <x:f>0</x:f>
        <x:v>0</x:v>
      </x:c>
      <x:c r="AA73" s="48" t="n">
        <x:f>((SQRT((Inputs!$C$52+Inputs!$C$5)^2+Inputs!$C$52^2-2*(Inputs!$C$52+Inputs!$C$5)*Inputs!$C$52*COS(SQRT((Model_Data!A73)^2+Inputs!$C$6^2)/Inputs!$C$52))-Inputs!$C$5)*1000/Inputs!$C$12)</x:f>
        <x:v>1078.3055406969088</x:v>
      </x:c>
      <x:c r="AB73" s="48" t="n">
        <x:f>Model_Data!F73</x:f>
        <x:v>1076.8844536568934</x:v>
      </x:c>
    </x:row>
    <x:row r="74">
      <x:c r="A74" s="48" t="n">
        <x:f>Model_Data!A74</x:f>
        <x:v>-24</x:v>
      </x:c>
      <x:c r="B74" s="48" t="n">
        <x:f>0</x:f>
        <x:v>0</x:v>
      </x:c>
      <x:c r="C74" s="48" t="n">
        <x:f>((SQRT((Inputs!$C$52+Inputs!$C$5)^2+Inputs!$C$52^2-2*(Inputs!$C$52+Inputs!$C$5)*Inputs!$C$52*COS(SQRT((Model_Data!A74)^2+Inputs!$C$6^2)/Inputs!$C$52))-Inputs!$C$5)*1000/Inputs!$C$12)</x:f>
        <x:v>1057.0146777139</x:v>
      </x:c>
      <x:c r="D74" s="48" t="n">
        <x:f>Model_Data!F74</x:f>
        <x:v>1055.6776964389417</x:v>
      </x:c>
      <x:c r="E74" s="48" t="n">
        <x:f>Model_Data!AC74</x:f>
        <x:v>843.0427302732248</x:v>
      </x:c>
      <x:c r="F74" s="49"/>
      <x:c r="G74" s="48" t="n">
        <x:f>Model_Data!A74</x:f>
        <x:v>-24</x:v>
      </x:c>
      <x:c r="H74" s="48" t="n">
        <x:f>0</x:f>
        <x:v>0</x:v>
      </x:c>
      <x:c r="I74" s="48" t="n">
        <x:f>Model_Data!Y74</x:f>
        <x:v>268.5791759815676</x:v>
      </x:c>
      <x:c r="J74" s="48" t="n">
        <x:f>Model_Data!X74</x:f>
        <x:v>-111.48853690711687</x:v>
      </x:c>
      <x:c r="K74" s="48" t="n">
        <x:f>Model_Data!A74</x:f>
        <x:v>-24</x:v>
      </x:c>
      <x:c r="L74" s="48" t="n">
        <x:f>Model_Data!Y74</x:f>
        <x:v>268.5791759815676</x:v>
      </x:c>
      <x:c r="M74" s="48" t="n">
        <x:f>Model_Data!X74</x:f>
        <x:v>-111.48853690711687</x:v>
      </x:c>
      <x:c r="N74" s="48" t="n">
        <x:f>-(Model_Data!AC74-Model_Data!F74)*Inputs!$C$12</x:f>
        <x:v>378.490239774976</x:v>
      </x:c>
      <x:c r="O74" s="49"/>
      <x:c r="P74" s="48" t="n">
        <x:f>Model_Data!A74</x:f>
        <x:v>-24</x:v>
      </x:c>
      <x:c r="Q74" s="48" t="n">
        <x:f>Model_Data!P74</x:f>
        <x:v>204.89354065312</x:v>
      </x:c>
      <x:c r="R74" s="48" t="n">
        <x:f>Model_Data!AM74</x:f>
        <x:v>200.92529767707674</x:v>
      </x:c>
      <x:c r="S74" s="48" t="n">
        <x:f>Model_Data!Q74</x:f>
        <x:v>30.764795893861866</x:v>
      </x:c>
      <x:c r="T74" s="48" t="n">
        <x:f>Model_Data!AN74</x:f>
        <x:v>30.16896361517669</x:v>
      </x:c>
      <x:c r="U74" s="49"/>
      <x:c r="V74" s="48" t="n">
        <x:f>Model_Data!A74</x:f>
        <x:v>-24</x:v>
      </x:c>
      <x:c r="W74" s="48" t="n">
        <x:f>Model_Data!B74-Inputs!$C$5</x:f>
        <x:v>0.6399999999999864</x:v>
      </x:c>
      <x:c r="X74" s="49"/>
      <x:c r="Y74" s="48" t="n">
        <x:f>Model_Data!A74</x:f>
        <x:v>-24</x:v>
      </x:c>
      <x:c r="Z74" s="48" t="n">
        <x:f>0</x:f>
        <x:v>0</x:v>
      </x:c>
      <x:c r="AA74" s="48" t="n">
        <x:f>((SQRT((Inputs!$C$52+Inputs!$C$5)^2+Inputs!$C$52^2-2*(Inputs!$C$52+Inputs!$C$5)*Inputs!$C$52*COS(SQRT((Model_Data!A74)^2+Inputs!$C$6^2)/Inputs!$C$52))-Inputs!$C$5)*1000/Inputs!$C$12)</x:f>
        <x:v>1057.0146777139</x:v>
      </x:c>
      <x:c r="AB74" s="48" t="n">
        <x:f>Model_Data!F74</x:f>
        <x:v>1055.6776964389417</x:v>
      </x:c>
    </x:row>
    <x:row r="75">
      <x:c r="A75" s="48" t="n">
        <x:f>Model_Data!A75</x:f>
        <x:v>-23.5</x:v>
      </x:c>
      <x:c r="B75" s="48" t="n">
        <x:f>0</x:f>
        <x:v>0</x:v>
      </x:c>
      <x:c r="C75" s="48" t="n">
        <x:f>((SQRT((Inputs!$C$52+Inputs!$C$5)^2+Inputs!$C$52^2-2*(Inputs!$C$52+Inputs!$C$5)*Inputs!$C$52*COS(SQRT((Model_Data!A75)^2+Inputs!$C$6^2)/Inputs!$C$52))-Inputs!$C$5)*1000/Inputs!$C$12)</x:f>
        <x:v>1036.1608210971144</x:v>
      </x:c>
      <x:c r="D75" s="48" t="n">
        <x:f>Model_Data!F75</x:f>
        <x:v>1034.9040437833773</x:v>
      </x:c>
      <x:c r="E75" s="48" t="n">
        <x:f>Model_Data!AC75</x:f>
        <x:v>811.3036357936002</x:v>
      </x:c>
      <x:c r="F75" s="49"/>
      <x:c r="G75" s="48" t="n">
        <x:f>Model_Data!A75</x:f>
        <x:v>-23.5</x:v>
      </x:c>
      <x:c r="H75" s="48" t="n">
        <x:f>0</x:f>
        <x:v>0</x:v>
      </x:c>
      <x:c r="I75" s="48" t="n">
        <x:f>Model_Data!Y75</x:f>
        <x:v>273.93459884711217</x:v>
      </x:c>
      <x:c r="J75" s="48" t="n">
        <x:f>Model_Data!X75</x:f>
        <x:v>-125.65162794647964</x:v>
      </x:c>
      <x:c r="K75" s="48" t="n">
        <x:f>Model_Data!A75</x:f>
        <x:v>-23.5</x:v>
      </x:c>
      <x:c r="L75" s="48" t="n">
        <x:f>Model_Data!Y75</x:f>
        <x:v>273.93459884711217</x:v>
      </x:c>
      <x:c r="M75" s="48" t="n">
        <x:f>Model_Data!X75</x:f>
        <x:v>-125.65162794647964</x:v>
      </x:c>
      <x:c r="N75" s="48" t="n">
        <x:f>-(Model_Data!AC75-Model_Data!F75)*Inputs!$C$12</x:f>
        <x:v>398.0087262218034</x:v>
      </x:c>
      <x:c r="O75" s="49"/>
      <x:c r="P75" s="48" t="n">
        <x:f>Model_Data!A75</x:f>
        <x:v>-23.5</x:v>
      </x:c>
      <x:c r="Q75" s="48" t="n">
        <x:f>Model_Data!P75</x:f>
        <x:v>200.64806626696736</x:v>
      </x:c>
      <x:c r="R75" s="48" t="n">
        <x:f>Model_Data!AM75</x:f>
        <x:v>218.20922536780927</x:v>
      </x:c>
      <x:c r="S75" s="48" t="n">
        <x:f>Model_Data!Q75</x:f>
        <x:v>30.12733727732243</x:v>
      </x:c>
      <x:c r="T75" s="48" t="n">
        <x:f>Model_Data!AN75</x:f>
        <x:v>32.764147953124514</x:v>
      </x:c>
      <x:c r="U75" s="49"/>
      <x:c r="V75" s="48" t="n">
        <x:f>Model_Data!A75</x:f>
        <x:v>-23.5</x:v>
      </x:c>
      <x:c r="W75" s="48" t="n">
        <x:f>Model_Data!B75-Inputs!$C$5</x:f>
        <x:v>0.6136111111110836</x:v>
      </x:c>
      <x:c r="X75" s="49"/>
      <x:c r="Y75" s="48" t="n">
        <x:f>Model_Data!A75</x:f>
        <x:v>-23.5</x:v>
      </x:c>
      <x:c r="Z75" s="48" t="n">
        <x:f>0</x:f>
        <x:v>0</x:v>
      </x:c>
      <x:c r="AA75" s="48" t="n">
        <x:f>((SQRT((Inputs!$C$52+Inputs!$C$5)^2+Inputs!$C$52^2-2*(Inputs!$C$52+Inputs!$C$5)*Inputs!$C$52*COS(SQRT((Model_Data!A75)^2+Inputs!$C$6^2)/Inputs!$C$52))-Inputs!$C$5)*1000/Inputs!$C$12)</x:f>
        <x:v>1036.1608210971144</x:v>
      </x:c>
      <x:c r="AB75" s="48" t="n">
        <x:f>Model_Data!F75</x:f>
        <x:v>1034.9040437833773</x:v>
      </x:c>
    </x:row>
    <x:row r="76">
      <x:c r="A76" s="48" t="n">
        <x:f>Model_Data!A76</x:f>
        <x:v>-23</x:v>
      </x:c>
      <x:c r="B76" s="48" t="n">
        <x:f>0</x:f>
        <x:v>0</x:v>
      </x:c>
      <x:c r="C76" s="48" t="n">
        <x:f>((SQRT((Inputs!$C$52+Inputs!$C$5)^2+Inputs!$C$52^2-2*(Inputs!$C$52+Inputs!$C$5)*Inputs!$C$52*COS(SQRT((Model_Data!A76)^2+Inputs!$C$6^2)/Inputs!$C$52))-Inputs!$C$5)*1000/Inputs!$C$12)</x:f>
        <x:v>1015.7440940999775</x:v>
      </x:c>
      <x:c r="D76" s="48" t="n">
        <x:f>Model_Data!F76</x:f>
        <x:v>1014.5637530711654</x:v>
      </x:c>
      <x:c r="E76" s="48" t="n">
        <x:f>Model_Data!AC76</x:f>
        <x:v>783.9327322012089</x:v>
      </x:c>
      <x:c r="F76" s="49"/>
      <x:c r="G76" s="48" t="n">
        <x:f>Model_Data!A76</x:f>
        <x:v>-23</x:v>
      </x:c>
      <x:c r="H76" s="48" t="n">
        <x:f>0</x:f>
        <x:v>0</x:v>
      </x:c>
      <x:c r="I76" s="48" t="n">
        <x:f>Model_Data!Y76</x:f>
        <x:v>279.55588840773</x:v>
      </x:c>
      <x:c r="J76" s="48" t="n">
        <x:f>Model_Data!X76</x:f>
        <x:v>-132.5457898426781</x:v>
      </x:c>
      <x:c r="K76" s="48" t="n">
        <x:f>Model_Data!A76</x:f>
        <x:v>-23</x:v>
      </x:c>
      <x:c r="L76" s="48" t="n">
        <x:f>Model_Data!Y76</x:f>
        <x:v>279.55588840773</x:v>
      </x:c>
      <x:c r="M76" s="48" t="n">
        <x:f>Model_Data!X76</x:f>
        <x:v>-132.5457898426781</x:v>
      </x:c>
      <x:c r="N76" s="48" t="n">
        <x:f>-(Model_Data!AC76-Model_Data!F76)*Inputs!$C$12</x:f>
        <x:v>410.5232171485226</x:v>
      </x:c>
      <x:c r="O76" s="49"/>
      <x:c r="P76" s="48" t="n">
        <x:f>Model_Data!A76</x:f>
        <x:v>-23</x:v>
      </x:c>
      <x:c r="Q76" s="48" t="n">
        <x:f>Model_Data!P76</x:f>
        <x:v>196.40114070170966</x:v>
      </x:c>
      <x:c r="R76" s="48" t="n">
        <x:f>Model_Data!AM76</x:f>
        <x:v>216.80914002981808</x:v>
      </x:c>
      <x:c r="S76" s="48" t="n">
        <x:f>Model_Data!Q76</x:f>
        <x:v>29.489660766022475</x:v>
      </x:c>
      <x:c r="T76" s="48" t="n">
        <x:f>Model_Data!AN76</x:f>
        <x:v>32.553924929402115</x:v>
      </x:c>
      <x:c r="U76" s="49"/>
      <x:c r="V76" s="48" t="n">
        <x:f>Model_Data!A76</x:f>
        <x:v>-23</x:v>
      </x:c>
      <x:c r="W76" s="48" t="n">
        <x:f>Model_Data!B76-Inputs!$C$5</x:f>
        <x:v>0.5877777777777737</x:v>
      </x:c>
      <x:c r="X76" s="49"/>
      <x:c r="Y76" s="48" t="n">
        <x:f>Model_Data!A76</x:f>
        <x:v>-23</x:v>
      </x:c>
      <x:c r="Z76" s="48" t="n">
        <x:f>0</x:f>
        <x:v>0</x:v>
      </x:c>
      <x:c r="AA76" s="48" t="n">
        <x:f>((SQRT((Inputs!$C$52+Inputs!$C$5)^2+Inputs!$C$52^2-2*(Inputs!$C$52+Inputs!$C$5)*Inputs!$C$52*COS(SQRT((Model_Data!A76)^2+Inputs!$C$6^2)/Inputs!$C$52))-Inputs!$C$5)*1000/Inputs!$C$12)</x:f>
        <x:v>1015.7440940999775</x:v>
      </x:c>
      <x:c r="AB76" s="48" t="n">
        <x:f>Model_Data!F76</x:f>
        <x:v>1014.5637530711654</x:v>
      </x:c>
    </x:row>
    <x:row r="77">
      <x:c r="A77" s="48" t="n">
        <x:f>Model_Data!A77</x:f>
        <x:v>-22.5</x:v>
      </x:c>
      <x:c r="B77" s="48" t="n">
        <x:f>0</x:f>
        <x:v>0</x:v>
      </x:c>
      <x:c r="C77" s="48" t="n">
        <x:f>((SQRT((Inputs!$C$52+Inputs!$C$5)^2+Inputs!$C$52^2-2*(Inputs!$C$52+Inputs!$C$5)*Inputs!$C$52*COS(SQRT((Model_Data!A77)^2+Inputs!$C$6^2)/Inputs!$C$52))-Inputs!$C$5)*1000/Inputs!$C$12)</x:f>
        <x:v>995.7646174390374</x:v>
      </x:c>
      <x:c r="D77" s="48" t="n">
        <x:f>Model_Data!F77</x:f>
        <x:v>994.6570764645656</x:v>
      </x:c>
      <x:c r="E77" s="48" t="n">
        <x:f>Model_Data!AC77</x:f>
        <x:v>756.7879503186583</x:v>
      </x:c>
      <x:c r="F77" s="49"/>
      <x:c r="G77" s="48" t="n">
        <x:f>Model_Data!A77</x:f>
        <x:v>-22.5</x:v>
      </x:c>
      <x:c r="H77" s="48" t="n">
        <x:f>0</x:f>
        <x:v>0</x:v>
      </x:c>
      <x:c r="I77" s="48" t="n">
        <x:f>Model_Data!Y77</x:f>
        <x:v>286.69936407981004</x:v>
      </x:c>
      <x:c r="J77" s="48" t="n">
        <x:f>Model_Data!X77</x:f>
        <x:v>-138.29494668428998</x:v>
      </x:c>
      <x:c r="K77" s="48" t="n">
        <x:f>Model_Data!A77</x:f>
        <x:v>-22.5</x:v>
      </x:c>
      <x:c r="L77" s="48" t="n">
        <x:f>Model_Data!Y77</x:f>
        <x:v>286.69936407981004</x:v>
      </x:c>
      <x:c r="M77" s="48" t="n">
        <x:f>Model_Data!X77</x:f>
        <x:v>-138.29494668428998</x:v>
      </x:c>
      <x:c r="N77" s="48" t="n">
        <x:f>-(Model_Data!AC77-Model_Data!F77)*Inputs!$C$12</x:f>
        <x:v>423.40704453971506</x:v>
      </x:c>
      <x:c r="O77" s="49"/>
      <x:c r="P77" s="48" t="n">
        <x:f>Model_Data!A77</x:f>
        <x:v>-22.5</x:v>
      </x:c>
      <x:c r="Q77" s="48" t="n">
        <x:f>Model_Data!P77</x:f>
        <x:v>192.15279373456724</x:v>
      </x:c>
      <x:c r="R77" s="48" t="n">
        <x:f>Model_Data!AM77</x:f>
        <x:v>251.21183481469416</x:v>
      </x:c>
      <x:c r="S77" s="48" t="n">
        <x:f>Model_Data!Q77</x:f>
        <x:v>28.851770831016104</x:v>
      </x:c>
      <x:c r="T77" s="48" t="n">
        <x:f>Model_Data!AN77</x:f>
        <x:v>37.71949471692105</x:v>
      </x:c>
      <x:c r="U77" s="49"/>
      <x:c r="V77" s="48" t="n">
        <x:f>Model_Data!A77</x:f>
        <x:v>-22.5</x:v>
      </x:c>
      <x:c r="W77" s="48" t="n">
        <x:f>Model_Data!B77-Inputs!$C$5</x:f>
        <x:v>0.5625</x:v>
      </x:c>
      <x:c r="X77" s="49"/>
      <x:c r="Y77" s="48" t="n">
        <x:f>Model_Data!A77</x:f>
        <x:v>-22.5</x:v>
      </x:c>
      <x:c r="Z77" s="48" t="n">
        <x:f>0</x:f>
        <x:v>0</x:v>
      </x:c>
      <x:c r="AA77" s="48" t="n">
        <x:f>((SQRT((Inputs!$C$52+Inputs!$C$5)^2+Inputs!$C$52^2-2*(Inputs!$C$52+Inputs!$C$5)*Inputs!$C$52*COS(SQRT((Model_Data!A77)^2+Inputs!$C$6^2)/Inputs!$C$52))-Inputs!$C$5)*1000/Inputs!$C$12)</x:f>
        <x:v>995.7646174390374</x:v>
      </x:c>
      <x:c r="AB77" s="48" t="n">
        <x:f>Model_Data!F77</x:f>
        <x:v>994.6570764645656</x:v>
      </x:c>
    </x:row>
    <x:row r="78">
      <x:c r="A78" s="48" t="n">
        <x:f>Model_Data!A78</x:f>
        <x:v>-22</x:v>
      </x:c>
      <x:c r="B78" s="48" t="n">
        <x:f>0</x:f>
        <x:v>0</x:v>
      </x:c>
      <x:c r="C78" s="48" t="n">
        <x:f>((SQRT((Inputs!$C$52+Inputs!$C$5)^2+Inputs!$C$52^2-2*(Inputs!$C$52+Inputs!$C$5)*Inputs!$C$52*COS(SQRT((Model_Data!A78)^2+Inputs!$C$6^2)/Inputs!$C$52))-Inputs!$C$5)*1000/Inputs!$C$12)</x:f>
        <x:v>976.222509285854</x:v>
      </x:c>
      <x:c r="D78" s="48" t="n">
        <x:f>Model_Data!F78</x:f>
        <x:v>975.1842608890905</x:v>
      </x:c>
      <x:c r="E78" s="48" t="n">
        <x:f>Model_Data!AC78</x:f>
        <x:v>717.3255213802904</x:v>
      </x:c>
      <x:c r="F78" s="49"/>
      <x:c r="G78" s="48" t="n">
        <x:f>Model_Data!A78</x:f>
        <x:v>-22</x:v>
      </x:c>
      <x:c r="H78" s="48" t="n">
        <x:f>0</x:f>
        <x:v>0</x:v>
      </x:c>
      <x:c r="I78" s="48" t="n">
        <x:f>Model_Data!Y78</x:f>
        <x:v>316.60820817766927</x:v>
      </x:c>
      <x:c r="J78" s="48" t="n">
        <x:f>Model_Data!X78</x:f>
        <x:v>-144.0992283446906</x:v>
      </x:c>
      <x:c r="K78" s="48" t="n">
        <x:f>Model_Data!A78</x:f>
        <x:v>-22</x:v>
      </x:c>
      <x:c r="L78" s="48" t="n">
        <x:f>Model_Data!Y78</x:f>
        <x:v>316.60820817766927</x:v>
      </x:c>
      <x:c r="M78" s="48" t="n">
        <x:f>Model_Data!X78</x:f>
        <x:v>-144.0992283446906</x:v>
      </x:c>
      <x:c r="N78" s="48" t="n">
        <x:f>-(Model_Data!AC78-Model_Data!F78)*Inputs!$C$12</x:f>
        <x:v>458.9885563256642</x:v>
      </x:c>
      <x:c r="O78" s="49"/>
      <x:c r="P78" s="48" t="n">
        <x:f>Model_Data!A78</x:f>
        <x:v>-22</x:v>
      </x:c>
      <x:c r="Q78" s="48" t="n">
        <x:f>Model_Data!P78</x:f>
        <x:v>187.90305521988557</x:v>
      </x:c>
      <x:c r="R78" s="48" t="n">
        <x:f>Model_Data!AM78</x:f>
        <x:v>260.81096796797283</x:v>
      </x:c>
      <x:c r="S78" s="48" t="n">
        <x:f>Model_Data!Q78</x:f>
        <x:v>28.213671954937777</x:v>
      </x:c>
      <x:c r="T78" s="48" t="n">
        <x:f>Model_Data!AN78</x:f>
        <x:v>39.16080600119712</x:v>
      </x:c>
      <x:c r="U78" s="49"/>
      <x:c r="V78" s="48" t="n">
        <x:f>Model_Data!A78</x:f>
        <x:v>-22</x:v>
      </x:c>
      <x:c r="W78" s="48" t="n">
        <x:f>Model_Data!B78-Inputs!$C$5</x:f>
        <x:v>0.5377777777777624</x:v>
      </x:c>
      <x:c r="X78" s="49"/>
      <x:c r="Y78" s="48" t="n">
        <x:f>Model_Data!A78</x:f>
        <x:v>-22</x:v>
      </x:c>
      <x:c r="Z78" s="48" t="n">
        <x:f>0</x:f>
        <x:v>0</x:v>
      </x:c>
      <x:c r="AA78" s="48" t="n">
        <x:f>((SQRT((Inputs!$C$52+Inputs!$C$5)^2+Inputs!$C$52^2-2*(Inputs!$C$52+Inputs!$C$5)*Inputs!$C$52*COS(SQRT((Model_Data!A78)^2+Inputs!$C$6^2)/Inputs!$C$52))-Inputs!$C$5)*1000/Inputs!$C$12)</x:f>
        <x:v>976.222509285854</x:v>
      </x:c>
      <x:c r="AB78" s="48" t="n">
        <x:f>Model_Data!F78</x:f>
        <x:v>975.1842608890905</x:v>
      </x:c>
    </x:row>
    <x:row r="79">
      <x:c r="A79" s="48" t="n">
        <x:f>Model_Data!A79</x:f>
        <x:v>-21.5</x:v>
      </x:c>
      <x:c r="B79" s="48" t="n">
        <x:f>0</x:f>
        <x:v>0</x:v>
      </x:c>
      <x:c r="C79" s="48" t="n">
        <x:f>((SQRT((Inputs!$C$52+Inputs!$C$5)^2+Inputs!$C$52^2-2*(Inputs!$C$52+Inputs!$C$5)*Inputs!$C$52*COS(SQRT((Model_Data!A79)^2+Inputs!$C$6^2)/Inputs!$C$52))-Inputs!$C$5)*1000/Inputs!$C$12)</x:f>
        <x:v>957.1178852667437</x:v>
      </x:c>
      <x:c r="D79" s="48" t="n">
        <x:f>Model_Data!F79</x:f>
        <x:v>956.1455480243712</x:v>
      </x:c>
      <x:c r="E79" s="48" t="n">
        <x:f>Model_Data!AC79</x:f>
        <x:v>682.2050471951474</x:v>
      </x:c>
      <x:c r="F79" s="49"/>
      <x:c r="G79" s="48" t="n">
        <x:f>Model_Data!A79</x:f>
        <x:v>-21.5</x:v>
      </x:c>
      <x:c r="H79" s="48" t="n">
        <x:f>0</x:f>
        <x:v>0</x:v>
      </x:c>
      <x:c r="I79" s="48" t="n">
        <x:f>Model_Data!Y79</x:f>
        <x:v>332.44947759769417</x:v>
      </x:c>
      <x:c r="J79" s="48" t="n">
        <x:f>Model_Data!X79</x:f>
        <x:v>-156.9345481530768</x:v>
      </x:c>
      <x:c r="K79" s="48" t="n">
        <x:f>Model_Data!A79</x:f>
        <x:v>-21.5</x:v>
      </x:c>
      <x:c r="L79" s="48" t="n">
        <x:f>Model_Data!Y79</x:f>
        <x:v>332.44947759769417</x:v>
      </x:c>
      <x:c r="M79" s="48" t="n">
        <x:f>Model_Data!X79</x:f>
        <x:v>-156.9345481530768</x:v>
      </x:c>
      <x:c r="N79" s="48" t="n">
        <x:f>-(Model_Data!AC79-Model_Data!F79)*Inputs!$C$12</x:f>
        <x:v>487.61409147601853</x:v>
      </x:c>
      <x:c r="O79" s="49"/>
      <x:c r="P79" s="48" t="n">
        <x:f>Model_Data!A79</x:f>
        <x:v>-21.5</x:v>
      </x:c>
      <x:c r="Q79" s="48" t="n">
        <x:f>Model_Data!P79</x:f>
        <x:v>183.65195507121825</x:v>
      </x:c>
      <x:c r="R79" s="48" t="n">
        <x:f>Model_Data!AM79</x:f>
        <x:v>185.84239228039223</x:v>
      </x:c>
      <x:c r="S79" s="48" t="n">
        <x:f>Model_Data!Q79</x:f>
        <x:v>27.575368629312052</x:v>
      </x:c>
      <x:c r="T79" s="48" t="n">
        <x:f>Model_Data!AN79</x:f>
        <x:v>27.904263105164002</x:v>
      </x:c>
      <x:c r="U79" s="49"/>
      <x:c r="V79" s="48" t="n">
        <x:f>Model_Data!A79</x:f>
        <x:v>-21.5</x:v>
      </x:c>
      <x:c r="W79" s="48" t="n">
        <x:f>Model_Data!B79-Inputs!$C$5</x:f>
        <x:v>0.5136111111111177</x:v>
      </x:c>
      <x:c r="X79" s="49"/>
      <x:c r="Y79" s="48" t="n">
        <x:f>Model_Data!A79</x:f>
        <x:v>-21.5</x:v>
      </x:c>
      <x:c r="Z79" s="48" t="n">
        <x:f>0</x:f>
        <x:v>0</x:v>
      </x:c>
      <x:c r="AA79" s="48" t="n">
        <x:f>((SQRT((Inputs!$C$52+Inputs!$C$5)^2+Inputs!$C$52^2-2*(Inputs!$C$52+Inputs!$C$5)*Inputs!$C$52*COS(SQRT((Model_Data!A79)^2+Inputs!$C$6^2)/Inputs!$C$52))-Inputs!$C$5)*1000/Inputs!$C$12)</x:f>
        <x:v>957.1178852667437</x:v>
      </x:c>
      <x:c r="AB79" s="48" t="n">
        <x:f>Model_Data!F79</x:f>
        <x:v>956.1455480243712</x:v>
      </x:c>
    </x:row>
    <x:row r="80">
      <x:c r="A80" s="48" t="n">
        <x:f>Model_Data!A80</x:f>
        <x:v>-21</x:v>
      </x:c>
      <x:c r="B80" s="48" t="n">
        <x:f>0</x:f>
        <x:v>0</x:v>
      </x:c>
      <x:c r="C80" s="48" t="n">
        <x:f>((SQRT((Inputs!$C$52+Inputs!$C$5)^2+Inputs!$C$52^2-2*(Inputs!$C$52+Inputs!$C$5)*Inputs!$C$52*COS(SQRT((Model_Data!A80)^2+Inputs!$C$6^2)/Inputs!$C$52))-Inputs!$C$5)*1000/Inputs!$C$12)</x:f>
        <x:v>938.450858456998</x:v>
      </x:c>
      <x:c r="D80" s="48" t="n">
        <x:f>Model_Data!F80</x:f>
        <x:v>937.5411742925972</x:v>
      </x:c>
      <x:c r="E80" s="48" t="n">
        <x:f>Model_Data!AC80</x:f>
        <x:v>679.880330945034</x:v>
      </x:c>
      <x:c r="F80" s="49"/>
      <x:c r="G80" s="48" t="n">
        <x:f>Model_Data!A80</x:f>
        <x:v>-21</x:v>
      </x:c>
      <x:c r="H80" s="48" t="n">
        <x:f>0</x:f>
        <x:v>0</x:v>
      </x:c>
      <x:c r="I80" s="48" t="n">
        <x:f>Model_Data!Y80</x:f>
        <x:v>317.91812880175183</x:v>
      </x:c>
      <x:c r="J80" s="48" t="n">
        <x:f>Model_Data!X80</x:f>
        <x:v>-142.37794992196604</x:v>
      </x:c>
      <x:c r="K80" s="48" t="n">
        <x:f>Model_Data!A80</x:f>
        <x:v>-21</x:v>
      </x:c>
      <x:c r="L80" s="48" t="n">
        <x:f>Model_Data!Y80</x:f>
        <x:v>317.91812880175183</x:v>
      </x:c>
      <x:c r="M80" s="48" t="n">
        <x:f>Model_Data!X80</x:f>
        <x:v>-142.37794992196604</x:v>
      </x:c>
      <x:c r="N80" s="48" t="n">
        <x:f>-(Model_Data!AC80-Model_Data!F80)*Inputs!$C$12</x:f>
        <x:v>458.63630115866266</x:v>
      </x:c>
      <x:c r="O80" s="49"/>
      <x:c r="P80" s="48" t="n">
        <x:f>Model_Data!A80</x:f>
        <x:v>-21</x:v>
      </x:c>
      <x:c r="Q80" s="48" t="n">
        <x:f>Model_Data!P80</x:f>
        <x:v>179.3995232830639</x:v>
      </x:c>
      <x:c r="R80" s="48" t="n">
        <x:f>Model_Data!AM80</x:f>
        <x:v>196.90678698616466</x:v>
      </x:c>
      <x:c r="S80" s="48" t="n">
        <x:f>Model_Data!Q80</x:f>
        <x:v>26.936865357817403</x:v>
      </x:c>
      <x:c r="T80" s="48" t="n">
        <x:f>Model_Data!AN80</x:f>
        <x:v>29.565583631556258</x:v>
      </x:c>
      <x:c r="U80" s="49"/>
      <x:c r="V80" s="48" t="n">
        <x:f>Model_Data!A80</x:f>
        <x:v>-21</x:v>
      </x:c>
      <x:c r="W80" s="48" t="n">
        <x:f>Model_Data!B80-Inputs!$C$5</x:f>
        <x:v>0.4900000000000091</x:v>
      </x:c>
      <x:c r="X80" s="49"/>
      <x:c r="Y80" s="48" t="n">
        <x:f>Model_Data!A80</x:f>
        <x:v>-21</x:v>
      </x:c>
      <x:c r="Z80" s="48" t="n">
        <x:f>0</x:f>
        <x:v>0</x:v>
      </x:c>
      <x:c r="AA80" s="48" t="n">
        <x:f>((SQRT((Inputs!$C$52+Inputs!$C$5)^2+Inputs!$C$52^2-2*(Inputs!$C$52+Inputs!$C$5)*Inputs!$C$52*COS(SQRT((Model_Data!A80)^2+Inputs!$C$6^2)/Inputs!$C$52))-Inputs!$C$5)*1000/Inputs!$C$12)</x:f>
        <x:v>938.450858456998</x:v>
      </x:c>
      <x:c r="AB80" s="48" t="n">
        <x:f>Model_Data!F80</x:f>
        <x:v>937.5411742925972</x:v>
      </x:c>
    </x:row>
    <x:row r="81">
      <x:c r="A81" s="48" t="n">
        <x:f>Model_Data!A81</x:f>
        <x:v>-20.5</x:v>
      </x:c>
      <x:c r="B81" s="48" t="n">
        <x:f>0</x:f>
        <x:v>0</x:v>
      </x:c>
      <x:c r="C81" s="48" t="n">
        <x:f>((SQRT((Inputs!$C$52+Inputs!$C$5)^2+Inputs!$C$52^2-2*(Inputs!$C$52+Inputs!$C$5)*Inputs!$C$52*COS(SQRT((Model_Data!A81)^2+Inputs!$C$6^2)/Inputs!$C$52))-Inputs!$C$5)*1000/Inputs!$C$12)</x:f>
        <x:v>920.2215393788732</x:v>
      </x:c>
      <x:c r="D81" s="48" t="n">
        <x:f>Model_Data!F81</x:f>
        <x:v>919.3713708416556</x:v>
      </x:c>
      <x:c r="E81" s="48" t="n">
        <x:f>Model_Data!AC81</x:f>
        <x:v>648.4879729465623</x:v>
      </x:c>
      <x:c r="F81" s="49"/>
      <x:c r="G81" s="48" t="n">
        <x:f>Model_Data!A81</x:f>
        <x:v>-20.5</x:v>
      </x:c>
      <x:c r="H81" s="48" t="n">
        <x:f>0</x:f>
        <x:v>0</x:v>
      </x:c>
      <x:c r="I81" s="48" t="n">
        <x:f>Model_Data!Y81</x:f>
        <x:v>343.37986587370784</x:v>
      </x:c>
      <x:c r="J81" s="48" t="n">
        <x:f>Model_Data!X81</x:f>
        <x:v>-140.5508651158499</x:v>
      </x:c>
      <x:c r="K81" s="48" t="n">
        <x:f>Model_Data!A81</x:f>
        <x:v>-20.5</x:v>
      </x:c>
      <x:c r="L81" s="48" t="n">
        <x:f>Model_Data!Y81</x:f>
        <x:v>343.37986587370784</x:v>
      </x:c>
      <x:c r="M81" s="48" t="n">
        <x:f>Model_Data!X81</x:f>
        <x:v>-140.5508651158499</x:v>
      </x:c>
      <x:c r="N81" s="48" t="n">
        <x:f>-(Model_Data!AC81-Model_Data!F81)*Inputs!$C$12</x:f>
        <x:v>482.172448253266</x:v>
      </x:c>
      <x:c r="O81" s="49"/>
      <x:c r="P81" s="48" t="n">
        <x:f>Model_Data!A81</x:f>
        <x:v>-20.5</x:v>
      </x:c>
      <x:c r="Q81" s="48" t="n">
        <x:f>Model_Data!P81</x:f>
        <x:v>175.14578990121663</x:v>
      </x:c>
      <x:c r="R81" s="48" t="n">
        <x:f>Model_Data!AM81</x:f>
        <x:v>207.46841210884668</x:v>
      </x:c>
      <x:c r="S81" s="48" t="n">
        <x:f>Model_Data!Q81</x:f>
        <x:v>26.298166651834332</x:v>
      </x:c>
      <x:c r="T81" s="48" t="n">
        <x:f>Model_Data!AN81</x:f>
        <x:v>31.15141322955656</x:v>
      </x:c>
      <x:c r="U81" s="49"/>
      <x:c r="V81" s="48" t="n">
        <x:f>Model_Data!A81</x:f>
        <x:v>-20.5</x:v>
      </x:c>
      <x:c r="W81" s="48" t="n">
        <x:f>Model_Data!B81-Inputs!$C$5</x:f>
        <x:v>0.4669444444444366</x:v>
      </x:c>
      <x:c r="X81" s="49"/>
      <x:c r="Y81" s="48" t="n">
        <x:f>Model_Data!A81</x:f>
        <x:v>-20.5</x:v>
      </x:c>
      <x:c r="Z81" s="48" t="n">
        <x:f>0</x:f>
        <x:v>0</x:v>
      </x:c>
      <x:c r="AA81" s="48" t="n">
        <x:f>((SQRT((Inputs!$C$52+Inputs!$C$5)^2+Inputs!$C$52^2-2*(Inputs!$C$52+Inputs!$C$5)*Inputs!$C$52*COS(SQRT((Model_Data!A81)^2+Inputs!$C$6^2)/Inputs!$C$52))-Inputs!$C$5)*1000/Inputs!$C$12)</x:f>
        <x:v>920.2215393788732</x:v>
      </x:c>
      <x:c r="AB81" s="48" t="n">
        <x:f>Model_Data!F81</x:f>
        <x:v>919.3713708416556</x:v>
      </x:c>
    </x:row>
    <x:row r="82">
      <x:c r="A82" s="48" t="n">
        <x:f>Model_Data!A82</x:f>
        <x:v>-20</x:v>
      </x:c>
      <x:c r="B82" s="48" t="n">
        <x:f>0</x:f>
        <x:v>0</x:v>
      </x:c>
      <x:c r="C82" s="48" t="n">
        <x:f>((SQRT((Inputs!$C$52+Inputs!$C$5)^2+Inputs!$C$52^2-2*(Inputs!$C$52+Inputs!$C$5)*Inputs!$C$52*COS(SQRT((Model_Data!A82)^2+Inputs!$C$6^2)/Inputs!$C$52))-Inputs!$C$5)*1000/Inputs!$C$12)</x:f>
        <x:v>902.4300359989069</x:v>
      </x:c>
      <x:c r="D82" s="48" t="n">
        <x:f>Model_Data!F82</x:f>
        <x:v>901.6363635438846</x:v>
      </x:c>
      <x:c r="E82" s="48" t="n">
        <x:f>Model_Data!AC82</x:f>
        <x:v>630.4070309665113</x:v>
      </x:c>
      <x:c r="F82" s="49"/>
      <x:c r="G82" s="48" t="n">
        <x:f>Model_Data!A82</x:f>
        <x:v>-20</x:v>
      </x:c>
      <x:c r="H82" s="48" t="n">
        <x:f>0</x:f>
        <x:v>0</x:v>
      </x:c>
      <x:c r="I82" s="48" t="n">
        <x:f>Model_Data!Y82</x:f>
        <x:v>338.15830709992554</x:v>
      </x:c>
      <x:c r="J82" s="48" t="n">
        <x:f>Model_Data!X82</x:f>
        <x:v>-146.32822187126578</x:v>
      </x:c>
      <x:c r="K82" s="48" t="n">
        <x:f>Model_Data!A82</x:f>
        <x:v>-20</x:v>
      </x:c>
      <x:c r="L82" s="48" t="n">
        <x:f>Model_Data!Y82</x:f>
        <x:v>338.15830709992554</x:v>
      </x:c>
      <x:c r="M82" s="48" t="n">
        <x:f>Model_Data!X82</x:f>
        <x:v>-146.32822187126578</x:v>
      </x:c>
      <x:c r="N82" s="48" t="n">
        <x:f>-(Model_Data!AC82-Model_Data!F82)*Inputs!$C$12</x:f>
        <x:v>482.7882119877244</x:v>
      </x:c>
      <x:c r="O82" s="49"/>
      <x:c r="P82" s="48" t="n">
        <x:f>Model_Data!A82</x:f>
        <x:v>-20</x:v>
      </x:c>
      <x:c r="Q82" s="48" t="n">
        <x:f>Model_Data!P82</x:f>
        <x:v>170.89078503895507</x:v>
      </x:c>
      <x:c r="R82" s="48" t="n">
        <x:f>Model_Data!AM82</x:f>
        <x:v>203.53163798381502</x:v>
      </x:c>
      <x:c r="S82" s="48" t="n">
        <x:f>Model_Data!Q82</x:f>
        <x:v>25.65927703287614</x:v>
      </x:c>
      <x:c r="T82" s="48" t="n">
        <x:f>Model_Data!AN82</x:f>
        <x:v>30.560306003575832</x:v>
      </x:c>
      <x:c r="U82" s="49"/>
      <x:c r="V82" s="48" t="n">
        <x:f>Model_Data!A82</x:f>
        <x:v>-20</x:v>
      </x:c>
      <x:c r="W82" s="48" t="n">
        <x:f>Model_Data!B82-Inputs!$C$5</x:f>
        <x:v>0.4444444444444571</x:v>
      </x:c>
      <x:c r="X82" s="49"/>
      <x:c r="Y82" s="48" t="n">
        <x:f>Model_Data!A82</x:f>
        <x:v>-20</x:v>
      </x:c>
      <x:c r="Z82" s="48" t="n">
        <x:f>0</x:f>
        <x:v>0</x:v>
      </x:c>
      <x:c r="AA82" s="48" t="n">
        <x:f>((SQRT((Inputs!$C$52+Inputs!$C$5)^2+Inputs!$C$52^2-2*(Inputs!$C$52+Inputs!$C$5)*Inputs!$C$52*COS(SQRT((Model_Data!A82)^2+Inputs!$C$6^2)/Inputs!$C$52))-Inputs!$C$5)*1000/Inputs!$C$12)</x:f>
        <x:v>902.4300359989069</x:v>
      </x:c>
      <x:c r="AB82" s="48" t="n">
        <x:f>Model_Data!F82</x:f>
        <x:v>901.6363635438846</x:v>
      </x:c>
    </x:row>
    <x:row r="83">
      <x:c r="A83" s="48" t="n">
        <x:f>Model_Data!A83</x:f>
        <x:v>-19.5</x:v>
      </x:c>
      <x:c r="B83" s="48" t="n">
        <x:f>0</x:f>
        <x:v>0</x:v>
      </x:c>
      <x:c r="C83" s="48" t="n">
        <x:f>((SQRT((Inputs!$C$52+Inputs!$C$5)^2+Inputs!$C$52^2-2*(Inputs!$C$52+Inputs!$C$5)*Inputs!$C$52*COS(SQRT((Model_Data!A83)^2+Inputs!$C$6^2)/Inputs!$C$52))-Inputs!$C$5)*1000/Inputs!$C$12)</x:f>
        <x:v>885.0764537237027</x:v>
      </x:c>
      <x:c r="D83" s="48" t="n">
        <x:f>Model_Data!F83</x:f>
        <x:v>884.3363729737207</x:v>
      </x:c>
      <x:c r="E83" s="48" t="n">
        <x:f>Model_Data!AC83</x:f>
        <x:v>602.2743199644198</x:v>
      </x:c>
      <x:c r="F83" s="49"/>
      <x:c r="G83" s="48" t="n">
        <x:f>Model_Data!A83</x:f>
        <x:v>-19.5</x:v>
      </x:c>
      <x:c r="H83" s="48" t="n">
        <x:f>0</x:f>
        <x:v>0</x:v>
      </x:c>
      <x:c r="I83" s="48" t="n">
        <x:f>Model_Data!Y83</x:f>
        <x:v>363.81454233496186</x:v>
      </x:c>
      <x:c r="J83" s="48" t="n">
        <x:f>Model_Data!X83</x:f>
        <x:v>-140.0483381286437</x:v>
      </x:c>
      <x:c r="K83" s="48" t="n">
        <x:f>Model_Data!A83</x:f>
        <x:v>-19.5</x:v>
      </x:c>
      <x:c r="L83" s="48" t="n">
        <x:f>Model_Data!Y83</x:f>
        <x:v>363.81454233496186</x:v>
      </x:c>
      <x:c r="M83" s="48" t="n">
        <x:f>Model_Data!X83</x:f>
        <x:v>-140.0483381286437</x:v>
      </x:c>
      <x:c r="N83" s="48" t="n">
        <x:f>-(Model_Data!AC83-Model_Data!F83)*Inputs!$C$12</x:f>
        <x:v>502.0704543565557</x:v>
      </x:c>
      <x:c r="O83" s="49"/>
      <x:c r="P83" s="48" t="n">
        <x:f>Model_Data!A83</x:f>
        <x:v>-19.5</x:v>
      </x:c>
      <x:c r="Q83" s="48" t="n">
        <x:f>Model_Data!P83</x:f>
        <x:v>166.6345388791342</x:v>
      </x:c>
      <x:c r="R83" s="48" t="n">
        <x:f>Model_Data!AM83</x:f>
        <x:v>219.32626696361694</x:v>
      </x:c>
      <x:c r="S83" s="48" t="n">
        <x:f>Model_Data!Q83</x:f>
        <x:v>25.020201032903035</x:v>
      </x:c>
      <x:c r="T83" s="48" t="n">
        <x:f>Model_Data!AN83</x:f>
        <x:v>32.931871916459</x:v>
      </x:c>
      <x:c r="U83" s="49"/>
      <x:c r="V83" s="48" t="n">
        <x:f>Model_Data!A83</x:f>
        <x:v>-19.5</x:v>
      </x:c>
      <x:c r="W83" s="48" t="n">
        <x:f>Model_Data!B83-Inputs!$C$5</x:f>
        <x:v>0.42250000000001364</x:v>
      </x:c>
      <x:c r="X83" s="49"/>
      <x:c r="Y83" s="48" t="n">
        <x:f>Model_Data!A83</x:f>
        <x:v>-19.5</x:v>
      </x:c>
      <x:c r="Z83" s="48" t="n">
        <x:f>0</x:f>
        <x:v>0</x:v>
      </x:c>
      <x:c r="AA83" s="48" t="n">
        <x:f>((SQRT((Inputs!$C$52+Inputs!$C$5)^2+Inputs!$C$52^2-2*(Inputs!$C$52+Inputs!$C$5)*Inputs!$C$52*COS(SQRT((Model_Data!A83)^2+Inputs!$C$6^2)/Inputs!$C$52))-Inputs!$C$5)*1000/Inputs!$C$12)</x:f>
        <x:v>885.0764537237027</x:v>
      </x:c>
      <x:c r="AB83" s="48" t="n">
        <x:f>Model_Data!F83</x:f>
        <x:v>884.3363729737207</x:v>
      </x:c>
    </x:row>
    <x:row r="84">
      <x:c r="A84" s="48" t="n">
        <x:f>Model_Data!A84</x:f>
        <x:v>-19</x:v>
      </x:c>
      <x:c r="B84" s="48" t="n">
        <x:f>0</x:f>
        <x:v>0</x:v>
      </x:c>
      <x:c r="C84" s="48" t="n">
        <x:f>((SQRT((Inputs!$C$52+Inputs!$C$5)^2+Inputs!$C$52^2-2*(Inputs!$C$52+Inputs!$C$5)*Inputs!$C$52*COS(SQRT((Model_Data!A84)^2+Inputs!$C$6^2)/Inputs!$C$52))-Inputs!$C$5)*1000/Inputs!$C$12)</x:f>
        <x:v>868.1608953972801</x:v>
      </x:c>
      <x:c r="D84" s="48" t="n">
        <x:f>Model_Data!F84</x:f>
        <x:v>867.4716144056217</x:v>
      </x:c>
      <x:c r="E84" s="48" t="n">
        <x:f>Model_Data!AC84</x:f>
        <x:v>578.5526013330914</x:v>
      </x:c>
      <x:c r="F84" s="49"/>
      <x:c r="G84" s="48" t="n">
        <x:f>Model_Data!A84</x:f>
        <x:v>-19</x:v>
      </x:c>
      <x:c r="H84" s="48" t="n">
        <x:f>0</x:f>
        <x:v>0</x:v>
      </x:c>
      <x:c r="I84" s="48" t="n">
        <x:f>Model_Data!Y84</x:f>
        <x:v>371.18641988344854</x:v>
      </x:c>
      <x:c r="J84" s="48" t="n">
        <x:f>Model_Data!X84</x:f>
        <x:v>-144.88352309984418</x:v>
      </x:c>
      <x:c r="K84" s="48" t="n">
        <x:f>Model_Data!A84</x:f>
        <x:v>-19</x:v>
      </x:c>
      <x:c r="L84" s="48" t="n">
        <x:f>Model_Data!Y84</x:f>
        <x:v>371.18641988344854</x:v>
      </x:c>
      <x:c r="M84" s="48" t="n">
        <x:f>Model_Data!X84</x:f>
        <x:v>-144.88352309984418</x:v>
      </x:c>
      <x:c r="N84" s="48" t="n">
        <x:f>-(Model_Data!AC84-Model_Data!F84)*Inputs!$C$12</x:f>
        <x:v>514.275843269104</x:v>
      </x:c>
      <x:c r="O84" s="49"/>
      <x:c r="P84" s="48" t="n">
        <x:f>Model_Data!A84</x:f>
        <x:v>-19</x:v>
      </x:c>
      <x:c r="Q84" s="48" t="n">
        <x:f>Model_Data!P84</x:f>
        <x:v>162.37708165526783</x:v>
      </x:c>
      <x:c r="R84" s="48" t="n">
        <x:f>Model_Data!AM84</x:f>
        <x:v>165.46845659795508</x:v>
      </x:c>
      <x:c r="S84" s="48" t="n">
        <x:f>Model_Data!Q84</x:f>
        <x:v>24.38094319148166</x:v>
      </x:c>
      <x:c r="T84" s="48" t="n">
        <x:f>Model_Data!AN84</x:f>
        <x:v>24.84511360329656</x:v>
      </x:c>
      <x:c r="U84" s="49"/>
      <x:c r="V84" s="48" t="n">
        <x:f>Model_Data!A84</x:f>
        <x:v>-19</x:v>
      </x:c>
      <x:c r="W84" s="48" t="n">
        <x:f>Model_Data!B84-Inputs!$C$5</x:f>
        <x:v>0.4011111111111063</x:v>
      </x:c>
      <x:c r="X84" s="49"/>
      <x:c r="Y84" s="48" t="n">
        <x:f>Model_Data!A84</x:f>
        <x:v>-19</x:v>
      </x:c>
      <x:c r="Z84" s="48" t="n">
        <x:f>0</x:f>
        <x:v>0</x:v>
      </x:c>
      <x:c r="AA84" s="48" t="n">
        <x:f>((SQRT((Inputs!$C$52+Inputs!$C$5)^2+Inputs!$C$52^2-2*(Inputs!$C$52+Inputs!$C$5)*Inputs!$C$52*COS(SQRT((Model_Data!A84)^2+Inputs!$C$6^2)/Inputs!$C$52))-Inputs!$C$5)*1000/Inputs!$C$12)</x:f>
        <x:v>868.1608953972801</x:v>
      </x:c>
      <x:c r="AB84" s="48" t="n">
        <x:f>Model_Data!F84</x:f>
        <x:v>867.4716144056217</x:v>
      </x:c>
    </x:row>
    <x:row r="85">
      <x:c r="A85" s="48" t="n">
        <x:f>Model_Data!A85</x:f>
        <x:v>-18.5</x:v>
      </x:c>
      <x:c r="B85" s="48" t="n">
        <x:f>0</x:f>
        <x:v>0</x:v>
      </x:c>
      <x:c r="C85" s="48" t="n">
        <x:f>((SQRT((Inputs!$C$52+Inputs!$C$5)^2+Inputs!$C$52^2-2*(Inputs!$C$52+Inputs!$C$5)*Inputs!$C$52*COS(SQRT((Model_Data!A85)^2+Inputs!$C$6^2)/Inputs!$C$52))-Inputs!$C$5)*1000/Inputs!$C$12)</x:f>
        <x:v>851.6834612977212</x:v>
      </x:c>
      <x:c r="D85" s="48" t="n">
        <x:f>Model_Data!F85</x:f>
        <x:v>851.0422977982597</x:v>
      </x:c>
      <x:c r="E85" s="48" t="n">
        <x:f>Model_Data!AC85</x:f>
        <x:v>569.7962915220157</x:v>
      </x:c>
      <x:c r="F85" s="49"/>
      <x:c r="G85" s="48" t="n">
        <x:f>Model_Data!A85</x:f>
        <x:v>-18.5</x:v>
      </x:c>
      <x:c r="H85" s="48" t="n">
        <x:f>0</x:f>
        <x:v>0</x:v>
      </x:c>
      <x:c r="I85" s="48" t="n">
        <x:f>Model_Data!Y85</x:f>
        <x:v>365.6884368087795</x:v>
      </x:c>
      <x:c r="J85" s="48" t="n">
        <x:f>Model_Data!X85</x:f>
        <x:v>-136.66366560462208</x:v>
      </x:c>
      <x:c r="K85" s="48" t="n">
        <x:f>Model_Data!A85</x:f>
        <x:v>-18.5</x:v>
      </x:c>
      <x:c r="L85" s="48" t="n">
        <x:f>Model_Data!Y85</x:f>
        <x:v>365.6884368087795</x:v>
      </x:c>
      <x:c r="M85" s="48" t="n">
        <x:f>Model_Data!X85</x:f>
        <x:v>-136.66366560462208</x:v>
      </x:c>
      <x:c r="N85" s="48" t="n">
        <x:f>-(Model_Data!AC85-Model_Data!F85)*Inputs!$C$12</x:f>
        <x:v>500.6178911717143</x:v>
      </x:c>
      <x:c r="O85" s="49"/>
      <x:c r="P85" s="48" t="n">
        <x:f>Model_Data!A85</x:f>
        <x:v>-18.5</x:v>
      </x:c>
      <x:c r="Q85" s="48" t="n">
        <x:f>Model_Data!P85</x:f>
        <x:v>158.1184436692638</x:v>
      </x:c>
      <x:c r="R85" s="48" t="n">
        <x:f>Model_Data!AM85</x:f>
        <x:v>191.40687485714807</x:v>
      </x:c>
      <x:c r="S85" s="48" t="n">
        <x:f>Model_Data!Q85</x:f>
        <x:v>23.74150805844802</x:v>
      </x:c>
      <x:c r="T85" s="48" t="n">
        <x:f>Model_Data!AN85</x:f>
        <x:v>28.739770999571785</x:v>
      </x:c>
      <x:c r="U85" s="49"/>
      <x:c r="V85" s="48" t="n">
        <x:f>Model_Data!A85</x:f>
        <x:v>-18.5</x:v>
      </x:c>
      <x:c r="W85" s="48" t="n">
        <x:f>Model_Data!B85-Inputs!$C$5</x:f>
        <x:v>0.3802777777777919</x:v>
      </x:c>
      <x:c r="X85" s="49"/>
      <x:c r="Y85" s="48" t="n">
        <x:f>Model_Data!A85</x:f>
        <x:v>-18.5</x:v>
      </x:c>
      <x:c r="Z85" s="48" t="n">
        <x:f>0</x:f>
        <x:v>0</x:v>
      </x:c>
      <x:c r="AA85" s="48" t="n">
        <x:f>((SQRT((Inputs!$C$52+Inputs!$C$5)^2+Inputs!$C$52^2-2*(Inputs!$C$52+Inputs!$C$5)*Inputs!$C$52*COS(SQRT((Model_Data!A85)^2+Inputs!$C$6^2)/Inputs!$C$52))-Inputs!$C$5)*1000/Inputs!$C$12)</x:f>
        <x:v>851.6834612977212</x:v>
      </x:c>
      <x:c r="AB85" s="48" t="n">
        <x:f>Model_Data!F85</x:f>
        <x:v>851.0422977982597</x:v>
      </x:c>
    </x:row>
    <x:row r="86">
      <x:c r="A86" s="48" t="n">
        <x:f>Model_Data!A86</x:f>
        <x:v>-18</x:v>
      </x:c>
      <x:c r="B86" s="48" t="n">
        <x:f>0</x:f>
        <x:v>0</x:v>
      </x:c>
      <x:c r="C86" s="48" t="n">
        <x:f>((SQRT((Inputs!$C$52+Inputs!$C$5)^2+Inputs!$C$52^2-2*(Inputs!$C$52+Inputs!$C$5)*Inputs!$C$52*COS(SQRT((Model_Data!A86)^2+Inputs!$C$6^2)/Inputs!$C$52))-Inputs!$C$5)*1000/Inputs!$C$12)</x:f>
        <x:v>835.6442491352863</x:v>
      </x:c>
      <x:c r="D86" s="48" t="n">
        <x:f>Model_Data!F86</x:f>
        <x:v>835.0486277864097</x:v>
      </x:c>
      <x:c r="E86" s="48" t="n">
        <x:f>Model_Data!AC86</x:f>
        <x:v>532.0597578781808</x:v>
      </x:c>
      <x:c r="F86" s="49"/>
      <x:c r="G86" s="48" t="n">
        <x:f>Model_Data!A86</x:f>
        <x:v>-18</x:v>
      </x:c>
      <x:c r="H86" s="48" t="n">
        <x:f>0</x:f>
        <x:v>0</x:v>
      </x:c>
      <x:c r="I86" s="48" t="n">
        <x:f>Model_Data!Y86</x:f>
        <x:v>392.0220541536099</x:v>
      </x:c>
      <x:c r="J86" s="48" t="n">
        <x:f>Model_Data!X86</x:f>
        <x:v>-149.12259877495586</x:v>
      </x:c>
      <x:c r="K86" s="48" t="n">
        <x:f>Model_Data!A86</x:f>
        <x:v>-18</x:v>
      </x:c>
      <x:c r="L86" s="48" t="n">
        <x:f>Model_Data!Y86</x:f>
        <x:v>392.0220541536099</x:v>
      </x:c>
      <x:c r="M86" s="48" t="n">
        <x:f>Model_Data!X86</x:f>
        <x:v>-149.12259877495586</x:v>
      </x:c>
      <x:c r="N86" s="48" t="n">
        <x:f>-(Model_Data!AC86-Model_Data!F86)*Inputs!$C$12</x:f>
        <x:v>539.3201884366475</x:v>
      </x:c>
      <x:c r="O86" s="49"/>
      <x:c r="P86" s="48" t="n">
        <x:f>Model_Data!A86</x:f>
        <x:v>-18</x:v>
      </x:c>
      <x:c r="Q86" s="48" t="n">
        <x:f>Model_Data!P86</x:f>
        <x:v>153.85865527787246</x:v>
      </x:c>
      <x:c r="R86" s="48" t="n">
        <x:f>Model_Data!AM86</x:f>
        <x:v>203.94346546299857</x:v>
      </x:c>
      <x:c r="S86" s="48" t="n">
        <x:f>Model_Data!Q86</x:f>
        <x:v>23.101900191872744</x:v>
      </x:c>
      <x:c r="T86" s="48" t="n">
        <x:f>Model_Data!AN86</x:f>
        <x:v>30.6221419614112</x:v>
      </x:c>
      <x:c r="U86" s="49"/>
      <x:c r="V86" s="48" t="n">
        <x:f>Model_Data!A86</x:f>
        <x:v>-18</x:v>
      </x:c>
      <x:c r="W86" s="48" t="n">
        <x:f>Model_Data!B86-Inputs!$C$5</x:f>
        <x:v>0.36000000000001364</x:v>
      </x:c>
      <x:c r="X86" s="49"/>
      <x:c r="Y86" s="48" t="n">
        <x:f>Model_Data!A86</x:f>
        <x:v>-18</x:v>
      </x:c>
      <x:c r="Z86" s="48" t="n">
        <x:f>0</x:f>
        <x:v>0</x:v>
      </x:c>
      <x:c r="AA86" s="48" t="n">
        <x:f>((SQRT((Inputs!$C$52+Inputs!$C$5)^2+Inputs!$C$52^2-2*(Inputs!$C$52+Inputs!$C$5)*Inputs!$C$52*COS(SQRT((Model_Data!A86)^2+Inputs!$C$6^2)/Inputs!$C$52))-Inputs!$C$5)*1000/Inputs!$C$12)</x:f>
        <x:v>835.6442491352863</x:v>
      </x:c>
      <x:c r="AB86" s="48" t="n">
        <x:f>Model_Data!F86</x:f>
        <x:v>835.0486277864097</x:v>
      </x:c>
    </x:row>
    <x:row r="87">
      <x:c r="A87" s="48" t="n">
        <x:f>Model_Data!A87</x:f>
        <x:v>-17.5</x:v>
      </x:c>
      <x:c r="B87" s="48" t="n">
        <x:f>0</x:f>
        <x:v>0</x:v>
      </x:c>
      <x:c r="C87" s="48" t="n">
        <x:f>((SQRT((Inputs!$C$52+Inputs!$C$5)^2+Inputs!$C$52^2-2*(Inputs!$C$52+Inputs!$C$5)*Inputs!$C$52*COS(SQRT((Model_Data!A87)^2+Inputs!$C$6^2)/Inputs!$C$52))-Inputs!$C$5)*1000/Inputs!$C$12)</x:f>
        <x:v>820.0433540484541</x:v>
      </x:c>
      <x:c r="D87" s="48" t="n">
        <x:f>Model_Data!F87</x:f>
        <x:v>819.4908036698047</x:v>
      </x:c>
      <x:c r="E87" s="48" t="n">
        <x:f>Model_Data!AC87</x:f>
        <x:v>519.3052068102525</x:v>
      </x:c>
      <x:c r="F87" s="49"/>
      <x:c r="G87" s="48" t="n">
        <x:f>Model_Data!A87</x:f>
        <x:v>-17.5</x:v>
      </x:c>
      <x:c r="H87" s="48" t="n">
        <x:f>0</x:f>
        <x:v>0</x:v>
      </x:c>
      <x:c r="I87" s="48" t="n">
        <x:f>Model_Data!Y87</x:f>
        <x:v>397.07097057156574</x:v>
      </x:c>
      <x:c r="J87" s="48" t="n">
        <x:f>Model_Data!X87</x:f>
        <x:v>-139.0731304771746</x:v>
      </x:c>
      <x:c r="K87" s="48" t="n">
        <x:f>Model_Data!A87</x:f>
        <x:v>-17.5</x:v>
      </x:c>
      <x:c r="L87" s="48" t="n">
        <x:f>Model_Data!Y87</x:f>
        <x:v>397.07097057156574</x:v>
      </x:c>
      <x:c r="M87" s="48" t="n">
        <x:f>Model_Data!X87</x:f>
        <x:v>-139.0731304771746</x:v>
      </x:c>
      <x:c r="N87" s="48" t="n">
        <x:f>-(Model_Data!AC87-Model_Data!F87)*Inputs!$C$12</x:f>
        <x:v>534.330362410003</x:v>
      </x:c>
      <x:c r="O87" s="49"/>
      <x:c r="P87" s="48" t="n">
        <x:f>Model_Data!A87</x:f>
        <x:v>-17.5</x:v>
      </x:c>
      <x:c r="Q87" s="48" t="n">
        <x:f>Model_Data!P87</x:f>
        <x:v>149.59774689641563</x:v>
      </x:c>
      <x:c r="R87" s="48" t="n">
        <x:f>Model_Data!AM87</x:f>
        <x:v>132.74258327064672</x:v>
      </x:c>
      <x:c r="S87" s="48" t="n">
        <x:f>Model_Data!Q87</x:f>
        <x:v>22.462124158620966</x:v>
      </x:c>
      <x:c r="T87" s="48" t="n">
        <x:f>Model_Data!AN87</x:f>
        <x:v>19.931318809406417</x:v>
      </x:c>
      <x:c r="U87" s="49"/>
      <x:c r="V87" s="48" t="n">
        <x:f>Model_Data!A87</x:f>
        <x:v>-17.5</x:v>
      </x:c>
      <x:c r="W87" s="48" t="n">
        <x:f>Model_Data!B87-Inputs!$C$5</x:f>
        <x:v>0.34027777777777146</x:v>
      </x:c>
      <x:c r="X87" s="49"/>
      <x:c r="Y87" s="48" t="n">
        <x:f>Model_Data!A87</x:f>
        <x:v>-17.5</x:v>
      </x:c>
      <x:c r="Z87" s="48" t="n">
        <x:f>0</x:f>
        <x:v>0</x:v>
      </x:c>
      <x:c r="AA87" s="48" t="n">
        <x:f>((SQRT((Inputs!$C$52+Inputs!$C$5)^2+Inputs!$C$52^2-2*(Inputs!$C$52+Inputs!$C$5)*Inputs!$C$52*COS(SQRT((Model_Data!A87)^2+Inputs!$C$6^2)/Inputs!$C$52))-Inputs!$C$5)*1000/Inputs!$C$12)</x:f>
        <x:v>820.0433540484541</x:v>
      </x:c>
      <x:c r="AB87" s="48" t="n">
        <x:f>Model_Data!F87</x:f>
        <x:v>819.4908036698047</x:v>
      </x:c>
    </x:row>
    <x:row r="88">
      <x:c r="A88" s="48" t="n">
        <x:f>Model_Data!A88</x:f>
        <x:v>-17</x:v>
      </x:c>
      <x:c r="B88" s="48" t="n">
        <x:f>0</x:f>
        <x:v>0</x:v>
      </x:c>
      <x:c r="C88" s="48" t="n">
        <x:f>((SQRT((Inputs!$C$52+Inputs!$C$5)^2+Inputs!$C$52^2-2*(Inputs!$C$52+Inputs!$C$5)*Inputs!$C$52*COS(SQRT((Model_Data!A88)^2+Inputs!$C$6^2)/Inputs!$C$52))-Inputs!$C$5)*1000/Inputs!$C$12)</x:f>
        <x:v>804.8808686017826</x:v>
      </x:c>
      <x:c r="D88" s="48" t="n">
        <x:f>Model_Data!F88</x:f>
        <x:v>804.3690194036186</x:v>
      </x:c>
      <x:c r="E88" s="48" t="n">
        <x:f>Model_Data!AC88</x:f>
        <x:v>520.4522433395757</x:v>
      </x:c>
      <x:c r="F88" s="49"/>
      <x:c r="G88" s="48" t="n">
        <x:f>Model_Data!A88</x:f>
        <x:v>-17</x:v>
      </x:c>
      <x:c r="H88" s="48" t="n">
        <x:f>0</x:f>
        <x:v>0</x:v>
      </x:c>
      <x:c r="I88" s="48" t="n">
        <x:f>Model_Data!Y88</x:f>
        <x:v>381.37310246850825</x:v>
      </x:c>
      <x:c r="J88" s="48" t="n">
        <x:f>Model_Data!X88</x:f>
        <x:v>-125.70874899839603</x:v>
      </x:c>
      <x:c r="K88" s="48" t="n">
        <x:f>Model_Data!A88</x:f>
        <x:v>-17</x:v>
      </x:c>
      <x:c r="L88" s="48" t="n">
        <x:f>Model_Data!Y88</x:f>
        <x:v>381.37310246850825</x:v>
      </x:c>
      <x:c r="M88" s="48" t="n">
        <x:f>Model_Data!X88</x:f>
        <x:v>-125.70874899839603</x:v>
      </x:c>
      <x:c r="N88" s="48" t="n">
        <x:f>-(Model_Data!AC88-Model_Data!F88)*Inputs!$C$12</x:f>
        <x:v>505.37186139399637</x:v>
      </x:c>
      <x:c r="O88" s="49"/>
      <x:c r="P88" s="48" t="n">
        <x:f>Model_Data!A88</x:f>
        <x:v>-17</x:v>
      </x:c>
      <x:c r="Q88" s="48" t="n">
        <x:f>Model_Data!P88</x:f>
        <x:v>145.33574898605366</x:v>
      </x:c>
      <x:c r="R88" s="48" t="n">
        <x:f>Model_Data!AM88</x:f>
        <x:v>129.62617697667156</x:v>
      </x:c>
      <x:c r="S88" s="48" t="n">
        <x:f>Model_Data!Q88</x:f>
        <x:v>21.82218453244049</x:v>
      </x:c>
      <x:c r="T88" s="48" t="n">
        <x:f>Model_Data!AN88</x:f>
        <x:v>19.463389936437174</x:v>
      </x:c>
      <x:c r="U88" s="49"/>
      <x:c r="V88" s="48" t="n">
        <x:f>Model_Data!A88</x:f>
        <x:v>-17</x:v>
      </x:c>
      <x:c r="W88" s="48" t="n">
        <x:f>Model_Data!B88-Inputs!$C$5</x:f>
        <x:v>0.3211111111111222</x:v>
      </x:c>
      <x:c r="X88" s="49"/>
      <x:c r="Y88" s="48" t="n">
        <x:f>Model_Data!A88</x:f>
        <x:v>-17</x:v>
      </x:c>
      <x:c r="Z88" s="48" t="n">
        <x:f>0</x:f>
        <x:v>0</x:v>
      </x:c>
      <x:c r="AA88" s="48" t="n">
        <x:f>((SQRT((Inputs!$C$52+Inputs!$C$5)^2+Inputs!$C$52^2-2*(Inputs!$C$52+Inputs!$C$5)*Inputs!$C$52*COS(SQRT((Model_Data!A88)^2+Inputs!$C$6^2)/Inputs!$C$52))-Inputs!$C$5)*1000/Inputs!$C$12)</x:f>
        <x:v>804.8808686017826</x:v>
      </x:c>
      <x:c r="AB88" s="48" t="n">
        <x:f>Model_Data!F88</x:f>
        <x:v>804.3690194036186</x:v>
      </x:c>
    </x:row>
    <x:row r="89">
      <x:c r="A89" s="48" t="n">
        <x:f>Model_Data!A89</x:f>
        <x:v>-16.5</x:v>
      </x:c>
      <x:c r="B89" s="48" t="n">
        <x:f>0</x:f>
        <x:v>0</x:v>
      </x:c>
      <x:c r="C89" s="48" t="n">
        <x:f>((SQRT((Inputs!$C$52+Inputs!$C$5)^2+Inputs!$C$52^2-2*(Inputs!$C$52+Inputs!$C$5)*Inputs!$C$52*COS(SQRT((Model_Data!A89)^2+Inputs!$C$6^2)/Inputs!$C$52))-Inputs!$C$5)*1000/Inputs!$C$12)</x:f>
        <x:v>790.1568827831939</x:v>
      </x:c>
      <x:c r="D89" s="48" t="n">
        <x:f>Model_Data!F89</x:f>
        <x:v>789.6834635919838</x:v>
      </x:c>
      <x:c r="E89" s="48" t="n">
        <x:f>Model_Data!AC89</x:f>
        <x:v>503.5557315698924</x:v>
      </x:c>
      <x:c r="F89" s="49"/>
      <x:c r="G89" s="48" t="n">
        <x:f>Model_Data!A89</x:f>
        <x:v>-16.5</x:v>
      </x:c>
      <x:c r="H89" s="48" t="n">
        <x:f>0</x:f>
        <x:v>0</x:v>
      </x:c>
      <x:c r="I89" s="48" t="n">
        <x:f>Model_Data!Y89</x:f>
        <x:v>387.1431058674635</x:v>
      </x:c>
      <x:c r="J89" s="48" t="n">
        <x:f>Model_Data!X89</x:f>
        <x:v>-123.86861357235706</x:v>
      </x:c>
      <x:c r="K89" s="48" t="n">
        <x:f>Model_Data!A89</x:f>
        <x:v>-16.5</x:v>
      </x:c>
      <x:c r="L89" s="48" t="n">
        <x:f>Model_Data!Y89</x:f>
        <x:v>387.1431058674635</x:v>
      </x:c>
      <x:c r="M89" s="48" t="n">
        <x:f>Model_Data!X89</x:f>
        <x:v>-123.86861357235706</x:v>
      </x:c>
      <x:c r="N89" s="48" t="n">
        <x:f>-(Model_Data!AC89-Model_Data!F89)*Inputs!$C$12</x:f>
        <x:v>509.3073629993228</x:v>
      </x:c>
      <x:c r="O89" s="49"/>
      <x:c r="P89" s="48" t="n">
        <x:f>Model_Data!A89</x:f>
        <x:v>-16.5</x:v>
      </x:c>
      <x:c r="Q89" s="48" t="n">
        <x:f>Model_Data!P89</x:f>
        <x:v>141.07269207324862</x:v>
      </x:c>
      <x:c r="R89" s="48" t="n">
        <x:f>Model_Data!AM89</x:f>
        <x:v>192.02559108462083</x:v>
      </x:c>
      <x:c r="S89" s="48" t="n">
        <x:f>Model_Data!Q89</x:f>
        <x:v>21.18208589688418</x:v>
      </x:c>
      <x:c r="T89" s="48" t="n">
        <x:f>Model_Data!AN89</x:f>
        <x:v>28.832671334027154</x:v>
      </x:c>
      <x:c r="U89" s="49"/>
      <x:c r="V89" s="48" t="n">
        <x:f>Model_Data!A89</x:f>
        <x:v>-16.5</x:v>
      </x:c>
      <x:c r="W89" s="48" t="n">
        <x:f>Model_Data!B89-Inputs!$C$5</x:f>
        <x:v>0.3025000000000091</x:v>
      </x:c>
      <x:c r="X89" s="49"/>
      <x:c r="Y89" s="48" t="n">
        <x:f>Model_Data!A89</x:f>
        <x:v>-16.5</x:v>
      </x:c>
      <x:c r="Z89" s="48" t="n">
        <x:f>0</x:f>
        <x:v>0</x:v>
      </x:c>
      <x:c r="AA89" s="48" t="n">
        <x:f>((SQRT((Inputs!$C$52+Inputs!$C$5)^2+Inputs!$C$52^2-2*(Inputs!$C$52+Inputs!$C$5)*Inputs!$C$52*COS(SQRT((Model_Data!A89)^2+Inputs!$C$6^2)/Inputs!$C$52))-Inputs!$C$5)*1000/Inputs!$C$12)</x:f>
        <x:v>790.1568827831939</x:v>
      </x:c>
      <x:c r="AB89" s="48" t="n">
        <x:f>Model_Data!F89</x:f>
        <x:v>789.6834635919838</x:v>
      </x:c>
    </x:row>
    <x:row r="90">
      <x:c r="A90" s="48" t="n">
        <x:f>Model_Data!A90</x:f>
        <x:v>-16</x:v>
      </x:c>
      <x:c r="B90" s="48" t="n">
        <x:f>0</x:f>
        <x:v>0</x:v>
      </x:c>
      <x:c r="C90" s="48" t="n">
        <x:f>((SQRT((Inputs!$C$52+Inputs!$C$5)^2+Inputs!$C$52^2-2*(Inputs!$C$52+Inputs!$C$5)*Inputs!$C$52*COS(SQRT((Model_Data!A90)^2+Inputs!$C$6^2)/Inputs!$C$52))-Inputs!$C$5)*1000/Inputs!$C$12)</x:f>
        <x:v>775.8714840006216</x:v>
      </x:c>
      <x:c r="D90" s="48" t="n">
        <x:f>Model_Data!F90</x:f>
        <x:v>775.4343194715455</x:v>
      </x:c>
      <x:c r="E90" s="48" t="n">
        <x:f>Model_Data!AC90</x:f>
        <x:v>489.48541596475576</x:v>
      </x:c>
      <x:c r="F90" s="49"/>
      <x:c r="G90" s="48" t="n">
        <x:f>Model_Data!A90</x:f>
        <x:v>-16</x:v>
      </x:c>
      <x:c r="H90" s="48" t="n">
        <x:f>0</x:f>
        <x:v>0</x:v>
      </x:c>
      <x:c r="I90" s="48" t="n">
        <x:f>Model_Data!Y90</x:f>
        <x:v>413.2956148642764</x:v>
      </x:c>
      <x:c r="J90" s="48" t="n">
        <x:f>Model_Data!X90</x:f>
        <x:v>-97.48037396441562</x:v>
      </x:c>
      <x:c r="K90" s="48" t="n">
        <x:f>Model_Data!A90</x:f>
        <x:v>-16</x:v>
      </x:c>
      <x:c r="L90" s="48" t="n">
        <x:f>Model_Data!Y90</x:f>
        <x:v>413.2956148642764</x:v>
      </x:c>
      <x:c r="M90" s="48" t="n">
        <x:f>Model_Data!X90</x:f>
        <x:v>-97.48037396441562</x:v>
      </x:c>
      <x:c r="N90" s="48" t="n">
        <x:f>-(Model_Data!AC90-Model_Data!F90)*Inputs!$C$12</x:f>
        <x:v>508.98904824208563</x:v>
      </x:c>
      <x:c r="O90" s="49"/>
      <x:c r="P90" s="48" t="n">
        <x:f>Model_Data!A90</x:f>
        <x:v>-16</x:v>
      </x:c>
      <x:c r="Q90" s="48" t="n">
        <x:f>Model_Data!P90</x:f>
        <x:v>136.80860673657662</x:v>
      </x:c>
      <x:c r="R90" s="48" t="n">
        <x:f>Model_Data!AM90</x:f>
        <x:v>165.6403437944391</x:v>
      </x:c>
      <x:c r="S90" s="48" t="n">
        <x:f>Model_Data!Q90</x:f>
        <x:v>20.541832843329825</x:v>
      </x:c>
      <x:c r="T90" s="48" t="n">
        <x:f>Model_Data!AN90</x:f>
        <x:v>24.870922491657524</x:v>
      </x:c>
      <x:c r="U90" s="49"/>
      <x:c r="V90" s="48" t="n">
        <x:f>Model_Data!A90</x:f>
        <x:v>-16</x:v>
      </x:c>
      <x:c r="W90" s="48" t="n">
        <x:f>Model_Data!B90-Inputs!$C$5</x:f>
        <x:v>0.28444444444443207</x:v>
      </x:c>
      <x:c r="X90" s="49"/>
      <x:c r="Y90" s="48" t="n">
        <x:f>Model_Data!A90</x:f>
        <x:v>-16</x:v>
      </x:c>
      <x:c r="Z90" s="48" t="n">
        <x:f>0</x:f>
        <x:v>0</x:v>
      </x:c>
      <x:c r="AA90" s="48" t="n">
        <x:f>((SQRT((Inputs!$C$52+Inputs!$C$5)^2+Inputs!$C$52^2-2*(Inputs!$C$52+Inputs!$C$5)*Inputs!$C$52*COS(SQRT((Model_Data!A90)^2+Inputs!$C$6^2)/Inputs!$C$52))-Inputs!$C$5)*1000/Inputs!$C$12)</x:f>
        <x:v>775.8714840006216</x:v>
      </x:c>
      <x:c r="AB90" s="48" t="n">
        <x:f>Model_Data!F90</x:f>
        <x:v>775.4343194715455</x:v>
      </x:c>
    </x:row>
    <x:row r="91">
      <x:c r="A91" s="48" t="n">
        <x:f>Model_Data!A91</x:f>
        <x:v>-15.5</x:v>
      </x:c>
      <x:c r="B91" s="48" t="n">
        <x:f>0</x:f>
        <x:v>0</x:v>
      </x:c>
      <x:c r="C91" s="48" t="n">
        <x:f>((SQRT((Inputs!$C$52+Inputs!$C$5)^2+Inputs!$C$52^2-2*(Inputs!$C$52+Inputs!$C$5)*Inputs!$C$52*COS(SQRT((Model_Data!A91)^2+Inputs!$C$6^2)/Inputs!$C$52))-Inputs!$C$5)*1000/Inputs!$C$12)</x:f>
        <x:v>762.0247570816274</x:v>
      </x:c>
      <x:c r="D91" s="48" t="n">
        <x:f>Model_Data!F91</x:f>
        <x:v>761.6217649095123</x:v>
      </x:c>
      <x:c r="E91" s="48" t="n">
        <x:f>Model_Data!AC91</x:f>
        <x:v>473.54552063489956</x:v>
      </x:c>
      <x:c r="F91" s="49"/>
      <x:c r="G91" s="48" t="n">
        <x:f>Model_Data!A91</x:f>
        <x:v>-15.5</x:v>
      </x:c>
      <x:c r="H91" s="48" t="n">
        <x:f>0</x:f>
        <x:v>0</x:v>
      </x:c>
      <x:c r="I91" s="48" t="n">
        <x:f>Model_Data!Y91</x:f>
        <x:v>405.1793484681727</x:v>
      </x:c>
      <x:c r="J91" s="48" t="n">
        <x:f>Model_Data!X91</x:f>
        <x:v>-109.31712972071381</x:v>
      </x:c>
      <x:c r="K91" s="48" t="n">
        <x:f>Model_Data!A91</x:f>
        <x:v>-15.5</x:v>
      </x:c>
      <x:c r="L91" s="48" t="n">
        <x:f>Model_Data!Y91</x:f>
        <x:v>405.1793484681727</x:v>
      </x:c>
      <x:c r="M91" s="48" t="n">
        <x:f>Model_Data!X91</x:f>
        <x:v>-109.31712972071381</x:v>
      </x:c>
      <x:c r="N91" s="48" t="n">
        <x:f>-(Model_Data!AC91-Model_Data!F91)*Inputs!$C$12</x:f>
        <x:v>512.7757148088107</x:v>
      </x:c>
      <x:c r="O91" s="49"/>
      <x:c r="P91" s="48" t="n">
        <x:f>Model_Data!A91</x:f>
        <x:v>-15.5</x:v>
      </x:c>
      <x:c r="Q91" s="48" t="n">
        <x:f>Model_Data!P91</x:f>
        <x:v>132.5435235945406</x:v>
      </x:c>
      <x:c r="R91" s="48" t="n">
        <x:f>Model_Data!AM91</x:f>
        <x:v>137.95639615773325</x:v>
      </x:c>
      <x:c r="S91" s="48" t="n">
        <x:f>Model_Data!Q91</x:f>
        <x:v>19.901429969150243</x:v>
      </x:c>
      <x:c r="T91" s="48" t="n">
        <x:f>Model_Data!AN91</x:f>
        <x:v>20.714173597257247</x:v>
      </x:c>
      <x:c r="U91" s="49"/>
      <x:c r="V91" s="48" t="n">
        <x:f>Model_Data!A91</x:f>
        <x:v>-15.5</x:v>
      </x:c>
      <x:c r="W91" s="48" t="n">
        <x:f>Model_Data!B91-Inputs!$C$5</x:f>
        <x:v>0.266944444444448</x:v>
      </x:c>
      <x:c r="X91" s="49"/>
      <x:c r="Y91" s="48" t="n">
        <x:f>Model_Data!A91</x:f>
        <x:v>-15.5</x:v>
      </x:c>
      <x:c r="Z91" s="48" t="n">
        <x:f>0</x:f>
        <x:v>0</x:v>
      </x:c>
      <x:c r="AA91" s="48" t="n">
        <x:f>((SQRT((Inputs!$C$52+Inputs!$C$5)^2+Inputs!$C$52^2-2*(Inputs!$C$52+Inputs!$C$5)*Inputs!$C$52*COS(SQRT((Model_Data!A91)^2+Inputs!$C$6^2)/Inputs!$C$52))-Inputs!$C$5)*1000/Inputs!$C$12)</x:f>
        <x:v>762.0247570816274</x:v>
      </x:c>
      <x:c r="AB91" s="48" t="n">
        <x:f>Model_Data!F91</x:f>
        <x:v>761.6217649095123</x:v>
      </x:c>
    </x:row>
    <x:row r="92">
      <x:c r="A92" s="48" t="n">
        <x:f>Model_Data!A92</x:f>
        <x:v>-15</x:v>
      </x:c>
      <x:c r="B92" s="48" t="n">
        <x:f>0</x:f>
        <x:v>0</x:v>
      </x:c>
      <x:c r="C92" s="48" t="n">
        <x:f>((SQRT((Inputs!$C$52+Inputs!$C$5)^2+Inputs!$C$52^2-2*(Inputs!$C$52+Inputs!$C$5)*Inputs!$C$52*COS(SQRT((Model_Data!A92)^2+Inputs!$C$6^2)/Inputs!$C$52))-Inputs!$C$5)*1000/Inputs!$C$12)</x:f>
        <x:v>748.6167842668547</x:v>
      </x:c>
      <x:c r="D92" s="48" t="n">
        <x:f>Model_Data!F92</x:f>
        <x:v>748.2459723916826</x:v>
      </x:c>
      <x:c r="E92" s="48" t="n">
        <x:f>Model_Data!AC92</x:f>
        <x:v>464.32067539217184</x:v>
      </x:c>
      <x:c r="F92" s="49"/>
      <x:c r="G92" s="48" t="n">
        <x:f>Model_Data!A92</x:f>
        <x:v>-15</x:v>
      </x:c>
      <x:c r="H92" s="48" t="n">
        <x:f>0</x:f>
        <x:v>0</x:v>
      </x:c>
      <x:c r="I92" s="48" t="n">
        <x:f>Model_Data!Y92</x:f>
        <x:v>416.63024006091615</x:v>
      </x:c>
      <x:c r="J92" s="48" t="n">
        <x:f>Model_Data!X92</x:f>
        <x:v>-90.49530902944495</x:v>
      </x:c>
      <x:c r="K92" s="48" t="n">
        <x:f>Model_Data!A92</x:f>
        <x:v>-15</x:v>
      </x:c>
      <x:c r="L92" s="48" t="n">
        <x:f>Model_Data!Y92</x:f>
        <x:v>416.63024006091615</x:v>
      </x:c>
      <x:c r="M92" s="48" t="n">
        <x:f>Model_Data!X92</x:f>
        <x:v>-90.49530902944495</x:v>
      </x:c>
      <x:c r="N92" s="48" t="n">
        <x:f>-(Model_Data!AC92-Model_Data!F92)*Inputs!$C$12</x:f>
        <x:v>505.38702865912916</x:v>
      </x:c>
      <x:c r="O92" s="49"/>
      <x:c r="P92" s="48" t="n">
        <x:f>Model_Data!A92</x:f>
        <x:v>-15</x:v>
      </x:c>
      <x:c r="Q92" s="48" t="n">
        <x:f>Model_Data!P92</x:f>
        <x:v>128.2774733243059</x:v>
      </x:c>
      <x:c r="R92" s="48" t="n">
        <x:f>Model_Data!AM92</x:f>
        <x:v>160.4549174724525</x:v>
      </x:c>
      <x:c r="S92" s="48" t="n">
        <x:f>Model_Data!Q92</x:f>
        <x:v>19.260881880526412</x:v>
      </x:c>
      <x:c r="T92" s="48" t="n">
        <x:f>Model_Data!AN92</x:f>
        <x:v>24.092329950818698</x:v>
      </x:c>
      <x:c r="U92" s="49"/>
      <x:c r="V92" s="48" t="n">
        <x:f>Model_Data!A92</x:f>
        <x:v>-15</x:v>
      </x:c>
      <x:c r="W92" s="48" t="n">
        <x:f>Model_Data!B92-Inputs!$C$5</x:f>
        <x:v>0.25</x:v>
      </x:c>
      <x:c r="X92" s="49"/>
      <x:c r="Y92" s="48" t="n">
        <x:f>Model_Data!A92</x:f>
        <x:v>-15</x:v>
      </x:c>
      <x:c r="Z92" s="48" t="n">
        <x:f>0</x:f>
        <x:v>0</x:v>
      </x:c>
      <x:c r="AA92" s="48" t="n">
        <x:f>((SQRT((Inputs!$C$52+Inputs!$C$5)^2+Inputs!$C$52^2-2*(Inputs!$C$52+Inputs!$C$5)*Inputs!$C$52*COS(SQRT((Model_Data!A92)^2+Inputs!$C$6^2)/Inputs!$C$52))-Inputs!$C$5)*1000/Inputs!$C$12)</x:f>
        <x:v>748.6167842668547</x:v>
      </x:c>
      <x:c r="AB92" s="48" t="n">
        <x:f>Model_Data!F92</x:f>
        <x:v>748.2459723916826</x:v>
      </x:c>
    </x:row>
    <x:row r="93">
      <x:c r="A93" s="48" t="n">
        <x:f>Model_Data!A93</x:f>
        <x:v>-14.5</x:v>
      </x:c>
      <x:c r="B93" s="48" t="n">
        <x:f>0</x:f>
        <x:v>0</x:v>
      </x:c>
      <x:c r="C93" s="48" t="n">
        <x:f>((SQRT((Inputs!$C$52+Inputs!$C$5)^2+Inputs!$C$52^2-2*(Inputs!$C$52+Inputs!$C$5)*Inputs!$C$52*COS(SQRT((Model_Data!A93)^2+Inputs!$C$6^2)/Inputs!$C$52))-Inputs!$C$5)*1000/Inputs!$C$12)</x:f>
        <x:v>735.6476452129021</x:v>
      </x:c>
      <x:c r="D93" s="48" t="n">
        <x:f>Model_Data!F93</x:f>
        <x:v>735.3071090138205</x:v>
      </x:c>
      <x:c r="E93" s="48" t="n">
        <x:f>Model_Data!AC93</x:f>
        <x:v>448.6655514253325</x:v>
      </x:c>
      <x:c r="F93" s="49"/>
      <x:c r="G93" s="48" t="n">
        <x:f>Model_Data!A93</x:f>
        <x:v>-14.5</x:v>
      </x:c>
      <x:c r="H93" s="48" t="n">
        <x:f>0</x:f>
        <x:v>0</x:v>
      </x:c>
      <x:c r="I93" s="48" t="n">
        <x:f>Model_Data!Y93</x:f>
        <x:v>425.31373753688456</x:v>
      </x:c>
      <x:c r="J93" s="48" t="n">
        <x:f>Model_Data!X93</x:f>
        <x:v>-86.65248482679937</x:v>
      </x:c>
      <x:c r="K93" s="48" t="n">
        <x:f>Model_Data!A93</x:f>
        <x:v>-14.5</x:v>
      </x:c>
      <x:c r="L93" s="48" t="n">
        <x:f>Model_Data!Y93</x:f>
        <x:v>425.31373753688456</x:v>
      </x:c>
      <x:c r="M93" s="48" t="n">
        <x:f>Model_Data!X93</x:f>
        <x:v>-86.65248482679937</x:v>
      </x:c>
      <x:c r="N93" s="48" t="n">
        <x:f>-(Model_Data!AC93-Model_Data!F93)*Inputs!$C$12</x:f>
        <x:v>510.22197250750867</x:v>
      </x:c>
      <x:c r="O93" s="49"/>
      <x:c r="P93" s="48" t="n">
        <x:f>Model_Data!A93</x:f>
        <x:v>-14.5</x:v>
      </x:c>
      <x:c r="Q93" s="48" t="n">
        <x:f>Model_Data!P93</x:f>
        <x:v>124.0104866564252</x:v>
      </x:c>
      <x:c r="R93" s="48" t="n">
        <x:f>Model_Data!AM93</x:f>
        <x:v>131.00044031953075</x:v>
      </x:c>
      <x:c r="S93" s="48" t="n">
        <x:f>Model_Data!Q93</x:f>
        <x:v>18.62019319165544</x:v>
      </x:c>
      <x:c r="T93" s="48" t="n">
        <x:f>Model_Data!AN93</x:f>
        <x:v>19.669735783713328</x:v>
      </x:c>
      <x:c r="U93" s="49"/>
      <x:c r="V93" s="48" t="n">
        <x:f>Model_Data!A93</x:f>
        <x:v>-14.5</x:v>
      </x:c>
      <x:c r="W93" s="48" t="n">
        <x:f>Model_Data!B93-Inputs!$C$5</x:f>
        <x:v>0.23361111111108812</x:v>
      </x:c>
      <x:c r="X93" s="49"/>
      <x:c r="Y93" s="48" t="n">
        <x:f>Model_Data!A93</x:f>
        <x:v>-14.5</x:v>
      </x:c>
      <x:c r="Z93" s="48" t="n">
        <x:f>0</x:f>
        <x:v>0</x:v>
      </x:c>
      <x:c r="AA93" s="48" t="n">
        <x:f>((SQRT((Inputs!$C$52+Inputs!$C$5)^2+Inputs!$C$52^2-2*(Inputs!$C$52+Inputs!$C$5)*Inputs!$C$52*COS(SQRT((Model_Data!A93)^2+Inputs!$C$6^2)/Inputs!$C$52))-Inputs!$C$5)*1000/Inputs!$C$12)</x:f>
        <x:v>735.6476452129021</x:v>
      </x:c>
      <x:c r="AB93" s="48" t="n">
        <x:f>Model_Data!F93</x:f>
        <x:v>735.3071090138205</x:v>
      </x:c>
    </x:row>
    <x:row r="94">
      <x:c r="A94" s="48" t="n">
        <x:f>Model_Data!A94</x:f>
        <x:v>-14</x:v>
      </x:c>
      <x:c r="B94" s="48" t="n">
        <x:f>0</x:f>
        <x:v>0</x:v>
      </x:c>
      <x:c r="C94" s="48" t="n">
        <x:f>((SQRT((Inputs!$C$52+Inputs!$C$5)^2+Inputs!$C$52^2-2*(Inputs!$C$52+Inputs!$C$5)*Inputs!$C$52*COS(SQRT((Model_Data!A94)^2+Inputs!$C$6^2)/Inputs!$C$52))-Inputs!$C$5)*1000/Inputs!$C$12)</x:f>
        <x:v>723.1174169847241</x:v>
      </x:c>
      <x:c r="D94" s="48" t="n">
        <x:f>Model_Data!F94</x:f>
        <x:v>722.8053364714383</x:v>
      </x:c>
      <x:c r="E94" s="48" t="n">
        <x:f>Model_Data!AC94</x:f>
        <x:v>439.86914925204763</x:v>
      </x:c>
      <x:c r="F94" s="49"/>
      <x:c r="G94" s="48" t="n">
        <x:f>Model_Data!A94</x:f>
        <x:v>-14</x:v>
      </x:c>
      <x:c r="H94" s="48" t="n">
        <x:f>0</x:f>
        <x:v>0</x:v>
      </x:c>
      <x:c r="I94" s="48" t="n">
        <x:f>Model_Data!Y94</x:f>
        <x:v>420.9575928892744</x:v>
      </x:c>
      <x:c r="J94" s="48" t="n">
        <x:f>Model_Data!X94</x:f>
        <x:v>-84.36597258140502</x:v>
      </x:c>
      <x:c r="K94" s="48" t="n">
        <x:f>Model_Data!A94</x:f>
        <x:v>-14</x:v>
      </x:c>
      <x:c r="L94" s="48" t="n">
        <x:f>Model_Data!Y94</x:f>
        <x:v>420.9575928892744</x:v>
      </x:c>
      <x:c r="M94" s="48" t="n">
        <x:f>Model_Data!X94</x:f>
        <x:v>-84.36597258140502</x:v>
      </x:c>
      <x:c r="N94" s="48" t="n">
        <x:f>-(Model_Data!AC94-Model_Data!F94)*Inputs!$C$12</x:f>
        <x:v>503.6264132505154</x:v>
      </x:c>
      <x:c r="O94" s="49"/>
      <x:c r="P94" s="48" t="n">
        <x:f>Model_Data!A94</x:f>
        <x:v>-14</x:v>
      </x:c>
      <x:c r="Q94" s="48" t="n">
        <x:f>Model_Data!P94</x:f>
        <x:v>119.7425943531016</x:v>
      </x:c>
      <x:c r="R94" s="48" t="n">
        <x:f>Model_Data!AM94</x:f>
        <x:v>109.40700518340236</x:v>
      </x:c>
      <x:c r="S94" s="48" t="n">
        <x:f>Model_Data!Q94</x:f>
        <x:v>17.979368521486727</x:v>
      </x:c>
      <x:c r="T94" s="48" t="n">
        <x:f>Model_Data!AN94</x:f>
        <x:v>16.427478255766122</x:v>
      </x:c>
      <x:c r="U94" s="49"/>
      <x:c r="V94" s="48" t="n">
        <x:f>Model_Data!A94</x:f>
        <x:v>-14</x:v>
      </x:c>
      <x:c r="W94" s="48" t="n">
        <x:f>Model_Data!B94-Inputs!$C$5</x:f>
        <x:v>0.2177777777777692</x:v>
      </x:c>
      <x:c r="X94" s="49"/>
      <x:c r="Y94" s="48" t="n">
        <x:f>Model_Data!A94</x:f>
        <x:v>-14</x:v>
      </x:c>
      <x:c r="Z94" s="48" t="n">
        <x:f>0</x:f>
        <x:v>0</x:v>
      </x:c>
      <x:c r="AA94" s="48" t="n">
        <x:f>((SQRT((Inputs!$C$52+Inputs!$C$5)^2+Inputs!$C$52^2-2*(Inputs!$C$52+Inputs!$C$5)*Inputs!$C$52*COS(SQRT((Model_Data!A94)^2+Inputs!$C$6^2)/Inputs!$C$52))-Inputs!$C$5)*1000/Inputs!$C$12)</x:f>
        <x:v>723.1174169847241</x:v>
      </x:c>
      <x:c r="AB94" s="48" t="n">
        <x:f>Model_Data!F94</x:f>
        <x:v>722.8053364714383</x:v>
      </x:c>
    </x:row>
    <x:row r="95">
      <x:c r="A95" s="48" t="n">
        <x:f>Model_Data!A95</x:f>
        <x:v>-13.5</x:v>
      </x:c>
      <x:c r="B95" s="48" t="n">
        <x:f>0</x:f>
        <x:v>0</x:v>
      </x:c>
      <x:c r="C95" s="48" t="n">
        <x:f>((SQRT((Inputs!$C$52+Inputs!$C$5)^2+Inputs!$C$52^2-2*(Inputs!$C$52+Inputs!$C$5)*Inputs!$C$52*COS(SQRT((Model_Data!A95)^2+Inputs!$C$6^2)/Inputs!$C$52))-Inputs!$C$5)*1000/Inputs!$C$12)</x:f>
        <x:v>711.0261740581527</x:v>
      </x:c>
      <x:c r="D95" s="48" t="n">
        <x:f>Model_Data!F95</x:f>
        <x:v>710.7408110589965</x:v>
      </x:c>
      <x:c r="E95" s="48" t="n">
        <x:f>Model_Data!AC95</x:f>
        <x:v>442.1218226414712</x:v>
      </x:c>
      <x:c r="F95" s="49"/>
      <x:c r="G95" s="48" t="n">
        <x:f>Model_Data!A95</x:f>
        <x:v>-13.5</x:v>
      </x:c>
      <x:c r="H95" s="48" t="n">
        <x:f>0</x:f>
        <x:v>0</x:v>
      </x:c>
      <x:c r="I95" s="48" t="n">
        <x:f>Model_Data!Y95</x:f>
        <x:v>418.7700178970381</x:v>
      </x:c>
      <x:c r="J95" s="48" t="n">
        <x:f>Model_Data!X95</x:f>
        <x:v>-61.03205493353448</x:v>
      </x:c>
      <x:c r="K95" s="48" t="n">
        <x:f>Model_Data!A95</x:f>
        <x:v>-13.5</x:v>
      </x:c>
      <x:c r="L95" s="48" t="n">
        <x:f>Model_Data!Y95</x:f>
        <x:v>418.7700178970381</x:v>
      </x:c>
      <x:c r="M95" s="48" t="n">
        <x:f>Model_Data!X95</x:f>
        <x:v>-61.03205493353448</x:v>
      </x:c>
      <x:c r="N95" s="48" t="n">
        <x:f>-(Model_Data!AC95-Model_Data!F95)*Inputs!$C$12</x:f>
        <x:v>478.14179938319506</x:v>
      </x:c>
      <x:c r="O95" s="49"/>
      <x:c r="P95" s="48" t="n">
        <x:f>Model_Data!A95</x:f>
        <x:v>-13.5</x:v>
      </x:c>
      <x:c r="Q95" s="48" t="n">
        <x:f>Model_Data!P95</x:f>
        <x:v>115.4738272234681</x:v>
      </x:c>
      <x:c r="R95" s="48" t="n">
        <x:f>Model_Data!AM95</x:f>
        <x:v>134.57088687846408</x:v>
      </x:c>
      <x:c r="S95" s="48" t="n">
        <x:f>Model_Data!Q95</x:f>
        <x:v>17.338412496016232</x:v>
      </x:c>
      <x:c r="T95" s="48" t="n">
        <x:f>Model_Data!AN95</x:f>
        <x:v>20.205838870640253</x:v>
      </x:c>
      <x:c r="U95" s="49"/>
      <x:c r="V95" s="48" t="n">
        <x:f>Model_Data!A95</x:f>
        <x:v>-13.5</x:v>
      </x:c>
      <x:c r="W95" s="48" t="n">
        <x:f>Model_Data!B95-Inputs!$C$5</x:f>
        <x:v>0.20249999999998636</x:v>
      </x:c>
      <x:c r="X95" s="49"/>
      <x:c r="Y95" s="48" t="n">
        <x:f>Model_Data!A95</x:f>
        <x:v>-13.5</x:v>
      </x:c>
      <x:c r="Z95" s="48" t="n">
        <x:f>0</x:f>
        <x:v>0</x:v>
      </x:c>
      <x:c r="AA95" s="48" t="n">
        <x:f>((SQRT((Inputs!$C$52+Inputs!$C$5)^2+Inputs!$C$52^2-2*(Inputs!$C$52+Inputs!$C$5)*Inputs!$C$52*COS(SQRT((Model_Data!A95)^2+Inputs!$C$6^2)/Inputs!$C$52))-Inputs!$C$5)*1000/Inputs!$C$12)</x:f>
        <x:v>711.0261740581527</x:v>
      </x:c>
      <x:c r="AB95" s="48" t="n">
        <x:f>Model_Data!F95</x:f>
        <x:v>710.7408110589965</x:v>
      </x:c>
    </x:row>
    <x:row r="96">
      <x:c r="A96" s="48" t="n">
        <x:f>Model_Data!A96</x:f>
        <x:v>-13</x:v>
      </x:c>
      <x:c r="B96" s="48" t="n">
        <x:f>0</x:f>
        <x:v>0</x:v>
      </x:c>
      <x:c r="C96" s="48" t="n">
        <x:f>((SQRT((Inputs!$C$52+Inputs!$C$5)^2+Inputs!$C$52^2-2*(Inputs!$C$52+Inputs!$C$5)*Inputs!$C$52*COS(SQRT((Model_Data!A96)^2+Inputs!$C$6^2)/Inputs!$C$52))-Inputs!$C$5)*1000/Inputs!$C$12)</x:f>
        <x:v>699.3739883142141</x:v>
      </x:c>
      <x:c r="D96" s="48" t="n">
        <x:f>Model_Data!F96</x:f>
        <x:v>699.1136836541939</x:v>
      </x:c>
      <x:c r="E96" s="48" t="n">
        <x:f>Model_Data!AC96</x:f>
        <x:v>420.8616961385702</x:v>
      </x:c>
      <x:c r="F96" s="49"/>
      <x:c r="G96" s="48" t="n">
        <x:f>Model_Data!A96</x:f>
        <x:v>-13</x:v>
      </x:c>
      <x:c r="H96" s="48" t="n">
        <x:f>0</x:f>
        <x:v>0</x:v>
      </x:c>
      <x:c r="I96" s="48" t="n">
        <x:f>Model_Data!Y96</x:f>
        <x:v>432.8844458249992</x:v>
      </x:c>
      <x:c r="J96" s="48" t="n">
        <x:f>Model_Data!X96</x:f>
        <x:v>-64.09243482429542</x:v>
      </x:c>
      <x:c r="K96" s="48" t="n">
        <x:f>Model_Data!A96</x:f>
        <x:v>-13</x:v>
      </x:c>
      <x:c r="L96" s="48" t="n">
        <x:f>Model_Data!Y96</x:f>
        <x:v>432.8844458249992</x:v>
      </x:c>
      <x:c r="M96" s="48" t="n">
        <x:f>Model_Data!X96</x:f>
        <x:v>-64.09243482429542</x:v>
      </x:c>
      <x:c r="N96" s="48" t="n">
        <x:f>-(Model_Data!AC96-Model_Data!F96)*Inputs!$C$12</x:f>
        <x:v>495.2885377778102</x:v>
      </x:c>
      <x:c r="O96" s="49"/>
      <x:c r="P96" s="48" t="n">
        <x:f>Model_Data!A96</x:f>
        <x:v>-13</x:v>
      </x:c>
      <x:c r="Q96" s="48" t="n">
        <x:f>Model_Data!P96</x:f>
        <x:v>111.20421613486542</x:v>
      </x:c>
      <x:c r="R96" s="48" t="n">
        <x:f>Model_Data!AM96</x:f>
        <x:v>159.26135976260412</x:v>
      </x:c>
      <x:c r="S96" s="48" t="n">
        <x:f>Model_Data!Q96</x:f>
        <x:v>16.697329749979794</x:v>
      </x:c>
      <x:c r="T96" s="48" t="n">
        <x:f>Model_Data!AN96</x:f>
        <x:v>23.91311708147209</x:v>
      </x:c>
      <x:c r="U96" s="49"/>
      <x:c r="V96" s="48" t="n">
        <x:f>Model_Data!A96</x:f>
        <x:v>-13</x:v>
      </x:c>
      <x:c r="W96" s="48" t="n">
        <x:f>Model_Data!B96-Inputs!$C$5</x:f>
        <x:v>0.18777777777779647</x:v>
      </x:c>
      <x:c r="X96" s="49"/>
      <x:c r="Y96" s="48" t="n">
        <x:f>Model_Data!A96</x:f>
        <x:v>-13</x:v>
      </x:c>
      <x:c r="Z96" s="48" t="n">
        <x:f>0</x:f>
        <x:v>0</x:v>
      </x:c>
      <x:c r="AA96" s="48" t="n">
        <x:f>((SQRT((Inputs!$C$52+Inputs!$C$5)^2+Inputs!$C$52^2-2*(Inputs!$C$52+Inputs!$C$5)*Inputs!$C$52*COS(SQRT((Model_Data!A96)^2+Inputs!$C$6^2)/Inputs!$C$52))-Inputs!$C$5)*1000/Inputs!$C$12)</x:f>
        <x:v>699.3739883142141</x:v>
      </x:c>
      <x:c r="AB96" s="48" t="n">
        <x:f>Model_Data!F96</x:f>
        <x:v>699.1136836541939</x:v>
      </x:c>
    </x:row>
    <x:row r="97">
      <x:c r="A97" s="48" t="n">
        <x:f>Model_Data!A97</x:f>
        <x:v>-12.5</x:v>
      </x:c>
      <x:c r="B97" s="48" t="n">
        <x:f>0</x:f>
        <x:v>0</x:v>
      </x:c>
      <x:c r="C97" s="48" t="n">
        <x:f>((SQRT((Inputs!$C$52+Inputs!$C$5)^2+Inputs!$C$52^2-2*(Inputs!$C$52+Inputs!$C$5)*Inputs!$C$52*COS(SQRT((Model_Data!A97)^2+Inputs!$C$6^2)/Inputs!$C$52))-Inputs!$C$5)*1000/Inputs!$C$12)</x:f>
        <x:v>688.1609290384572</x:v>
      </x:c>
      <x:c r="D97" s="48" t="n">
        <x:f>Model_Data!F97</x:f>
        <x:v>687.9240997132716</x:v>
      </x:c>
      <x:c r="E97" s="48" t="n">
        <x:f>Model_Data!AC97</x:f>
        <x:v>397.2896157254548</x:v>
      </x:c>
      <x:c r="F97" s="49"/>
      <x:c r="G97" s="48" t="n">
        <x:f>Model_Data!A97</x:f>
        <x:v>-12.5</x:v>
      </x:c>
      <x:c r="H97" s="48" t="n">
        <x:f>0</x:f>
        <x:v>0</x:v>
      </x:c>
      <x:c r="I97" s="48" t="n">
        <x:f>Model_Data!Y97</x:f>
        <x:v>448.8683161255995</x:v>
      </x:c>
      <x:c r="J97" s="48" t="n">
        <x:f>Model_Data!X97</x:f>
        <x:v>-70.18392228131138</x:v>
      </x:c>
      <x:c r="K97" s="48" t="n">
        <x:f>Model_Data!A97</x:f>
        <x:v>-12.5</x:v>
      </x:c>
      <x:c r="L97" s="48" t="n">
        <x:f>Model_Data!Y97</x:f>
        <x:v>448.8683161255995</x:v>
      </x:c>
      <x:c r="M97" s="48" t="n">
        <x:f>Model_Data!X97</x:f>
        <x:v>-70.18392228131138</x:v>
      </x:c>
      <x:c r="N97" s="48" t="n">
        <x:f>-(Model_Data!AC97-Model_Data!F97)*Inputs!$C$12</x:f>
        <x:v>517.329381498314</x:v>
      </x:c>
      <x:c r="O97" s="49"/>
      <x:c r="P97" s="48" t="n">
        <x:f>Model_Data!A97</x:f>
        <x:v>-12.5</x:v>
      </x:c>
      <x:c r="Q97" s="48" t="n">
        <x:f>Model_Data!P97</x:f>
        <x:v>106.9337919834652</x:v>
      </x:c>
      <x:c r="R97" s="48" t="n">
        <x:f>Model_Data!AM97</x:f>
        <x:v>115.15921534473819</x:v>
      </x:c>
      <x:c r="S97" s="48" t="n">
        <x:f>Model_Data!Q97</x:f>
        <x:v>16.056124922442223</x:v>
      </x:c>
      <x:c r="T97" s="48" t="n">
        <x:f>Model_Data!AN97</x:f>
        <x:v>17.291173475185914</x:v>
      </x:c>
      <x:c r="U97" s="49"/>
      <x:c r="V97" s="48" t="n">
        <x:f>Model_Data!A97</x:f>
        <x:v>-12.5</x:v>
      </x:c>
      <x:c r="W97" s="48" t="n">
        <x:f>Model_Data!B97-Inputs!$C$5</x:f>
        <x:v>0.17361111111108585</x:v>
      </x:c>
      <x:c r="X97" s="49"/>
      <x:c r="Y97" s="48" t="n">
        <x:f>Model_Data!A97</x:f>
        <x:v>-12.5</x:v>
      </x:c>
      <x:c r="Z97" s="48" t="n">
        <x:f>0</x:f>
        <x:v>0</x:v>
      </x:c>
      <x:c r="AA97" s="48" t="n">
        <x:f>((SQRT((Inputs!$C$52+Inputs!$C$5)^2+Inputs!$C$52^2-2*(Inputs!$C$52+Inputs!$C$5)*Inputs!$C$52*COS(SQRT((Model_Data!A97)^2+Inputs!$C$6^2)/Inputs!$C$52))-Inputs!$C$5)*1000/Inputs!$C$12)</x:f>
        <x:v>688.1609290384572</x:v>
      </x:c>
      <x:c r="AB97" s="48" t="n">
        <x:f>Model_Data!F97</x:f>
        <x:v>687.9240997132716</x:v>
      </x:c>
    </x:row>
    <x:row r="98">
      <x:c r="A98" s="48" t="n">
        <x:f>Model_Data!A98</x:f>
        <x:v>-12</x:v>
      </x:c>
      <x:c r="B98" s="48" t="n">
        <x:f>0</x:f>
        <x:v>0</x:v>
      </x:c>
      <x:c r="C98" s="48" t="n">
        <x:f>((SQRT((Inputs!$C$52+Inputs!$C$5)^2+Inputs!$C$52^2-2*(Inputs!$C$52+Inputs!$C$5)*Inputs!$C$52*COS(SQRT((Model_Data!A98)^2+Inputs!$C$6^2)/Inputs!$C$52))-Inputs!$C$5)*1000/Inputs!$C$12)</x:f>
        <x:v>677.387062917697</x:v>
      </x:c>
      <x:c r="D98" s="48" t="n">
        <x:f>Model_Data!F98</x:f>
        <x:v>677.1721992654893</x:v>
      </x:c>
      <x:c r="E98" s="48" t="n">
        <x:f>Model_Data!AC98</x:f>
        <x:v>405.32111045431367</x:v>
      </x:c>
      <x:c r="F98" s="49"/>
      <x:c r="G98" s="48" t="n">
        <x:f>Model_Data!A98</x:f>
        <x:v>-12</x:v>
      </x:c>
      <x:c r="H98" s="48" t="n">
        <x:f>0</x:f>
        <x:v>0</x:v>
      </x:c>
      <x:c r="I98" s="48" t="n">
        <x:f>Model_Data!Y98</x:f>
        <x:v>437.9918993099811</x:v>
      </x:c>
      <x:c r="J98" s="48" t="n">
        <x:f>Model_Data!X98</x:f>
        <x:v>-47.55794552962975</x:v>
      </x:c>
      <x:c r="K98" s="48" t="n">
        <x:f>Model_Data!A98</x:f>
        <x:v>-12</x:v>
      </x:c>
      <x:c r="L98" s="48" t="n">
        <x:f>Model_Data!Y98</x:f>
        <x:v>437.9918993099811</x:v>
      </x:c>
      <x:c r="M98" s="48" t="n">
        <x:f>Model_Data!X98</x:f>
        <x:v>-47.55794552962975</x:v>
      </x:c>
      <x:c r="N98" s="48" t="n">
        <x:f>-(Model_Data!AC98-Model_Data!F98)*Inputs!$C$12</x:f>
        <x:v>483.89493808389267</x:v>
      </x:c>
      <x:c r="O98" s="49"/>
      <x:c r="P98" s="48" t="n">
        <x:f>Model_Data!A98</x:f>
        <x:v>-12</x:v>
      </x:c>
      <x:c r="Q98" s="48" t="n">
        <x:f>Model_Data!P98</x:f>
        <x:v>102.66258570945865</x:v>
      </x:c>
      <x:c r="R98" s="48" t="n">
        <x:f>Model_Data!AM98</x:f>
        <x:v>118.75489251451654</x:v>
      </x:c>
      <x:c r="S98" s="48" t="n">
        <x:f>Model_Data!Q98</x:f>
        <x:v>15.414802659077877</x:v>
      </x:c>
      <x:c r="T98" s="48" t="n">
        <x:f>Model_Data!AN98</x:f>
        <x:v>17.831064942119603</x:v>
      </x:c>
      <x:c r="U98" s="49"/>
      <x:c r="V98" s="48" t="n">
        <x:f>Model_Data!A98</x:f>
        <x:v>-12</x:v>
      </x:c>
      <x:c r="W98" s="48" t="n">
        <x:f>Model_Data!B98-Inputs!$C$5</x:f>
        <x:v>0.160000000000025</x:v>
      </x:c>
      <x:c r="X98" s="49"/>
      <x:c r="Y98" s="48" t="n">
        <x:f>Model_Data!A98</x:f>
        <x:v>-12</x:v>
      </x:c>
      <x:c r="Z98" s="48" t="n">
        <x:f>0</x:f>
        <x:v>0</x:v>
      </x:c>
      <x:c r="AA98" s="48" t="n">
        <x:f>((SQRT((Inputs!$C$52+Inputs!$C$5)^2+Inputs!$C$52^2-2*(Inputs!$C$52+Inputs!$C$5)*Inputs!$C$52*COS(SQRT((Model_Data!A98)^2+Inputs!$C$6^2)/Inputs!$C$52))-Inputs!$C$5)*1000/Inputs!$C$12)</x:f>
        <x:v>677.387062917697</x:v>
      </x:c>
      <x:c r="AB98" s="48" t="n">
        <x:f>Model_Data!F98</x:f>
        <x:v>677.1721992654893</x:v>
      </x:c>
    </x:row>
    <x:row r="99">
      <x:c r="A99" s="48" t="n">
        <x:f>Model_Data!A99</x:f>
        <x:v>-11.5</x:v>
      </x:c>
      <x:c r="B99" s="48" t="n">
        <x:f>0</x:f>
        <x:v>0</x:v>
      </x:c>
      <x:c r="C99" s="48" t="n">
        <x:f>((SQRT((Inputs!$C$52+Inputs!$C$5)^2+Inputs!$C$52^2-2*(Inputs!$C$52+Inputs!$C$5)*Inputs!$C$52*COS(SQRT((Model_Data!A99)^2+Inputs!$C$6^2)/Inputs!$C$52))-Inputs!$C$5)*1000/Inputs!$C$12)</x:f>
        <x:v>667.052454042441</x:v>
      </x:c>
      <x:c r="D99" s="48" t="n">
        <x:f>Model_Data!F99</x:f>
        <x:v>666.8581169032889</x:v>
      </x:c>
      <x:c r="E99" s="48" t="n">
        <x:f>Model_Data!AC99</x:f>
        <x:v>382.99802752936847</x:v>
      </x:c>
      <x:c r="F99" s="49"/>
      <x:c r="G99" s="48" t="n">
        <x:f>Model_Data!A99</x:f>
        <x:v>-11.5</x:v>
      </x:c>
      <x:c r="H99" s="48" t="n">
        <x:f>0</x:f>
        <x:v>0</x:v>
      </x:c>
      <x:c r="I99" s="48" t="n">
        <x:f>Model_Data!Y99</x:f>
        <x:v>458.910891472728</x:v>
      </x:c>
      <x:c r="J99" s="48" t="n">
        <x:f>Model_Data!X99</x:f>
        <x:v>-48.06780811544866</x:v>
      </x:c>
      <x:c r="K99" s="48" t="n">
        <x:f>Model_Data!A99</x:f>
        <x:v>-11.5</x:v>
      </x:c>
      <x:c r="L99" s="48" t="n">
        <x:f>Model_Data!Y99</x:f>
        <x:v>458.910891472728</x:v>
      </x:c>
      <x:c r="M99" s="48" t="n">
        <x:f>Model_Data!X99</x:f>
        <x:v>-48.06780811544866</x:v>
      </x:c>
      <x:c r="N99" s="48" t="n">
        <x:f>-(Model_Data!AC99-Model_Data!F99)*Inputs!$C$12</x:f>
        <x:v>505.27095908557834</x:v>
      </x:c>
      <x:c r="O99" s="49"/>
      <x:c r="P99" s="48" t="n">
        <x:f>Model_Data!A99</x:f>
        <x:v>-11.5</x:v>
      </x:c>
      <x:c r="Q99" s="48" t="n">
        <x:f>Model_Data!P99</x:f>
        <x:v>98.39062828850729</x:v>
      </x:c>
      <x:c r="R99" s="48" t="n">
        <x:f>Model_Data!AM99</x:f>
        <x:v>137.6040267078679</x:v>
      </x:c>
      <x:c r="S99" s="48" t="n">
        <x:f>Model_Data!Q99</x:f>
        <x:v>14.77336761088698</x:v>
      </x:c>
      <x:c r="T99" s="48" t="n">
        <x:f>Model_Data!AN99</x:f>
        <x:v>20.661265271451636</x:v>
      </x:c>
      <x:c r="U99" s="49"/>
      <x:c r="V99" s="48" t="n">
        <x:f>Model_Data!A99</x:f>
        <x:v>-11.5</x:v>
      </x:c>
      <x:c r="W99" s="48" t="n">
        <x:f>Model_Data!B99-Inputs!$C$5</x:f>
        <x:v>0.14694444444444343</x:v>
      </x:c>
      <x:c r="X99" s="49"/>
      <x:c r="Y99" s="48" t="n">
        <x:f>Model_Data!A99</x:f>
        <x:v>-11.5</x:v>
      </x:c>
      <x:c r="Z99" s="48" t="n">
        <x:f>0</x:f>
        <x:v>0</x:v>
      </x:c>
      <x:c r="AA99" s="48" t="n">
        <x:f>((SQRT((Inputs!$C$52+Inputs!$C$5)^2+Inputs!$C$52^2-2*(Inputs!$C$52+Inputs!$C$5)*Inputs!$C$52*COS(SQRT((Model_Data!A99)^2+Inputs!$C$6^2)/Inputs!$C$52))-Inputs!$C$5)*1000/Inputs!$C$12)</x:f>
        <x:v>667.052454042441</x:v>
      </x:c>
      <x:c r="AB99" s="48" t="n">
        <x:f>Model_Data!F99</x:f>
        <x:v>666.8581169032889</x:v>
      </x:c>
    </x:row>
    <x:row r="100">
      <x:c r="A100" s="48" t="n">
        <x:f>Model_Data!A100</x:f>
        <x:v>-11</x:v>
      </x:c>
      <x:c r="B100" s="48" t="n">
        <x:f>0</x:f>
        <x:v>0</x:v>
      </x:c>
      <x:c r="C100" s="48" t="n">
        <x:f>((SQRT((Inputs!$C$52+Inputs!$C$5)^2+Inputs!$C$52^2-2*(Inputs!$C$52+Inputs!$C$5)*Inputs!$C$52*COS(SQRT((Model_Data!A100)^2+Inputs!$C$6^2)/Inputs!$C$52))-Inputs!$C$5)*1000/Inputs!$C$12)</x:f>
        <x:v>657.1571638987466</x:v>
      </x:c>
      <x:c r="D100" s="48" t="n">
        <x:f>Model_Data!F100</x:f>
        <x:v>656.9819817796764</x:v>
      </x:c>
      <x:c r="E100" s="48" t="n">
        <x:f>Model_Data!AC100</x:f>
        <x:v>373.75995810568355</x:v>
      </x:c>
      <x:c r="F100" s="49"/>
      <x:c r="G100" s="48" t="n">
        <x:f>Model_Data!A100</x:f>
        <x:v>-11</x:v>
      </x:c>
      <x:c r="H100" s="48" t="n">
        <x:f>0</x:f>
        <x:v>0</x:v>
      </x:c>
      <x:c r="I100" s="48" t="n">
        <x:f>Model_Data!Y100</x:f>
        <x:v>462.5412492822977</x:v>
      </x:c>
      <x:c r="J100" s="48" t="n">
        <x:f>Model_Data!X100</x:f>
        <x:v>-43.28983557333215</x:v>
      </x:c>
      <x:c r="K100" s="48" t="n">
        <x:f>Model_Data!A100</x:f>
        <x:v>-11</x:v>
      </x:c>
      <x:c r="L100" s="48" t="n">
        <x:f>Model_Data!Y100</x:f>
        <x:v>462.5412492822977</x:v>
      </x:c>
      <x:c r="M100" s="48" t="n">
        <x:f>Model_Data!X100</x:f>
        <x:v>-43.28983557333215</x:v>
      </x:c>
      <x:c r="N100" s="48" t="n">
        <x:f>-(Model_Data!AC100-Model_Data!F100)*Inputs!$C$12</x:f>
        <x:v>504.1352021397073</x:v>
      </x:c>
      <x:c r="O100" s="49"/>
      <x:c r="P100" s="48" t="n">
        <x:f>Model_Data!A100</x:f>
        <x:v>-11</x:v>
      </x:c>
      <x:c r="Q100" s="48" t="n">
        <x:f>Model_Data!P100</x:f>
        <x:v>94.1179507391098</x:v>
      </x:c>
      <x:c r="R100" s="48" t="n">
        <x:f>Model_Data!AM100</x:f>
        <x:v>112.0371558296938</x:v>
      </x:c>
      <x:c r="S100" s="48" t="n">
        <x:f>Model_Data!Q100</x:f>
        <x:v>14.131824435301773</x:v>
      </x:c>
      <x:c r="T100" s="48" t="n">
        <x:f>Model_Data!AN100</x:f>
        <x:v>16.822395770224297</x:v>
      </x:c>
      <x:c r="U100" s="49"/>
      <x:c r="V100" s="48" t="n">
        <x:f>Model_Data!A100</x:f>
        <x:v>-11</x:v>
      </x:c>
      <x:c r="W100" s="48" t="n">
        <x:f>Model_Data!B100-Inputs!$C$5</x:f>
        <x:v>0.1344444444444548</x:v>
      </x:c>
      <x:c r="X100" s="49"/>
      <x:c r="Y100" s="48" t="n">
        <x:f>Model_Data!A100</x:f>
        <x:v>-11</x:v>
      </x:c>
      <x:c r="Z100" s="48" t="n">
        <x:f>0</x:f>
        <x:v>0</x:v>
      </x:c>
      <x:c r="AA100" s="48" t="n">
        <x:f>((SQRT((Inputs!$C$52+Inputs!$C$5)^2+Inputs!$C$52^2-2*(Inputs!$C$52+Inputs!$C$5)*Inputs!$C$52*COS(SQRT((Model_Data!A100)^2+Inputs!$C$6^2)/Inputs!$C$52))-Inputs!$C$5)*1000/Inputs!$C$12)</x:f>
        <x:v>657.1571638987466</x:v>
      </x:c>
      <x:c r="AB100" s="48" t="n">
        <x:f>Model_Data!F100</x:f>
        <x:v>656.9819817796764</x:v>
      </x:c>
    </x:row>
    <x:row r="101">
      <x:c r="A101" s="48" t="n">
        <x:f>Model_Data!A101</x:f>
        <x:v>-10.5</x:v>
      </x:c>
      <x:c r="B101" s="48" t="n">
        <x:f>0</x:f>
        <x:v>0</x:v>
      </x:c>
      <x:c r="C101" s="48" t="n">
        <x:f>((SQRT((Inputs!$C$52+Inputs!$C$5)^2+Inputs!$C$52^2-2*(Inputs!$C$52+Inputs!$C$5)*Inputs!$C$52*COS(SQRT((Model_Data!A101)^2+Inputs!$C$6^2)/Inputs!$C$52))-Inputs!$C$5)*1000/Inputs!$C$12)</x:f>
        <x:v>647.7012513701045</x:v>
      </x:c>
      <x:c r="D101" s="48" t="n">
        <x:f>Model_Data!F101</x:f>
        <x:v>647.5439175957033</x:v>
      </x:c>
      <x:c r="E101" s="48" t="n">
        <x:f>Model_Data!AC101</x:f>
        <x:v>355.1287665910228</x:v>
      </x:c>
      <x:c r="F101" s="49"/>
      <x:c r="G101" s="48" t="n">
        <x:f>Model_Data!A101</x:f>
        <x:v>-10.5</x:v>
      </x:c>
      <x:c r="H101" s="48" t="n">
        <x:f>0</x:f>
        <x:v>0</x:v>
      </x:c>
      <x:c r="I101" s="48" t="n">
        <x:f>Model_Data!Y101</x:f>
        <x:v>470.10163194835394</x:v>
      </x:c>
      <x:c r="J101" s="48" t="n">
        <x:f>Model_Data!X101</x:f>
        <x:v>-52.09631463655199</x:v>
      </x:c>
      <x:c r="K101" s="48" t="n">
        <x:f>Model_Data!A101</x:f>
        <x:v>-10.5</x:v>
      </x:c>
      <x:c r="L101" s="48" t="n">
        <x:f>Model_Data!Y101</x:f>
        <x:v>470.10163194835394</x:v>
      </x:c>
      <x:c r="M101" s="48" t="n">
        <x:f>Model_Data!X101</x:f>
        <x:v>-52.09631463655199</x:v>
      </x:c>
      <x:c r="N101" s="48" t="n">
        <x:f>-(Model_Data!AC101-Model_Data!F101)*Inputs!$C$12</x:f>
        <x:v>520.4989687883314</x:v>
      </x:c>
      <x:c r="O101" s="49"/>
      <x:c r="P101" s="48" t="n">
        <x:f>Model_Data!A101</x:f>
        <x:v>-10.5</x:v>
      </x:c>
      <x:c r="Q101" s="48" t="n">
        <x:f>Model_Data!P101</x:f>
        <x:v>89.8445841135981</x:v>
      </x:c>
      <x:c r="R101" s="48" t="n">
        <x:f>Model_Data!AM101</x:f>
        <x:v>104.22636697785492</x:v>
      </x:c>
      <x:c r="S101" s="48" t="n">
        <x:f>Model_Data!Q101</x:f>
        <x:v>13.490177794834551</x:v>
      </x:c>
      <x:c r="T101" s="48" t="n">
        <x:f>Model_Data!AN101</x:f>
        <x:v>15.64960465132957</x:v>
      </x:c>
      <x:c r="U101" s="49"/>
      <x:c r="V101" s="48" t="n">
        <x:f>Model_Data!A101</x:f>
        <x:v>-10.5</x:v>
      </x:c>
      <x:c r="W101" s="48" t="n">
        <x:f>Model_Data!B101-Inputs!$C$5</x:f>
        <x:v>0.12250000000000227</x:v>
      </x:c>
      <x:c r="X101" s="49"/>
      <x:c r="Y101" s="48" t="n">
        <x:f>Model_Data!A101</x:f>
        <x:v>-10.5</x:v>
      </x:c>
      <x:c r="Z101" s="48" t="n">
        <x:f>0</x:f>
        <x:v>0</x:v>
      </x:c>
      <x:c r="AA101" s="48" t="n">
        <x:f>((SQRT((Inputs!$C$52+Inputs!$C$5)^2+Inputs!$C$52^2-2*(Inputs!$C$52+Inputs!$C$5)*Inputs!$C$52*COS(SQRT((Model_Data!A101)^2+Inputs!$C$6^2)/Inputs!$C$52))-Inputs!$C$5)*1000/Inputs!$C$12)</x:f>
        <x:v>647.7012513701045</x:v>
      </x:c>
      <x:c r="AB101" s="48" t="n">
        <x:f>Model_Data!F101</x:f>
        <x:v>647.5439175957033</x:v>
      </x:c>
    </x:row>
    <x:row r="102">
      <x:c r="A102" s="48" t="n">
        <x:f>Model_Data!A102</x:f>
        <x:v>-10</x:v>
      </x:c>
      <x:c r="B102" s="48" t="n">
        <x:f>0</x:f>
        <x:v>0</x:v>
      </x:c>
      <x:c r="C102" s="48" t="n">
        <x:f>((SQRT((Inputs!$C$52+Inputs!$C$5)^2+Inputs!$C$52^2-2*(Inputs!$C$52+Inputs!$C$5)*Inputs!$C$52*COS(SQRT((Model_Data!A102)^2+Inputs!$C$6^2)/Inputs!$C$52))-Inputs!$C$5)*1000/Inputs!$C$12)</x:f>
        <x:v>638.6847727352039</x:v>
      </x:c>
      <x:c r="D102" s="48" t="n">
        <x:f>Model_Data!F102</x:f>
        <x:v>638.5440426012327</x:v>
      </x:c>
      <x:c r="E102" s="48" t="n">
        <x:f>Model_Data!AC102</x:f>
        <x:v>346.82656373737944</x:v>
      </x:c>
      <x:c r="F102" s="49"/>
      <x:c r="G102" s="48" t="n">
        <x:f>Model_Data!A102</x:f>
        <x:v>-10</x:v>
      </x:c>
      <x:c r="H102" s="48" t="n">
        <x:f>0</x:f>
        <x:v>0</x:v>
      </x:c>
      <x:c r="I102" s="48" t="n">
        <x:f>Model_Data!Y102</x:f>
        <x:v>471.5144848829251</x:v>
      </x:c>
      <x:c r="J102" s="48" t="n">
        <x:f>Model_Data!X102</x:f>
        <x:v>-49.423131521111884</x:v>
      </x:c>
      <x:c r="K102" s="48" t="n">
        <x:f>Model_Data!A102</x:f>
        <x:v>-10</x:v>
      </x:c>
      <x:c r="L102" s="48" t="n">
        <x:f>Model_Data!Y102</x:f>
        <x:v>471.5144848829251</x:v>
      </x:c>
      <x:c r="M102" s="48" t="n">
        <x:f>Model_Data!X102</x:f>
        <x:v>-49.423131521111884</x:v>
      </x:c>
      <x:c r="N102" s="48" t="n">
        <x:f>-(Model_Data!AC102-Model_Data!F102)*Inputs!$C$12</x:f>
        <x:v>519.2571123776588</x:v>
      </x:c>
      <x:c r="O102" s="49"/>
      <x:c r="P102" s="48" t="n">
        <x:f>Model_Data!A102</x:f>
        <x:v>-10</x:v>
      </x:c>
      <x:c r="Q102" s="48" t="n">
        <x:f>Model_Data!P102</x:f>
        <x:v>85.5705594970459</x:v>
      </x:c>
      <x:c r="R102" s="48" t="n">
        <x:f>Model_Data!AM102</x:f>
        <x:v>86.40918325254461</x:v>
      </x:c>
      <x:c r="S102" s="48" t="n">
        <x:f>Model_Data!Q102</x:f>
        <x:v>12.8484323569138</x:v>
      </x:c>
      <x:c r="T102" s="48" t="n">
        <x:f>Model_Data!AN102</x:f>
        <x:v>12.974351839721415</x:v>
      </x:c>
      <x:c r="U102" s="49"/>
      <x:c r="V102" s="48" t="n">
        <x:f>Model_Data!A102</x:f>
        <x:v>-10</x:v>
      </x:c>
      <x:c r="W102" s="48" t="n">
        <x:f>Model_Data!B102-Inputs!$C$5</x:f>
        <x:v>0.11111111111108585</x:v>
      </x:c>
      <x:c r="X102" s="49"/>
      <x:c r="Y102" s="48" t="n">
        <x:f>Model_Data!A102</x:f>
        <x:v>-10</x:v>
      </x:c>
      <x:c r="Z102" s="48" t="n">
        <x:f>0</x:f>
        <x:v>0</x:v>
      </x:c>
      <x:c r="AA102" s="48" t="n">
        <x:f>((SQRT((Inputs!$C$52+Inputs!$C$5)^2+Inputs!$C$52^2-2*(Inputs!$C$52+Inputs!$C$5)*Inputs!$C$52*COS(SQRT((Model_Data!A102)^2+Inputs!$C$6^2)/Inputs!$C$52))-Inputs!$C$5)*1000/Inputs!$C$12)</x:f>
        <x:v>638.6847727352039</x:v>
      </x:c>
      <x:c r="AB102" s="48" t="n">
        <x:f>Model_Data!F102</x:f>
        <x:v>638.5440426012327</x:v>
      </x:c>
    </x:row>
    <x:row r="103">
      <x:c r="A103" s="48" t="n">
        <x:f>Model_Data!A103</x:f>
        <x:v>-9.5</x:v>
      </x:c>
      <x:c r="B103" s="48" t="n">
        <x:f>0</x:f>
        <x:v>0</x:v>
      </x:c>
      <x:c r="C103" s="48" t="n">
        <x:f>((SQRT((Inputs!$C$52+Inputs!$C$5)^2+Inputs!$C$52^2-2*(Inputs!$C$52+Inputs!$C$5)*Inputs!$C$52*COS(SQRT((Model_Data!A103)^2+Inputs!$C$6^2)/Inputs!$C$52))-Inputs!$C$5)*1000/Inputs!$C$12)</x:f>
        <x:v>630.1077816669101</x:v>
      </x:c>
      <x:c r="D103" s="48" t="n">
        <x:f>Model_Data!F103</x:f>
        <x:v>629.9824695825495</x:v>
      </x:c>
      <x:c r="E103" s="48" t="n">
        <x:f>Model_Data!AC103</x:f>
        <x:v>348.406990945457</x:v>
      </x:c>
      <x:c r="F103" s="49"/>
      <x:c r="G103" s="48" t="n">
        <x:f>Model_Data!A103</x:f>
        <x:v>-9.5</x:v>
      </x:c>
      <x:c r="H103" s="48" t="n">
        <x:f>0</x:f>
        <x:v>0</x:v>
      </x:c>
      <x:c r="I103" s="48" t="n">
        <x:f>Model_Data!Y103</x:f>
        <x:v>470.5815738170562</x:v>
      </x:c>
      <x:c r="J103" s="48" t="n">
        <x:f>Model_Data!X103</x:f>
        <x:v>-32.277557975083496</x:v>
      </x:c>
      <x:c r="K103" s="48" t="n">
        <x:f>Model_Data!A103</x:f>
        <x:v>-9.5</x:v>
      </x:c>
      <x:c r="L103" s="48" t="n">
        <x:f>Model_Data!Y103</x:f>
        <x:v>470.5815738170562</x:v>
      </x:c>
      <x:c r="M103" s="48" t="n">
        <x:f>Model_Data!X103</x:f>
        <x:v>-32.277557975083496</x:v>
      </x:c>
      <x:c r="N103" s="48" t="n">
        <x:f>-(Model_Data!AC103-Model_Data!F103)*Inputs!$C$12</x:f>
        <x:v>501.20435197402463</x:v>
      </x:c>
      <x:c r="O103" s="49"/>
      <x:c r="P103" s="48" t="n">
        <x:f>Model_Data!A103</x:f>
        <x:v>-9.5</x:v>
      </x:c>
      <x:c r="Q103" s="48" t="n">
        <x:f>Model_Data!P103</x:f>
        <x:v>81.2959080145447</x:v>
      </x:c>
      <x:c r="R103" s="48" t="n">
        <x:f>Model_Data!AM103</x:f>
        <x:v>95.88133801144068</x:v>
      </x:c>
      <x:c r="S103" s="48" t="n">
        <x:f>Model_Data!Q103</x:f>
        <x:v>12.206592794976682</x:v>
      </x:c>
      <x:c r="T103" s="48" t="n">
        <x:f>Model_Data!AN103</x:f>
        <x:v>14.396597299015118</x:v>
      </x:c>
      <x:c r="U103" s="49"/>
      <x:c r="V103" s="48" t="n">
        <x:f>Model_Data!A103</x:f>
        <x:v>-9.5</x:v>
      </x:c>
      <x:c r="W103" s="48" t="n">
        <x:f>Model_Data!B103-Inputs!$C$5</x:f>
        <x:v>0.10027777777776237</x:v>
      </x:c>
      <x:c r="X103" s="49"/>
      <x:c r="Y103" s="48" t="n">
        <x:f>Model_Data!A103</x:f>
        <x:v>-9.5</x:v>
      </x:c>
      <x:c r="Z103" s="48" t="n">
        <x:f>0</x:f>
        <x:v>0</x:v>
      </x:c>
      <x:c r="AA103" s="48" t="n">
        <x:f>((SQRT((Inputs!$C$52+Inputs!$C$5)^2+Inputs!$C$52^2-2*(Inputs!$C$52+Inputs!$C$5)*Inputs!$C$52*COS(SQRT((Model_Data!A103)^2+Inputs!$C$6^2)/Inputs!$C$52))-Inputs!$C$5)*1000/Inputs!$C$12)</x:f>
        <x:v>630.1077816669101</x:v>
      </x:c>
      <x:c r="AB103" s="48" t="n">
        <x:f>Model_Data!F103</x:f>
        <x:v>629.9824695825495</x:v>
      </x:c>
    </x:row>
    <x:row r="104">
      <x:c r="A104" s="48" t="n">
        <x:f>Model_Data!A104</x:f>
        <x:v>-9</x:v>
      </x:c>
      <x:c r="B104" s="48" t="n">
        <x:f>0</x:f>
        <x:v>0</x:v>
      </x:c>
      <x:c r="C104" s="48" t="n">
        <x:f>((SQRT((Inputs!$C$52+Inputs!$C$5)^2+Inputs!$C$52^2-2*(Inputs!$C$52+Inputs!$C$5)*Inputs!$C$52*COS(SQRT((Model_Data!A104)^2+Inputs!$C$6^2)/Inputs!$C$52))-Inputs!$C$5)*1000/Inputs!$C$12)</x:f>
        <x:v>621.9703292280814</x:v>
      </x:c>
      <x:c r="D104" s="48" t="n">
        <x:f>Model_Data!F104</x:f>
        <x:v>621.8593058607947</x:v>
      </x:c>
      <x:c r="E104" s="48" t="n">
        <x:f>Model_Data!AC104</x:f>
        <x:v>326.14506460066843</x:v>
      </x:c>
      <x:c r="F104" s="49"/>
      <x:c r="G104" s="48" t="n">
        <x:f>Model_Data!A104</x:f>
        <x:v>-9</x:v>
      </x:c>
      <x:c r="H104" s="48" t="n">
        <x:f>0</x:f>
        <x:v>0</x:v>
      </x:c>
      <x:c r="I104" s="48" t="n">
        <x:f>Model_Data!Y104</x:f>
        <x:v>480.618285675218</x:v>
      </x:c>
      <x:c r="J104" s="48" t="n">
        <x:f>Model_Data!X104</x:f>
        <x:v>-47.4214748383975</x:v>
      </x:c>
      <x:c r="K104" s="48" t="n">
        <x:f>Model_Data!A104</x:f>
        <x:v>-9</x:v>
      </x:c>
      <x:c r="L104" s="48" t="n">
        <x:f>Model_Data!Y104</x:f>
        <x:v>480.618285675218</x:v>
      </x:c>
      <x:c r="M104" s="48" t="n">
        <x:f>Model_Data!X104</x:f>
        <x:v>-47.4214748383975</x:v>
      </x:c>
      <x:c r="N104" s="48" t="n">
        <x:f>-(Model_Data!AC104-Model_Data!F104)*Inputs!$C$12</x:f>
        <x:v>526.3713494430248</x:v>
      </x:c>
      <x:c r="O104" s="49"/>
      <x:c r="P104" s="48" t="n">
        <x:f>Model_Data!A104</x:f>
        <x:v>-9</x:v>
      </x:c>
      <x:c r="Q104" s="48" t="n">
        <x:f>Model_Data!P104</x:f>
        <x:v>77.0206608074659</x:v>
      </x:c>
      <x:c r="R104" s="48" t="n">
        <x:f>Model_Data!AM104</x:f>
        <x:v>61.203996322819876</x:v>
      </x:c>
      <x:c r="S104" s="48" t="n">
        <x:f>Model_Data!Q104</x:f>
        <x:v>11.564663784904791</x:v>
      </x:c>
      <x:c r="T104" s="48" t="n">
        <x:f>Model_Data!AN104</x:f>
        <x:v>9.189789237660642</x:v>
      </x:c>
      <x:c r="U104" s="49"/>
      <x:c r="V104" s="48" t="n">
        <x:f>Model_Data!A104</x:f>
        <x:v>-9</x:v>
      </x:c>
      <x:c r="W104" s="48" t="n">
        <x:f>Model_Data!B104-Inputs!$C$5</x:f>
        <x:v>0.08999999999997499</x:v>
      </x:c>
      <x:c r="X104" s="49"/>
      <x:c r="Y104" s="48" t="n">
        <x:f>Model_Data!A104</x:f>
        <x:v>-9</x:v>
      </x:c>
      <x:c r="Z104" s="48" t="n">
        <x:f>0</x:f>
        <x:v>0</x:v>
      </x:c>
      <x:c r="AA104" s="48" t="n">
        <x:f>((SQRT((Inputs!$C$52+Inputs!$C$5)^2+Inputs!$C$52^2-2*(Inputs!$C$52+Inputs!$C$5)*Inputs!$C$52*COS(SQRT((Model_Data!A104)^2+Inputs!$C$6^2)/Inputs!$C$52))-Inputs!$C$5)*1000/Inputs!$C$12)</x:f>
        <x:v>621.9703292280814</x:v>
      </x:c>
      <x:c r="AB104" s="48" t="n">
        <x:f>Model_Data!F104</x:f>
        <x:v>621.8593058607947</x:v>
      </x:c>
    </x:row>
    <x:row r="105">
      <x:c r="A105" s="48" t="n">
        <x:f>Model_Data!A105</x:f>
        <x:v>-8.5</x:v>
      </x:c>
      <x:c r="B105" s="48" t="n">
        <x:f>0</x:f>
        <x:v>0</x:v>
      </x:c>
      <x:c r="C105" s="48" t="n">
        <x:f>((SQRT((Inputs!$C$52+Inputs!$C$5)^2+Inputs!$C$52^2-2*(Inputs!$C$52+Inputs!$C$5)*Inputs!$C$52*COS(SQRT((Model_Data!A105)^2+Inputs!$C$6^2)/Inputs!$C$52))-Inputs!$C$5)*1000/Inputs!$C$12)</x:f>
        <x:v>614.2724638740281</x:v>
      </x:c>
      <x:c r="D105" s="48" t="n">
        <x:f>Model_Data!F105</x:f>
        <x:v>614.1746532877829</x:v>
      </x:c>
      <x:c r="E105" s="48" t="n">
        <x:f>Model_Data!AC105</x:f>
        <x:v>321.53998947447315</x:v>
      </x:c>
      <x:c r="F105" s="49"/>
      <x:c r="G105" s="48" t="n">
        <x:f>Model_Data!A105</x:f>
        <x:v>-8.5</x:v>
      </x:c>
      <x:c r="H105" s="48" t="n">
        <x:f>0</x:f>
        <x:v>0</x:v>
      </x:c>
      <x:c r="I105" s="48" t="n">
        <x:f>Model_Data!Y105</x:f>
        <x:v>460.6206107904381</x:v>
      </x:c>
      <x:c r="J105" s="48" t="n">
        <x:f>Model_Data!X105</x:f>
        <x:v>-61.84832289166857</x:v>
      </x:c>
      <x:c r="K105" s="48" t="n">
        <x:f>Model_Data!A105</x:f>
        <x:v>-8.5</x:v>
      </x:c>
      <x:c r="L105" s="48" t="n">
        <x:f>Model_Data!Y105</x:f>
        <x:v>460.6206107904381</x:v>
      </x:c>
      <x:c r="M105" s="48" t="n">
        <x:f>Model_Data!X105</x:f>
        <x:v>-61.84832289166857</x:v>
      </x:c>
      <x:c r="N105" s="48" t="n">
        <x:f>-(Model_Data!AC105-Model_Data!F105)*Inputs!$C$12</x:f>
        <x:v>520.8897015876914</x:v>
      </x:c>
      <x:c r="O105" s="49"/>
      <x:c r="P105" s="48" t="n">
        <x:f>Model_Data!A105</x:f>
        <x:v>-8.5</x:v>
      </x:c>
      <x:c r="Q105" s="48" t="n">
        <x:f>Model_Data!P105</x:f>
        <x:v>72.74484905628924</x:v>
      </x:c>
      <x:c r="R105" s="48" t="n">
        <x:f>Model_Data!AM105</x:f>
        <x:v>64.91178834112361</x:v>
      </x:c>
      <x:c r="S105" s="48" t="n">
        <x:f>Model_Data!Q105</x:f>
        <x:v>10.92265000845184</x:v>
      </x:c>
      <x:c r="T105" s="48" t="n">
        <x:f>Model_Data!AN105</x:f>
        <x:v>9.746514765934476</x:v>
      </x:c>
      <x:c r="U105" s="49"/>
      <x:c r="V105" s="48" t="n">
        <x:f>Model_Data!A105</x:f>
        <x:v>-8.5</x:v>
      </x:c>
      <x:c r="W105" s="48" t="n">
        <x:f>Model_Data!B105-Inputs!$C$5</x:f>
        <x:v>0.08027777777778056</x:v>
      </x:c>
      <x:c r="X105" s="49"/>
      <x:c r="Y105" s="48" t="n">
        <x:f>Model_Data!A105</x:f>
        <x:v>-8.5</x:v>
      </x:c>
      <x:c r="Z105" s="48" t="n">
        <x:f>0</x:f>
        <x:v>0</x:v>
      </x:c>
      <x:c r="AA105" s="48" t="n">
        <x:f>((SQRT((Inputs!$C$52+Inputs!$C$5)^2+Inputs!$C$52^2-2*(Inputs!$C$52+Inputs!$C$5)*Inputs!$C$52*COS(SQRT((Model_Data!A105)^2+Inputs!$C$6^2)/Inputs!$C$52))-Inputs!$C$5)*1000/Inputs!$C$12)</x:f>
        <x:v>614.2724638740281</x:v>
      </x:c>
      <x:c r="AB105" s="48" t="n">
        <x:f>Model_Data!F105</x:f>
        <x:v>614.1746532877829</x:v>
      </x:c>
    </x:row>
    <x:row r="106">
      <x:c r="A106" s="48" t="n">
        <x:f>Model_Data!A106</x:f>
        <x:v>-8</x:v>
      </x:c>
      <x:c r="B106" s="48" t="n">
        <x:f>0</x:f>
        <x:v>0</x:v>
      </x:c>
      <x:c r="C106" s="48" t="n">
        <x:f>((SQRT((Inputs!$C$52+Inputs!$C$5)^2+Inputs!$C$52^2-2*(Inputs!$C$52+Inputs!$C$5)*Inputs!$C$52*COS(SQRT((Model_Data!A106)^2+Inputs!$C$6^2)/Inputs!$C$52))-Inputs!$C$5)*1000/Inputs!$C$12)</x:f>
        <x:v>607.0142314470512</x:v>
      </x:c>
      <x:c r="D106" s="48" t="n">
        <x:f>Model_Data!F106</x:f>
        <x:v>606.9286082364532</x:v>
      </x:c>
      <x:c r="E106" s="48" t="n">
        <x:f>Model_Data!AC106</x:f>
        <x:v>318.5043344004955</x:v>
      </x:c>
      <x:c r="F106" s="49"/>
      <x:c r="G106" s="48" t="n">
        <x:f>Model_Data!A106</x:f>
        <x:v>-8</x:v>
      </x:c>
      <x:c r="H106" s="48" t="n">
        <x:f>0</x:f>
        <x:v>0</x:v>
      </x:c>
      <x:c r="I106" s="48" t="n">
        <x:f>Model_Data!Y106</x:f>
        <x:v>475.6659223963138</x:v>
      </x:c>
      <x:c r="J106" s="48" t="n">
        <x:f>Model_Data!X106</x:f>
        <x:v>-39.34099577037003</x:v>
      </x:c>
      <x:c r="K106" s="48" t="n">
        <x:f>Model_Data!A106</x:f>
        <x:v>-8</x:v>
      </x:c>
      <x:c r="L106" s="48" t="n">
        <x:f>Model_Data!Y106</x:f>
        <x:v>475.6659223963138</x:v>
      </x:c>
      <x:c r="M106" s="48" t="n">
        <x:f>Model_Data!X106</x:f>
        <x:v>-39.34099577037003</x:v>
      </x:c>
      <x:c r="N106" s="48" t="n">
        <x:f>-(Model_Data!AC106-Model_Data!F106)*Inputs!$C$12</x:f>
        <x:v>513.3952074280047</x:v>
      </x:c>
      <x:c r="O106" s="49"/>
      <x:c r="P106" s="48" t="n">
        <x:f>Model_Data!A106</x:f>
        <x:v>-8</x:v>
      </x:c>
      <x:c r="Q106" s="48" t="n">
        <x:f>Model_Data!P106</x:f>
        <x:v>68.46850397168964</x:v>
      </x:c>
      <x:c r="R106" s="48" t="n">
        <x:f>Model_Data!AM106</x:f>
        <x:v>83.90391525563246</x:v>
      </x:c>
      <x:c r="S106" s="48" t="n">
        <x:f>Model_Data!Q106</x:f>
        <x:v>10.280556151905353</x:v>
      </x:c>
      <x:c r="T106" s="48" t="n">
        <x:f>Model_Data!AN106</x:f>
        <x:v>12.598185473818688</x:v>
      </x:c>
      <x:c r="U106" s="49"/>
      <x:c r="V106" s="48" t="n">
        <x:f>Model_Data!A106</x:f>
        <x:v>-8</x:v>
      </x:c>
      <x:c r="W106" s="48" t="n">
        <x:f>Model_Data!B106-Inputs!$C$5</x:f>
        <x:v>0.07111111111112223</x:v>
      </x:c>
      <x:c r="X106" s="49"/>
      <x:c r="Y106" s="48" t="n">
        <x:f>Model_Data!A106</x:f>
        <x:v>-8</x:v>
      </x:c>
      <x:c r="Z106" s="48" t="n">
        <x:f>0</x:f>
        <x:v>0</x:v>
      </x:c>
      <x:c r="AA106" s="48" t="n">
        <x:f>((SQRT((Inputs!$C$52+Inputs!$C$5)^2+Inputs!$C$52^2-2*(Inputs!$C$52+Inputs!$C$5)*Inputs!$C$52*COS(SQRT((Model_Data!A106)^2+Inputs!$C$6^2)/Inputs!$C$52))-Inputs!$C$5)*1000/Inputs!$C$12)</x:f>
        <x:v>607.0142314470512</x:v>
      </x:c>
      <x:c r="AB106" s="48" t="n">
        <x:f>Model_Data!F106</x:f>
        <x:v>606.9286082364532</x:v>
      </x:c>
    </x:row>
    <x:row r="107">
      <x:c r="A107" s="48" t="n">
        <x:f>Model_Data!A107</x:f>
        <x:v>-7.5</x:v>
      </x:c>
      <x:c r="B107" s="48" t="n">
        <x:f>0</x:f>
        <x:v>0</x:v>
      </x:c>
      <x:c r="C107" s="48" t="n">
        <x:f>((SQRT((Inputs!$C$52+Inputs!$C$5)^2+Inputs!$C$52^2-2*(Inputs!$C$52+Inputs!$C$5)*Inputs!$C$52*COS(SQRT((Model_Data!A107)^2+Inputs!$C$6^2)/Inputs!$C$52))-Inputs!$C$5)*1000/Inputs!$C$12)</x:f>
        <x:v>600.1956751785191</x:v>
      </x:c>
      <x:c r="D107" s="48" t="n">
        <x:f>Model_Data!F107</x:f>
        <x:v>600.1212615998473</x:v>
      </x:c>
      <x:c r="E107" s="48" t="n">
        <x:f>Model_Data!AC107</x:f>
        <x:v>312.5300693525741</x:v>
      </x:c>
      <x:c r="F107" s="49"/>
      <x:c r="G107" s="48" t="n">
        <x:f>Model_Data!A107</x:f>
        <x:v>-7.5</x:v>
      </x:c>
      <x:c r="H107" s="48" t="n">
        <x:f>0</x:f>
        <x:v>0</x:v>
      </x:c>
      <x:c r="I107" s="48" t="n">
        <x:f>Model_Data!Y107</x:f>
        <x:v>470.2640951439132</x:v>
      </x:c>
      <x:c r="J107" s="48" t="n">
        <x:f>Model_Data!X107</x:f>
        <x:v>-43.22381145165265</x:v>
      </x:c>
      <x:c r="K107" s="48" t="n">
        <x:f>Model_Data!A107</x:f>
        <x:v>-7.5</x:v>
      </x:c>
      <x:c r="L107" s="48" t="n">
        <x:f>Model_Data!Y107</x:f>
        <x:v>470.2640951439132</x:v>
      </x:c>
      <x:c r="M107" s="48" t="n">
        <x:f>Model_Data!X107</x:f>
        <x:v>-43.22381145165265</x:v>
      </x:c>
      <x:c r="N107" s="48" t="n">
        <x:f>-(Model_Data!AC107-Model_Data!F107)*Inputs!$C$12</x:f>
        <x:v>511.9123222001464</x:v>
      </x:c>
      <x:c r="O107" s="49"/>
      <x:c r="P107" s="48" t="n">
        <x:f>Model_Data!A107</x:f>
        <x:v>-7.5</x:v>
      </x:c>
      <x:c r="Q107" s="48" t="n">
        <x:f>Model_Data!P107</x:f>
        <x:v>64.19165678507852</x:v>
      </x:c>
      <x:c r="R107" s="48" t="n">
        <x:f>Model_Data!AM107</x:f>
        <x:v>12.086959146927256</x:v>
      </x:c>
      <x:c r="S107" s="48" t="n">
        <x:f>Model_Data!Q107</x:f>
        <x:v>9.638386904666445</x:v>
      </x:c>
      <x:c r="T107" s="48" t="n">
        <x:f>Model_Data!AN107</x:f>
        <x:v>1.8148587307698585</x:v>
      </x:c>
      <x:c r="U107" s="49"/>
      <x:c r="V107" s="48" t="n">
        <x:f>Model_Data!A107</x:f>
        <x:v>-7.5</x:v>
      </x:c>
      <x:c r="W107" s="48" t="n">
        <x:f>Model_Data!B107-Inputs!$C$5</x:f>
        <x:v>0.0625</x:v>
      </x:c>
      <x:c r="X107" s="49"/>
      <x:c r="Y107" s="48" t="n">
        <x:f>Model_Data!A107</x:f>
        <x:v>-7.5</x:v>
      </x:c>
      <x:c r="Z107" s="48" t="n">
        <x:f>0</x:f>
        <x:v>0</x:v>
      </x:c>
      <x:c r="AA107" s="48" t="n">
        <x:f>((SQRT((Inputs!$C$52+Inputs!$C$5)^2+Inputs!$C$52^2-2*(Inputs!$C$52+Inputs!$C$5)*Inputs!$C$52*COS(SQRT((Model_Data!A107)^2+Inputs!$C$6^2)/Inputs!$C$52))-Inputs!$C$5)*1000/Inputs!$C$12)</x:f>
        <x:v>600.1956751785191</x:v>
      </x:c>
      <x:c r="AB107" s="48" t="n">
        <x:f>Model_Data!F107</x:f>
        <x:v>600.1212615998473</x:v>
      </x:c>
    </x:row>
    <x:row r="108">
      <x:c r="A108" s="48" t="n">
        <x:f>Model_Data!A108</x:f>
        <x:v>-7</x:v>
      </x:c>
      <x:c r="B108" s="48" t="n">
        <x:f>0</x:f>
        <x:v>0</x:v>
      </x:c>
      <x:c r="C108" s="48" t="n">
        <x:f>((SQRT((Inputs!$C$52+Inputs!$C$5)^2+Inputs!$C$52^2-2*(Inputs!$C$52+Inputs!$C$5)*Inputs!$C$52*COS(SQRT((Model_Data!A108)^2+Inputs!$C$6^2)/Inputs!$C$52))-Inputs!$C$5)*1000/Inputs!$C$12)</x:f>
        <x:v>593.816835685641</x:v>
      </x:c>
      <x:c r="D108" s="48" t="n">
        <x:f>Model_Data!F108</x:f>
        <x:v>593.7526987847551</x:v>
      </x:c>
      <x:c r="E108" s="48" t="n">
        <x:f>Model_Data!AC108</x:f>
        <x:v>318.73297083728795</x:v>
      </x:c>
      <x:c r="F108" s="49"/>
      <x:c r="G108" s="48" t="n">
        <x:f>Model_Data!A108</x:f>
        <x:v>-7</x:v>
      </x:c>
      <x:c r="H108" s="48" t="n">
        <x:f>0</x:f>
        <x:v>0</x:v>
      </x:c>
      <x:c r="I108" s="48" t="n">
        <x:f>Model_Data!Y108</x:f>
        <x:v>442.95708145426426</x:v>
      </x:c>
      <x:c r="J108" s="48" t="n">
        <x:f>Model_Data!X108</x:f>
        <x:v>-48.04634011268098</x:v>
      </x:c>
      <x:c r="K108" s="48" t="n">
        <x:f>Model_Data!A108</x:f>
        <x:v>-7</x:v>
      </x:c>
      <x:c r="L108" s="48" t="n">
        <x:f>Model_Data!Y108</x:f>
        <x:v>442.95708145426426</x:v>
      </x:c>
      <x:c r="M108" s="48" t="n">
        <x:f>Model_Data!X108</x:f>
        <x:v>-48.04634011268098</x:v>
      </x:c>
      <x:c r="N108" s="48" t="n">
        <x:f>-(Model_Data!AC108-Model_Data!F108)*Inputs!$C$12</x:f>
        <x:v>489.53511574649156</x:v>
      </x:c>
      <x:c r="O108" s="49"/>
      <x:c r="P108" s="48" t="n">
        <x:f>Model_Data!A108</x:f>
        <x:v>-7</x:v>
      </x:c>
      <x:c r="Q108" s="48" t="n">
        <x:f>Model_Data!P108</x:f>
        <x:v>59.914338766157016</x:v>
      </x:c>
      <x:c r="R108" s="48" t="n">
        <x:f>Model_Data!AM108</x:f>
        <x:v>36.91531491022033</x:v>
      </x:c>
      <x:c r="S108" s="48" t="n">
        <x:f>Model_Data!Q108</x:f>
        <x:v>8.996146961885438</x:v>
      </x:c>
      <x:c r="T108" s="48" t="n">
        <x:f>Model_Data!AN108</x:f>
        <x:v>5.54284007660966</x:v>
      </x:c>
      <x:c r="U108" s="49"/>
      <x:c r="V108" s="48" t="n">
        <x:f>Model_Data!A108</x:f>
        <x:v>-7</x:v>
      </x:c>
      <x:c r="W108" s="48" t="n">
        <x:f>Model_Data!B108-Inputs!$C$5</x:f>
        <x:v>0.05444444444447072</x:v>
      </x:c>
      <x:c r="X108" s="49"/>
      <x:c r="Y108" s="48" t="n">
        <x:f>Model_Data!A108</x:f>
        <x:v>-7</x:v>
      </x:c>
      <x:c r="Z108" s="48" t="n">
        <x:f>0</x:f>
        <x:v>0</x:v>
      </x:c>
      <x:c r="AA108" s="48" t="n">
        <x:f>((SQRT((Inputs!$C$52+Inputs!$C$5)^2+Inputs!$C$52^2-2*(Inputs!$C$52+Inputs!$C$5)*Inputs!$C$52*COS(SQRT((Model_Data!A108)^2+Inputs!$C$6^2)/Inputs!$C$52))-Inputs!$C$5)*1000/Inputs!$C$12)</x:f>
        <x:v>593.816835685641</x:v>
      </x:c>
      <x:c r="AB108" s="48" t="n">
        <x:f>Model_Data!F108</x:f>
        <x:v>593.7526987847551</x:v>
      </x:c>
    </x:row>
    <x:row r="109">
      <x:c r="A109" s="48" t="n">
        <x:f>Model_Data!A109</x:f>
        <x:v>-6.5</x:v>
      </x:c>
      <x:c r="B109" s="48" t="n">
        <x:f>0</x:f>
        <x:v>0</x:v>
      </x:c>
      <x:c r="C109" s="48" t="n">
        <x:f>((SQRT((Inputs!$C$52+Inputs!$C$5)^2+Inputs!$C$52^2-2*(Inputs!$C$52+Inputs!$C$5)*Inputs!$C$52*COS(SQRT((Model_Data!A109)^2+Inputs!$C$6^2)/Inputs!$C$52))-Inputs!$C$5)*1000/Inputs!$C$12)</x:f>
        <x:v>587.8777509688173</x:v>
      </x:c>
      <x:c r="D109" s="48" t="n">
        <x:f>Model_Data!F109</x:f>
        <x:v>587.8229997047524</x:v>
      </x:c>
      <x:c r="E109" s="48" t="n">
        <x:f>Model_Data!AC109</x:f>
        <x:v>299.1823117866943</x:v>
      </x:c>
      <x:c r="F109" s="49"/>
      <x:c r="G109" s="48" t="n">
        <x:f>Model_Data!A109</x:f>
        <x:v>-6.5</x:v>
      </x:c>
      <x:c r="H109" s="48" t="n">
        <x:f>0</x:f>
        <x:v>0</x:v>
      </x:c>
      <x:c r="I109" s="48" t="n">
        <x:f>Model_Data!Y109</x:f>
        <x:v>455.8100478474453</x:v>
      </x:c>
      <x:c r="J109" s="48" t="n">
        <x:f>Model_Data!X109</x:f>
        <x:v>-59.466303655605586</x:v>
      </x:c>
      <x:c r="K109" s="48" t="n">
        <x:f>Model_Data!A109</x:f>
        <x:v>-6.5</x:v>
      </x:c>
      <x:c r="L109" s="48" t="n">
        <x:f>Model_Data!Y109</x:f>
        <x:v>455.8100478474453</x:v>
      </x:c>
      <x:c r="M109" s="48" t="n">
        <x:f>Model_Data!X109</x:f>
        <x:v>-59.466303655605586</x:v>
      </x:c>
      <x:c r="N109" s="48" t="n">
        <x:f>-(Model_Data!AC109-Model_Data!F109)*Inputs!$C$12</x:f>
        <x:v>513.7804244941435</x:v>
      </x:c>
      <x:c r="O109" s="49"/>
      <x:c r="P109" s="48" t="n">
        <x:f>Model_Data!A109</x:f>
        <x:v>-6.5</x:v>
      </x:c>
      <x:c r="Q109" s="48" t="n">
        <x:f>Model_Data!P109</x:f>
        <x:v>55.63658118935564</x:v>
      </x:c>
      <x:c r="R109" s="48" t="n">
        <x:f>Model_Data!AM109</x:f>
        <x:v>63.33079653877576</x:v>
      </x:c>
      <x:c r="S109" s="48" t="n">
        <x:f>Model_Data!Q109</x:f>
        <x:v>8.353841019422768</x:v>
      </x:c>
      <x:c r="T109" s="48" t="n">
        <x:f>Model_Data!AN109</x:f>
        <x:v>9.50912860942579</x:v>
      </x:c>
      <x:c r="U109" s="49"/>
      <x:c r="V109" s="48" t="n">
        <x:f>Model_Data!A109</x:f>
        <x:v>-6.5</x:v>
      </x:c>
      <x:c r="W109" s="48" t="n">
        <x:f>Model_Data!B109-Inputs!$C$5</x:f>
        <x:v>0.046944444444420697</x:v>
      </x:c>
      <x:c r="X109" s="49"/>
      <x:c r="Y109" s="48" t="n">
        <x:f>Model_Data!A109</x:f>
        <x:v>-6.5</x:v>
      </x:c>
      <x:c r="Z109" s="48" t="n">
        <x:f>0</x:f>
        <x:v>0</x:v>
      </x:c>
      <x:c r="AA109" s="48" t="n">
        <x:f>((SQRT((Inputs!$C$52+Inputs!$C$5)^2+Inputs!$C$52^2-2*(Inputs!$C$52+Inputs!$C$5)*Inputs!$C$52*COS(SQRT((Model_Data!A109)^2+Inputs!$C$6^2)/Inputs!$C$52))-Inputs!$C$5)*1000/Inputs!$C$12)</x:f>
        <x:v>587.8777509688173</x:v>
      </x:c>
      <x:c r="AB109" s="48" t="n">
        <x:f>Model_Data!F109</x:f>
        <x:v>587.8229997047524</x:v>
      </x:c>
    </x:row>
    <x:row r="110">
      <x:c r="A110" s="48" t="n">
        <x:f>Model_Data!A110</x:f>
        <x:v>-6</x:v>
      </x:c>
      <x:c r="B110" s="48" t="n">
        <x:f>0</x:f>
        <x:v>0</x:v>
      </x:c>
      <x:c r="C110" s="48" t="n">
        <x:f>((SQRT((Inputs!$C$52+Inputs!$C$5)^2+Inputs!$C$52^2-2*(Inputs!$C$52+Inputs!$C$5)*Inputs!$C$52*COS(SQRT((Model_Data!A110)^2+Inputs!$C$6^2)/Inputs!$C$52))-Inputs!$C$5)*1000/Inputs!$C$12)</x:f>
        <x:v>582.3784564165571</x:v>
      </x:c>
      <x:c r="D110" s="48" t="n">
        <x:f>Model_Data!F110</x:f>
        <x:v>582.3322387853748</x:v>
      </x:c>
      <x:c r="E110" s="48" t="n">
        <x:f>Model_Data!AC110</x:f>
        <x:v>297.2781345224678</x:v>
      </x:c>
      <x:c r="F110" s="49"/>
      <x:c r="G110" s="48" t="n">
        <x:f>Model_Data!A110</x:f>
        <x:v>-6</x:v>
      </x:c>
      <x:c r="H110" s="48" t="n">
        <x:f>0</x:f>
        <x:v>0</x:v>
      </x:c>
      <x:c r="I110" s="48" t="n">
        <x:f>Model_Data!Y110</x:f>
        <x:v>447.7534427220802</x:v>
      </x:c>
      <x:c r="J110" s="48" t="n">
        <x:f>Model_Data!X110</x:f>
        <x:v>-61.0986453608147</x:v>
      </x:c>
      <x:c r="K110" s="48" t="n">
        <x:f>Model_Data!A110</x:f>
        <x:v>-6</x:v>
      </x:c>
      <x:c r="L110" s="48" t="n">
        <x:f>Model_Data!Y110</x:f>
        <x:v>447.7534427220802</x:v>
      </x:c>
      <x:c r="M110" s="48" t="n">
        <x:f>Model_Data!X110</x:f>
        <x:v>-61.0986453608147</x:v>
      </x:c>
      <x:c r="N110" s="48" t="n">
        <x:f>-(Model_Data!AC110-Model_Data!F110)*Inputs!$C$12</x:f>
        <x:v>507.3963055879745</x:v>
      </x:c>
      <x:c r="O110" s="49"/>
      <x:c r="P110" s="48" t="n">
        <x:f>Model_Data!A110</x:f>
        <x:v>-6</x:v>
      </x:c>
      <x:c r="Q110" s="48" t="n">
        <x:f>Model_Data!P110</x:f>
        <x:v>51.35841535866348</x:v>
      </x:c>
      <x:c r="R110" s="48" t="n">
        <x:f>Model_Data!AM110</x:f>
        <x:v>21.772271344889305</x:v>
      </x:c>
      <x:c r="S110" s="48" t="n">
        <x:f>Model_Data!Q110</x:f>
        <x:v>7.711473777577099</x:v>
      </x:c>
      <x:c r="T110" s="48" t="n">
        <x:f>Model_Data!AN110</x:f>
        <x:v>3.269109811544941</x:v>
      </x:c>
      <x:c r="U110" s="49"/>
      <x:c r="V110" s="48" t="n">
        <x:f>Model_Data!A110</x:f>
        <x:v>-6</x:v>
      </x:c>
      <x:c r="W110" s="48" t="n">
        <x:f>Model_Data!B110-Inputs!$C$5</x:f>
        <x:v>0.040000000000020464</x:v>
      </x:c>
      <x:c r="X110" s="49"/>
      <x:c r="Y110" s="48" t="n">
        <x:f>Model_Data!A110</x:f>
        <x:v>-6</x:v>
      </x:c>
      <x:c r="Z110" s="48" t="n">
        <x:f>0</x:f>
        <x:v>0</x:v>
      </x:c>
      <x:c r="AA110" s="48" t="n">
        <x:f>((SQRT((Inputs!$C$52+Inputs!$C$5)^2+Inputs!$C$52^2-2*(Inputs!$C$52+Inputs!$C$5)*Inputs!$C$52*COS(SQRT((Model_Data!A110)^2+Inputs!$C$6^2)/Inputs!$C$52))-Inputs!$C$5)*1000/Inputs!$C$12)</x:f>
        <x:v>582.3784564165571</x:v>
      </x:c>
      <x:c r="AB110" s="48" t="n">
        <x:f>Model_Data!F110</x:f>
        <x:v>582.3322387853748</x:v>
      </x:c>
    </x:row>
    <x:row r="111">
      <x:c r="A111" s="48" t="n">
        <x:f>Model_Data!A111</x:f>
        <x:v>-5.5</x:v>
      </x:c>
      <x:c r="B111" s="48" t="n">
        <x:f>0</x:f>
        <x:v>0</x:v>
      </x:c>
      <x:c r="C111" s="48" t="n">
        <x:f>((SQRT((Inputs!$C$52+Inputs!$C$5)^2+Inputs!$C$52^2-2*(Inputs!$C$52+Inputs!$C$5)*Inputs!$C$52*COS(SQRT((Model_Data!A111)^2+Inputs!$C$6^2)/Inputs!$C$52))-Inputs!$C$5)*1000/Inputs!$C$12)</x:f>
        <x:v>577.3189847965366</x:v>
      </x:c>
      <x:c r="D111" s="48" t="n">
        <x:f>Model_Data!F111</x:f>
        <x:v>577.2804849486606</x:v>
      </x:c>
      <x:c r="E111" s="48" t="n">
        <x:f>Model_Data!AC111</x:f>
        <x:v>296.7112011418749</x:v>
      </x:c>
      <x:c r="F111" s="49"/>
      <x:c r="G111" s="48" t="n">
        <x:f>Model_Data!A111</x:f>
        <x:v>-5.5</x:v>
      </x:c>
      <x:c r="H111" s="48" t="n">
        <x:f>0</x:f>
        <x:v>0</x:v>
      </x:c>
      <x:c r="I111" s="48" t="n">
        <x:f>Model_Data!Y111</x:f>
        <x:v>437.23203216912464</x:v>
      </x:c>
      <x:c r="J111" s="48" t="n">
        <x:f>Model_Data!X111</x:f>
        <x:v>-63.59054434613801</x:v>
      </x:c>
      <x:c r="K111" s="48" t="n">
        <x:f>Model_Data!A111</x:f>
        <x:v>-5.5</x:v>
      </x:c>
      <x:c r="L111" s="48" t="n">
        <x:f>Model_Data!Y111</x:f>
        <x:v>437.23203216912464</x:v>
      </x:c>
      <x:c r="M111" s="48" t="n">
        <x:f>Model_Data!X111</x:f>
        <x:v>-63.59054434613801</x:v>
      </x:c>
      <x:c r="N111" s="48" t="n">
        <x:f>-(Model_Data!AC111-Model_Data!F111)*Inputs!$C$12</x:f>
        <x:v>499.4133251760786</x:v>
      </x:c>
      <x:c r="O111" s="49"/>
      <x:c r="P111" s="48" t="n">
        <x:f>Model_Data!A111</x:f>
        <x:v>-5.5</x:v>
      </x:c>
      <x:c r="Q111" s="48" t="n">
        <x:f>Model_Data!P111</x:f>
        <x:v>47.07987260953814</x:v>
      </x:c>
      <x:c r="R111" s="48" t="n">
        <x:f>Model_Data!AM111</x:f>
        <x:v>13.213910555714392</x:v>
      </x:c>
      <x:c r="S111" s="48" t="n">
        <x:f>Model_Data!Q111</x:f>
        <x:v>7.069049941372094</x:v>
      </x:c>
      <x:c r="T111" s="48" t="n">
        <x:f>Model_Data!AN111</x:f>
        <x:v>1.98407065401117</x:v>
      </x:c>
      <x:c r="U111" s="49"/>
      <x:c r="V111" s="48" t="n">
        <x:f>Model_Data!A111</x:f>
        <x:v>-5.5</x:v>
      </x:c>
      <x:c r="W111" s="48" t="n">
        <x:f>Model_Data!B111-Inputs!$C$5</x:f>
        <x:v>0.03361111111109949</x:v>
      </x:c>
      <x:c r="X111" s="49"/>
      <x:c r="Y111" s="48" t="n">
        <x:f>Model_Data!A111</x:f>
        <x:v>-5.5</x:v>
      </x:c>
      <x:c r="Z111" s="48" t="n">
        <x:f>0</x:f>
        <x:v>0</x:v>
      </x:c>
      <x:c r="AA111" s="48" t="n">
        <x:f>((SQRT((Inputs!$C$52+Inputs!$C$5)^2+Inputs!$C$52^2-2*(Inputs!$C$52+Inputs!$C$5)*Inputs!$C$52*COS(SQRT((Model_Data!A111)^2+Inputs!$C$6^2)/Inputs!$C$52))-Inputs!$C$5)*1000/Inputs!$C$12)</x:f>
        <x:v>577.3189847965366</x:v>
      </x:c>
      <x:c r="AB111" s="48" t="n">
        <x:f>Model_Data!F111</x:f>
        <x:v>577.2804849486606</x:v>
      </x:c>
    </x:row>
    <x:row r="112">
      <x:c r="A112" s="48" t="n">
        <x:f>Model_Data!A112</x:f>
        <x:v>-5</x:v>
      </x:c>
      <x:c r="B112" s="48" t="n">
        <x:f>0</x:f>
        <x:v>0</x:v>
      </x:c>
      <x:c r="C112" s="48" t="n">
        <x:f>((SQRT((Inputs!$C$52+Inputs!$C$5)^2+Inputs!$C$52^2-2*(Inputs!$C$52+Inputs!$C$5)*Inputs!$C$52*COS(SQRT((Model_Data!A112)^2+Inputs!$C$6^2)/Inputs!$C$52))-Inputs!$C$5)*1000/Inputs!$C$12)</x:f>
        <x:v>572.6993662599103</x:v>
      </x:c>
      <x:c r="D112" s="48" t="n">
        <x:f>Model_Data!F112</x:f>
        <x:v>572.6678016175588</x:v>
      </x:c>
      <x:c r="E112" s="48" t="n">
        <x:f>Model_Data!AC112</x:f>
        <x:v>292.4559822907461</x:v>
      </x:c>
      <x:c r="F112" s="49"/>
      <x:c r="G112" s="48" t="n">
        <x:f>Model_Data!A112</x:f>
        <x:v>-5</x:v>
      </x:c>
      <x:c r="H112" s="48" t="n">
        <x:f>0</x:f>
        <x:v>0</x:v>
      </x:c>
      <x:c r="I112" s="48" t="n">
        <x:f>Model_Data!Y112</x:f>
        <x:v>426.4950993655156</x:v>
      </x:c>
      <x:c r="J112" s="48" t="n">
        <x:f>Model_Data!X112</x:f>
        <x:v>-73.64560445817172</x:v>
      </x:c>
      <x:c r="K112" s="48" t="n">
        <x:f>Model_Data!A112</x:f>
        <x:v>-5</x:v>
      </x:c>
      <x:c r="L112" s="48" t="n">
        <x:f>Model_Data!Y112</x:f>
        <x:v>426.4950993655156</x:v>
      </x:c>
      <x:c r="M112" s="48" t="n">
        <x:f>Model_Data!X112</x:f>
        <x:v>-73.64560445817172</x:v>
      </x:c>
      <x:c r="N112" s="48" t="n">
        <x:f>-(Model_Data!AC112-Model_Data!F112)*Inputs!$C$12</x:f>
        <x:v>498.7770384017266</x:v>
      </x:c>
      <x:c r="O112" s="49"/>
      <x:c r="P112" s="48" t="n">
        <x:f>Model_Data!A112</x:f>
        <x:v>-5</x:v>
      </x:c>
      <x:c r="Q112" s="48" t="n">
        <x:f>Model_Data!P112</x:f>
        <x:v>42.80098427389021</x:v>
      </x:c>
      <x:c r="R112" s="48" t="n">
        <x:f>Model_Data!AM112</x:f>
        <x:v>20.623816407260165</x:v>
      </x:c>
      <x:c r="S112" s="48" t="n">
        <x:f>Model_Data!Q112</x:f>
        <x:v>6.426574215298831</x:v>
      </x:c>
      <x:c r="T112" s="48" t="n">
        <x:f>Model_Data!AN112</x:f>
        <x:v>3.096669130219244</x:v>
      </x:c>
      <x:c r="U112" s="49"/>
      <x:c r="V112" s="48" t="n">
        <x:f>Model_Data!A112</x:f>
        <x:v>-5</x:v>
      </x:c>
      <x:c r="W112" s="48" t="n">
        <x:f>Model_Data!B112-Inputs!$C$5</x:f>
        <x:v>0.027777777777771462</x:v>
      </x:c>
      <x:c r="X112" s="49"/>
      <x:c r="Y112" s="48" t="n">
        <x:f>Model_Data!A112</x:f>
        <x:v>-5</x:v>
      </x:c>
      <x:c r="Z112" s="48" t="n">
        <x:f>0</x:f>
        <x:v>0</x:v>
      </x:c>
      <x:c r="AA112" s="48" t="n">
        <x:f>((SQRT((Inputs!$C$52+Inputs!$C$5)^2+Inputs!$C$52^2-2*(Inputs!$C$52+Inputs!$C$5)*Inputs!$C$52*COS(SQRT((Model_Data!A112)^2+Inputs!$C$6^2)/Inputs!$C$52))-Inputs!$C$5)*1000/Inputs!$C$12)</x:f>
        <x:v>572.6993662599103</x:v>
      </x:c>
      <x:c r="AB112" s="48" t="n">
        <x:f>Model_Data!F112</x:f>
        <x:v>572.6678016175588</x:v>
      </x:c>
    </x:row>
    <x:row r="113">
      <x:c r="A113" s="48" t="n">
        <x:f>Model_Data!A113</x:f>
        <x:v>-4.5</x:v>
      </x:c>
      <x:c r="B113" s="48" t="n">
        <x:f>0</x:f>
        <x:v>0</x:v>
      </x:c>
      <x:c r="C113" s="48" t="n">
        <x:f>((SQRT((Inputs!$C$52+Inputs!$C$5)^2+Inputs!$C$52^2-2*(Inputs!$C$52+Inputs!$C$5)*Inputs!$C$52*COS(SQRT((Model_Data!A113)^2+Inputs!$C$6^2)/Inputs!$C$52))-Inputs!$C$5)*1000/Inputs!$C$12)</x:f>
        <x:v>568.519628340385</x:v>
      </x:c>
      <x:c r="D113" s="48" t="n">
        <x:f>Model_Data!F113</x:f>
        <x:v>568.494246712671</x:v>
      </x:c>
      <x:c r="E113" s="48" t="n">
        <x:f>Model_Data!AC113</x:f>
        <x:v>290.37548165919094</x:v>
      </x:c>
      <x:c r="F113" s="49"/>
      <x:c r="G113" s="48" t="n">
        <x:f>Model_Data!A113</x:f>
        <x:v>-4.5</x:v>
      </x:c>
      <x:c r="H113" s="48" t="n">
        <x:f>0</x:f>
        <x:v>0</x:v>
      </x:c>
      <x:c r="I113" s="48" t="n">
        <x:f>Model_Data!Y113</x:f>
        <x:v>423.30568039510905</x:v>
      </x:c>
      <x:c r="J113" s="48" t="n">
        <x:f>Model_Data!X113</x:f>
        <x:v>-73.08935088189128</x:v>
      </x:c>
      <x:c r="K113" s="48" t="n">
        <x:f>Model_Data!A113</x:f>
        <x:v>-4.5</x:v>
      </x:c>
      <x:c r="L113" s="48" t="n">
        <x:f>Model_Data!Y113</x:f>
        <x:v>423.30568039510905</x:v>
      </x:c>
      <x:c r="M113" s="48" t="n">
        <x:f>Model_Data!X113</x:f>
        <x:v>-73.08935088189128</x:v>
      </x:c>
      <x:c r="N113" s="48" t="n">
        <x:f>-(Model_Data!AC113-Model_Data!F113)*Inputs!$C$12</x:f>
        <x:v>495.0514017951946</x:v>
      </x:c>
      <x:c r="O113" s="49"/>
      <x:c r="P113" s="48" t="n">
        <x:f>Model_Data!A113</x:f>
        <x:v>-4.5</x:v>
      </x:c>
      <x:c r="Q113" s="48" t="n">
        <x:f>Model_Data!P113</x:f>
        <x:v>38.521781712279335</x:v>
      </x:c>
      <x:c r="R113" s="48" t="n">
        <x:f>Model_Data!AM113</x:f>
        <x:v>37.7856622314539</x:v>
      </x:c>
      <x:c r="S113" s="48" t="n">
        <x:f>Model_Data!Q113</x:f>
        <x:v>5.784051308150051</x:v>
      </x:c>
      <x:c r="T113" s="48" t="n">
        <x:f>Model_Data!AN113</x:f>
        <x:v>5.67352285757566</x:v>
      </x:c>
      <x:c r="U113" s="49"/>
      <x:c r="V113" s="48" t="n">
        <x:f>Model_Data!A113</x:f>
        <x:v>-4.5</x:v>
      </x:c>
      <x:c r="W113" s="48" t="n">
        <x:f>Model_Data!B113-Inputs!$C$5</x:f>
        <x:v>0.022499999999979536</x:v>
      </x:c>
      <x:c r="X113" s="49"/>
      <x:c r="Y113" s="48" t="n">
        <x:f>Model_Data!A113</x:f>
        <x:v>-4.5</x:v>
      </x:c>
      <x:c r="Z113" s="48" t="n">
        <x:f>0</x:f>
        <x:v>0</x:v>
      </x:c>
      <x:c r="AA113" s="48" t="n">
        <x:f>((SQRT((Inputs!$C$52+Inputs!$C$5)^2+Inputs!$C$52^2-2*(Inputs!$C$52+Inputs!$C$5)*Inputs!$C$52*COS(SQRT((Model_Data!A113)^2+Inputs!$C$6^2)/Inputs!$C$52))-Inputs!$C$5)*1000/Inputs!$C$12)</x:f>
        <x:v>568.519628340385</x:v>
      </x:c>
      <x:c r="AB113" s="48" t="n">
        <x:f>Model_Data!F113</x:f>
        <x:v>568.494246712671</x:v>
      </x:c>
    </x:row>
    <x:row r="114">
      <x:c r="A114" s="48" t="n">
        <x:f>Model_Data!A114</x:f>
        <x:v>-4</x:v>
      </x:c>
      <x:c r="B114" s="48" t="n">
        <x:f>0</x:f>
        <x:v>0</x:v>
      </x:c>
      <x:c r="C114" s="48" t="n">
        <x:f>((SQRT((Inputs!$C$52+Inputs!$C$5)^2+Inputs!$C$52^2-2*(Inputs!$C$52+Inputs!$C$5)*Inputs!$C$52*COS(SQRT((Model_Data!A114)^2+Inputs!$C$6^2)/Inputs!$C$52))-Inputs!$C$5)*1000/Inputs!$C$12)</x:f>
        <x:v>564.7797959481517</x:v>
      </x:c>
      <x:c r="D114" s="48" t="n">
        <x:f>Model_Data!F114</x:f>
        <x:v>564.7598726455456</x:v>
      </x:c>
      <x:c r="E114" s="48" t="n">
        <x:f>Model_Data!AC114</x:f>
        <x:v>284.4744286884892</x:v>
      </x:c>
      <x:c r="F114" s="49"/>
      <x:c r="G114" s="48" t="n">
        <x:f>Model_Data!A114</x:f>
        <x:v>-4</x:v>
      </x:c>
      <x:c r="H114" s="48" t="n">
        <x:f>0</x:f>
        <x:v>0</x:v>
      </x:c>
      <x:c r="I114" s="48" t="n">
        <x:f>Model_Data!Y114</x:f>
        <x:v>426.0147467563934</x:v>
      </x:c>
      <x:c r="J114" s="48" t="n">
        <x:f>Model_Data!X114</x:f>
        <x:v>-74.23673097551541</x:v>
      </x:c>
      <x:c r="K114" s="48" t="n">
        <x:f>Model_Data!A114</x:f>
        <x:v>-4</x:v>
      </x:c>
      <x:c r="L114" s="48" t="n">
        <x:f>Model_Data!Y114</x:f>
        <x:v>426.0147467563934</x:v>
      </x:c>
      <x:c r="M114" s="48" t="n">
        <x:f>Model_Data!X114</x:f>
        <x:v>-74.23673097551541</x:v>
      </x:c>
      <x:c r="N114" s="48" t="n">
        <x:f>-(Model_Data!AC114-Model_Data!F114)*Inputs!$C$12</x:f>
        <x:v>498.90809024356037</x:v>
      </x:c>
      <x:c r="O114" s="49"/>
      <x:c r="P114" s="48" t="n">
        <x:f>Model_Data!A114</x:f>
        <x:v>-4</x:v>
      </x:c>
      <x:c r="Q114" s="48" t="n">
        <x:f>Model_Data!P114</x:f>
        <x:v>34.24229631555136</x:v>
      </x:c>
      <x:c r="R114" s="48" t="n">
        <x:f>Model_Data!AM114</x:f>
        <x:v>5.015861759875406</x:v>
      </x:c>
      <x:c r="S114" s="48" t="n">
        <x:f>Model_Data!Q114</x:f>
        <x:v>5.14148593326597</x:v>
      </x:c>
      <x:c r="T114" s="48" t="n">
        <x:f>Model_Data!AN114</x:f>
        <x:v>0.7531323963776887</x:v>
      </x:c>
      <x:c r="U114" s="49"/>
      <x:c r="V114" s="48" t="n">
        <x:f>Model_Data!A114</x:f>
        <x:v>-4</x:v>
      </x:c>
      <x:c r="W114" s="48" t="n">
        <x:f>Model_Data!B114-Inputs!$C$5</x:f>
        <x:v>0.017777777777780557</x:v>
      </x:c>
      <x:c r="X114" s="49"/>
      <x:c r="Y114" s="48" t="n">
        <x:f>Model_Data!A114</x:f>
        <x:v>-4</x:v>
      </x:c>
      <x:c r="Z114" s="48" t="n">
        <x:f>0</x:f>
        <x:v>0</x:v>
      </x:c>
      <x:c r="AA114" s="48" t="n">
        <x:f>((SQRT((Inputs!$C$52+Inputs!$C$5)^2+Inputs!$C$52^2-2*(Inputs!$C$52+Inputs!$C$5)*Inputs!$C$52*COS(SQRT((Model_Data!A114)^2+Inputs!$C$6^2)/Inputs!$C$52))-Inputs!$C$5)*1000/Inputs!$C$12)</x:f>
        <x:v>564.7797959481517</x:v>
      </x:c>
      <x:c r="AB114" s="48" t="n">
        <x:f>Model_Data!F114</x:f>
        <x:v>564.7598726455456</x:v>
      </x:c>
    </x:row>
    <x:row r="115">
      <x:c r="A115" s="48" t="n">
        <x:f>Model_Data!A115</x:f>
        <x:v>-3.5</x:v>
      </x:c>
      <x:c r="B115" s="48" t="n">
        <x:f>0</x:f>
        <x:v>0</x:v>
      </x:c>
      <x:c r="C115" s="48" t="n">
        <x:f>((SQRT((Inputs!$C$52+Inputs!$C$5)^2+Inputs!$C$52^2-2*(Inputs!$C$52+Inputs!$C$5)*Inputs!$C$52*COS(SQRT((Model_Data!A115)^2+Inputs!$C$6^2)/Inputs!$C$52))-Inputs!$C$5)*1000/Inputs!$C$12)</x:f>
        <x:v>561.4798913764969</x:v>
      </x:c>
      <x:c r="D115" s="48" t="n">
        <x:f>Model_Data!F115</x:f>
        <x:v>561.4647263147173</x:v>
      </x:c>
      <x:c r="E115" s="48" t="n">
        <x:f>Model_Data!AC115</x:f>
        <x:v>290.4846154104354</x:v>
      </x:c>
      <x:c r="F115" s="49"/>
      <x:c r="G115" s="48" t="n">
        <x:f>Model_Data!A115</x:f>
        <x:v>-3.5</x:v>
      </x:c>
      <x:c r="H115" s="48" t="n">
        <x:f>0</x:f>
        <x:v>0</x:v>
      </x:c>
      <x:c r="I115" s="48" t="n">
        <x:f>Model_Data!Y115</x:f>
        <x:v>404.9650488225026</x:v>
      </x:c>
      <x:c r="J115" s="48" t="n">
        <x:f>Model_Data!X115</x:f>
        <x:v>-78.64906809360804</x:v>
      </x:c>
      <x:c r="K115" s="48" t="n">
        <x:f>Model_Data!A115</x:f>
        <x:v>-3.5</x:v>
      </x:c>
      <x:c r="L115" s="48" t="n">
        <x:f>Model_Data!Y115</x:f>
        <x:v>404.9650488225026</x:v>
      </x:c>
      <x:c r="M115" s="48" t="n">
        <x:f>Model_Data!X115</x:f>
        <x:v>-78.64906809360804</x:v>
      </x:c>
      <x:c r="N115" s="48" t="n">
        <x:f>-(Model_Data!AC115-Model_Data!F115)*Inputs!$C$12</x:f>
        <x:v>482.3445974096217</x:v>
      </x:c>
      <x:c r="O115" s="49"/>
      <x:c r="P115" s="48" t="n">
        <x:f>Model_Data!A115</x:f>
        <x:v>-3.5</x:v>
      </x:c>
      <x:c r="Q115" s="48" t="n">
        <x:f>Model_Data!P115</x:f>
        <x:v>29.962559468549443</x:v>
      </x:c>
      <x:c r="R115" s="48" t="n">
        <x:f>Model_Data!AM115</x:f>
        <x:v>20.627472611704434</x:v>
      </x:c>
      <x:c r="S115" s="48" t="n">
        <x:f>Model_Data!Q115</x:f>
        <x:v>4.498882803085502</x:v>
      </x:c>
      <x:c r="T115" s="48" t="n">
        <x:f>Model_Data!AN115</x:f>
        <x:v>3.0972181098655307</x:v>
      </x:c>
      <x:c r="U115" s="49"/>
      <x:c r="V115" s="48" t="n">
        <x:f>Model_Data!A115</x:f>
        <x:v>-3.5</x:v>
      </x:c>
      <x:c r="W115" s="48" t="n">
        <x:f>Model_Data!B115-Inputs!$C$5</x:f>
        <x:v>0.01361111111111768</x:v>
      </x:c>
      <x:c r="X115" s="49"/>
      <x:c r="Y115" s="48" t="n">
        <x:f>Model_Data!A115</x:f>
        <x:v>-3.5</x:v>
      </x:c>
      <x:c r="Z115" s="48" t="n">
        <x:f>0</x:f>
        <x:v>0</x:v>
      </x:c>
      <x:c r="AA115" s="48" t="n">
        <x:f>((SQRT((Inputs!$C$52+Inputs!$C$5)^2+Inputs!$C$52^2-2*(Inputs!$C$52+Inputs!$C$5)*Inputs!$C$52*COS(SQRT((Model_Data!A115)^2+Inputs!$C$6^2)/Inputs!$C$52))-Inputs!$C$5)*1000/Inputs!$C$12)</x:f>
        <x:v>561.4798913764969</x:v>
      </x:c>
      <x:c r="AB115" s="48" t="n">
        <x:f>Model_Data!F115</x:f>
        <x:v>561.4647263147173</x:v>
      </x:c>
    </x:row>
    <x:row r="116">
      <x:c r="A116" s="48" t="n">
        <x:f>Model_Data!A116</x:f>
        <x:v>-3</x:v>
      </x:c>
      <x:c r="B116" s="48" t="n">
        <x:f>0</x:f>
        <x:v>0</x:v>
      </x:c>
      <x:c r="C116" s="48" t="n">
        <x:f>((SQRT((Inputs!$C$52+Inputs!$C$5)^2+Inputs!$C$52^2-2*(Inputs!$C$52+Inputs!$C$5)*Inputs!$C$52*COS(SQRT((Model_Data!A116)^2+Inputs!$C$6^2)/Inputs!$C$52))-Inputs!$C$5)*1000/Inputs!$C$12)</x:f>
        <x:v>558.6199342970436</x:v>
      </x:c>
      <x:c r="D116" s="48" t="n">
        <x:f>Model_Data!F116</x:f>
        <x:v>558.6088491118074</x:v>
      </x:c>
      <x:c r="E116" s="48" t="n">
        <x:f>Model_Data!AC116</x:f>
        <x:v>285.2836202482662</x:v>
      </x:c>
      <x:c r="F116" s="49"/>
      <x:c r="G116" s="48" t="n">
        <x:f>Model_Data!A116</x:f>
        <x:v>-3</x:v>
      </x:c>
      <x:c r="H116" s="48" t="n">
        <x:f>0</x:f>
        <x:v>0</x:v>
      </x:c>
      <x:c r="I116" s="48" t="n">
        <x:f>Model_Data!Y116</x:f>
        <x:v>420.14741895617453</x:v>
      </x:c>
      <x:c r="J116" s="48" t="n">
        <x:f>Model_Data!X116</x:f>
        <x:v>-67.68197739460362</x:v>
      </x:c>
      <x:c r="K116" s="48" t="n">
        <x:f>Model_Data!A116</x:f>
        <x:v>-3</x:v>
      </x:c>
      <x:c r="L116" s="48" t="n">
        <x:f>Model_Data!Y116</x:f>
        <x:v>420.14741895617453</x:v>
      </x:c>
      <x:c r="M116" s="48" t="n">
        <x:f>Model_Data!X116</x:f>
        <x:v>-67.68197739460362</x:v>
      </x:c>
      <x:c r="N116" s="48" t="n">
        <x:f>-(Model_Data!AC116-Model_Data!F116)*Inputs!$C$12</x:f>
        <x:v>486.51890737710346</x:v>
      </x:c>
      <x:c r="O116" s="49"/>
      <x:c r="P116" s="48" t="n">
        <x:f>Model_Data!A116</x:f>
        <x:v>-3</x:v>
      </x:c>
      <x:c r="Q116" s="48" t="n">
        <x:f>Model_Data!P116</x:f>
        <x:v>25.68260257039583</x:v>
      </x:c>
      <x:c r="R116" s="48" t="n">
        <x:f>Model_Data!AM116</x:f>
        <x:v>51.23987583838243</x:v>
      </x:c>
      <x:c r="S116" s="48" t="n">
        <x:f>Model_Data!Q116</x:f>
        <x:v>3.8562466321915663</x:v>
      </x:c>
      <x:c r="T116" s="48" t="n">
        <x:f>Model_Data!AN116</x:f>
        <x:v>7.6936750508081735</x:v>
      </x:c>
      <x:c r="U116" s="49"/>
      <x:c r="V116" s="48" t="n">
        <x:f>Model_Data!A116</x:f>
        <x:v>-3</x:v>
      </x:c>
      <x:c r="W116" s="48" t="n">
        <x:f>Model_Data!B116-Inputs!$C$5</x:f>
        <x:v>0.009999999999990905</x:v>
      </x:c>
      <x:c r="X116" s="49"/>
      <x:c r="Y116" s="48" t="n">
        <x:f>Model_Data!A116</x:f>
        <x:v>-3</x:v>
      </x:c>
      <x:c r="Z116" s="48" t="n">
        <x:f>0</x:f>
        <x:v>0</x:v>
      </x:c>
      <x:c r="AA116" s="48" t="n">
        <x:f>((SQRT((Inputs!$C$52+Inputs!$C$5)^2+Inputs!$C$52^2-2*(Inputs!$C$52+Inputs!$C$5)*Inputs!$C$52*COS(SQRT((Model_Data!A116)^2+Inputs!$C$6^2)/Inputs!$C$52))-Inputs!$C$5)*1000/Inputs!$C$12)</x:f>
        <x:v>558.6199342970436</x:v>
      </x:c>
      <x:c r="AB116" s="48" t="n">
        <x:f>Model_Data!F116</x:f>
        <x:v>558.6088491118074</x:v>
      </x:c>
    </x:row>
    <x:row r="117">
      <x:c r="A117" s="48" t="n">
        <x:f>Model_Data!A117</x:f>
        <x:v>-2.5</x:v>
      </x:c>
      <x:c r="B117" s="48" t="n">
        <x:f>0</x:f>
        <x:v>0</x:v>
      </x:c>
      <x:c r="C117" s="48" t="n">
        <x:f>((SQRT((Inputs!$C$52+Inputs!$C$5)^2+Inputs!$C$52^2-2*(Inputs!$C$52+Inputs!$C$5)*Inputs!$C$52*COS(SQRT((Model_Data!A117)^2+Inputs!$C$6^2)/Inputs!$C$52))-Inputs!$C$5)*1000/Inputs!$C$12)</x:f>
        <x:v>556.1999417579955</x:v>
      </x:c>
      <x:c r="D117" s="48" t="n">
        <x:f>Model_Data!F117</x:f>
        <x:v>556.1922769103146</x:v>
      </x:c>
      <x:c r="E117" s="48" t="n">
        <x:f>Model_Data!AC117</x:f>
        <x:v>292.4263678838553</x:v>
      </x:c>
      <x:c r="F117" s="49"/>
      <x:c r="G117" s="48" t="n">
        <x:f>Model_Data!A117</x:f>
        <x:v>-2.5</x:v>
      </x:c>
      <x:c r="H117" s="48" t="n">
        <x:f>0</x:f>
        <x:v>0</x:v>
      </x:c>
      <x:c r="I117" s="48" t="n">
        <x:f>Model_Data!Y117</x:f>
        <x:v>420.97624209793275</x:v>
      </x:c>
      <x:c r="J117" s="48" t="n">
        <x:f>Model_Data!X117</x:f>
        <x:v>-49.83449295863612</x:v>
      </x:c>
      <x:c r="K117" s="48" t="n">
        <x:f>Model_Data!A117</x:f>
        <x:v>-2.5</x:v>
      </x:c>
      <x:c r="L117" s="48" t="n">
        <x:f>Model_Data!Y117</x:f>
        <x:v>420.97624209793275</x:v>
      </x:c>
      <x:c r="M117" s="48" t="n">
        <x:f>Model_Data!X117</x:f>
        <x:v>-49.83449295863612</x:v>
      </x:c>
      <x:c r="N117" s="48" t="n">
        <x:f>-(Model_Data!AC117-Model_Data!F117)*Inputs!$C$12</x:f>
        <x:v>469.5033180670976</x:v>
      </x:c>
      <x:c r="O117" s="49"/>
      <x:c r="P117" s="48" t="n">
        <x:f>Model_Data!A117</x:f>
        <x:v>-2.5</x:v>
      </x:c>
      <x:c r="Q117" s="48" t="n">
        <x:f>Model_Data!P117</x:f>
        <x:v>21.402457042222522</x:v>
      </x:c>
      <x:c r="R117" s="48" t="n">
        <x:f>Model_Data!AM117</x:f>
        <x:v>46.67733826336189</x:v>
      </x:c>
      <x:c r="S117" s="48" t="n">
        <x:f>Model_Data!Q117</x:f>
        <x:v>3.2135821384718506</x:v>
      </x:c>
      <x:c r="T117" s="48" t="n">
        <x:f>Model_Data!AN117</x:f>
        <x:v>7.008609348853137</x:v>
      </x:c>
      <x:c r="U117" s="49"/>
      <x:c r="V117" s="48" t="n">
        <x:f>Model_Data!A117</x:f>
        <x:v>-2.5</x:v>
      </x:c>
      <x:c r="W117" s="48" t="n">
        <x:f>Model_Data!B117-Inputs!$C$5</x:f>
        <x:v>0.006944444444457076</x:v>
      </x:c>
      <x:c r="X117" s="49"/>
      <x:c r="Y117" s="48" t="n">
        <x:f>Model_Data!A117</x:f>
        <x:v>-2.5</x:v>
      </x:c>
      <x:c r="Z117" s="48" t="n">
        <x:f>0</x:f>
        <x:v>0</x:v>
      </x:c>
      <x:c r="AA117" s="48" t="n">
        <x:f>((SQRT((Inputs!$C$52+Inputs!$C$5)^2+Inputs!$C$52^2-2*(Inputs!$C$52+Inputs!$C$5)*Inputs!$C$52*COS(SQRT((Model_Data!A117)^2+Inputs!$C$6^2)/Inputs!$C$52))-Inputs!$C$5)*1000/Inputs!$C$12)</x:f>
        <x:v>556.1999417579955</x:v>
      </x:c>
      <x:c r="AB117" s="48" t="n">
        <x:f>Model_Data!F117</x:f>
        <x:v>556.1922769103146</x:v>
      </x:c>
    </x:row>
    <x:row r="118">
      <x:c r="A118" s="48" t="n">
        <x:f>Model_Data!A118</x:f>
        <x:v>-2</x:v>
      </x:c>
      <x:c r="B118" s="48" t="n">
        <x:f>0</x:f>
        <x:v>0</x:v>
      </x:c>
      <x:c r="C118" s="48" t="n">
        <x:f>((SQRT((Inputs!$C$52+Inputs!$C$5)^2+Inputs!$C$52^2-2*(Inputs!$C$52+Inputs!$C$5)*Inputs!$C$52*COS(SQRT((Model_Data!A118)^2+Inputs!$C$6^2)/Inputs!$C$52))-Inputs!$C$5)*1000/Inputs!$C$12)</x:f>
        <x:v>554.2199281880963</x:v>
      </x:c>
      <x:c r="D118" s="48" t="n">
        <x:f>Model_Data!F118</x:f>
        <x:v>554.2150400691909</x:v>
      </x:c>
      <x:c r="E118" s="48" t="n">
        <x:f>Model_Data!AC118</x:f>
        <x:v>276.5515509108209</x:v>
      </x:c>
      <x:c r="F118" s="49"/>
      <x:c r="G118" s="48" t="n">
        <x:f>Model_Data!A118</x:f>
        <x:v>-2</x:v>
      </x:c>
      <x:c r="H118" s="48" t="n">
        <x:f>0</x:f>
        <x:v>0</x:v>
      </x:c>
      <x:c r="I118" s="48" t="n">
        <x:f>Model_Data!Y118</x:f>
        <x:v>435.98300826713626</x:v>
      </x:c>
      <x:c r="J118" s="48" t="n">
        <x:f>Model_Data!X118</x:f>
        <x:v>-59.60727995622125</x:v>
      </x:c>
      <x:c r="K118" s="48" t="n">
        <x:f>Model_Data!A118</x:f>
        <x:v>-2</x:v>
      </x:c>
      <x:c r="L118" s="48" t="n">
        <x:f>Model_Data!Y118</x:f>
        <x:v>435.98300826713626</x:v>
      </x:c>
      <x:c r="M118" s="48" t="n">
        <x:f>Model_Data!X118</x:f>
        <x:v>-59.60727995622125</x:v>
      </x:c>
      <x:c r="N118" s="48" t="n">
        <x:f>-(Model_Data!AC118-Model_Data!F118)*Inputs!$C$12</x:f>
        <x:v>494.24101070189863</x:v>
      </x:c>
      <x:c r="O118" s="49"/>
      <x:c r="P118" s="48" t="n">
        <x:f>Model_Data!A118</x:f>
        <x:v>-2</x:v>
      </x:c>
      <x:c r="Q118" s="48" t="n">
        <x:f>Model_Data!P118</x:f>
        <x:v>17.12215430170545</x:v>
      </x:c>
      <x:c r="R118" s="48" t="n">
        <x:f>Model_Data!AM118</x:f>
        <x:v>33.29255923435994</x:v>
      </x:c>
      <x:c r="S118" s="48" t="n">
        <x:f>Model_Data!Q118</x:f>
        <x:v>2.570894039295113</x:v>
      </x:c>
      <x:c r="T118" s="48" t="n">
        <x:f>Model_Data!AN118</x:f>
        <x:v>4.998882767921914</x:v>
      </x:c>
      <x:c r="U118" s="49"/>
      <x:c r="V118" s="48" t="n">
        <x:f>Model_Data!A118</x:f>
        <x:v>-2</x:v>
      </x:c>
      <x:c r="W118" s="48" t="n">
        <x:f>Model_Data!B118-Inputs!$C$5</x:f>
        <x:v>0.00444444444445935</x:v>
      </x:c>
      <x:c r="X118" s="49"/>
      <x:c r="Y118" s="48" t="n">
        <x:f>Model_Data!A118</x:f>
        <x:v>-2</x:v>
      </x:c>
      <x:c r="Z118" s="48" t="n">
        <x:f>0</x:f>
        <x:v>0</x:v>
      </x:c>
      <x:c r="AA118" s="48" t="n">
        <x:f>((SQRT((Inputs!$C$52+Inputs!$C$5)^2+Inputs!$C$52^2-2*(Inputs!$C$52+Inputs!$C$5)*Inputs!$C$52*COS(SQRT((Model_Data!A118)^2+Inputs!$C$6^2)/Inputs!$C$52))-Inputs!$C$5)*1000/Inputs!$C$12)</x:f>
        <x:v>554.2199281880963</x:v>
      </x:c>
      <x:c r="AB118" s="48" t="n">
        <x:f>Model_Data!F118</x:f>
        <x:v>554.2150400691909</x:v>
      </x:c>
    </x:row>
    <x:row r="119">
      <x:c r="A119" s="48" t="n">
        <x:f>Model_Data!A119</x:f>
        <x:v>-1.5</x:v>
      </x:c>
      <x:c r="B119" s="48" t="n">
        <x:f>0</x:f>
        <x:v>0</x:v>
      </x:c>
      <x:c r="C119" s="48" t="n">
        <x:f>((SQRT((Inputs!$C$52+Inputs!$C$5)^2+Inputs!$C$52^2-2*(Inputs!$C$52+Inputs!$C$5)*Inputs!$C$52*COS(SQRT((Model_Data!A119)^2+Inputs!$C$6^2)/Inputs!$C$52))-Inputs!$C$5)*1000/Inputs!$C$12)</x:f>
        <x:v>552.6799053911694</x:v>
      </x:c>
      <x:c r="D119" s="48" t="n">
        <x:f>Model_Data!F119</x:f>
        <x:v>552.6771634304794</x:v>
      </x:c>
      <x:c r="E119" s="48" t="n">
        <x:f>Model_Data!AC119</x:f>
        <x:v>292.0424003355421</x:v>
      </x:c>
      <x:c r="F119" s="49"/>
      <x:c r="G119" s="48" t="n">
        <x:f>Model_Data!A119</x:f>
        <x:v>-1.5</x:v>
      </x:c>
      <x:c r="H119" s="48" t="n">
        <x:f>0</x:f>
        <x:v>0</x:v>
      </x:c>
      <x:c r="I119" s="48" t="n">
        <x:f>Model_Data!Y119</x:f>
        <x:v>431.10580672292525</x:v>
      </x:c>
      <x:c r="J119" s="48" t="n">
        <x:f>Model_Data!X119</x:f>
        <x:v>-34.15455011761312</x:v>
      </x:c>
      <x:c r="K119" s="48" t="n">
        <x:f>Model_Data!A119</x:f>
        <x:v>-1.5</x:v>
      </x:c>
      <x:c r="L119" s="48" t="n">
        <x:f>Model_Data!Y119</x:f>
        <x:v>431.10580672292525</x:v>
      </x:c>
      <x:c r="M119" s="48" t="n">
        <x:f>Model_Data!X119</x:f>
        <x:v>-34.15455011761312</x:v>
      </x:c>
      <x:c r="N119" s="48" t="n">
        <x:f>-(Model_Data!AC119-Model_Data!F119)*Inputs!$C$12</x:f>
        <x:v>463.92987830898835</x:v>
      </x:c>
      <x:c r="O119" s="49"/>
      <x:c r="P119" s="48" t="n">
        <x:f>Model_Data!A119</x:f>
        <x:v>-1.5</x:v>
      </x:c>
      <x:c r="Q119" s="48" t="n">
        <x:f>Model_Data!P119</x:f>
        <x:v>12.841725789530756</x:v>
      </x:c>
      <x:c r="R119" s="48" t="n">
        <x:f>Model_Data!AM119</x:f>
        <x:v>20.845477274997393</x:v>
      </x:c>
      <x:c r="S119" s="48" t="n">
        <x:f>Model_Data!Q119</x:f>
        <x:v>1.9281870554850986</x:v>
      </x:c>
      <x:c r="T119" s="48" t="n">
        <x:f>Model_Data!AN119</x:f>
        <x:v>3.1299515427924014</x:v>
      </x:c>
      <x:c r="U119" s="49"/>
      <x:c r="V119" s="48" t="n">
        <x:f>Model_Data!A119</x:f>
        <x:v>-1.5</x:v>
      </x:c>
      <x:c r="W119" s="48" t="n">
        <x:f>Model_Data!B119-Inputs!$C$5</x:f>
        <x:v>0.0024999999999977263</x:v>
      </x:c>
      <x:c r="X119" s="49"/>
      <x:c r="Y119" s="48" t="n">
        <x:f>Model_Data!A119</x:f>
        <x:v>-1.5</x:v>
      </x:c>
      <x:c r="Z119" s="48" t="n">
        <x:f>0</x:f>
        <x:v>0</x:v>
      </x:c>
      <x:c r="AA119" s="48" t="n">
        <x:f>((SQRT((Inputs!$C$52+Inputs!$C$5)^2+Inputs!$C$52^2-2*(Inputs!$C$52+Inputs!$C$5)*Inputs!$C$52*COS(SQRT((Model_Data!A119)^2+Inputs!$C$6^2)/Inputs!$C$52))-Inputs!$C$5)*1000/Inputs!$C$12)</x:f>
        <x:v>552.6799053911694</x:v>
      </x:c>
      <x:c r="AB119" s="48" t="n">
        <x:f>Model_Data!F119</x:f>
        <x:v>552.6771634304794</x:v>
      </x:c>
    </x:row>
    <x:row r="120">
      <x:c r="A120" s="48" t="n">
        <x:f>Model_Data!A120</x:f>
        <x:v>-1</x:v>
      </x:c>
      <x:c r="B120" s="48" t="n">
        <x:f>0</x:f>
        <x:v>0</x:v>
      </x:c>
      <x:c r="C120" s="48" t="n">
        <x:f>((SQRT((Inputs!$C$52+Inputs!$C$5)^2+Inputs!$C$52^2-2*(Inputs!$C$52+Inputs!$C$5)*Inputs!$C$52*COS(SQRT((Model_Data!A120)^2+Inputs!$C$6^2)/Inputs!$C$52))-Inputs!$C$5)*1000/Inputs!$C$12)</x:f>
        <x:v>551.5798825481614</x:v>
      </x:c>
      <x:c r="D120" s="48" t="n">
        <x:f>Model_Data!F120</x:f>
        <x:v>551.5786663135019</x:v>
      </x:c>
      <x:c r="E120" s="48" t="n">
        <x:f>Model_Data!AC120</x:f>
        <x:v>283.0944706325295</x:v>
      </x:c>
      <x:c r="F120" s="49"/>
      <x:c r="G120" s="48" t="n">
        <x:f>Model_Data!A120</x:f>
        <x:v>-1</x:v>
      </x:c>
      <x:c r="H120" s="48" t="n">
        <x:f>0</x:f>
        <x:v>0</x:v>
      </x:c>
      <x:c r="I120" s="48" t="n">
        <x:f>Model_Data!Y120</x:f>
        <x:v>440.9944102420088</x:v>
      </x:c>
      <x:c r="J120" s="48" t="n">
        <x:f>Model_Data!X120</x:f>
        <x:v>-38.26579288799343</x:v>
      </x:c>
      <x:c r="K120" s="48" t="n">
        <x:f>Model_Data!A120</x:f>
        <x:v>-1</x:v>
      </x:c>
      <x:c r="L120" s="48" t="n">
        <x:f>Model_Data!Y120</x:f>
        <x:v>440.9944102420088</x:v>
      </x:c>
      <x:c r="M120" s="48" t="n">
        <x:f>Model_Data!X120</x:f>
        <x:v>-38.26579288799343</x:v>
      </x:c>
      <x:c r="N120" s="48" t="n">
        <x:f>-(Model_Data!AC120-Model_Data!F120)*Inputs!$C$12</x:f>
        <x:v>477.9018683121309</x:v>
      </x:c>
      <x:c r="O120" s="49"/>
      <x:c r="P120" s="48" t="n">
        <x:f>Model_Data!A120</x:f>
        <x:v>-1</x:v>
      </x:c>
      <x:c r="Q120" s="48" t="n">
        <x:f>Model_Data!P120</x:f>
        <x:v>8.561202941109514</x:v>
      </x:c>
      <x:c r="R120" s="48" t="n">
        <x:f>Model_Data!AM120</x:f>
        <x:v>77.35858270280005</x:v>
      </x:c>
      <x:c r="S120" s="48" t="n">
        <x:f>Model_Data!Q120</x:f>
        <x:v>1.2854659070735006</x:v>
      </x:c>
      <x:c r="T120" s="48" t="n">
        <x:f>Model_Data!AN120</x:f>
        <x:v>11.615402808228236</x:v>
      </x:c>
      <x:c r="U120" s="49"/>
      <x:c r="V120" s="48" t="n">
        <x:f>Model_Data!A120</x:f>
        <x:v>-1</x:v>
      </x:c>
      <x:c r="W120" s="48" t="n">
        <x:f>Model_Data!B120-Inputs!$C$5</x:f>
        <x:v>0.0011111111111290484</x:v>
      </x:c>
      <x:c r="X120" s="49"/>
      <x:c r="Y120" s="48" t="n">
        <x:f>Model_Data!A120</x:f>
        <x:v>-1</x:v>
      </x:c>
      <x:c r="Z120" s="48" t="n">
        <x:f>0</x:f>
        <x:v>0</x:v>
      </x:c>
      <x:c r="AA120" s="48" t="n">
        <x:f>((SQRT((Inputs!$C$52+Inputs!$C$5)^2+Inputs!$C$52^2-2*(Inputs!$C$52+Inputs!$C$5)*Inputs!$C$52*COS(SQRT((Model_Data!A120)^2+Inputs!$C$6^2)/Inputs!$C$52))-Inputs!$C$5)*1000/Inputs!$C$12)</x:f>
        <x:v>551.5798825481614</x:v>
      </x:c>
      <x:c r="AB120" s="48" t="n">
        <x:f>Model_Data!F120</x:f>
        <x:v>551.5786663135019</x:v>
      </x:c>
    </x:row>
    <x:row r="121">
      <x:c r="A121" s="48" t="n">
        <x:f>Model_Data!A121</x:f>
        <x:v>-0.5</x:v>
      </x:c>
      <x:c r="B121" s="48" t="n">
        <x:f>0</x:f>
        <x:v>0</x:v>
      </x:c>
      <x:c r="C121" s="48" t="n">
        <x:f>((SQRT((Inputs!$C$52+Inputs!$C$5)^2+Inputs!$C$52^2-2*(Inputs!$C$52+Inputs!$C$5)*Inputs!$C$52*COS(SQRT((Model_Data!A121)^2+Inputs!$C$6^2)/Inputs!$C$52))-Inputs!$C$5)*1000/Inputs!$C$12)</x:f>
        <x:v>550.9198662189946</x:v>
      </x:c>
      <x:c r="D121" s="48" t="n">
        <x:f>Model_Data!F121</x:f>
        <x:v>550.9195625226187</x:v>
      </x:c>
      <x:c r="E121" s="48" t="n">
        <x:f>Model_Data!AC121</x:f>
        <x:v>276.35578795075725</x:v>
      </x:c>
      <x:c r="F121" s="49"/>
      <x:c r="G121" s="48" t="n">
        <x:f>Model_Data!A121</x:f>
        <x:v>-0.5</x:v>
      </x:c>
      <x:c r="H121" s="48" t="n">
        <x:f>0</x:f>
        <x:v>0</x:v>
      </x:c>
      <x:c r="I121" s="48" t="n">
        <x:f>Model_Data!Y121</x:f>
        <x:v>474.23278667183286</x:v>
      </x:c>
      <x:c r="J121" s="48" t="n">
        <x:f>Model_Data!X121</x:f>
        <x:v>-15.949828195457984</x:v>
      </x:c>
      <x:c r="K121" s="48" t="n">
        <x:f>Model_Data!A121</x:f>
        <x:v>-0.5</x:v>
      </x:c>
      <x:c r="L121" s="48" t="n">
        <x:f>Model_Data!Y121</x:f>
        <x:v>474.23278667183286</x:v>
      </x:c>
      <x:c r="M121" s="48" t="n">
        <x:f>Model_Data!X121</x:f>
        <x:v>-15.949828195457984</x:v>
      </x:c>
      <x:c r="N121" s="48" t="n">
        <x:f>-(Model_Data!AC121-Model_Data!F121)*Inputs!$C$12</x:f>
        <x:v>488.7235187379133</x:v>
      </x:c>
      <x:c r="O121" s="49"/>
      <x:c r="P121" s="48" t="n">
        <x:f>Model_Data!A121</x:f>
        <x:v>-0.5</x:v>
      </x:c>
      <x:c r="Q121" s="48" t="n">
        <x:f>Model_Data!P121</x:f>
        <x:v>4.280617193035141</x:v>
      </x:c>
      <x:c r="R121" s="48" t="n">
        <x:f>Model_Data!AM121</x:f>
        <x:v>67.21549524045258</x:v>
      </x:c>
      <x:c r="S121" s="48" t="n">
        <x:f>Model_Data!Q121</x:f>
        <x:v>0.6427353142695408</x:v>
      </x:c>
      <x:c r="T121" s="48" t="n">
        <x:f>Model_Data!AN121</x:f>
        <x:v>10.09241670277066</x:v>
      </x:c>
      <x:c r="U121" s="49"/>
      <x:c r="V121" s="48" t="n">
        <x:f>Model_Data!A121</x:f>
        <x:v>-0.5</x:v>
      </x:c>
      <x:c r="W121" s="48" t="n">
        <x:f>Model_Data!B121-Inputs!$C$5</x:f>
        <x:v>0.00027777777779647295</x:v>
      </x:c>
      <x:c r="X121" s="49"/>
      <x:c r="Y121" s="48" t="n">
        <x:f>Model_Data!A121</x:f>
        <x:v>-0.5</x:v>
      </x:c>
      <x:c r="Z121" s="48" t="n">
        <x:f>0</x:f>
        <x:v>0</x:v>
      </x:c>
      <x:c r="AA121" s="48" t="n">
        <x:f>((SQRT((Inputs!$C$52+Inputs!$C$5)^2+Inputs!$C$52^2-2*(Inputs!$C$52+Inputs!$C$5)*Inputs!$C$52*COS(SQRT((Model_Data!A121)^2+Inputs!$C$6^2)/Inputs!$C$52))-Inputs!$C$5)*1000/Inputs!$C$12)</x:f>
        <x:v>550.9198662189946</x:v>
      </x:c>
      <x:c r="AB121" s="48" t="n">
        <x:f>Model_Data!F121</x:f>
        <x:v>550.9195625226187</x:v>
      </x:c>
    </x:row>
    <x:row r="122">
      <x:c r="A122" s="48" t="n">
        <x:f>Model_Data!A122</x:f>
        <x:v>0</x:v>
      </x:c>
      <x:c r="B122" s="48" t="n">
        <x:f>0</x:f>
        <x:v>0</x:v>
      </x:c>
      <x:c r="C122" s="48" t="n">
        <x:f>((SQRT((Inputs!$C$52+Inputs!$C$5)^2+Inputs!$C$52^2-2*(Inputs!$C$52+Inputs!$C$5)*Inputs!$C$52*COS(SQRT((Model_Data!A122)^2+Inputs!$C$6^2)/Inputs!$C$52))-Inputs!$C$5)*1000/Inputs!$C$12)</x:f>
        <x:v>550.6998603390537</x:v>
      </x:c>
      <x:c r="D122" s="48" t="n">
        <x:f>Model_Data!F122</x:f>
        <x:v>550.6998603390537</x:v>
      </x:c>
      <x:c r="E122" s="48" t="n">
        <x:f>Model_Data!AC122</x:f>
        <x:v>278.8355336025972</x:v>
      </x:c>
      <x:c r="F122" s="49"/>
      <x:c r="G122" s="48" t="n">
        <x:f>Model_Data!A122</x:f>
        <x:v>0</x:v>
      </x:c>
      <x:c r="H122" s="48" t="n">
        <x:f>0</x:f>
        <x:v>0</x:v>
      </x:c>
      <x:c r="I122" s="48" t="n">
        <x:f>Model_Data!Y122</x:f>
        <x:v>480.44802858922253</x:v>
      </x:c>
      <x:c r="J122" s="48" t="n">
        <x:f>Model_Data!X122</x:f>
        <x:v>-4.948127387128106</x:v>
      </x:c>
      <x:c r="K122" s="48" t="n">
        <x:f>Model_Data!A122</x:f>
        <x:v>0</x:v>
      </x:c>
      <x:c r="L122" s="48" t="n">
        <x:f>Model_Data!Y122</x:f>
        <x:v>480.44802858922253</x:v>
      </x:c>
      <x:c r="M122" s="48" t="n">
        <x:f>Model_Data!X122</x:f>
        <x:v>-4.948127387128106</x:v>
      </x:c>
      <x:c r="N122" s="48" t="n">
        <x:f>-(Model_Data!AC122-Model_Data!F122)*Inputs!$C$12</x:f>
        <x:v>483.9185015908925</x:v>
      </x:c>
      <x:c r="O122" s="49"/>
      <x:c r="P122" s="48" t="n">
        <x:f>Model_Data!A122</x:f>
        <x:v>0</x:v>
      </x:c>
      <x:c r="Q122" s="48" t="n">
        <x:f>Model_Data!P122</x:f>
        <x:v>0</x:v>
      </x:c>
      <x:c r="R122" s="48" t="n">
        <x:f>Model_Data!AM122</x:f>
        <x:v>13.577875871487777</x:v>
      </x:c>
      <x:c r="S122" s="48" t="n">
        <x:f>Model_Data!Q122</x:f>
        <x:v>0</x:v>
      </x:c>
      <x:c r="T122" s="48" t="n">
        <x:f>Model_Data!AN122</x:f>
        <x:v>2.0387201008239906</x:v>
      </x:c>
      <x:c r="U122" s="49"/>
      <x:c r="V122" s="48" t="n">
        <x:f>Model_Data!A122</x:f>
        <x:v>0</x:v>
      </x:c>
      <x:c r="W122" s="48" t="n">
        <x:f>Model_Data!B122-Inputs!$C$5</x:f>
        <x:v>0</x:v>
      </x:c>
      <x:c r="X122" s="49"/>
      <x:c r="Y122" s="48" t="n">
        <x:f>Model_Data!A122</x:f>
        <x:v>0</x:v>
      </x:c>
      <x:c r="Z122" s="48" t="n">
        <x:f>0</x:f>
        <x:v>0</x:v>
      </x:c>
      <x:c r="AA122" s="48" t="n">
        <x:f>((SQRT((Inputs!$C$52+Inputs!$C$5)^2+Inputs!$C$52^2-2*(Inputs!$C$52+Inputs!$C$5)*Inputs!$C$52*COS(SQRT((Model_Data!A122)^2+Inputs!$C$6^2)/Inputs!$C$52))-Inputs!$C$5)*1000/Inputs!$C$12)</x:f>
        <x:v>550.6998603390537</x:v>
      </x:c>
      <x:c r="AB122" s="48" t="n">
        <x:f>Model_Data!F122</x:f>
        <x:v>550.6998603390537</x:v>
      </x:c>
    </x:row>
    <x:row r="123">
      <x:c r="A123" s="48" t="n">
        <x:f>Model_Data!A123</x:f>
        <x:v>0.5</x:v>
      </x:c>
      <x:c r="B123" s="48" t="n">
        <x:f>0</x:f>
        <x:v>0</x:v>
      </x:c>
      <x:c r="C123" s="48" t="n">
        <x:f>((SQRT((Inputs!$C$52+Inputs!$C$5)^2+Inputs!$C$52^2-2*(Inputs!$C$52+Inputs!$C$5)*Inputs!$C$52*COS(SQRT((Model_Data!A123)^2+Inputs!$C$6^2)/Inputs!$C$52))-Inputs!$C$5)*1000/Inputs!$C$12)</x:f>
        <x:v>550.9198662189946</x:v>
      </x:c>
      <x:c r="D123" s="48" t="n">
        <x:f>Model_Data!F123</x:f>
        <x:v>550.9195625226187</x:v>
      </x:c>
      <x:c r="E123" s="48" t="n">
        <x:f>Model_Data!AC123</x:f>
        <x:v>281.8182738541844</x:v>
      </x:c>
      <x:c r="F123" s="49"/>
      <x:c r="G123" s="48" t="n">
        <x:f>Model_Data!A123</x:f>
        <x:v>0.5</x:v>
      </x:c>
      <x:c r="H123" s="48" t="n">
        <x:f>0</x:f>
        <x:v>0</x:v>
      </x:c>
      <x:c r="I123" s="48" t="n">
        <x:f>Model_Data!Y123</x:f>
        <x:v>482.7451811280071</x:v>
      </x:c>
      <x:c r="J123" s="48" t="n">
        <x:f>Model_Data!X123</x:f>
        <x:v>2.259569132321303</x:v>
      </x:c>
      <x:c r="K123" s="48" t="n">
        <x:f>Model_Data!A123</x:f>
        <x:v>0.5</x:v>
      </x:c>
      <x:c r="L123" s="48" t="n">
        <x:f>Model_Data!Y123</x:f>
        <x:v>482.7451811280071</x:v>
      </x:c>
      <x:c r="M123" s="48" t="n">
        <x:f>Model_Data!X123</x:f>
        <x:v>2.259569132321303</x:v>
      </x:c>
      <x:c r="N123" s="48" t="n">
        <x:f>-(Model_Data!AC123-Model_Data!F123)*Inputs!$C$12</x:f>
        <x:v>479.000293829813</x:v>
      </x:c>
      <x:c r="O123" s="49"/>
      <x:c r="P123" s="48" t="n">
        <x:f>Model_Data!A123</x:f>
        <x:v>0.5</x:v>
      </x:c>
      <x:c r="Q123" s="48" t="n">
        <x:f>Model_Data!P123</x:f>
        <x:v>-4.280617193035141</x:v>
      </x:c>
      <x:c r="R123" s="48" t="n">
        <x:f>Model_Data!AM123</x:f>
        <x:v>23.04487073324708</x:v>
      </x:c>
      <x:c r="S123" s="48" t="n">
        <x:f>Model_Data!Q123</x:f>
        <x:v>-0.6427353142695408</x:v>
      </x:c>
      <x:c r="T123" s="48" t="n">
        <x:f>Model_Data!AN123</x:f>
        <x:v>3.46019080078785</x:v>
      </x:c>
      <x:c r="U123" s="49"/>
      <x:c r="V123" s="48" t="n">
        <x:f>Model_Data!A123</x:f>
        <x:v>0.5</x:v>
      </x:c>
      <x:c r="W123" s="48" t="n">
        <x:f>Model_Data!B123-Inputs!$C$5</x:f>
        <x:v>0.00027777777779647295</x:v>
      </x:c>
      <x:c r="X123" s="49"/>
      <x:c r="Y123" s="48" t="n">
        <x:f>Model_Data!A123</x:f>
        <x:v>0.5</x:v>
      </x:c>
      <x:c r="Z123" s="48" t="n">
        <x:f>0</x:f>
        <x:v>0</x:v>
      </x:c>
      <x:c r="AA123" s="48" t="n">
        <x:f>((SQRT((Inputs!$C$52+Inputs!$C$5)^2+Inputs!$C$52^2-2*(Inputs!$C$52+Inputs!$C$5)*Inputs!$C$52*COS(SQRT((Model_Data!A123)^2+Inputs!$C$6^2)/Inputs!$C$52))-Inputs!$C$5)*1000/Inputs!$C$12)</x:f>
        <x:v>550.9198662189946</x:v>
      </x:c>
      <x:c r="AB123" s="48" t="n">
        <x:f>Model_Data!F123</x:f>
        <x:v>550.9195625226187</x:v>
      </x:c>
    </x:row>
    <x:row r="124">
      <x:c r="A124" s="48" t="n">
        <x:f>Model_Data!A124</x:f>
        <x:v>1</x:v>
      </x:c>
      <x:c r="B124" s="48" t="n">
        <x:f>0</x:f>
        <x:v>0</x:v>
      </x:c>
      <x:c r="C124" s="48" t="n">
        <x:f>((SQRT((Inputs!$C$52+Inputs!$C$5)^2+Inputs!$C$52^2-2*(Inputs!$C$52+Inputs!$C$5)*Inputs!$C$52*COS(SQRT((Model_Data!A124)^2+Inputs!$C$6^2)/Inputs!$C$52))-Inputs!$C$5)*1000/Inputs!$C$12)</x:f>
        <x:v>551.5798825481614</x:v>
      </x:c>
      <x:c r="D124" s="48" t="n">
        <x:f>Model_Data!F124</x:f>
        <x:v>551.5786663135019</x:v>
      </x:c>
      <x:c r="E124" s="48" t="n">
        <x:f>Model_Data!AC124</x:f>
        <x:v>297.0998135402417</x:v>
      </x:c>
      <x:c r="F124" s="49"/>
      <x:c r="G124" s="48" t="n">
        <x:f>Model_Data!A124</x:f>
        <x:v>1</x:v>
      </x:c>
      <x:c r="H124" s="48" t="n">
        <x:f>0</x:f>
        <x:v>0</x:v>
      </x:c>
      <x:c r="I124" s="48" t="n">
        <x:f>Model_Data!Y124</x:f>
        <x:v>497.58165314697214</x:v>
      </x:c>
      <x:c r="J124" s="48" t="n">
        <x:f>Model_Data!X124</x:f>
        <x:v>43.07644622126787</x:v>
      </x:c>
      <x:c r="K124" s="48" t="n">
        <x:f>Model_Data!A124</x:f>
        <x:v>1</x:v>
      </x:c>
      <x:c r="L124" s="48" t="n">
        <x:f>Model_Data!Y124</x:f>
        <x:v>497.58165314697214</x:v>
      </x:c>
      <x:c r="M124" s="48" t="n">
        <x:f>Model_Data!X124</x:f>
        <x:v>43.07644622126787</x:v>
      </x:c>
      <x:c r="N124" s="48" t="n">
        <x:f>-(Model_Data!AC124-Model_Data!F124)*Inputs!$C$12</x:f>
        <x:v>452.97235793640317</x:v>
      </x:c>
      <x:c r="O124" s="49"/>
      <x:c r="P124" s="48" t="n">
        <x:f>Model_Data!A124</x:f>
        <x:v>1</x:v>
      </x:c>
      <x:c r="Q124" s="48" t="n">
        <x:f>Model_Data!P124</x:f>
        <x:v>-8.561202941109514</x:v>
      </x:c>
      <x:c r="R124" s="48" t="n">
        <x:f>Model_Data!AM124</x:f>
        <x:v>45.85282185325923</x:v>
      </x:c>
      <x:c r="S124" s="48" t="n">
        <x:f>Model_Data!Q124</x:f>
        <x:v>-1.2854659070735006</x:v>
      </x:c>
      <x:c r="T124" s="48" t="n">
        <x:f>Model_Data!AN124</x:f>
        <x:v>6.88480808607496</x:v>
      </x:c>
      <x:c r="U124" s="49"/>
      <x:c r="V124" s="48" t="n">
        <x:f>Model_Data!A124</x:f>
        <x:v>1</x:v>
      </x:c>
      <x:c r="W124" s="48" t="n">
        <x:f>Model_Data!B124-Inputs!$C$5</x:f>
        <x:v>0.0011111111111290484</x:v>
      </x:c>
      <x:c r="X124" s="49"/>
      <x:c r="Y124" s="48" t="n">
        <x:f>Model_Data!A124</x:f>
        <x:v>1</x:v>
      </x:c>
      <x:c r="Z124" s="48" t="n">
        <x:f>0</x:f>
        <x:v>0</x:v>
      </x:c>
      <x:c r="AA124" s="48" t="n">
        <x:f>((SQRT((Inputs!$C$52+Inputs!$C$5)^2+Inputs!$C$52^2-2*(Inputs!$C$52+Inputs!$C$5)*Inputs!$C$52*COS(SQRT((Model_Data!A124)^2+Inputs!$C$6^2)/Inputs!$C$52))-Inputs!$C$5)*1000/Inputs!$C$12)</x:f>
        <x:v>551.5798825481614</x:v>
      </x:c>
      <x:c r="AB124" s="48" t="n">
        <x:f>Model_Data!F124</x:f>
        <x:v>551.5786663135019</x:v>
      </x:c>
    </x:row>
    <x:row r="125">
      <x:c r="A125" s="48" t="n">
        <x:f>Model_Data!A125</x:f>
        <x:v>1.5</x:v>
      </x:c>
      <x:c r="B125" s="48" t="n">
        <x:f>0</x:f>
        <x:v>0</x:v>
      </x:c>
      <x:c r="C125" s="48" t="n">
        <x:f>((SQRT((Inputs!$C$52+Inputs!$C$5)^2+Inputs!$C$52^2-2*(Inputs!$C$52+Inputs!$C$5)*Inputs!$C$52*COS(SQRT((Model_Data!A125)^2+Inputs!$C$6^2)/Inputs!$C$52))-Inputs!$C$5)*1000/Inputs!$C$12)</x:f>
        <x:v>552.6799053911694</x:v>
      </x:c>
      <x:c r="D125" s="48" t="n">
        <x:f>Model_Data!F125</x:f>
        <x:v>552.6771634304794</x:v>
      </x:c>
      <x:c r="E125" s="48" t="n">
        <x:f>Model_Data!AC125</x:f>
        <x:v>289.5009422899691</x:v>
      </x:c>
      <x:c r="F125" s="49"/>
      <x:c r="G125" s="48" t="n">
        <x:f>Model_Data!A125</x:f>
        <x:v>1.5</x:v>
      </x:c>
      <x:c r="H125" s="48" t="n">
        <x:f>0</x:f>
        <x:v>0</x:v>
      </x:c>
      <x:c r="I125" s="48" t="n">
        <x:f>Model_Data!Y125</x:f>
        <x:v>516.864115303311</x:v>
      </x:c>
      <x:c r="J125" s="48" t="n">
        <x:f>Model_Data!X125</x:f>
        <x:v>46.8149548284789</x:v>
      </x:c>
      <x:c r="K125" s="48" t="n">
        <x:f>Model_Data!A125</x:f>
        <x:v>1.5</x:v>
      </x:c>
      <x:c r="L125" s="48" t="n">
        <x:f>Model_Data!Y125</x:f>
        <x:v>516.864115303311</x:v>
      </x:c>
      <x:c r="M125" s="48" t="n">
        <x:f>Model_Data!X125</x:f>
        <x:v>46.8149548284789</x:v>
      </x:c>
      <x:c r="N125" s="48" t="n">
        <x:f>-(Model_Data!AC125-Model_Data!F125)*Inputs!$C$12</x:f>
        <x:v>468.4536736301083</x:v>
      </x:c>
      <x:c r="O125" s="49"/>
      <x:c r="P125" s="48" t="n">
        <x:f>Model_Data!A125</x:f>
        <x:v>1.5</x:v>
      </x:c>
      <x:c r="Q125" s="48" t="n">
        <x:f>Model_Data!P125</x:f>
        <x:v>-12.841725789530756</x:v>
      </x:c>
      <x:c r="R125" s="48" t="n">
        <x:f>Model_Data!AM125</x:f>
        <x:v>46.04321213610092</x:v>
      </x:c>
      <x:c r="S125" s="48" t="n">
        <x:f>Model_Data!Q125</x:f>
        <x:v>-1.9281870554850986</x:v>
      </x:c>
      <x:c r="T125" s="48" t="n">
        <x:f>Model_Data!AN125</x:f>
        <x:v>6.91339521563077</x:v>
      </x:c>
      <x:c r="U125" s="49"/>
      <x:c r="V125" s="48" t="n">
        <x:f>Model_Data!A125</x:f>
        <x:v>1.5</x:v>
      </x:c>
      <x:c r="W125" s="48" t="n">
        <x:f>Model_Data!B125-Inputs!$C$5</x:f>
        <x:v>0.0024999999999977263</x:v>
      </x:c>
      <x:c r="X125" s="49"/>
      <x:c r="Y125" s="48" t="n">
        <x:f>Model_Data!A125</x:f>
        <x:v>1.5</x:v>
      </x:c>
      <x:c r="Z125" s="48" t="n">
        <x:f>0</x:f>
        <x:v>0</x:v>
      </x:c>
      <x:c r="AA125" s="48" t="n">
        <x:f>((SQRT((Inputs!$C$52+Inputs!$C$5)^2+Inputs!$C$52^2-2*(Inputs!$C$52+Inputs!$C$5)*Inputs!$C$52*COS(SQRT((Model_Data!A125)^2+Inputs!$C$6^2)/Inputs!$C$52))-Inputs!$C$5)*1000/Inputs!$C$12)</x:f>
        <x:v>552.6799053911694</x:v>
      </x:c>
      <x:c r="AB125" s="48" t="n">
        <x:f>Model_Data!F125</x:f>
        <x:v>552.6771634304794</x:v>
      </x:c>
    </x:row>
    <x:row r="126">
      <x:c r="A126" s="48" t="n">
        <x:f>Model_Data!A126</x:f>
        <x:v>2</x:v>
      </x:c>
      <x:c r="B126" s="48" t="n">
        <x:f>0</x:f>
        <x:v>0</x:v>
      </x:c>
      <x:c r="C126" s="48" t="n">
        <x:f>((SQRT((Inputs!$C$52+Inputs!$C$5)^2+Inputs!$C$52^2-2*(Inputs!$C$52+Inputs!$C$5)*Inputs!$C$52*COS(SQRT((Model_Data!A126)^2+Inputs!$C$6^2)/Inputs!$C$52))-Inputs!$C$5)*1000/Inputs!$C$12)</x:f>
        <x:v>554.2199281880963</x:v>
      </x:c>
      <x:c r="D126" s="48" t="n">
        <x:f>Model_Data!F126</x:f>
        <x:v>554.2150400691909</x:v>
      </x:c>
      <x:c r="E126" s="48" t="n">
        <x:f>Model_Data!AC126</x:f>
        <x:v>291.6904825085158</x:v>
      </x:c>
      <x:c r="F126" s="49"/>
      <x:c r="G126" s="48" t="n">
        <x:f>Model_Data!A126</x:f>
        <x:v>2</x:v>
      </x:c>
      <x:c r="H126" s="48" t="n">
        <x:f>0</x:f>
        <x:v>0</x:v>
      </x:c>
      <x:c r="I126" s="48" t="n">
        <x:f>Model_Data!Y126</x:f>
        <x:v>534.5064840723982</x:v>
      </x:c>
      <x:c r="J126" s="48" t="n">
        <x:f>Model_Data!X126</x:f>
        <x:v>65.55817790320465</x:v>
      </x:c>
      <x:c r="K126" s="48" t="n">
        <x:f>Model_Data!A126</x:f>
        <x:v>2</x:v>
      </x:c>
      <x:c r="L126" s="48" t="n">
        <x:f>Model_Data!Y126</x:f>
        <x:v>534.5064840723982</x:v>
      </x:c>
      <x:c r="M126" s="48" t="n">
        <x:f>Model_Data!X126</x:f>
        <x:v>65.55817790320465</x:v>
      </x:c>
      <x:c r="N126" s="48" t="n">
        <x:f>-(Model_Data!AC126-Model_Data!F126)*Inputs!$C$12</x:f>
        <x:v>467.29371245800166</x:v>
      </x:c>
      <x:c r="O126" s="49"/>
      <x:c r="P126" s="48" t="n">
        <x:f>Model_Data!A126</x:f>
        <x:v>2</x:v>
      </x:c>
      <x:c r="Q126" s="48" t="n">
        <x:f>Model_Data!P126</x:f>
        <x:v>-17.12215430170545</x:v>
      </x:c>
      <x:c r="R126" s="48" t="n">
        <x:f>Model_Data!AM126</x:f>
        <x:v>35.28480728100476</x:v>
      </x:c>
      <x:c r="S126" s="48" t="n">
        <x:f>Model_Data!Q126</x:f>
        <x:v>-2.570894039295113</x:v>
      </x:c>
      <x:c r="T126" s="48" t="n">
        <x:f>Model_Data!AN126</x:f>
        <x:v>5.2980191112619766</x:v>
      </x:c>
      <x:c r="U126" s="49"/>
      <x:c r="V126" s="48" t="n">
        <x:f>Model_Data!A126</x:f>
        <x:v>2</x:v>
      </x:c>
      <x:c r="W126" s="48" t="n">
        <x:f>Model_Data!B126-Inputs!$C$5</x:f>
        <x:v>0.00444444444445935</x:v>
      </x:c>
      <x:c r="X126" s="49"/>
      <x:c r="Y126" s="48" t="n">
        <x:f>Model_Data!A126</x:f>
        <x:v>2</x:v>
      </x:c>
      <x:c r="Z126" s="48" t="n">
        <x:f>0</x:f>
        <x:v>0</x:v>
      </x:c>
      <x:c r="AA126" s="48" t="n">
        <x:f>((SQRT((Inputs!$C$52+Inputs!$C$5)^2+Inputs!$C$52^2-2*(Inputs!$C$52+Inputs!$C$5)*Inputs!$C$52*COS(SQRT((Model_Data!A126)^2+Inputs!$C$6^2)/Inputs!$C$52))-Inputs!$C$5)*1000/Inputs!$C$12)</x:f>
        <x:v>554.2199281880963</x:v>
      </x:c>
      <x:c r="AB126" s="48" t="n">
        <x:f>Model_Data!F126</x:f>
        <x:v>554.2150400691909</x:v>
      </x:c>
    </x:row>
    <x:row r="127">
      <x:c r="A127" s="48" t="n">
        <x:f>Model_Data!A127</x:f>
        <x:v>2.5</x:v>
      </x:c>
      <x:c r="B127" s="48" t="n">
        <x:f>0</x:f>
        <x:v>0</x:v>
      </x:c>
      <x:c r="C127" s="48" t="n">
        <x:f>((SQRT((Inputs!$C$52+Inputs!$C$5)^2+Inputs!$C$52^2-2*(Inputs!$C$52+Inputs!$C$5)*Inputs!$C$52*COS(SQRT((Model_Data!A127)^2+Inputs!$C$6^2)/Inputs!$C$52))-Inputs!$C$5)*1000/Inputs!$C$12)</x:f>
        <x:v>556.1999417579955</x:v>
      </x:c>
      <x:c r="D127" s="48" t="n">
        <x:f>Model_Data!F127</x:f>
        <x:v>556.1922769103146</x:v>
      </x:c>
      <x:c r="E127" s="48" t="n">
        <x:f>Model_Data!AC127</x:f>
        <x:v>288.1461556623928</x:v>
      </x:c>
      <x:c r="F127" s="49"/>
      <x:c r="G127" s="48" t="n">
        <x:f>Model_Data!A127</x:f>
        <x:v>2.5</x:v>
      </x:c>
      <x:c r="H127" s="48" t="n">
        <x:f>0</x:f>
        <x:v>0</x:v>
      </x:c>
      <x:c r="I127" s="48" t="n">
        <x:f>Model_Data!Y127</x:f>
        <x:v>549.7308148691991</x:v>
      </x:c>
      <x:c r="J127" s="48" t="n">
        <x:f>Model_Data!X127</x:f>
        <x:v>70.90088362648228</x:v>
      </x:c>
      <x:c r="K127" s="48" t="n">
        <x:f>Model_Data!A127</x:f>
        <x:v>2.5</x:v>
      </x:c>
      <x:c r="L127" s="48" t="n">
        <x:f>Model_Data!Y127</x:f>
        <x:v>549.7308148691991</x:v>
      </x:c>
      <x:c r="M127" s="48" t="n">
        <x:f>Model_Data!X127</x:f>
        <x:v>70.90088362648228</x:v>
      </x:c>
      <x:c r="N127" s="48" t="n">
        <x:f>-(Model_Data!AC127-Model_Data!F127)*Inputs!$C$12</x:f>
        <x:v>477.12209582130083</x:v>
      </x:c>
      <x:c r="O127" s="49"/>
      <x:c r="P127" s="48" t="n">
        <x:f>Model_Data!A127</x:f>
        <x:v>2.5</x:v>
      </x:c>
      <x:c r="Q127" s="48" t="n">
        <x:f>Model_Data!P127</x:f>
        <x:v>-21.402457042222522</x:v>
      </x:c>
      <x:c r="R127" s="48" t="n">
        <x:f>Model_Data!AM127</x:f>
        <x:v>-17.696456895737356</x:v>
      </x:c>
      <x:c r="S127" s="48" t="n">
        <x:f>Model_Data!Q127</x:f>
        <x:v>-3.2135821384718506</x:v>
      </x:c>
      <x:c r="T127" s="48" t="n">
        <x:f>Model_Data!AN127</x:f>
        <x:v>-2.657125660020624</x:v>
      </x:c>
      <x:c r="U127" s="49"/>
      <x:c r="V127" s="48" t="n">
        <x:f>Model_Data!A127</x:f>
        <x:v>2.5</x:v>
      </x:c>
      <x:c r="W127" s="48" t="n">
        <x:f>Model_Data!B127-Inputs!$C$5</x:f>
        <x:v>0.006944444444457076</x:v>
      </x:c>
      <x:c r="X127" s="49"/>
      <x:c r="Y127" s="48" t="n">
        <x:f>Model_Data!A127</x:f>
        <x:v>2.5</x:v>
      </x:c>
      <x:c r="Z127" s="48" t="n">
        <x:f>0</x:f>
        <x:v>0</x:v>
      </x:c>
      <x:c r="AA127" s="48" t="n">
        <x:f>((SQRT((Inputs!$C$52+Inputs!$C$5)^2+Inputs!$C$52^2-2*(Inputs!$C$52+Inputs!$C$5)*Inputs!$C$52*COS(SQRT((Model_Data!A127)^2+Inputs!$C$6^2)/Inputs!$C$52))-Inputs!$C$5)*1000/Inputs!$C$12)</x:f>
        <x:v>556.1999417579955</x:v>
      </x:c>
      <x:c r="AB127" s="48" t="n">
        <x:f>Model_Data!F127</x:f>
        <x:v>556.1922769103146</x:v>
      </x:c>
    </x:row>
    <x:row r="128">
      <x:c r="A128" s="48" t="n">
        <x:f>Model_Data!A128</x:f>
        <x:v>3</x:v>
      </x:c>
      <x:c r="B128" s="48" t="n">
        <x:f>0</x:f>
        <x:v>0</x:v>
      </x:c>
      <x:c r="C128" s="48" t="n">
        <x:f>((SQRT((Inputs!$C$52+Inputs!$C$5)^2+Inputs!$C$52^2-2*(Inputs!$C$52+Inputs!$C$5)*Inputs!$C$52*COS(SQRT((Model_Data!A128)^2+Inputs!$C$6^2)/Inputs!$C$52))-Inputs!$C$5)*1000/Inputs!$C$12)</x:f>
        <x:v>558.6199342970436</x:v>
      </x:c>
      <x:c r="D128" s="48" t="n">
        <x:f>Model_Data!F128</x:f>
        <x:v>558.6088491118074</x:v>
      </x:c>
      <x:c r="E128" s="48" t="n">
        <x:f>Model_Data!AC128</x:f>
        <x:v>304.08790833176766</x:v>
      </x:c>
      <x:c r="F128" s="49"/>
      <x:c r="G128" s="48" t="n">
        <x:f>Model_Data!A128</x:f>
        <x:v>3</x:v>
      </x:c>
      <x:c r="H128" s="48" t="n">
        <x:f>0</x:f>
        <x:v>0</x:v>
      </x:c>
      <x:c r="I128" s="48" t="n">
        <x:f>Model_Data!Y128</x:f>
        <x:v>536.8431041026216</x:v>
      </x:c>
      <x:c r="J128" s="48" t="n">
        <x:f>Model_Data!X128</x:f>
        <x:v>82.12086586426281</x:v>
      </x:c>
      <x:c r="K128" s="48" t="n">
        <x:f>Model_Data!A128</x:f>
        <x:v>3</x:v>
      </x:c>
      <x:c r="L128" s="48" t="n">
        <x:f>Model_Data!Y128</x:f>
        <x:v>536.8431041026216</x:v>
      </x:c>
      <x:c r="M128" s="48" t="n">
        <x:f>Model_Data!X128</x:f>
        <x:v>82.12086586426281</x:v>
      </x:c>
      <x:c r="N128" s="48" t="n">
        <x:f>-(Model_Data!AC128-Model_Data!F128)*Inputs!$C$12</x:f>
        <x:v>453.0472745884708</x:v>
      </x:c>
      <x:c r="O128" s="49"/>
      <x:c r="P128" s="48" t="n">
        <x:f>Model_Data!A128</x:f>
        <x:v>3</x:v>
      </x:c>
      <x:c r="Q128" s="48" t="n">
        <x:f>Model_Data!P128</x:f>
        <x:v>-25.68260257039583</x:v>
      </x:c>
      <x:c r="R128" s="48" t="n">
        <x:f>Model_Data!AM128</x:f>
        <x:v>-4.673549830840784</x:v>
      </x:c>
      <x:c r="S128" s="48" t="n">
        <x:f>Model_Data!Q128</x:f>
        <x:v>-3.8562466321915663</x:v>
      </x:c>
      <x:c r="T128" s="48" t="n">
        <x:f>Model_Data!AN128</x:f>
        <x:v>-0.7017342088349526</x:v>
      </x:c>
      <x:c r="U128" s="49"/>
      <x:c r="V128" s="48" t="n">
        <x:f>Model_Data!A128</x:f>
        <x:v>3</x:v>
      </x:c>
      <x:c r="W128" s="48" t="n">
        <x:f>Model_Data!B128-Inputs!$C$5</x:f>
        <x:v>0.009999999999990905</x:v>
      </x:c>
      <x:c r="X128" s="49"/>
      <x:c r="Y128" s="48" t="n">
        <x:f>Model_Data!A128</x:f>
        <x:v>3</x:v>
      </x:c>
      <x:c r="Z128" s="48" t="n">
        <x:f>0</x:f>
        <x:v>0</x:v>
      </x:c>
      <x:c r="AA128" s="48" t="n">
        <x:f>((SQRT((Inputs!$C$52+Inputs!$C$5)^2+Inputs!$C$52^2-2*(Inputs!$C$52+Inputs!$C$5)*Inputs!$C$52*COS(SQRT((Model_Data!A128)^2+Inputs!$C$6^2)/Inputs!$C$52))-Inputs!$C$5)*1000/Inputs!$C$12)</x:f>
        <x:v>558.6199342970436</x:v>
      </x:c>
      <x:c r="AB128" s="48" t="n">
        <x:f>Model_Data!F128</x:f>
        <x:v>558.6088491118074</x:v>
      </x:c>
    </x:row>
    <x:row r="129">
      <x:c r="A129" s="48" t="n">
        <x:f>Model_Data!A129</x:f>
        <x:v>3.5</x:v>
      </x:c>
      <x:c r="B129" s="48" t="n">
        <x:f>0</x:f>
        <x:v>0</x:v>
      </x:c>
      <x:c r="C129" s="48" t="n">
        <x:f>((SQRT((Inputs!$C$52+Inputs!$C$5)^2+Inputs!$C$52^2-2*(Inputs!$C$52+Inputs!$C$5)*Inputs!$C$52*COS(SQRT((Model_Data!A129)^2+Inputs!$C$6^2)/Inputs!$C$52))-Inputs!$C$5)*1000/Inputs!$C$12)</x:f>
        <x:v>561.4798913764969</x:v>
      </x:c>
      <x:c r="D129" s="48" t="n">
        <x:f>Model_Data!F129</x:f>
        <x:v>561.4647263147173</x:v>
      </x:c>
      <x:c r="E129" s="48" t="n">
        <x:f>Model_Data!AC129</x:f>
        <x:v>301.61232511013645</x:v>
      </x:c>
      <x:c r="F129" s="49"/>
      <x:c r="G129" s="48" t="n">
        <x:f>Model_Data!A129</x:f>
        <x:v>3.5</x:v>
      </x:c>
      <x:c r="H129" s="48" t="n">
        <x:f>0</x:f>
        <x:v>0</x:v>
      </x:c>
      <x:c r="I129" s="48" t="n">
        <x:f>Model_Data!Y129</x:f>
        <x:v>562.919019674553</x:v>
      </x:c>
      <x:c r="J129" s="48" t="n">
        <x:f>Model_Data!X129</x:f>
        <x:v>98.61636326587373</x:v>
      </x:c>
      <x:c r="K129" s="48" t="n">
        <x:f>Model_Data!A129</x:f>
        <x:v>3.5</x:v>
      </x:c>
      <x:c r="L129" s="48" t="n">
        <x:f>Model_Data!Y129</x:f>
        <x:v>562.919019674553</x:v>
      </x:c>
      <x:c r="M129" s="48" t="n">
        <x:f>Model_Data!X129</x:f>
        <x:v>98.61636326587373</x:v>
      </x:c>
      <x:c r="N129" s="48" t="n">
        <x:f>-(Model_Data!AC129-Model_Data!F129)*Inputs!$C$12</x:f>
        <x:v>462.53727414415386</x:v>
      </x:c>
      <x:c r="O129" s="49"/>
      <x:c r="P129" s="48" t="n">
        <x:f>Model_Data!A129</x:f>
        <x:v>3.5</x:v>
      </x:c>
      <x:c r="Q129" s="48" t="n">
        <x:f>Model_Data!P129</x:f>
        <x:v>-29.962559468549443</x:v>
      </x:c>
      <x:c r="R129" s="48" t="n">
        <x:f>Model_Data!AM129</x:f>
        <x:v>9.605232374906336</x:v>
      </x:c>
      <x:c r="S129" s="48" t="n">
        <x:f>Model_Data!Q129</x:f>
        <x:v>-4.498882803085502</x:v>
      </x:c>
      <x:c r="T129" s="48" t="n">
        <x:f>Model_Data!AN129</x:f>
        <x:v>1.4422270833192699</x:v>
      </x:c>
      <x:c r="U129" s="49"/>
      <x:c r="V129" s="48" t="n">
        <x:f>Model_Data!A129</x:f>
        <x:v>3.5</x:v>
      </x:c>
      <x:c r="W129" s="48" t="n">
        <x:f>Model_Data!B129-Inputs!$C$5</x:f>
        <x:v>0.01361111111111768</x:v>
      </x:c>
      <x:c r="X129" s="49"/>
      <x:c r="Y129" s="48" t="n">
        <x:f>Model_Data!A129</x:f>
        <x:v>3.5</x:v>
      </x:c>
      <x:c r="Z129" s="48" t="n">
        <x:f>0</x:f>
        <x:v>0</x:v>
      </x:c>
      <x:c r="AA129" s="48" t="n">
        <x:f>((SQRT((Inputs!$C$52+Inputs!$C$5)^2+Inputs!$C$52^2-2*(Inputs!$C$52+Inputs!$C$5)*Inputs!$C$52*COS(SQRT((Model_Data!A129)^2+Inputs!$C$6^2)/Inputs!$C$52))-Inputs!$C$5)*1000/Inputs!$C$12)</x:f>
        <x:v>561.4798913764969</x:v>
      </x:c>
      <x:c r="AB129" s="48" t="n">
        <x:f>Model_Data!F129</x:f>
        <x:v>561.4647263147173</x:v>
      </x:c>
    </x:row>
    <x:row r="130">
      <x:c r="A130" s="48" t="n">
        <x:f>Model_Data!A130</x:f>
        <x:v>4</x:v>
      </x:c>
      <x:c r="B130" s="48" t="n">
        <x:f>0</x:f>
        <x:v>0</x:v>
      </x:c>
      <x:c r="C130" s="48" t="n">
        <x:f>((SQRT((Inputs!$C$52+Inputs!$C$5)^2+Inputs!$C$52^2-2*(Inputs!$C$52+Inputs!$C$5)*Inputs!$C$52*COS(SQRT((Model_Data!A130)^2+Inputs!$C$6^2)/Inputs!$C$52))-Inputs!$C$5)*1000/Inputs!$C$12)</x:f>
        <x:v>564.7797959481517</x:v>
      </x:c>
      <x:c r="D130" s="48" t="n">
        <x:f>Model_Data!F130</x:f>
        <x:v>564.7598726455456</x:v>
      </x:c>
      <x:c r="E130" s="48" t="n">
        <x:f>Model_Data!AC130</x:f>
        <x:v>304.3470092749752</x:v>
      </x:c>
      <x:c r="F130" s="49"/>
      <x:c r="G130" s="48" t="n">
        <x:f>Model_Data!A130</x:f>
        <x:v>4</x:v>
      </x:c>
      <x:c r="H130" s="48" t="n">
        <x:f>0</x:f>
        <x:v>0</x:v>
      </x:c>
      <x:c r="I130" s="48" t="n">
        <x:f>Model_Data!Y130</x:f>
        <x:v>561.6697690573507</x:v>
      </x:c>
      <x:c r="J130" s="48" t="n">
        <x:f>Model_Data!X130</x:f>
        <x:v>96.36311355528144</x:v>
      </x:c>
      <x:c r="K130" s="48" t="n">
        <x:f>Model_Data!A130</x:f>
        <x:v>4</x:v>
      </x:c>
      <x:c r="L130" s="48" t="n">
        <x:f>Model_Data!Y130</x:f>
        <x:v>561.6697690573507</x:v>
      </x:c>
      <x:c r="M130" s="48" t="n">
        <x:f>Model_Data!X130</x:f>
        <x:v>96.36311355528144</x:v>
      </x:c>
      <x:c r="N130" s="48" t="n">
        <x:f>-(Model_Data!AC130-Model_Data!F130)*Inputs!$C$12</x:f>
        <x:v>463.5348967996152</x:v>
      </x:c>
      <x:c r="O130" s="49"/>
      <x:c r="P130" s="48" t="n">
        <x:f>Model_Data!A130</x:f>
        <x:v>4</x:v>
      </x:c>
      <x:c r="Q130" s="48" t="n">
        <x:f>Model_Data!P130</x:f>
        <x:v>-34.24229631555136</x:v>
      </x:c>
      <x:c r="R130" s="48" t="n">
        <x:f>Model_Data!AM130</x:f>
        <x:v>-25.147264343559073</x:v>
      </x:c>
      <x:c r="S130" s="48" t="n">
        <x:f>Model_Data!Q130</x:f>
        <x:v>-5.14148593326597</x:v>
      </x:c>
      <x:c r="T130" s="48" t="n">
        <x:f>Model_Data!AN130</x:f>
        <x:v>-3.7758655170509123</x:v>
      </x:c>
      <x:c r="U130" s="49"/>
      <x:c r="V130" s="48" t="n">
        <x:f>Model_Data!A130</x:f>
        <x:v>4</x:v>
      </x:c>
      <x:c r="W130" s="48" t="n">
        <x:f>Model_Data!B130-Inputs!$C$5</x:f>
        <x:v>0.017777777777780557</x:v>
      </x:c>
      <x:c r="X130" s="49"/>
      <x:c r="Y130" s="48" t="n">
        <x:f>Model_Data!A130</x:f>
        <x:v>4</x:v>
      </x:c>
      <x:c r="Z130" s="48" t="n">
        <x:f>0</x:f>
        <x:v>0</x:v>
      </x:c>
      <x:c r="AA130" s="48" t="n">
        <x:f>((SQRT((Inputs!$C$52+Inputs!$C$5)^2+Inputs!$C$52^2-2*(Inputs!$C$52+Inputs!$C$5)*Inputs!$C$52*COS(SQRT((Model_Data!A130)^2+Inputs!$C$6^2)/Inputs!$C$52))-Inputs!$C$5)*1000/Inputs!$C$12)</x:f>
        <x:v>564.7797959481517</x:v>
      </x:c>
      <x:c r="AB130" s="48" t="n">
        <x:f>Model_Data!F130</x:f>
        <x:v>564.7598726455456</x:v>
      </x:c>
    </x:row>
    <x:row r="131">
      <x:c r="A131" s="48" t="n">
        <x:f>Model_Data!A131</x:f>
        <x:v>4.5</x:v>
      </x:c>
      <x:c r="B131" s="48" t="n">
        <x:f>0</x:f>
        <x:v>0</x:v>
      </x:c>
      <x:c r="C131" s="48" t="n">
        <x:f>((SQRT((Inputs!$C$52+Inputs!$C$5)^2+Inputs!$C$52^2-2*(Inputs!$C$52+Inputs!$C$5)*Inputs!$C$52*COS(SQRT((Model_Data!A131)^2+Inputs!$C$6^2)/Inputs!$C$52))-Inputs!$C$5)*1000/Inputs!$C$12)</x:f>
        <x:v>568.519628340385</x:v>
      </x:c>
      <x:c r="D131" s="48" t="n">
        <x:f>Model_Data!F131</x:f>
        <x:v>568.494246712671</x:v>
      </x:c>
      <x:c r="E131" s="48" t="n">
        <x:f>Model_Data!AC131</x:f>
        <x:v>296.4054565525343</x:v>
      </x:c>
      <x:c r="F131" s="49"/>
      <x:c r="G131" s="48" t="n">
        <x:f>Model_Data!A131</x:f>
        <x:v>4.5</x:v>
      </x:c>
      <x:c r="H131" s="48" t="n">
        <x:f>0</x:f>
        <x:v>0</x:v>
      </x:c>
      <x:c r="I131" s="48" t="n">
        <x:f>Model_Data!Y131</x:f>
        <x:v>568.6436382247327</x:v>
      </x:c>
      <x:c r="J131" s="48" t="n">
        <x:f>Model_Data!X131</x:f>
        <x:v>82.51998590748882</x:v>
      </x:c>
      <x:c r="K131" s="48" t="n">
        <x:f>Model_Data!A131</x:f>
        <x:v>4.5</x:v>
      </x:c>
      <x:c r="L131" s="48" t="n">
        <x:f>Model_Data!Y131</x:f>
        <x:v>568.6436382247327</x:v>
      </x:c>
      <x:c r="M131" s="48" t="n">
        <x:f>Model_Data!X131</x:f>
        <x:v>82.51998590748882</x:v>
      </x:c>
      <x:c r="N131" s="48" t="n">
        <x:f>-(Model_Data!AC131-Model_Data!F131)*Inputs!$C$12</x:f>
        <x:v>484.3180464850434</x:v>
      </x:c>
      <x:c r="O131" s="49"/>
      <x:c r="P131" s="48" t="n">
        <x:f>Model_Data!A131</x:f>
        <x:v>4.5</x:v>
      </x:c>
      <x:c r="Q131" s="48" t="n">
        <x:f>Model_Data!P131</x:f>
        <x:v>-38.521781712279335</x:v>
      </x:c>
      <x:c r="R131" s="48" t="n">
        <x:f>Model_Data!AM131</x:f>
        <x:v>-59.06357460689833</x:v>
      </x:c>
      <x:c r="S131" s="48" t="n">
        <x:f>Model_Data!Q131</x:f>
        <x:v>-5.784051308150051</x:v>
      </x:c>
      <x:c r="T131" s="48" t="n">
        <x:f>Model_Data!AN131</x:f>
        <x:v>-8.86840459563038</x:v>
      </x:c>
      <x:c r="U131" s="49"/>
      <x:c r="V131" s="48" t="n">
        <x:f>Model_Data!A131</x:f>
        <x:v>4.5</x:v>
      </x:c>
      <x:c r="W131" s="48" t="n">
        <x:f>Model_Data!B131-Inputs!$C$5</x:f>
        <x:v>0.022499999999979536</x:v>
      </x:c>
      <x:c r="X131" s="49"/>
      <x:c r="Y131" s="48" t="n">
        <x:f>Model_Data!A131</x:f>
        <x:v>4.5</x:v>
      </x:c>
      <x:c r="Z131" s="48" t="n">
        <x:f>0</x:f>
        <x:v>0</x:v>
      </x:c>
      <x:c r="AA131" s="48" t="n">
        <x:f>((SQRT((Inputs!$C$52+Inputs!$C$5)^2+Inputs!$C$52^2-2*(Inputs!$C$52+Inputs!$C$5)*Inputs!$C$52*COS(SQRT((Model_Data!A131)^2+Inputs!$C$6^2)/Inputs!$C$52))-Inputs!$C$5)*1000/Inputs!$C$12)</x:f>
        <x:v>568.519628340385</x:v>
      </x:c>
      <x:c r="AB131" s="48" t="n">
        <x:f>Model_Data!F131</x:f>
        <x:v>568.494246712671</x:v>
      </x:c>
    </x:row>
    <x:row r="132">
      <x:c r="A132" s="48" t="n">
        <x:f>Model_Data!A132</x:f>
        <x:v>5</x:v>
      </x:c>
      <x:c r="B132" s="48" t="n">
        <x:f>0</x:f>
        <x:v>0</x:v>
      </x:c>
      <x:c r="C132" s="48" t="n">
        <x:f>((SQRT((Inputs!$C$52+Inputs!$C$5)^2+Inputs!$C$52^2-2*(Inputs!$C$52+Inputs!$C$5)*Inputs!$C$52*COS(SQRT((Model_Data!A132)^2+Inputs!$C$6^2)/Inputs!$C$52))-Inputs!$C$5)*1000/Inputs!$C$12)</x:f>
        <x:v>572.6993662599103</x:v>
      </x:c>
      <x:c r="D132" s="48" t="n">
        <x:f>Model_Data!F132</x:f>
        <x:v>572.6678016175588</x:v>
      </x:c>
      <x:c r="E132" s="48" t="n">
        <x:f>Model_Data!AC132</x:f>
        <x:v>320.9208205560296</x:v>
      </x:c>
      <x:c r="F132" s="49"/>
      <x:c r="G132" s="48" t="n">
        <x:f>Model_Data!A132</x:f>
        <x:v>5</x:v>
      </x:c>
      <x:c r="H132" s="48" t="n">
        <x:f>0</x:f>
        <x:v>0</x:v>
      </x:c>
      <x:c r="I132" s="48" t="n">
        <x:f>Model_Data!Y132</x:f>
        <x:v>548.8146920903409</x:v>
      </x:c>
      <x:c r="J132" s="48" t="n">
        <x:f>Model_Data!X132</x:f>
        <x:v>98.94976350623145</x:v>
      </x:c>
      <x:c r="K132" s="48" t="n">
        <x:f>Model_Data!A132</x:f>
        <x:v>5</x:v>
      </x:c>
      <x:c r="L132" s="48" t="n">
        <x:f>Model_Data!Y132</x:f>
        <x:v>548.8146920903409</x:v>
      </x:c>
      <x:c r="M132" s="48" t="n">
        <x:f>Model_Data!X132</x:f>
        <x:v>98.94976350623145</x:v>
      </x:c>
      <x:c r="N132" s="48" t="n">
        <x:f>-(Model_Data!AC132-Model_Data!F132)*Inputs!$C$12</x:f>
        <x:v>448.109626289522</x:v>
      </x:c>
      <x:c r="O132" s="49"/>
      <x:c r="P132" s="48" t="n">
        <x:f>Model_Data!A132</x:f>
        <x:v>5</x:v>
      </x:c>
      <x:c r="Q132" s="48" t="n">
        <x:f>Model_Data!P132</x:f>
        <x:v>-42.80098427389021</x:v>
      </x:c>
      <x:c r="R132" s="48" t="n">
        <x:f>Model_Data!AM132</x:f>
        <x:v>-89.29079603231003</x:v>
      </x:c>
      <x:c r="S132" s="48" t="n">
        <x:f>Model_Data!Q132</x:f>
        <x:v>-6.426574215298831</x:v>
      </x:c>
      <x:c r="T132" s="48" t="n">
        <x:f>Model_Data!AN132</x:f>
        <x:v>-13.407026431277783</x:v>
      </x:c>
      <x:c r="U132" s="49"/>
      <x:c r="V132" s="48" t="n">
        <x:f>Model_Data!A132</x:f>
        <x:v>5</x:v>
      </x:c>
      <x:c r="W132" s="48" t="n">
        <x:f>Model_Data!B132-Inputs!$C$5</x:f>
        <x:v>0.027777777777771462</x:v>
      </x:c>
      <x:c r="X132" s="49"/>
      <x:c r="Y132" s="48" t="n">
        <x:f>Model_Data!A132</x:f>
        <x:v>5</x:v>
      </x:c>
      <x:c r="Z132" s="48" t="n">
        <x:f>0</x:f>
        <x:v>0</x:v>
      </x:c>
      <x:c r="AA132" s="48" t="n">
        <x:f>((SQRT((Inputs!$C$52+Inputs!$C$5)^2+Inputs!$C$52^2-2*(Inputs!$C$52+Inputs!$C$5)*Inputs!$C$52*COS(SQRT((Model_Data!A132)^2+Inputs!$C$6^2)/Inputs!$C$52))-Inputs!$C$5)*1000/Inputs!$C$12)</x:f>
        <x:v>572.6993662599103</x:v>
      </x:c>
      <x:c r="AB132" s="48" t="n">
        <x:f>Model_Data!F132</x:f>
        <x:v>572.6678016175588</x:v>
      </x:c>
    </x:row>
    <x:row r="133">
      <x:c r="A133" s="48" t="n">
        <x:f>Model_Data!A133</x:f>
        <x:v>5.5</x:v>
      </x:c>
      <x:c r="B133" s="48" t="n">
        <x:f>0</x:f>
        <x:v>0</x:v>
      </x:c>
      <x:c r="C133" s="48" t="n">
        <x:f>((SQRT((Inputs!$C$52+Inputs!$C$5)^2+Inputs!$C$52^2-2*(Inputs!$C$52+Inputs!$C$5)*Inputs!$C$52*COS(SQRT((Model_Data!A133)^2+Inputs!$C$6^2)/Inputs!$C$52))-Inputs!$C$5)*1000/Inputs!$C$12)</x:f>
        <x:v>577.3189847965366</x:v>
      </x:c>
      <x:c r="D133" s="48" t="n">
        <x:f>Model_Data!F133</x:f>
        <x:v>577.2804849486606</x:v>
      </x:c>
      <x:c r="E133" s="48" t="n">
        <x:f>Model_Data!AC133</x:f>
        <x:v>329.7144835071999</x:v>
      </x:c>
      <x:c r="F133" s="49"/>
      <x:c r="G133" s="48" t="n">
        <x:f>Model_Data!A133</x:f>
        <x:v>5.5</x:v>
      </x:c>
      <x:c r="H133" s="48" t="n">
        <x:f>0</x:f>
        <x:v>0</x:v>
      </x:c>
      <x:c r="I133" s="48" t="n">
        <x:f>Model_Data!Y133</x:f>
        <x:v>539.5212853164131</x:v>
      </x:c>
      <x:c r="J133" s="48" t="n">
        <x:f>Model_Data!X133</x:f>
        <x:v>97.11441747768895</x:v>
      </x:c>
      <x:c r="K133" s="48" t="n">
        <x:f>Model_Data!A133</x:f>
        <x:v>5.5</x:v>
      </x:c>
      <x:c r="L133" s="48" t="n">
        <x:f>Model_Data!Y133</x:f>
        <x:v>539.5212853164131</x:v>
      </x:c>
      <x:c r="M133" s="48" t="n">
        <x:f>Model_Data!X133</x:f>
        <x:v>97.11441747768895</x:v>
      </x:c>
      <x:c r="N133" s="48" t="n">
        <x:f>-(Model_Data!AC133-Model_Data!F133)*Inputs!$C$12</x:f>
        <x:v>440.6674825658001</x:v>
      </x:c>
      <x:c r="O133" s="49"/>
      <x:c r="P133" s="48" t="n">
        <x:f>Model_Data!A133</x:f>
        <x:v>5.5</x:v>
      </x:c>
      <x:c r="Q133" s="48" t="n">
        <x:f>Model_Data!P133</x:f>
        <x:v>-47.07987260953814</x:v>
      </x:c>
      <x:c r="R133" s="48" t="n">
        <x:f>Model_Data!AM133</x:f>
        <x:v>-71.24450372502906</x:v>
      </x:c>
      <x:c r="S133" s="48" t="n">
        <x:f>Model_Data!Q133</x:f>
        <x:v>-7.069049941372094</x:v>
      </x:c>
      <x:c r="T133" s="48" t="n">
        <x:f>Model_Data!AN133</x:f>
        <x:v>-10.697372931686047</x:v>
      </x:c>
      <x:c r="U133" s="49"/>
      <x:c r="V133" s="48" t="n">
        <x:f>Model_Data!A133</x:f>
        <x:v>5.5</x:v>
      </x:c>
      <x:c r="W133" s="48" t="n">
        <x:f>Model_Data!B133-Inputs!$C$5</x:f>
        <x:v>0.03361111111109949</x:v>
      </x:c>
      <x:c r="X133" s="49"/>
      <x:c r="Y133" s="48" t="n">
        <x:f>Model_Data!A133</x:f>
        <x:v>5.5</x:v>
      </x:c>
      <x:c r="Z133" s="48" t="n">
        <x:f>0</x:f>
        <x:v>0</x:v>
      </x:c>
      <x:c r="AA133" s="48" t="n">
        <x:f>((SQRT((Inputs!$C$52+Inputs!$C$5)^2+Inputs!$C$52^2-2*(Inputs!$C$52+Inputs!$C$5)*Inputs!$C$52*COS(SQRT((Model_Data!A133)^2+Inputs!$C$6^2)/Inputs!$C$52))-Inputs!$C$5)*1000/Inputs!$C$12)</x:f>
        <x:v>577.3189847965366</x:v>
      </x:c>
      <x:c r="AB133" s="48" t="n">
        <x:f>Model_Data!F133</x:f>
        <x:v>577.2804849486606</x:v>
      </x:c>
    </x:row>
    <x:row r="134">
      <x:c r="A134" s="48" t="n">
        <x:f>Model_Data!A134</x:f>
        <x:v>6</x:v>
      </x:c>
      <x:c r="B134" s="48" t="n">
        <x:f>0</x:f>
        <x:v>0</x:v>
      </x:c>
      <x:c r="C134" s="48" t="n">
        <x:f>((SQRT((Inputs!$C$52+Inputs!$C$5)^2+Inputs!$C$52^2-2*(Inputs!$C$52+Inputs!$C$5)*Inputs!$C$52*COS(SQRT((Model_Data!A134)^2+Inputs!$C$6^2)/Inputs!$C$52))-Inputs!$C$5)*1000/Inputs!$C$12)</x:f>
        <x:v>582.3784564165571</x:v>
      </x:c>
      <x:c r="D134" s="48" t="n">
        <x:f>Model_Data!F134</x:f>
        <x:v>582.3322387853748</x:v>
      </x:c>
      <x:c r="E134" s="48" t="n">
        <x:f>Model_Data!AC134</x:f>
        <x:v>322.9985635779654</x:v>
      </x:c>
      <x:c r="F134" s="49"/>
      <x:c r="G134" s="48" t="n">
        <x:f>Model_Data!A134</x:f>
        <x:v>6</x:v>
      </x:c>
      <x:c r="H134" s="48" t="n">
        <x:f>0</x:f>
        <x:v>0</x:v>
      </x:c>
      <x:c r="I134" s="48" t="n">
        <x:f>Model_Data!Y134</x:f>
        <x:v>533.6920620973987</x:v>
      </x:c>
      <x:c r="J134" s="48" t="n">
        <x:f>Model_Data!X134</x:f>
        <x:v>70.34255347941284</x:v>
      </x:c>
      <x:c r="K134" s="48" t="n">
        <x:f>Model_Data!A134</x:f>
        <x:v>6</x:v>
      </x:c>
      <x:c r="L134" s="48" t="n">
        <x:f>Model_Data!Y134</x:f>
        <x:v>533.6920620973987</x:v>
      </x:c>
      <x:c r="M134" s="48" t="n">
        <x:f>Model_Data!X134</x:f>
        <x:v>70.34255347941284</x:v>
      </x:c>
      <x:c r="N134" s="48" t="n">
        <x:f>-(Model_Data!AC134-Model_Data!F134)*Inputs!$C$12</x:f>
        <x:v>461.6139418691887</x:v>
      </x:c>
      <x:c r="O134" s="49"/>
      <x:c r="P134" s="48" t="n">
        <x:f>Model_Data!A134</x:f>
        <x:v>6</x:v>
      </x:c>
      <x:c r="Q134" s="48" t="n">
        <x:f>Model_Data!P134</x:f>
        <x:v>-51.35841535866348</x:v>
      </x:c>
      <x:c r="R134" s="48" t="n">
        <x:f>Model_Data!AM134</x:f>
        <x:v>-75.48150197753785</x:v>
      </x:c>
      <x:c r="S134" s="48" t="n">
        <x:f>Model_Data!Q134</x:f>
        <x:v>-7.711473777577099</x:v>
      </x:c>
      <x:c r="T134" s="48" t="n">
        <x:f>Model_Data!AN134</x:f>
        <x:v>-11.333558855486164</x:v>
      </x:c>
      <x:c r="U134" s="49"/>
      <x:c r="V134" s="48" t="n">
        <x:f>Model_Data!A134</x:f>
        <x:v>6</x:v>
      </x:c>
      <x:c r="W134" s="48" t="n">
        <x:f>Model_Data!B134-Inputs!$C$5</x:f>
        <x:v>0.040000000000020464</x:v>
      </x:c>
      <x:c r="X134" s="49"/>
      <x:c r="Y134" s="48" t="n">
        <x:f>Model_Data!A134</x:f>
        <x:v>6</x:v>
      </x:c>
      <x:c r="Z134" s="48" t="n">
        <x:f>0</x:f>
        <x:v>0</x:v>
      </x:c>
      <x:c r="AA134" s="48" t="n">
        <x:f>((SQRT((Inputs!$C$52+Inputs!$C$5)^2+Inputs!$C$52^2-2*(Inputs!$C$52+Inputs!$C$5)*Inputs!$C$52*COS(SQRT((Model_Data!A134)^2+Inputs!$C$6^2)/Inputs!$C$52))-Inputs!$C$5)*1000/Inputs!$C$12)</x:f>
        <x:v>582.3784564165571</x:v>
      </x:c>
      <x:c r="AB134" s="48" t="n">
        <x:f>Model_Data!F134</x:f>
        <x:v>582.3322387853748</x:v>
      </x:c>
    </x:row>
    <x:row r="135">
      <x:c r="A135" s="48" t="n">
        <x:f>Model_Data!A135</x:f>
        <x:v>6.5</x:v>
      </x:c>
      <x:c r="B135" s="48" t="n">
        <x:f>0</x:f>
        <x:v>0</x:v>
      </x:c>
      <x:c r="C135" s="48" t="n">
        <x:f>((SQRT((Inputs!$C$52+Inputs!$C$5)^2+Inputs!$C$52^2-2*(Inputs!$C$52+Inputs!$C$5)*Inputs!$C$52*COS(SQRT((Model_Data!A135)^2+Inputs!$C$6^2)/Inputs!$C$52))-Inputs!$C$5)*1000/Inputs!$C$12)</x:f>
        <x:v>587.8777509688173</x:v>
      </x:c>
      <x:c r="D135" s="48" t="n">
        <x:f>Model_Data!F135</x:f>
        <x:v>587.8229997047524</x:v>
      </x:c>
      <x:c r="E135" s="48" t="n">
        <x:f>Model_Data!AC135</x:f>
        <x:v>337.790965941397</x:v>
      </x:c>
      <x:c r="F135" s="49"/>
      <x:c r="G135" s="48" t="n">
        <x:f>Model_Data!A135</x:f>
        <x:v>6.5</x:v>
      </x:c>
      <x:c r="H135" s="48" t="n">
        <x:f>0</x:f>
        <x:v>0</x:v>
      </x:c>
      <x:c r="I135" s="48" t="n">
        <x:f>Model_Data!Y135</x:f>
        <x:v>524.4263848132822</x:v>
      </x:c>
      <x:c r="J135" s="48" t="n">
        <x:f>Model_Data!X135</x:f>
        <x:v>77.64795080795966</x:v>
      </x:c>
      <x:c r="K135" s="48" t="n">
        <x:f>Model_Data!A135</x:f>
        <x:v>6.5</x:v>
      </x:c>
      <x:c r="L135" s="48" t="n">
        <x:f>Model_Data!Y135</x:f>
        <x:v>524.4263848132822</x:v>
      </x:c>
      <x:c r="M135" s="48" t="n">
        <x:f>Model_Data!X135</x:f>
        <x:v>77.64795080795966</x:v>
      </x:c>
      <x:c r="N135" s="48" t="n">
        <x:f>-(Model_Data!AC135-Model_Data!F135)*Inputs!$C$12</x:f>
        <x:v>445.0570200987726</x:v>
      </x:c>
      <x:c r="O135" s="49"/>
      <x:c r="P135" s="48" t="n">
        <x:f>Model_Data!A135</x:f>
        <x:v>6.5</x:v>
      </x:c>
      <x:c r="Q135" s="48" t="n">
        <x:f>Model_Data!P135</x:f>
        <x:v>-55.63658118935564</x:v>
      </x:c>
      <x:c r="R135" s="48" t="n">
        <x:f>Model_Data!AM135</x:f>
        <x:v>-54.54940081717723</x:v>
      </x:c>
      <x:c r="S135" s="48" t="n">
        <x:f>Model_Data!Q135</x:f>
        <x:v>-8.353841019422768</x:v>
      </x:c>
      <x:c r="T135" s="48" t="n">
        <x:f>Model_Data!AN135</x:f>
        <x:v>-8.190600723299886</x:v>
      </x:c>
      <x:c r="U135" s="49"/>
      <x:c r="V135" s="48" t="n">
        <x:f>Model_Data!A135</x:f>
        <x:v>6.5</x:v>
      </x:c>
      <x:c r="W135" s="48" t="n">
        <x:f>Model_Data!B135-Inputs!$C$5</x:f>
        <x:v>0.046944444444420697</x:v>
      </x:c>
      <x:c r="X135" s="49"/>
      <x:c r="Y135" s="48" t="n">
        <x:f>Model_Data!A135</x:f>
        <x:v>6.5</x:v>
      </x:c>
      <x:c r="Z135" s="48" t="n">
        <x:f>0</x:f>
        <x:v>0</x:v>
      </x:c>
      <x:c r="AA135" s="48" t="n">
        <x:f>((SQRT((Inputs!$C$52+Inputs!$C$5)^2+Inputs!$C$52^2-2*(Inputs!$C$52+Inputs!$C$5)*Inputs!$C$52*COS(SQRT((Model_Data!A135)^2+Inputs!$C$6^2)/Inputs!$C$52))-Inputs!$C$5)*1000/Inputs!$C$12)</x:f>
        <x:v>587.8777509688173</x:v>
      </x:c>
      <x:c r="AB135" s="48" t="n">
        <x:f>Model_Data!F135</x:f>
        <x:v>587.8229997047524</x:v>
      </x:c>
    </x:row>
    <x:row r="136">
      <x:c r="A136" s="48" t="n">
        <x:f>Model_Data!A136</x:f>
        <x:v>7</x:v>
      </x:c>
      <x:c r="B136" s="48" t="n">
        <x:f>0</x:f>
        <x:v>0</x:v>
      </x:c>
      <x:c r="C136" s="48" t="n">
        <x:f>((SQRT((Inputs!$C$52+Inputs!$C$5)^2+Inputs!$C$52^2-2*(Inputs!$C$52+Inputs!$C$5)*Inputs!$C$52*COS(SQRT((Model_Data!A136)^2+Inputs!$C$6^2)/Inputs!$C$52))-Inputs!$C$5)*1000/Inputs!$C$12)</x:f>
        <x:v>593.816835685641</x:v>
      </x:c>
      <x:c r="D136" s="48" t="n">
        <x:f>Model_Data!F136</x:f>
        <x:v>593.7526987847551</x:v>
      </x:c>
      <x:c r="E136" s="48" t="n">
        <x:f>Model_Data!AC136</x:f>
        <x:v>332.11198351387907</x:v>
      </x:c>
      <x:c r="F136" s="49"/>
      <x:c r="G136" s="48" t="n">
        <x:f>Model_Data!A136</x:f>
        <x:v>7</x:v>
      </x:c>
      <x:c r="H136" s="48" t="n">
        <x:f>0</x:f>
        <x:v>0</x:v>
      </x:c>
      <x:c r="I136" s="48" t="n">
        <x:f>Model_Data!Y136</x:f>
        <x:v>534.4078318791427</x:v>
      </x:c>
      <x:c r="J136" s="48" t="n">
        <x:f>Model_Data!X136</x:f>
        <x:v>66.91550989906084</x:v>
      </x:c>
      <x:c r="K136" s="48" t="n">
        <x:f>Model_Data!A136</x:f>
        <x:v>7</x:v>
      </x:c>
      <x:c r="L136" s="48" t="n">
        <x:f>Model_Data!Y136</x:f>
        <x:v>534.4078318791427</x:v>
      </x:c>
      <x:c r="M136" s="48" t="n">
        <x:f>Model_Data!X136</x:f>
        <x:v>66.91550989906084</x:v>
      </x:c>
      <x:c r="N136" s="48" t="n">
        <x:f>-(Model_Data!AC136-Model_Data!F136)*Inputs!$C$12</x:f>
        <x:v>465.72047318215937</x:v>
      </x:c>
      <x:c r="O136" s="49"/>
      <x:c r="P136" s="48" t="n">
        <x:f>Model_Data!A136</x:f>
        <x:v>7</x:v>
      </x:c>
      <x:c r="Q136" s="48" t="n">
        <x:f>Model_Data!P136</x:f>
        <x:v>-59.914338766157016</x:v>
      </x:c>
      <x:c r="R136" s="48" t="n">
        <x:f>Model_Data!AM136</x:f>
        <x:v>-93.36744727406767</x:v>
      </x:c>
      <x:c r="S136" s="48" t="n">
        <x:f>Model_Data!Q136</x:f>
        <x:v>-8.996146961885438</x:v>
      </x:c>
      <x:c r="T136" s="48" t="n">
        <x:f>Model_Data!AN136</x:f>
        <x:v>-14.019136227337489</x:v>
      </x:c>
      <x:c r="U136" s="49"/>
      <x:c r="V136" s="48" t="n">
        <x:f>Model_Data!A136</x:f>
        <x:v>7</x:v>
      </x:c>
      <x:c r="W136" s="48" t="n">
        <x:f>Model_Data!B136-Inputs!$C$5</x:f>
        <x:v>0.05444444444447072</x:v>
      </x:c>
      <x:c r="X136" s="49"/>
      <x:c r="Y136" s="48" t="n">
        <x:f>Model_Data!A136</x:f>
        <x:v>7</x:v>
      </x:c>
      <x:c r="Z136" s="48" t="n">
        <x:f>0</x:f>
        <x:v>0</x:v>
      </x:c>
      <x:c r="AA136" s="48" t="n">
        <x:f>((SQRT((Inputs!$C$52+Inputs!$C$5)^2+Inputs!$C$52^2-2*(Inputs!$C$52+Inputs!$C$5)*Inputs!$C$52*COS(SQRT((Model_Data!A136)^2+Inputs!$C$6^2)/Inputs!$C$52))-Inputs!$C$5)*1000/Inputs!$C$12)</x:f>
        <x:v>593.816835685641</x:v>
      </x:c>
      <x:c r="AB136" s="48" t="n">
        <x:f>Model_Data!F136</x:f>
        <x:v>593.7526987847551</x:v>
      </x:c>
    </x:row>
    <x:row r="137">
      <x:c r="A137" s="48" t="n">
        <x:f>Model_Data!A137</x:f>
        <x:v>7.5</x:v>
      </x:c>
      <x:c r="B137" s="48" t="n">
        <x:f>0</x:f>
        <x:v>0</x:v>
      </x:c>
      <x:c r="C137" s="48" t="n">
        <x:f>((SQRT((Inputs!$C$52+Inputs!$C$5)^2+Inputs!$C$52^2-2*(Inputs!$C$52+Inputs!$C$5)*Inputs!$C$52*COS(SQRT((Model_Data!A137)^2+Inputs!$C$6^2)/Inputs!$C$52))-Inputs!$C$5)*1000/Inputs!$C$12)</x:f>
        <x:v>600.1956751785191</x:v>
      </x:c>
      <x:c r="D137" s="48" t="n">
        <x:f>Model_Data!F137</x:f>
        <x:v>600.1212615998473</x:v>
      </x:c>
      <x:c r="E137" s="48" t="n">
        <x:f>Model_Data!AC137</x:f>
        <x:v>349.7871376378669</x:v>
      </x:c>
      <x:c r="F137" s="49"/>
      <x:c r="G137" s="48" t="n">
        <x:f>Model_Data!A137</x:f>
        <x:v>7.5</x:v>
      </x:c>
      <x:c r="H137" s="48" t="n">
        <x:f>0</x:f>
        <x:v>0</x:v>
      </x:c>
      <x:c r="I137" s="48" t="n">
        <x:f>Model_Data!Y137</x:f>
        <x:v>503.48380224840304</x:v>
      </x:c>
      <x:c r="J137" s="48" t="n">
        <x:f>Model_Data!X137</x:f>
        <x:v>56.202037436945574</x:v>
      </x:c>
      <x:c r="K137" s="48" t="n">
        <x:f>Model_Data!A137</x:f>
        <x:v>7.5</x:v>
      </x:c>
      <x:c r="L137" s="48" t="n">
        <x:f>Model_Data!Y137</x:f>
        <x:v>503.48380224840304</x:v>
      </x:c>
      <x:c r="M137" s="48" t="n">
        <x:f>Model_Data!X137</x:f>
        <x:v>56.202037436945574</x:v>
      </x:c>
      <x:c r="N137" s="48" t="n">
        <x:f>-(Model_Data!AC137-Model_Data!F137)*Inputs!$C$12</x:f>
        <x:v>445.5947406523252</x:v>
      </x:c>
      <x:c r="O137" s="49"/>
      <x:c r="P137" s="48" t="n">
        <x:f>Model_Data!A137</x:f>
        <x:v>7.5</x:v>
      </x:c>
      <x:c r="Q137" s="48" t="n">
        <x:f>Model_Data!P137</x:f>
        <x:v>-64.19165678507852</x:v>
      </x:c>
      <x:c r="R137" s="48" t="n">
        <x:f>Model_Data!AM137</x:f>
        <x:v>-123.54267273130972</x:v>
      </x:c>
      <x:c r="S137" s="48" t="n">
        <x:f>Model_Data!Q137</x:f>
        <x:v>-9.638386904666445</x:v>
      </x:c>
      <x:c r="T137" s="48" t="n">
        <x:f>Model_Data!AN137</x:f>
        <x:v>-18.54995086055702</x:v>
      </x:c>
      <x:c r="U137" s="49"/>
      <x:c r="V137" s="48" t="n">
        <x:f>Model_Data!A137</x:f>
        <x:v>7.5</x:v>
      </x:c>
      <x:c r="W137" s="48" t="n">
        <x:f>Model_Data!B137-Inputs!$C$5</x:f>
        <x:v>0.0625</x:v>
      </x:c>
      <x:c r="X137" s="49"/>
      <x:c r="Y137" s="48" t="n">
        <x:f>Model_Data!A137</x:f>
        <x:v>7.5</x:v>
      </x:c>
      <x:c r="Z137" s="48" t="n">
        <x:f>0</x:f>
        <x:v>0</x:v>
      </x:c>
      <x:c r="AA137" s="48" t="n">
        <x:f>((SQRT((Inputs!$C$52+Inputs!$C$5)^2+Inputs!$C$52^2-2*(Inputs!$C$52+Inputs!$C$5)*Inputs!$C$52*COS(SQRT((Model_Data!A137)^2+Inputs!$C$6^2)/Inputs!$C$52))-Inputs!$C$5)*1000/Inputs!$C$12)</x:f>
        <x:v>600.1956751785191</x:v>
      </x:c>
      <x:c r="AB137" s="48" t="n">
        <x:f>Model_Data!F137</x:f>
        <x:v>600.1212615998473</x:v>
      </x:c>
    </x:row>
    <x:row r="138">
      <x:c r="A138" s="48" t="n">
        <x:f>Model_Data!A138</x:f>
        <x:v>8</x:v>
      </x:c>
      <x:c r="B138" s="48" t="n">
        <x:f>0</x:f>
        <x:v>0</x:v>
      </x:c>
      <x:c r="C138" s="48" t="n">
        <x:f>((SQRT((Inputs!$C$52+Inputs!$C$5)^2+Inputs!$C$52^2-2*(Inputs!$C$52+Inputs!$C$5)*Inputs!$C$52*COS(SQRT((Model_Data!A138)^2+Inputs!$C$6^2)/Inputs!$C$52))-Inputs!$C$5)*1000/Inputs!$C$12)</x:f>
        <x:v>607.0142314470512</x:v>
      </x:c>
      <x:c r="D138" s="48" t="n">
        <x:f>Model_Data!F138</x:f>
        <x:v>606.9286082364532</x:v>
      </x:c>
      <x:c r="E138" s="48" t="n">
        <x:f>Model_Data!AC138</x:f>
        <x:v>354.3733312405015</x:v>
      </x:c>
      <x:c r="F138" s="49"/>
      <x:c r="G138" s="48" t="n">
        <x:f>Model_Data!A138</x:f>
        <x:v>8</x:v>
      </x:c>
      <x:c r="H138" s="48" t="n">
        <x:f>0</x:f>
        <x:v>0</x:v>
      </x:c>
      <x:c r="I138" s="48" t="n">
        <x:f>Model_Data!Y138</x:f>
        <x:v>497.2264534493298</x:v>
      </x:c>
      <x:c r="J138" s="48" t="n">
        <x:f>Model_Data!X138</x:f>
        <x:v>45.99320506201067</x:v>
      </x:c>
      <x:c r="K138" s="48" t="n">
        <x:f>Model_Data!A138</x:f>
        <x:v>8</x:v>
      </x:c>
      <x:c r="L138" s="48" t="n">
        <x:f>Model_Data!Y138</x:f>
        <x:v>497.2264534493298</x:v>
      </x:c>
      <x:c r="M138" s="48" t="n">
        <x:f>Model_Data!X138</x:f>
        <x:v>45.99320506201067</x:v>
      </x:c>
      <x:c r="N138" s="48" t="n">
        <x:f>-(Model_Data!AC138-Model_Data!F138)*Inputs!$C$12</x:f>
        <x:v>449.54839305279404</x:v>
      </x:c>
      <x:c r="O138" s="49"/>
      <x:c r="P138" s="48" t="n">
        <x:f>Model_Data!A138</x:f>
        <x:v>8</x:v>
      </x:c>
      <x:c r="Q138" s="48" t="n">
        <x:f>Model_Data!P138</x:f>
        <x:v>-68.46850397168964</x:v>
      </x:c>
      <x:c r="R138" s="48" t="n">
        <x:f>Model_Data!AM138</x:f>
        <x:v>-106.61121304219705</x:v>
      </x:c>
      <x:c r="S138" s="48" t="n">
        <x:f>Model_Data!Q138</x:f>
        <x:v>-10.280556151905353</x:v>
      </x:c>
      <x:c r="T138" s="48" t="n">
        <x:f>Model_Data!AN138</x:f>
        <x:v>-16.007689645975535</x:v>
      </x:c>
      <x:c r="U138" s="49"/>
      <x:c r="V138" s="48" t="n">
        <x:f>Model_Data!A138</x:f>
        <x:v>8</x:v>
      </x:c>
      <x:c r="W138" s="48" t="n">
        <x:f>Model_Data!B138-Inputs!$C$5</x:f>
        <x:v>0.07111111111112223</x:v>
      </x:c>
      <x:c r="X138" s="49"/>
      <x:c r="Y138" s="48" t="n">
        <x:f>Model_Data!A138</x:f>
        <x:v>8</x:v>
      </x:c>
      <x:c r="Z138" s="48" t="n">
        <x:f>0</x:f>
        <x:v>0</x:v>
      </x:c>
      <x:c r="AA138" s="48" t="n">
        <x:f>((SQRT((Inputs!$C$52+Inputs!$C$5)^2+Inputs!$C$52^2-2*(Inputs!$C$52+Inputs!$C$5)*Inputs!$C$52*COS(SQRT((Model_Data!A138)^2+Inputs!$C$6^2)/Inputs!$C$52))-Inputs!$C$5)*1000/Inputs!$C$12)</x:f>
        <x:v>607.0142314470512</x:v>
      </x:c>
      <x:c r="AB138" s="48" t="n">
        <x:f>Model_Data!F138</x:f>
        <x:v>606.9286082364532</x:v>
      </x:c>
    </x:row>
    <x:row r="139">
      <x:c r="A139" s="48" t="n">
        <x:f>Model_Data!A139</x:f>
        <x:v>8.5</x:v>
      </x:c>
      <x:c r="B139" s="48" t="n">
        <x:f>0</x:f>
        <x:v>0</x:v>
      </x:c>
      <x:c r="C139" s="48" t="n">
        <x:f>((SQRT((Inputs!$C$52+Inputs!$C$5)^2+Inputs!$C$52^2-2*(Inputs!$C$52+Inputs!$C$5)*Inputs!$C$52*COS(SQRT((Model_Data!A139)^2+Inputs!$C$6^2)/Inputs!$C$52))-Inputs!$C$5)*1000/Inputs!$C$12)</x:f>
        <x:v>614.2724638740281</x:v>
      </x:c>
      <x:c r="D139" s="48" t="n">
        <x:f>Model_Data!F139</x:f>
        <x:v>614.1746532877829</x:v>
      </x:c>
      <x:c r="E139" s="48" t="n">
        <x:f>Model_Data!AC139</x:f>
        <x:v>365.5587112543377</x:v>
      </x:c>
      <x:c r="F139" s="49"/>
      <x:c r="G139" s="48" t="n">
        <x:f>Model_Data!A139</x:f>
        <x:v>8.5</x:v>
      </x:c>
      <x:c r="H139" s="48" t="n">
        <x:f>0</x:f>
        <x:v>0</x:v>
      </x:c>
      <x:c r="I139" s="48" t="n">
        <x:f>Model_Data!Y139</x:f>
        <x:v>479.6019721372586</x:v>
      </x:c>
      <x:c r="J139" s="48" t="n">
        <x:f>Model_Data!X139</x:f>
        <x:v>35.42120810065494</x:v>
      </x:c>
      <x:c r="K139" s="48" t="n">
        <x:f>Model_Data!A139</x:f>
        <x:v>8.5</x:v>
      </x:c>
      <x:c r="L139" s="48" t="n">
        <x:f>Model_Data!Y139</x:f>
        <x:v>479.6019721372586</x:v>
      </x:c>
      <x:c r="M139" s="48" t="n">
        <x:f>Model_Data!X139</x:f>
        <x:v>35.42120810065494</x:v>
      </x:c>
      <x:c r="N139" s="48" t="n">
        <x:f>-(Model_Data!AC139-Model_Data!F139)*Inputs!$C$12</x:f>
        <x:v>442.53637681953245</x:v>
      </x:c>
      <x:c r="O139" s="49"/>
      <x:c r="P139" s="48" t="n">
        <x:f>Model_Data!A139</x:f>
        <x:v>8.5</x:v>
      </x:c>
      <x:c r="Q139" s="48" t="n">
        <x:f>Model_Data!P139</x:f>
        <x:v>-72.74484905628924</x:v>
      </x:c>
      <x:c r="R139" s="48" t="n">
        <x:f>Model_Data!AM139</x:f>
        <x:v>-98.32283519044722</x:v>
      </x:c>
      <x:c r="S139" s="48" t="n">
        <x:f>Model_Data!Q139</x:f>
        <x:v>-10.92265000845184</x:v>
      </x:c>
      <x:c r="T139" s="48" t="n">
        <x:f>Model_Data!AN139</x:f>
        <x:v>-14.76318846703412</x:v>
      </x:c>
      <x:c r="U139" s="49"/>
      <x:c r="V139" s="48" t="n">
        <x:f>Model_Data!A139</x:f>
        <x:v>8.5</x:v>
      </x:c>
      <x:c r="W139" s="48" t="n">
        <x:f>Model_Data!B139-Inputs!$C$5</x:f>
        <x:v>0.08027777777778056</x:v>
      </x:c>
      <x:c r="X139" s="49"/>
      <x:c r="Y139" s="48" t="n">
        <x:f>Model_Data!A139</x:f>
        <x:v>8.5</x:v>
      </x:c>
      <x:c r="Z139" s="48" t="n">
        <x:f>0</x:f>
        <x:v>0</x:v>
      </x:c>
      <x:c r="AA139" s="48" t="n">
        <x:f>((SQRT((Inputs!$C$52+Inputs!$C$5)^2+Inputs!$C$52^2-2*(Inputs!$C$52+Inputs!$C$5)*Inputs!$C$52*COS(SQRT((Model_Data!A139)^2+Inputs!$C$6^2)/Inputs!$C$52))-Inputs!$C$5)*1000/Inputs!$C$12)</x:f>
        <x:v>614.2724638740281</x:v>
      </x:c>
      <x:c r="AB139" s="48" t="n">
        <x:f>Model_Data!F139</x:f>
        <x:v>614.1746532877829</x:v>
      </x:c>
    </x:row>
    <x:row r="140">
      <x:c r="A140" s="48" t="n">
        <x:f>Model_Data!A140</x:f>
        <x:v>9</x:v>
      </x:c>
      <x:c r="B140" s="48" t="n">
        <x:f>0</x:f>
        <x:v>0</x:v>
      </x:c>
      <x:c r="C140" s="48" t="n">
        <x:f>((SQRT((Inputs!$C$52+Inputs!$C$5)^2+Inputs!$C$52^2-2*(Inputs!$C$52+Inputs!$C$5)*Inputs!$C$52*COS(SQRT((Model_Data!A140)^2+Inputs!$C$6^2)/Inputs!$C$52))-Inputs!$C$5)*1000/Inputs!$C$12)</x:f>
        <x:v>621.9703292280814</x:v>
      </x:c>
      <x:c r="D140" s="48" t="n">
        <x:f>Model_Data!F140</x:f>
        <x:v>621.8593058607947</x:v>
      </x:c>
      <x:c r="E140" s="48" t="n">
        <x:f>Model_Data!AC140</x:f>
        <x:v>369.09121200702185</x:v>
      </x:c>
      <x:c r="F140" s="49"/>
      <x:c r="G140" s="48" t="n">
        <x:f>Model_Data!A140</x:f>
        <x:v>9</x:v>
      </x:c>
      <x:c r="H140" s="48" t="n">
        <x:f>0</x:f>
        <x:v>0</x:v>
      </x:c>
      <x:c r="I140" s="48" t="n">
        <x:f>Model_Data!Y140</x:f>
        <x:v>481.22587957439987</x:v>
      </x:c>
      <x:c r="J140" s="48" t="n">
        <x:f>Model_Data!X140</x:f>
        <x:v>29.628149721243545</x:v>
      </x:c>
      <x:c r="K140" s="48" t="n">
        <x:f>Model_Data!A140</x:f>
        <x:v>9</x:v>
      </x:c>
      <x:c r="L140" s="48" t="n">
        <x:f>Model_Data!Y140</x:f>
        <x:v>481.22587957439987</x:v>
      </x:c>
      <x:c r="M140" s="48" t="n">
        <x:f>Model_Data!X140</x:f>
        <x:v>29.628149721243545</x:v>
      </x:c>
      <x:c r="N140" s="48" t="n">
        <x:f>-(Model_Data!AC140-Model_Data!F140)*Inputs!$C$12</x:f>
        <x:v>449.9272070597157</x:v>
      </x:c>
      <x:c r="O140" s="49"/>
      <x:c r="P140" s="48" t="n">
        <x:f>Model_Data!A140</x:f>
        <x:v>9</x:v>
      </x:c>
      <x:c r="Q140" s="48" t="n">
        <x:f>Model_Data!P140</x:f>
        <x:v>-77.0206608074659</x:v>
      </x:c>
      <x:c r="R140" s="48" t="n">
        <x:f>Model_Data!AM140</x:f>
        <x:v>-79.19680840677756</x:v>
      </x:c>
      <x:c r="S140" s="48" t="n">
        <x:f>Model_Data!Q140</x:f>
        <x:v>-11.564663784904791</x:v>
      </x:c>
      <x:c r="T140" s="48" t="n">
        <x:f>Model_Data!AN140</x:f>
        <x:v>-11.891412673690326</x:v>
      </x:c>
      <x:c r="U140" s="49"/>
      <x:c r="V140" s="48" t="n">
        <x:f>Model_Data!A140</x:f>
        <x:v>9</x:v>
      </x:c>
      <x:c r="W140" s="48" t="n">
        <x:f>Model_Data!B140-Inputs!$C$5</x:f>
        <x:v>0.08999999999997499</x:v>
      </x:c>
      <x:c r="X140" s="49"/>
      <x:c r="Y140" s="48" t="n">
        <x:f>Model_Data!A140</x:f>
        <x:v>9</x:v>
      </x:c>
      <x:c r="Z140" s="48" t="n">
        <x:f>0</x:f>
        <x:v>0</x:v>
      </x:c>
      <x:c r="AA140" s="48" t="n">
        <x:f>((SQRT((Inputs!$C$52+Inputs!$C$5)^2+Inputs!$C$52^2-2*(Inputs!$C$52+Inputs!$C$5)*Inputs!$C$52*COS(SQRT((Model_Data!A140)^2+Inputs!$C$6^2)/Inputs!$C$52))-Inputs!$C$5)*1000/Inputs!$C$12)</x:f>
        <x:v>621.9703292280814</x:v>
      </x:c>
      <x:c r="AB140" s="48" t="n">
        <x:f>Model_Data!F140</x:f>
        <x:v>621.8593058607947</x:v>
      </x:c>
    </x:row>
    <x:row r="141">
      <x:c r="A141" s="48" t="n">
        <x:f>Model_Data!A141</x:f>
        <x:v>9.5</x:v>
      </x:c>
      <x:c r="B141" s="48" t="n">
        <x:f>0</x:f>
        <x:v>0</x:v>
      </x:c>
      <x:c r="C141" s="48" t="n">
        <x:f>((SQRT((Inputs!$C$52+Inputs!$C$5)^2+Inputs!$C$52^2-2*(Inputs!$C$52+Inputs!$C$5)*Inputs!$C$52*COS(SQRT((Model_Data!A141)^2+Inputs!$C$6^2)/Inputs!$C$52))-Inputs!$C$5)*1000/Inputs!$C$12)</x:f>
        <x:v>630.1077816669101</x:v>
      </x:c>
      <x:c r="D141" s="48" t="n">
        <x:f>Model_Data!F141</x:f>
        <x:v>629.9824695825495</x:v>
      </x:c>
      <x:c r="E141" s="48" t="n">
        <x:f>Model_Data!AC141</x:f>
        <x:v>365.40518550838584</x:v>
      </x:c>
      <x:c r="F141" s="49"/>
      <x:c r="G141" s="48" t="n">
        <x:f>Model_Data!A141</x:f>
        <x:v>9.5</x:v>
      </x:c>
      <x:c r="H141" s="48" t="n">
        <x:f>0</x:f>
        <x:v>0</x:v>
      </x:c>
      <x:c r="I141" s="48" t="n">
        <x:f>Model_Data!Y141</x:f>
        <x:v>478.27937371872196</x:v>
      </x:c>
      <x:c r="J141" s="48" t="n">
        <x:f>Model_Data!X141</x:f>
        <x:v>5.649927018638348</x:v>
      </x:c>
      <x:c r="K141" s="48" t="n">
        <x:f>Model_Data!A141</x:f>
        <x:v>9.5</x:v>
      </x:c>
      <x:c r="L141" s="48" t="n">
        <x:f>Model_Data!Y141</x:f>
        <x:v>478.27937371872196</x:v>
      </x:c>
      <x:c r="M141" s="48" t="n">
        <x:f>Model_Data!X141</x:f>
        <x:v>5.649927018638348</x:v>
      </x:c>
      <x:c r="N141" s="48" t="n">
        <x:f>-(Model_Data!AC141-Model_Data!F141)*Inputs!$C$12</x:f>
        <x:v>470.9475656520113</x:v>
      </x:c>
      <x:c r="O141" s="49"/>
      <x:c r="P141" s="48" t="n">
        <x:f>Model_Data!A141</x:f>
        <x:v>9.5</x:v>
      </x:c>
      <x:c r="Q141" s="48" t="n">
        <x:f>Model_Data!P141</x:f>
        <x:v>-81.2959080145447</x:v>
      </x:c>
      <x:c r="R141" s="48" t="n">
        <x:f>Model_Data!AM141</x:f>
        <x:v>-124.45092927709993</x:v>
      </x:c>
      <x:c r="S141" s="48" t="n">
        <x:f>Model_Data!Q141</x:f>
        <x:v>-12.206592794976682</x:v>
      </x:c>
      <x:c r="T141" s="48" t="n">
        <x:f>Model_Data!AN141</x:f>
        <x:v>-18.686325717282273</x:v>
      </x:c>
      <x:c r="U141" s="49"/>
      <x:c r="V141" s="48" t="n">
        <x:f>Model_Data!A141</x:f>
        <x:v>9.5</x:v>
      </x:c>
      <x:c r="W141" s="48" t="n">
        <x:f>Model_Data!B141-Inputs!$C$5</x:f>
        <x:v>0.10027777777776237</x:v>
      </x:c>
      <x:c r="X141" s="49"/>
      <x:c r="Y141" s="48" t="n">
        <x:f>Model_Data!A141</x:f>
        <x:v>9.5</x:v>
      </x:c>
      <x:c r="Z141" s="48" t="n">
        <x:f>0</x:f>
        <x:v>0</x:v>
      </x:c>
      <x:c r="AA141" s="48" t="n">
        <x:f>((SQRT((Inputs!$C$52+Inputs!$C$5)^2+Inputs!$C$52^2-2*(Inputs!$C$52+Inputs!$C$5)*Inputs!$C$52*COS(SQRT((Model_Data!A141)^2+Inputs!$C$6^2)/Inputs!$C$52))-Inputs!$C$5)*1000/Inputs!$C$12)</x:f>
        <x:v>630.1077816669101</x:v>
      </x:c>
      <x:c r="AB141" s="48" t="n">
        <x:f>Model_Data!F141</x:f>
        <x:v>629.9824695825495</x:v>
      </x:c>
    </x:row>
    <x:row r="142">
      <x:c r="A142" s="48" t="n">
        <x:f>Model_Data!A142</x:f>
        <x:v>10</x:v>
      </x:c>
      <x:c r="B142" s="48" t="n">
        <x:f>0</x:f>
        <x:v>0</x:v>
      </x:c>
      <x:c r="C142" s="48" t="n">
        <x:f>((SQRT((Inputs!$C$52+Inputs!$C$5)^2+Inputs!$C$52^2-2*(Inputs!$C$52+Inputs!$C$5)*Inputs!$C$52*COS(SQRT((Model_Data!A142)^2+Inputs!$C$6^2)/Inputs!$C$52))-Inputs!$C$5)*1000/Inputs!$C$12)</x:f>
        <x:v>638.6847727352039</x:v>
      </x:c>
      <x:c r="D142" s="48" t="n">
        <x:f>Model_Data!F142</x:f>
        <x:v>638.5440426012327</x:v>
      </x:c>
      <x:c r="E142" s="48" t="n">
        <x:f>Model_Data!AC142</x:f>
        <x:v>379.4693740000762</x:v>
      </x:c>
      <x:c r="F142" s="49"/>
      <x:c r="G142" s="48" t="n">
        <x:f>Model_Data!A142</x:f>
        <x:v>10</x:v>
      </x:c>
      <x:c r="H142" s="48" t="n">
        <x:f>0</x:f>
        <x:v>0</x:v>
      </x:c>
      <x:c r="I142" s="48" t="n">
        <x:f>Model_Data!Y142</x:f>
        <x:v>454.2022007690729</x:v>
      </x:c>
      <x:c r="J142" s="48" t="n">
        <x:f>Model_Data!X142</x:f>
        <x:v>-8.569441618173819</x:v>
      </x:c>
      <x:c r="K142" s="48" t="n">
        <x:f>Model_Data!A142</x:f>
        <x:v>10</x:v>
      </x:c>
      <x:c r="L142" s="48" t="n">
        <x:f>Model_Data!Y142</x:f>
        <x:v>454.2022007690729</x:v>
      </x:c>
      <x:c r="M142" s="48" t="n">
        <x:f>Model_Data!X142</x:f>
        <x:v>-8.569441618173819</x:v>
      </x:c>
      <x:c r="N142" s="48" t="n">
        <x:f>-(Model_Data!AC142-Model_Data!F142)*Inputs!$C$12</x:f>
        <x:v>461.15291011005866</x:v>
      </x:c>
      <x:c r="O142" s="49"/>
      <x:c r="P142" s="48" t="n">
        <x:f>Model_Data!A142</x:f>
        <x:v>10</x:v>
      </x:c>
      <x:c r="Q142" s="48" t="n">
        <x:f>Model_Data!P142</x:f>
        <x:v>-85.5705594970459</x:v>
      </x:c>
      <x:c r="R142" s="48" t="n">
        <x:f>Model_Data!AM142</x:f>
        <x:v>-149.95775995867007</x:v>
      </x:c>
      <x:c r="S142" s="48" t="n">
        <x:f>Model_Data!Q142</x:f>
        <x:v>-12.8484323569138</x:v>
      </x:c>
      <x:c r="T142" s="48" t="n">
        <x:f>Model_Data!AN142</x:f>
        <x:v>-22.516180173974487</x:v>
      </x:c>
      <x:c r="U142" s="49"/>
      <x:c r="V142" s="48" t="n">
        <x:f>Model_Data!A142</x:f>
        <x:v>10</x:v>
      </x:c>
      <x:c r="W142" s="48" t="n">
        <x:f>Model_Data!B142-Inputs!$C$5</x:f>
        <x:v>0.11111111111108585</x:v>
      </x:c>
      <x:c r="X142" s="49"/>
      <x:c r="Y142" s="48" t="n">
        <x:f>Model_Data!A142</x:f>
        <x:v>10</x:v>
      </x:c>
      <x:c r="Z142" s="48" t="n">
        <x:f>0</x:f>
        <x:v>0</x:v>
      </x:c>
      <x:c r="AA142" s="48" t="n">
        <x:f>((SQRT((Inputs!$C$52+Inputs!$C$5)^2+Inputs!$C$52^2-2*(Inputs!$C$52+Inputs!$C$5)*Inputs!$C$52*COS(SQRT((Model_Data!A142)^2+Inputs!$C$6^2)/Inputs!$C$52))-Inputs!$C$5)*1000/Inputs!$C$12)</x:f>
        <x:v>638.6847727352039</x:v>
      </x:c>
      <x:c r="AB142" s="48" t="n">
        <x:f>Model_Data!F142</x:f>
        <x:v>638.5440426012327</x:v>
      </x:c>
    </x:row>
    <x:row r="143">
      <x:c r="A143" s="48" t="n">
        <x:f>Model_Data!A143</x:f>
        <x:v>10.5</x:v>
      </x:c>
      <x:c r="B143" s="48" t="n">
        <x:f>0</x:f>
        <x:v>0</x:v>
      </x:c>
      <x:c r="C143" s="48" t="n">
        <x:f>((SQRT((Inputs!$C$52+Inputs!$C$5)^2+Inputs!$C$52^2-2*(Inputs!$C$52+Inputs!$C$5)*Inputs!$C$52*COS(SQRT((Model_Data!A143)^2+Inputs!$C$6^2)/Inputs!$C$52))-Inputs!$C$5)*1000/Inputs!$C$12)</x:f>
        <x:v>647.7012513701045</x:v>
      </x:c>
      <x:c r="D143" s="48" t="n">
        <x:f>Model_Data!F143</x:f>
        <x:v>647.5439175957033</x:v>
      </x:c>
      <x:c r="E143" s="48" t="n">
        <x:f>Model_Data!AC143</x:f>
        <x:v>405.1735794078741</x:v>
      </x:c>
      <x:c r="F143" s="49"/>
      <x:c r="G143" s="48" t="n">
        <x:f>Model_Data!A143</x:f>
        <x:v>10.5</x:v>
      </x:c>
      <x:c r="H143" s="48" t="n">
        <x:f>0</x:f>
        <x:v>0</x:v>
      </x:c>
      <x:c r="I143" s="48" t="n">
        <x:f>Model_Data!Y143</x:f>
        <x:v>437.9381023255588</x:v>
      </x:c>
      <x:c r="J143" s="48" t="n">
        <x:f>Model_Data!X143</x:f>
        <x:v>4.936290407774814</x:v>
      </x:c>
      <x:c r="K143" s="48" t="n">
        <x:f>Model_Data!A143</x:f>
        <x:v>10.5</x:v>
      </x:c>
      <x:c r="L143" s="48" t="n">
        <x:f>Model_Data!Y143</x:f>
        <x:v>437.9381023255588</x:v>
      </x:c>
      <x:c r="M143" s="48" t="n">
        <x:f>Model_Data!X143</x:f>
        <x:v>4.936290407774814</x:v>
      </x:c>
      <x:c r="N143" s="48" t="n">
        <x:f>-(Model_Data!AC143-Model_Data!F143)*Inputs!$C$12</x:f>
        <x:v>431.419201974336</x:v>
      </x:c>
      <x:c r="O143" s="49"/>
      <x:c r="P143" s="48" t="n">
        <x:f>Model_Data!A143</x:f>
        <x:v>10.5</x:v>
      </x:c>
      <x:c r="Q143" s="48" t="n">
        <x:f>Model_Data!P143</x:f>
        <x:v>-89.8445841135981</x:v>
      </x:c>
      <x:c r="R143" s="48" t="n">
        <x:f>Model_Data!AM143</x:f>
        <x:v>-104.68639668342803</x:v>
      </x:c>
      <x:c r="S143" s="48" t="n">
        <x:f>Model_Data!Q143</x:f>
        <x:v>-13.490177794834551</x:v>
      </x:c>
      <x:c r="T143" s="48" t="n">
        <x:f>Model_Data!AN143</x:f>
        <x:v>-15.718678180694901</x:v>
      </x:c>
      <x:c r="U143" s="49"/>
      <x:c r="V143" s="48" t="n">
        <x:f>Model_Data!A143</x:f>
        <x:v>10.5</x:v>
      </x:c>
      <x:c r="W143" s="48" t="n">
        <x:f>Model_Data!B143-Inputs!$C$5</x:f>
        <x:v>0.12250000000000227</x:v>
      </x:c>
      <x:c r="X143" s="49"/>
      <x:c r="Y143" s="48" t="n">
        <x:f>Model_Data!A143</x:f>
        <x:v>10.5</x:v>
      </x:c>
      <x:c r="Z143" s="48" t="n">
        <x:f>0</x:f>
        <x:v>0</x:v>
      </x:c>
      <x:c r="AA143" s="48" t="n">
        <x:f>((SQRT((Inputs!$C$52+Inputs!$C$5)^2+Inputs!$C$52^2-2*(Inputs!$C$52+Inputs!$C$5)*Inputs!$C$52*COS(SQRT((Model_Data!A143)^2+Inputs!$C$6^2)/Inputs!$C$52))-Inputs!$C$5)*1000/Inputs!$C$12)</x:f>
        <x:v>647.7012513701045</x:v>
      </x:c>
      <x:c r="AB143" s="48" t="n">
        <x:f>Model_Data!F143</x:f>
        <x:v>647.5439175957033</x:v>
      </x:c>
    </x:row>
    <x:row r="144">
      <x:c r="A144" s="48" t="n">
        <x:f>Model_Data!A144</x:f>
        <x:v>11</x:v>
      </x:c>
      <x:c r="B144" s="48" t="n">
        <x:f>0</x:f>
        <x:v>0</x:v>
      </x:c>
      <x:c r="C144" s="48" t="n">
        <x:f>((SQRT((Inputs!$C$52+Inputs!$C$5)^2+Inputs!$C$52^2-2*(Inputs!$C$52+Inputs!$C$5)*Inputs!$C$52*COS(SQRT((Model_Data!A144)^2+Inputs!$C$6^2)/Inputs!$C$52))-Inputs!$C$5)*1000/Inputs!$C$12)</x:f>
        <x:v>657.1571638987466</x:v>
      </x:c>
      <x:c r="D144" s="48" t="n">
        <x:f>Model_Data!F144</x:f>
        <x:v>656.9819817796764</x:v>
      </x:c>
      <x:c r="E144" s="48" t="n">
        <x:f>Model_Data!AC144</x:f>
        <x:v>409.0230111070318</x:v>
      </x:c>
      <x:c r="F144" s="49"/>
      <x:c r="G144" s="48" t="n">
        <x:f>Model_Data!A144</x:f>
        <x:v>11</x:v>
      </x:c>
      <x:c r="H144" s="48" t="n">
        <x:f>0</x:f>
        <x:v>0</x:v>
      </x:c>
      <x:c r="I144" s="48" t="n">
        <x:f>Model_Data!Y144</x:f>
        <x:v>444.9386077034983</x:v>
      </x:c>
      <x:c r="J144" s="48" t="n">
        <x:f>Model_Data!X144</x:f>
        <x:v>1.9403678384373038</x:v>
      </x:c>
      <x:c r="K144" s="48" t="n">
        <x:f>Model_Data!A144</x:f>
        <x:v>11</x:v>
      </x:c>
      <x:c r="L144" s="48" t="n">
        <x:f>Model_Data!Y144</x:f>
        <x:v>444.9386077034983</x:v>
      </x:c>
      <x:c r="M144" s="48" t="n">
        <x:f>Model_Data!X144</x:f>
        <x:v>1.9403678384373038</x:v>
      </x:c>
      <x:c r="N144" s="48" t="n">
        <x:f>-(Model_Data!AC144-Model_Data!F144)*Inputs!$C$12</x:f>
        <x:v>441.36696779730744</x:v>
      </x:c>
      <x:c r="O144" s="49"/>
      <x:c r="P144" s="48" t="n">
        <x:f>Model_Data!A144</x:f>
        <x:v>11</x:v>
      </x:c>
      <x:c r="Q144" s="48" t="n">
        <x:f>Model_Data!P144</x:f>
        <x:v>-94.1179507391098</x:v>
      </x:c>
      <x:c r="R144" s="48" t="n">
        <x:f>Model_Data!AM144</x:f>
        <x:v>-99.76180605999616</x:v>
      </x:c>
      <x:c r="S144" s="48" t="n">
        <x:f>Model_Data!Q144</x:f>
        <x:v>-14.131824435301773</x:v>
      </x:c>
      <x:c r="T144" s="48" t="n">
        <x:f>Model_Data!AN144</x:f>
        <x:v>-14.979250159158584</x:v>
      </x:c>
      <x:c r="U144" s="49"/>
      <x:c r="V144" s="48" t="n">
        <x:f>Model_Data!A144</x:f>
        <x:v>11</x:v>
      </x:c>
      <x:c r="W144" s="48" t="n">
        <x:f>Model_Data!B144-Inputs!$C$5</x:f>
        <x:v>0.1344444444444548</x:v>
      </x:c>
      <x:c r="X144" s="49"/>
      <x:c r="Y144" s="48" t="n">
        <x:f>Model_Data!A144</x:f>
        <x:v>11</x:v>
      </x:c>
      <x:c r="Z144" s="48" t="n">
        <x:f>0</x:f>
        <x:v>0</x:v>
      </x:c>
      <x:c r="AA144" s="48" t="n">
        <x:f>((SQRT((Inputs!$C$52+Inputs!$C$5)^2+Inputs!$C$52^2-2*(Inputs!$C$52+Inputs!$C$5)*Inputs!$C$52*COS(SQRT((Model_Data!A144)^2+Inputs!$C$6^2)/Inputs!$C$52))-Inputs!$C$5)*1000/Inputs!$C$12)</x:f>
        <x:v>657.1571638987466</x:v>
      </x:c>
      <x:c r="AB144" s="48" t="n">
        <x:f>Model_Data!F144</x:f>
        <x:v>656.9819817796764</x:v>
      </x:c>
    </x:row>
    <x:row r="145">
      <x:c r="A145" s="48" t="n">
        <x:f>Model_Data!A145</x:f>
        <x:v>11.5</x:v>
      </x:c>
      <x:c r="B145" s="48" t="n">
        <x:f>0</x:f>
        <x:v>0</x:v>
      </x:c>
      <x:c r="C145" s="48" t="n">
        <x:f>((SQRT((Inputs!$C$52+Inputs!$C$5)^2+Inputs!$C$52^2-2*(Inputs!$C$52+Inputs!$C$5)*Inputs!$C$52*COS(SQRT((Model_Data!A145)^2+Inputs!$C$6^2)/Inputs!$C$52))-Inputs!$C$5)*1000/Inputs!$C$12)</x:f>
        <x:v>667.052454042441</x:v>
      </x:c>
      <x:c r="D145" s="48" t="n">
        <x:f>Model_Data!F145</x:f>
        <x:v>666.8581169032889</x:v>
      </x:c>
      <x:c r="E145" s="48" t="n">
        <x:f>Model_Data!AC145</x:f>
        <x:v>425.9686460478199</x:v>
      </x:c>
      <x:c r="F145" s="49"/>
      <x:c r="G145" s="48" t="n">
        <x:f>Model_Data!A145</x:f>
        <x:v>11.5</x:v>
      </x:c>
      <x:c r="H145" s="48" t="n">
        <x:f>0</x:f>
        <x:v>0</x:v>
      </x:c>
      <x:c r="I145" s="48" t="n">
        <x:f>Model_Data!Y145</x:f>
        <x:v>434.44467895572086</x:v>
      </x:c>
      <x:c r="J145" s="48" t="n">
        <x:f>Model_Data!X145</x:f>
        <x:v>4.044824683821267</x:v>
      </x:c>
      <x:c r="K145" s="48" t="n">
        <x:f>Model_Data!A145</x:f>
        <x:v>11.5</x:v>
      </x:c>
      <x:c r="L145" s="48" t="n">
        <x:f>Model_Data!Y145</x:f>
        <x:v>434.44467895572086</x:v>
      </x:c>
      <x:c r="M145" s="48" t="n">
        <x:f>Model_Data!X145</x:f>
        <x:v>4.044824683821267</x:v>
      </x:c>
      <x:c r="N145" s="48" t="n">
        <x:f>-(Model_Data!AC145-Model_Data!F145)*Inputs!$C$12</x:f>
        <x:v>428.78325812273476</x:v>
      </x:c>
      <x:c r="O145" s="49"/>
      <x:c r="P145" s="48" t="n">
        <x:f>Model_Data!A145</x:f>
        <x:v>11.5</x:v>
      </x:c>
      <x:c r="Q145" s="48" t="n">
        <x:f>Model_Data!P145</x:f>
        <x:v>-98.39062828850729</x:v>
      </x:c>
      <x:c r="R145" s="48" t="n">
        <x:f>Model_Data!AM145</x:f>
        <x:v>-133.6965623294418</x:v>
      </x:c>
      <x:c r="S145" s="48" t="n">
        <x:f>Model_Data!Q145</x:f>
        <x:v>-14.77336761088698</x:v>
      </x:c>
      <x:c r="T145" s="48" t="n">
        <x:f>Model_Data!AN145</x:f>
        <x:v>-20.074558908324597</x:v>
      </x:c>
      <x:c r="U145" s="49"/>
      <x:c r="V145" s="48" t="n">
        <x:f>Model_Data!A145</x:f>
        <x:v>11.5</x:v>
      </x:c>
      <x:c r="W145" s="48" t="n">
        <x:f>Model_Data!B145-Inputs!$C$5</x:f>
        <x:v>0.14694444444444343</x:v>
      </x:c>
      <x:c r="X145" s="49"/>
      <x:c r="Y145" s="48" t="n">
        <x:f>Model_Data!A145</x:f>
        <x:v>11.5</x:v>
      </x:c>
      <x:c r="Z145" s="48" t="n">
        <x:f>0</x:f>
        <x:v>0</x:v>
      </x:c>
      <x:c r="AA145" s="48" t="n">
        <x:f>((SQRT((Inputs!$C$52+Inputs!$C$5)^2+Inputs!$C$52^2-2*(Inputs!$C$52+Inputs!$C$5)*Inputs!$C$52*COS(SQRT((Model_Data!A145)^2+Inputs!$C$6^2)/Inputs!$C$52))-Inputs!$C$5)*1000/Inputs!$C$12)</x:f>
        <x:v>667.052454042441</x:v>
      </x:c>
      <x:c r="AB145" s="48" t="n">
        <x:f>Model_Data!F145</x:f>
        <x:v>666.8581169032889</x:v>
      </x:c>
    </x:row>
    <x:row r="146">
      <x:c r="A146" s="48" t="n">
        <x:f>Model_Data!A146</x:f>
        <x:v>12</x:v>
      </x:c>
      <x:c r="B146" s="48" t="n">
        <x:f>0</x:f>
        <x:v>0</x:v>
      </x:c>
      <x:c r="C146" s="48" t="n">
        <x:f>((SQRT((Inputs!$C$52+Inputs!$C$5)^2+Inputs!$C$52^2-2*(Inputs!$C$52+Inputs!$C$5)*Inputs!$C$52*COS(SQRT((Model_Data!A146)^2+Inputs!$C$6^2)/Inputs!$C$52))-Inputs!$C$5)*1000/Inputs!$C$12)</x:f>
        <x:v>677.387062917697</x:v>
      </x:c>
      <x:c r="D146" s="48" t="n">
        <x:f>Model_Data!F146</x:f>
        <x:v>677.1721992654893</x:v>
      </x:c>
      <x:c r="E146" s="48" t="n">
        <x:f>Model_Data!AC146</x:f>
        <x:v>444.4939773250507</x:v>
      </x:c>
      <x:c r="F146" s="49"/>
      <x:c r="G146" s="48" t="n">
        <x:f>Model_Data!A146</x:f>
        <x:v>12</x:v>
      </x:c>
      <x:c r="H146" s="48" t="n">
        <x:f>0</x:f>
        <x:v>0</x:v>
      </x:c>
      <x:c r="I146" s="48" t="n">
        <x:f>Model_Data!Y146</x:f>
        <x:v>422.8387186345762</x:v>
      </x:c>
      <x:c r="J146" s="48" t="n">
        <x:f>Model_Data!X146</x:f>
        <x:v>7.0738918061296845</x:v>
      </x:c>
      <x:c r="K146" s="48" t="n">
        <x:f>Model_Data!A146</x:f>
        <x:v>12</x:v>
      </x:c>
      <x:c r="L146" s="48" t="n">
        <x:f>Model_Data!Y146</x:f>
        <x:v>422.8387186345762</x:v>
      </x:c>
      <x:c r="M146" s="48" t="n">
        <x:f>Model_Data!X146</x:f>
        <x:v>7.0738918061296845</x:v>
      </x:c>
      <x:c r="N146" s="48" t="n">
        <x:f>-(Model_Data!AC146-Model_Data!F146)*Inputs!$C$12</x:f>
        <x:v>414.16723505398073</x:v>
      </x:c>
      <x:c r="O146" s="49"/>
      <x:c r="P146" s="48" t="n">
        <x:f>Model_Data!A146</x:f>
        <x:v>12</x:v>
      </x:c>
      <x:c r="Q146" s="48" t="n">
        <x:f>Model_Data!P146</x:f>
        <x:v>-102.66258570945865</x:v>
      </x:c>
      <x:c r="R146" s="48" t="n">
        <x:f>Model_Data!AM146</x:f>
        <x:v>-103.25466974927622</x:v>
      </x:c>
      <x:c r="S146" s="48" t="n">
        <x:f>Model_Data!Q146</x:f>
        <x:v>-15.414802659077877</x:v>
      </x:c>
      <x:c r="T146" s="48" t="n">
        <x:f>Model_Data!AN146</x:f>
        <x:v>-15.503704166557991</x:v>
      </x:c>
      <x:c r="U146" s="49"/>
      <x:c r="V146" s="48" t="n">
        <x:f>Model_Data!A146</x:f>
        <x:v>12</x:v>
      </x:c>
      <x:c r="W146" s="48" t="n">
        <x:f>Model_Data!B146-Inputs!$C$5</x:f>
        <x:v>0.160000000000025</x:v>
      </x:c>
      <x:c r="X146" s="49"/>
      <x:c r="Y146" s="48" t="n">
        <x:f>Model_Data!A146</x:f>
        <x:v>12</x:v>
      </x:c>
      <x:c r="Z146" s="48" t="n">
        <x:f>0</x:f>
        <x:v>0</x:v>
      </x:c>
      <x:c r="AA146" s="48" t="n">
        <x:f>((SQRT((Inputs!$C$52+Inputs!$C$5)^2+Inputs!$C$52^2-2*(Inputs!$C$52+Inputs!$C$5)*Inputs!$C$52*COS(SQRT((Model_Data!A146)^2+Inputs!$C$6^2)/Inputs!$C$52))-Inputs!$C$5)*1000/Inputs!$C$12)</x:f>
        <x:v>677.387062917697</x:v>
      </x:c>
      <x:c r="AB146" s="48" t="n">
        <x:f>Model_Data!F146</x:f>
        <x:v>677.1721992654893</x:v>
      </x:c>
    </x:row>
    <x:row r="147">
      <x:c r="A147" s="48" t="n">
        <x:f>Model_Data!A147</x:f>
        <x:v>12.5</x:v>
      </x:c>
      <x:c r="B147" s="48" t="n">
        <x:f>0</x:f>
        <x:v>0</x:v>
      </x:c>
      <x:c r="C147" s="48" t="n">
        <x:f>((SQRT((Inputs!$C$52+Inputs!$C$5)^2+Inputs!$C$52^2-2*(Inputs!$C$52+Inputs!$C$5)*Inputs!$C$52*COS(SQRT((Model_Data!A147)^2+Inputs!$C$6^2)/Inputs!$C$52))-Inputs!$C$5)*1000/Inputs!$C$12)</x:f>
        <x:v>688.1609290384572</x:v>
      </x:c>
      <x:c r="D147" s="48" t="n">
        <x:f>Model_Data!F147</x:f>
        <x:v>687.9240997132716</x:v>
      </x:c>
      <x:c r="E147" s="48" t="n">
        <x:f>Model_Data!AC147</x:f>
        <x:v>441.77495114183785</x:v>
      </x:c>
      <x:c r="F147" s="49"/>
      <x:c r="G147" s="48" t="n">
        <x:f>Model_Data!A147</x:f>
        <x:v>12.5</x:v>
      </x:c>
      <x:c r="H147" s="48" t="n">
        <x:f>0</x:f>
        <x:v>0</x:v>
      </x:c>
      <x:c r="I147" s="48" t="n">
        <x:f>Model_Data!Y147</x:f>
        <x:v>434.12423495839124</x:v>
      </x:c>
      <x:c r="J147" s="48" t="n">
        <x:f>Model_Data!X147</x:f>
        <x:v>-5.687454175445142</x:v>
      </x:c>
      <x:c r="K147" s="48" t="n">
        <x:f>Model_Data!A147</x:f>
        <x:v>12.5</x:v>
      </x:c>
      <x:c r="L147" s="48" t="n">
        <x:f>Model_Data!Y147</x:f>
        <x:v>434.12423495839124</x:v>
      </x:c>
      <x:c r="M147" s="48" t="n">
        <x:f>Model_Data!X147</x:f>
        <x:v>-5.687454175445142</x:v>
      </x:c>
      <x:c r="N147" s="48" t="n">
        <x:f>-(Model_Data!AC147-Model_Data!F147)*Inputs!$C$12</x:f>
        <x:v>438.1454844571521</x:v>
      </x:c>
      <x:c r="O147" s="49"/>
      <x:c r="P147" s="48" t="n">
        <x:f>Model_Data!A147</x:f>
        <x:v>12.5</x:v>
      </x:c>
      <x:c r="Q147" s="48" t="n">
        <x:f>Model_Data!P147</x:f>
        <x:v>-106.9337919834652</x:v>
      </x:c>
      <x:c r="R147" s="48" t="n">
        <x:f>Model_Data!AM147</x:f>
        <x:v>-97.45932921296117</x:v>
      </x:c>
      <x:c r="S147" s="48" t="n">
        <x:f>Model_Data!Q147</x:f>
        <x:v>-16.056124922442223</x:v>
      </x:c>
      <x:c r="T147" s="48" t="n">
        <x:f>Model_Data!AN147</x:f>
        <x:v>-14.633532914859035</x:v>
      </x:c>
      <x:c r="U147" s="49"/>
      <x:c r="V147" s="48" t="n">
        <x:f>Model_Data!A147</x:f>
        <x:v>12.5</x:v>
      </x:c>
      <x:c r="W147" s="48" t="n">
        <x:f>Model_Data!B147-Inputs!$C$5</x:f>
        <x:v>0.17361111111108585</x:v>
      </x:c>
      <x:c r="X147" s="49"/>
      <x:c r="Y147" s="48" t="n">
        <x:f>Model_Data!A147</x:f>
        <x:v>12.5</x:v>
      </x:c>
      <x:c r="Z147" s="48" t="n">
        <x:f>0</x:f>
        <x:v>0</x:v>
      </x:c>
      <x:c r="AA147" s="48" t="n">
        <x:f>((SQRT((Inputs!$C$52+Inputs!$C$5)^2+Inputs!$C$52^2-2*(Inputs!$C$52+Inputs!$C$5)*Inputs!$C$52*COS(SQRT((Model_Data!A147)^2+Inputs!$C$6^2)/Inputs!$C$52))-Inputs!$C$5)*1000/Inputs!$C$12)</x:f>
        <x:v>688.1609290384572</x:v>
      </x:c>
      <x:c r="AB147" s="48" t="n">
        <x:f>Model_Data!F147</x:f>
        <x:v>687.9240997132716</x:v>
      </x:c>
    </x:row>
    <x:row r="148">
      <x:c r="A148" s="48" t="n">
        <x:f>Model_Data!A148</x:f>
        <x:v>13</x:v>
      </x:c>
      <x:c r="B148" s="48" t="n">
        <x:f>0</x:f>
        <x:v>0</x:v>
      </x:c>
      <x:c r="C148" s="48" t="n">
        <x:f>((SQRT((Inputs!$C$52+Inputs!$C$5)^2+Inputs!$C$52^2-2*(Inputs!$C$52+Inputs!$C$5)*Inputs!$C$52*COS(SQRT((Model_Data!A148)^2+Inputs!$C$6^2)/Inputs!$C$52))-Inputs!$C$5)*1000/Inputs!$C$12)</x:f>
        <x:v>699.3739883142141</x:v>
      </x:c>
      <x:c r="D148" s="48" t="n">
        <x:f>Model_Data!F148</x:f>
        <x:v>699.1136836541939</x:v>
      </x:c>
      <x:c r="E148" s="48" t="n">
        <x:f>Model_Data!AC148</x:f>
        <x:v>457.10179766639783</x:v>
      </x:c>
      <x:c r="F148" s="49"/>
      <x:c r="G148" s="48" t="n">
        <x:f>Model_Data!A148</x:f>
        <x:v>13</x:v>
      </x:c>
      <x:c r="H148" s="48" t="n">
        <x:f>0</x:f>
        <x:v>0</x:v>
      </x:c>
      <x:c r="I148" s="48" t="n">
        <x:f>Model_Data!Y148</x:f>
        <x:v>428.8351991704085</x:v>
      </x:c>
      <x:c r="J148" s="48" t="n">
        <x:f>Model_Data!X148</x:f>
        <x:v>-3.618490966575764</x:v>
      </x:c>
      <x:c r="K148" s="48" t="n">
        <x:f>Model_Data!A148</x:f>
        <x:v>13</x:v>
      </x:c>
      <x:c r="L148" s="48" t="n">
        <x:f>Model_Data!Y148</x:f>
        <x:v>428.8351991704085</x:v>
      </x:c>
      <x:c r="M148" s="48" t="n">
        <x:f>Model_Data!X148</x:f>
        <x:v>-3.618490966575764</x:v>
      </x:c>
      <x:c r="N148" s="48" t="n">
        <x:f>-(Model_Data!AC148-Model_Data!F148)*Inputs!$C$12</x:f>
        <x:v>430.781157058277</x:v>
      </x:c>
      <x:c r="O148" s="49"/>
      <x:c r="P148" s="48" t="n">
        <x:f>Model_Data!A148</x:f>
        <x:v>13</x:v>
      </x:c>
      <x:c r="Q148" s="48" t="n">
        <x:f>Model_Data!P148</x:f>
        <x:v>-111.20421613486542</x:v>
      </x:c>
      <x:c r="R148" s="48" t="n">
        <x:f>Model_Data!AM148</x:f>
        <x:v>-151.57657912886862</x:v>
      </x:c>
      <x:c r="S148" s="48" t="n">
        <x:f>Model_Data!Q148</x:f>
        <x:v>-16.697329749979794</x:v>
      </x:c>
      <x:c r="T148" s="48" t="n">
        <x:f>Model_Data!AN148</x:f>
        <x:v>-22.75924611544574</x:v>
      </x:c>
      <x:c r="U148" s="49"/>
      <x:c r="V148" s="48" t="n">
        <x:f>Model_Data!A148</x:f>
        <x:v>13</x:v>
      </x:c>
      <x:c r="W148" s="48" t="n">
        <x:f>Model_Data!B148-Inputs!$C$5</x:f>
        <x:v>0.18777777777779647</x:v>
      </x:c>
      <x:c r="X148" s="49"/>
      <x:c r="Y148" s="48" t="n">
        <x:f>Model_Data!A148</x:f>
        <x:v>13</x:v>
      </x:c>
      <x:c r="Z148" s="48" t="n">
        <x:f>0</x:f>
        <x:v>0</x:v>
      </x:c>
      <x:c r="AA148" s="48" t="n">
        <x:f>((SQRT((Inputs!$C$52+Inputs!$C$5)^2+Inputs!$C$52^2-2*(Inputs!$C$52+Inputs!$C$5)*Inputs!$C$52*COS(SQRT((Model_Data!A148)^2+Inputs!$C$6^2)/Inputs!$C$52))-Inputs!$C$5)*1000/Inputs!$C$12)</x:f>
        <x:v>699.3739883142141</x:v>
      </x:c>
      <x:c r="AB148" s="48" t="n">
        <x:f>Model_Data!F148</x:f>
        <x:v>699.1136836541939</x:v>
      </x:c>
    </x:row>
    <x:row r="149">
      <x:c r="A149" s="48" t="n">
        <x:f>Model_Data!A149</x:f>
        <x:v>13.5</x:v>
      </x:c>
      <x:c r="B149" s="48" t="n">
        <x:f>0</x:f>
        <x:v>0</x:v>
      </x:c>
      <x:c r="C149" s="48" t="n">
        <x:f>((SQRT((Inputs!$C$52+Inputs!$C$5)^2+Inputs!$C$52^2-2*(Inputs!$C$52+Inputs!$C$5)*Inputs!$C$52*COS(SQRT((Model_Data!A149)^2+Inputs!$C$6^2)/Inputs!$C$52))-Inputs!$C$5)*1000/Inputs!$C$12)</x:f>
        <x:v>711.0261740581527</x:v>
      </x:c>
      <x:c r="D149" s="48" t="n">
        <x:f>Model_Data!F149</x:f>
        <x:v>710.7408110589965</x:v>
      </x:c>
      <x:c r="E149" s="48" t="n">
        <x:f>Model_Data!AC149</x:f>
        <x:v>481.98825932573664</x:v>
      </x:c>
      <x:c r="F149" s="49"/>
      <x:c r="G149" s="48" t="n">
        <x:f>Model_Data!A149</x:f>
        <x:v>13.5</x:v>
      </x:c>
      <x:c r="H149" s="48" t="n">
        <x:f>0</x:f>
        <x:v>0</x:v>
      </x:c>
      <x:c r="I149" s="48" t="n">
        <x:f>Model_Data!Y149</x:f>
        <x:v>408.84619240872695</x:v>
      </x:c>
      <x:c r="J149" s="48" t="n">
        <x:f>Model_Data!X149</x:f>
        <x:v>0.04576132524433074</x:v>
      </x:c>
      <x:c r="K149" s="48" t="n">
        <x:f>Model_Data!A149</x:f>
        <x:v>13.5</x:v>
      </x:c>
      <x:c r="L149" s="48" t="n">
        <x:f>Model_Data!Y149</x:f>
        <x:v>408.84619240872695</x:v>
      </x:c>
      <x:c r="M149" s="48" t="n">
        <x:f>Model_Data!X149</x:f>
        <x:v>0.04576132524433074</x:v>
      </x:c>
      <x:c r="N149" s="48" t="n">
        <x:f>-(Model_Data!AC149-Model_Data!F149)*Inputs!$C$12</x:f>
        <x:v>407.1795420852026</x:v>
      </x:c>
      <x:c r="O149" s="49"/>
      <x:c r="P149" s="48" t="n">
        <x:f>Model_Data!A149</x:f>
        <x:v>13.5</x:v>
      </x:c>
      <x:c r="Q149" s="48" t="n">
        <x:f>Model_Data!P149</x:f>
        <x:v>-115.4738272234681</x:v>
      </x:c>
      <x:c r="R149" s="48" t="n">
        <x:f>Model_Data!AM149</x:f>
        <x:v>-141.51365191682999</x:v>
      </x:c>
      <x:c r="S149" s="48" t="n">
        <x:f>Model_Data!Q149</x:f>
        <x:v>-17.338412496016232</x:v>
      </x:c>
      <x:c r="T149" s="48" t="n">
        <x:f>Model_Data!AN149</x:f>
        <x:v>-21.248296083608107</x:v>
      </x:c>
      <x:c r="U149" s="49"/>
      <x:c r="V149" s="48" t="n">
        <x:f>Model_Data!A149</x:f>
        <x:v>13.5</x:v>
      </x:c>
      <x:c r="W149" s="48" t="n">
        <x:f>Model_Data!B149-Inputs!$C$5</x:f>
        <x:v>0.20249999999998636</x:v>
      </x:c>
      <x:c r="X149" s="49"/>
      <x:c r="Y149" s="48" t="n">
        <x:f>Model_Data!A149</x:f>
        <x:v>13.5</x:v>
      </x:c>
      <x:c r="Z149" s="48" t="n">
        <x:f>0</x:f>
        <x:v>0</x:v>
      </x:c>
      <x:c r="AA149" s="48" t="n">
        <x:f>((SQRT((Inputs!$C$52+Inputs!$C$5)^2+Inputs!$C$52^2-2*(Inputs!$C$52+Inputs!$C$5)*Inputs!$C$52*COS(SQRT((Model_Data!A149)^2+Inputs!$C$6^2)/Inputs!$C$52))-Inputs!$C$5)*1000/Inputs!$C$12)</x:f>
        <x:v>711.0261740581527</x:v>
      </x:c>
      <x:c r="AB149" s="48" t="n">
        <x:f>Model_Data!F149</x:f>
        <x:v>710.7408110589965</x:v>
      </x:c>
    </x:row>
    <x:row r="150">
      <x:c r="A150" s="48" t="n">
        <x:f>Model_Data!A150</x:f>
        <x:v>14</x:v>
      </x:c>
      <x:c r="B150" s="48" t="n">
        <x:f>0</x:f>
        <x:v>0</x:v>
      </x:c>
      <x:c r="C150" s="48" t="n">
        <x:f>((SQRT((Inputs!$C$52+Inputs!$C$5)^2+Inputs!$C$52^2-2*(Inputs!$C$52+Inputs!$C$5)*Inputs!$C$52*COS(SQRT((Model_Data!A150)^2+Inputs!$C$6^2)/Inputs!$C$52))-Inputs!$C$5)*1000/Inputs!$C$12)</x:f>
        <x:v>723.1174169847241</x:v>
      </x:c>
      <x:c r="D150" s="48" t="n">
        <x:f>Model_Data!F150</x:f>
        <x:v>722.8053364714383</x:v>
      </x:c>
      <x:c r="E150" s="48" t="n">
        <x:f>Model_Data!AC150</x:f>
        <x:v>501.6032485701963</x:v>
      </x:c>
      <x:c r="F150" s="49"/>
      <x:c r="G150" s="48" t="n">
        <x:f>Model_Data!A150</x:f>
        <x:v>14</x:v>
      </x:c>
      <x:c r="H150" s="48" t="n">
        <x:f>0</x:f>
        <x:v>0</x:v>
      </x:c>
      <x:c r="I150" s="48" t="n">
        <x:f>Model_Data!Y150</x:f>
        <x:v>412.55100068044544</x:v>
      </x:c>
      <x:c r="J150" s="48" t="n">
        <x:f>Model_Data!X150</x:f>
        <x:v>17.14805919414721</x:v>
      </x:c>
      <x:c r="K150" s="48" t="n">
        <x:f>Model_Data!A150</x:f>
        <x:v>14</x:v>
      </x:c>
      <x:c r="L150" s="48" t="n">
        <x:f>Model_Data!Y150</x:f>
        <x:v>412.55100068044544</x:v>
      </x:c>
      <x:c r="M150" s="48" t="n">
        <x:f>Model_Data!X150</x:f>
        <x:v>17.14805919414721</x:v>
      </x:c>
      <x:c r="N150" s="48" t="n">
        <x:f>-(Model_Data!AC150-Model_Data!F150)*Inputs!$C$12</x:f>
        <x:v>393.7397164642108</x:v>
      </x:c>
      <x:c r="O150" s="49"/>
      <x:c r="P150" s="48" t="n">
        <x:f>Model_Data!A150</x:f>
        <x:v>14</x:v>
      </x:c>
      <x:c r="Q150" s="48" t="n">
        <x:f>Model_Data!P150</x:f>
        <x:v>-119.7425943531016</x:v>
      </x:c>
      <x:c r="R150" s="48" t="n">
        <x:f>Model_Data!AM150</x:f>
        <x:v>-109.12181689409408</x:v>
      </x:c>
      <x:c r="S150" s="48" t="n">
        <x:f>Model_Data!Q150</x:f>
        <x:v>-17.979368521486727</x:v>
      </x:c>
      <x:c r="T150" s="48" t="n">
        <x:f>Model_Data!AN150</x:f>
        <x:v>-16.38465719130542</x:v>
      </x:c>
      <x:c r="U150" s="49"/>
      <x:c r="V150" s="48" t="n">
        <x:f>Model_Data!A150</x:f>
        <x:v>14</x:v>
      </x:c>
      <x:c r="W150" s="48" t="n">
        <x:f>Model_Data!B150-Inputs!$C$5</x:f>
        <x:v>0.2177777777777692</x:v>
      </x:c>
      <x:c r="X150" s="49"/>
      <x:c r="Y150" s="48" t="n">
        <x:f>Model_Data!A150</x:f>
        <x:v>14</x:v>
      </x:c>
      <x:c r="Z150" s="48" t="n">
        <x:f>0</x:f>
        <x:v>0</x:v>
      </x:c>
      <x:c r="AA150" s="48" t="n">
        <x:f>((SQRT((Inputs!$C$52+Inputs!$C$5)^2+Inputs!$C$52^2-2*(Inputs!$C$52+Inputs!$C$5)*Inputs!$C$52*COS(SQRT((Model_Data!A150)^2+Inputs!$C$6^2)/Inputs!$C$52))-Inputs!$C$5)*1000/Inputs!$C$12)</x:f>
        <x:v>723.1174169847241</x:v>
      </x:c>
      <x:c r="AB150" s="48" t="n">
        <x:f>Model_Data!F150</x:f>
        <x:v>722.8053364714383</x:v>
      </x:c>
    </x:row>
    <x:row r="151">
      <x:c r="A151" s="48" t="n">
        <x:f>Model_Data!A151</x:f>
        <x:v>14.5</x:v>
      </x:c>
      <x:c r="B151" s="48" t="n">
        <x:f>0</x:f>
        <x:v>0</x:v>
      </x:c>
      <x:c r="C151" s="48" t="n">
        <x:f>((SQRT((Inputs!$C$52+Inputs!$C$5)^2+Inputs!$C$52^2-2*(Inputs!$C$52+Inputs!$C$5)*Inputs!$C$52*COS(SQRT((Model_Data!A151)^2+Inputs!$C$6^2)/Inputs!$C$52))-Inputs!$C$5)*1000/Inputs!$C$12)</x:f>
        <x:v>735.6476452129021</x:v>
      </x:c>
      <x:c r="D151" s="48" t="n">
        <x:f>Model_Data!F151</x:f>
        <x:v>735.3071090138205</x:v>
      </x:c>
      <x:c r="E151" s="48" t="n">
        <x:f>Model_Data!AC151</x:f>
        <x:v>518.151007119691</x:v>
      </x:c>
      <x:c r="F151" s="49"/>
      <x:c r="G151" s="48" t="n">
        <x:f>Model_Data!A151</x:f>
        <x:v>14.5</x:v>
      </x:c>
      <x:c r="H151" s="48" t="n">
        <x:f>0</x:f>
        <x:v>0</x:v>
      </x:c>
      <x:c r="I151" s="48" t="n">
        <x:f>Model_Data!Y151</x:f>
        <x:v>415.5675277705944</x:v>
      </x:c>
      <x:c r="J151" s="48" t="n">
        <x:f>Model_Data!X151</x:f>
        <x:v>27.325427950737776</x:v>
      </x:c>
      <x:c r="K151" s="48" t="n">
        <x:f>Model_Data!A151</x:f>
        <x:v>14.5</x:v>
      </x:c>
      <x:c r="L151" s="48" t="n">
        <x:f>Model_Data!Y151</x:f>
        <x:v>415.5675277705944</x:v>
      </x:c>
      <x:c r="M151" s="48" t="n">
        <x:f>Model_Data!X151</x:f>
        <x:v>27.325427950737776</x:v>
      </x:c>
      <x:c r="N151" s="48" t="n">
        <x:f>-(Model_Data!AC151-Model_Data!F151)*Inputs!$C$12</x:f>
        <x:v>386.53786137155055</x:v>
      </x:c>
      <x:c r="O151" s="49"/>
      <x:c r="P151" s="48" t="n">
        <x:f>Model_Data!A151</x:f>
        <x:v>14.5</x:v>
      </x:c>
      <x:c r="Q151" s="48" t="n">
        <x:f>Model_Data!P151</x:f>
        <x:v>-124.0104866564252</x:v>
      </x:c>
      <x:c r="R151" s="48" t="n">
        <x:f>Model_Data!AM151</x:f>
        <x:v>-145.14355631799845</x:v>
      </x:c>
      <x:c r="S151" s="48" t="n">
        <x:f>Model_Data!Q151</x:f>
        <x:v>-18.62019319165544</x:v>
      </x:c>
      <x:c r="T151" s="48" t="n">
        <x:f>Model_Data!AN151</x:f>
        <x:v>-21.79332677447424</x:v>
      </x:c>
      <x:c r="U151" s="49"/>
      <x:c r="V151" s="48" t="n">
        <x:f>Model_Data!A151</x:f>
        <x:v>14.5</x:v>
      </x:c>
      <x:c r="W151" s="48" t="n">
        <x:f>Model_Data!B151-Inputs!$C$5</x:f>
        <x:v>0.23361111111108812</x:v>
      </x:c>
      <x:c r="X151" s="49"/>
      <x:c r="Y151" s="48" t="n">
        <x:f>Model_Data!A151</x:f>
        <x:v>14.5</x:v>
      </x:c>
      <x:c r="Z151" s="48" t="n">
        <x:f>0</x:f>
        <x:v>0</x:v>
      </x:c>
      <x:c r="AA151" s="48" t="n">
        <x:f>((SQRT((Inputs!$C$52+Inputs!$C$5)^2+Inputs!$C$52^2-2*(Inputs!$C$52+Inputs!$C$5)*Inputs!$C$52*COS(SQRT((Model_Data!A151)^2+Inputs!$C$6^2)/Inputs!$C$52))-Inputs!$C$5)*1000/Inputs!$C$12)</x:f>
        <x:v>735.6476452129021</x:v>
      </x:c>
      <x:c r="AB151" s="48" t="n">
        <x:f>Model_Data!F151</x:f>
        <x:v>735.3071090138205</x:v>
      </x:c>
    </x:row>
    <x:row r="152">
      <x:c r="A152" s="48" t="n">
        <x:f>Model_Data!A152</x:f>
        <x:v>15</x:v>
      </x:c>
      <x:c r="B152" s="48" t="n">
        <x:f>0</x:f>
        <x:v>0</x:v>
      </x:c>
      <x:c r="C152" s="48" t="n">
        <x:f>((SQRT((Inputs!$C$52+Inputs!$C$5)^2+Inputs!$C$52^2-2*(Inputs!$C$52+Inputs!$C$5)*Inputs!$C$52*COS(SQRT((Model_Data!A152)^2+Inputs!$C$6^2)/Inputs!$C$52))-Inputs!$C$5)*1000/Inputs!$C$12)</x:f>
        <x:v>748.6167842668547</x:v>
      </x:c>
      <x:c r="D152" s="48" t="n">
        <x:f>Model_Data!F152</x:f>
        <x:v>748.2459723916826</x:v>
      </x:c>
      <x:c r="E152" s="48" t="n">
        <x:f>Model_Data!AC152</x:f>
        <x:v>550.3152412227324</x:v>
      </x:c>
      <x:c r="F152" s="49"/>
      <x:c r="G152" s="48" t="n">
        <x:f>Model_Data!A152</x:f>
        <x:v>15</x:v>
      </x:c>
      <x:c r="H152" s="48" t="n">
        <x:f>0</x:f>
        <x:v>0</x:v>
      </x:c>
      <x:c r="I152" s="48" t="n">
        <x:f>Model_Data!Y152</x:f>
        <x:v>399.34593170493116</x:v>
      </x:c>
      <x:c r="J152" s="48" t="n">
        <x:f>Model_Data!X152</x:f>
        <x:v>45.362905639140564</x:v>
      </x:c>
      <x:c r="K152" s="48" t="n">
        <x:f>Model_Data!A152</x:f>
        <x:v>15</x:v>
      </x:c>
      <x:c r="L152" s="48" t="n">
        <x:f>Model_Data!Y152</x:f>
        <x:v>399.34593170493116</x:v>
      </x:c>
      <x:c r="M152" s="48" t="n">
        <x:f>Model_Data!X152</x:f>
        <x:v>45.362905639140564</x:v>
      </x:c>
      <x:c r="N152" s="48" t="n">
        <x:f>-(Model_Data!AC152-Model_Data!F152)*Inputs!$C$12</x:f>
        <x:v>352.3167014807313</x:v>
      </x:c>
      <x:c r="O152" s="49"/>
      <x:c r="P152" s="48" t="n">
        <x:f>Model_Data!A152</x:f>
        <x:v>15</x:v>
      </x:c>
      <x:c r="Q152" s="48" t="n">
        <x:f>Model_Data!P152</x:f>
        <x:v>-128.2774733243059</x:v>
      </x:c>
      <x:c r="R152" s="48" t="n">
        <x:f>Model_Data!AM152</x:f>
        <x:v>-160.1607348960897</x:v>
      </x:c>
      <x:c r="S152" s="48" t="n">
        <x:f>Model_Data!Q152</x:f>
        <x:v>-19.260881880526412</x:v>
      </x:c>
      <x:c r="T152" s="48" t="n">
        <x:f>Model_Data!AN152</x:f>
        <x:v>-24.048158392806265</x:v>
      </x:c>
      <x:c r="U152" s="49"/>
      <x:c r="V152" s="48" t="n">
        <x:f>Model_Data!A152</x:f>
        <x:v>15</x:v>
      </x:c>
      <x:c r="W152" s="48" t="n">
        <x:f>Model_Data!B152-Inputs!$C$5</x:f>
        <x:v>0.25</x:v>
      </x:c>
      <x:c r="X152" s="49"/>
      <x:c r="Y152" s="48" t="n">
        <x:f>Model_Data!A152</x:f>
        <x:v>15</x:v>
      </x:c>
      <x:c r="Z152" s="48" t="n">
        <x:f>0</x:f>
        <x:v>0</x:v>
      </x:c>
      <x:c r="AA152" s="48" t="n">
        <x:f>((SQRT((Inputs!$C$52+Inputs!$C$5)^2+Inputs!$C$52^2-2*(Inputs!$C$52+Inputs!$C$5)*Inputs!$C$52*COS(SQRT((Model_Data!A152)^2+Inputs!$C$6^2)/Inputs!$C$52))-Inputs!$C$5)*1000/Inputs!$C$12)</x:f>
        <x:v>748.6167842668547</x:v>
      </x:c>
      <x:c r="AB152" s="48" t="n">
        <x:f>Model_Data!F152</x:f>
        <x:v>748.2459723916826</x:v>
      </x:c>
    </x:row>
    <x:row r="153">
      <x:c r="A153" s="48" t="n">
        <x:f>Model_Data!A153</x:f>
        <x:v>15.5</x:v>
      </x:c>
      <x:c r="B153" s="48" t="n">
        <x:f>0</x:f>
        <x:v>0</x:v>
      </x:c>
      <x:c r="C153" s="48" t="n">
        <x:f>((SQRT((Inputs!$C$52+Inputs!$C$5)^2+Inputs!$C$52^2-2*(Inputs!$C$52+Inputs!$C$5)*Inputs!$C$52*COS(SQRT((Model_Data!A153)^2+Inputs!$C$6^2)/Inputs!$C$52))-Inputs!$C$5)*1000/Inputs!$C$12)</x:f>
        <x:v>762.0247570816274</x:v>
      </x:c>
      <x:c r="D153" s="48" t="n">
        <x:f>Model_Data!F153</x:f>
        <x:v>761.6217649095123</x:v>
      </x:c>
      <x:c r="E153" s="48" t="n">
        <x:f>Model_Data!AC153</x:f>
        <x:v>567.8880170454719</x:v>
      </x:c>
      <x:c r="F153" s="49"/>
      <x:c r="G153" s="48" t="n">
        <x:f>Model_Data!A153</x:f>
        <x:v>15.5</x:v>
      </x:c>
      <x:c r="H153" s="48" t="n">
        <x:f>0</x:f>
        <x:v>0</x:v>
      </x:c>
      <x:c r="I153" s="48" t="n">
        <x:f>Model_Data!Y153</x:f>
        <x:v>395.616361037493</x:v>
      </x:c>
      <x:c r="J153" s="48" t="n">
        <x:f>Model_Data!X153</x:f>
        <x:v>49.090179641950456</x:v>
      </x:c>
      <x:c r="K153" s="48" t="n">
        <x:f>Model_Data!A153</x:f>
        <x:v>15.5</x:v>
      </x:c>
      <x:c r="L153" s="48" t="n">
        <x:f>Model_Data!Y153</x:f>
        <x:v>395.616361037493</x:v>
      </x:c>
      <x:c r="M153" s="48" t="n">
        <x:f>Model_Data!X153</x:f>
        <x:v>49.090179641950456</x:v>
      </x:c>
      <x:c r="N153" s="48" t="n">
        <x:f>-(Model_Data!AC153-Model_Data!F153)*Inputs!$C$12</x:f>
        <x:v>344.84607119799193</x:v>
      </x:c>
      <x:c r="O153" s="49"/>
      <x:c r="P153" s="48" t="n">
        <x:f>Model_Data!A153</x:f>
        <x:v>15.5</x:v>
      </x:c>
      <x:c r="Q153" s="48" t="n">
        <x:f>Model_Data!P153</x:f>
        <x:v>-132.5435235945406</x:v>
      </x:c>
      <x:c r="R153" s="48" t="n">
        <x:f>Model_Data!AM153</x:f>
        <x:v>-131.10580275870234</x:v>
      </x:c>
      <x:c r="S153" s="48" t="n">
        <x:f>Model_Data!Q153</x:f>
        <x:v>-19.901429969150243</x:v>
      </x:c>
      <x:c r="T153" s="48" t="n">
        <x:f>Model_Data!AN153</x:f>
        <x:v>-19.685555969775127</x:v>
      </x:c>
      <x:c r="U153" s="49"/>
      <x:c r="V153" s="48" t="n">
        <x:f>Model_Data!A153</x:f>
        <x:v>15.5</x:v>
      </x:c>
      <x:c r="W153" s="48" t="n">
        <x:f>Model_Data!B153-Inputs!$C$5</x:f>
        <x:v>0.266944444444448</x:v>
      </x:c>
      <x:c r="X153" s="49"/>
      <x:c r="Y153" s="48" t="n">
        <x:f>Model_Data!A153</x:f>
        <x:v>15.5</x:v>
      </x:c>
      <x:c r="Z153" s="48" t="n">
        <x:f>0</x:f>
        <x:v>0</x:v>
      </x:c>
      <x:c r="AA153" s="48" t="n">
        <x:f>((SQRT((Inputs!$C$52+Inputs!$C$5)^2+Inputs!$C$52^2-2*(Inputs!$C$52+Inputs!$C$5)*Inputs!$C$52*COS(SQRT((Model_Data!A153)^2+Inputs!$C$6^2)/Inputs!$C$52))-Inputs!$C$5)*1000/Inputs!$C$12)</x:f>
        <x:v>762.0247570816274</x:v>
      </x:c>
      <x:c r="AB153" s="48" t="n">
        <x:f>Model_Data!F153</x:f>
        <x:v>761.6217649095123</x:v>
      </x:c>
    </x:row>
    <x:row r="154">
      <x:c r="A154" s="48" t="n">
        <x:f>Model_Data!A154</x:f>
        <x:v>16</x:v>
      </x:c>
      <x:c r="B154" s="48" t="n">
        <x:f>0</x:f>
        <x:v>0</x:v>
      </x:c>
      <x:c r="C154" s="48" t="n">
        <x:f>((SQRT((Inputs!$C$52+Inputs!$C$5)^2+Inputs!$C$52^2-2*(Inputs!$C$52+Inputs!$C$5)*Inputs!$C$52*COS(SQRT((Model_Data!A154)^2+Inputs!$C$6^2)/Inputs!$C$52))-Inputs!$C$5)*1000/Inputs!$C$12)</x:f>
        <x:v>775.8714840006216</x:v>
      </x:c>
      <x:c r="D154" s="48" t="n">
        <x:f>Model_Data!F154</x:f>
        <x:v>775.4343194715455</x:v>
      </x:c>
      <x:c r="E154" s="48" t="n">
        <x:f>Model_Data!AC154</x:f>
        <x:v>590.6826371130727</x:v>
      </x:c>
      <x:c r="F154" s="49"/>
      <x:c r="G154" s="48" t="n">
        <x:f>Model_Data!A154</x:f>
        <x:v>16</x:v>
      </x:c>
      <x:c r="H154" s="48" t="n">
        <x:f>0</x:f>
        <x:v>0</x:v>
      </x:c>
      <x:c r="I154" s="48" t="n">
        <x:f>Model_Data!Y154</x:f>
        <x:v>400.30891755789503</x:v>
      </x:c>
      <x:c r="J154" s="48" t="n">
        <x:f>Model_Data!X154</x:f>
        <x:v>69.7201880441823</x:v>
      </x:c>
      <x:c r="K154" s="48" t="n">
        <x:f>Model_Data!A154</x:f>
        <x:v>16</x:v>
      </x:c>
      <x:c r="L154" s="48" t="n">
        <x:f>Model_Data!Y154</x:f>
        <x:v>400.30891755789503</x:v>
      </x:c>
      <x:c r="M154" s="48" t="n">
        <x:f>Model_Data!X154</x:f>
        <x:v>69.7201880441823</x:v>
      </x:c>
      <x:c r="N154" s="48" t="n">
        <x:f>-(Model_Data!AC154-Model_Data!F154)*Inputs!$C$12</x:f>
        <x:v>328.8579945980815</x:v>
      </x:c>
      <x:c r="O154" s="49"/>
      <x:c r="P154" s="48" t="n">
        <x:f>Model_Data!A154</x:f>
        <x:v>16</x:v>
      </x:c>
      <x:c r="Q154" s="48" t="n">
        <x:f>Model_Data!P154</x:f>
        <x:v>-136.80860673657662</x:v>
      </x:c>
      <x:c r="R154" s="48" t="n">
        <x:f>Model_Data!AM154</x:f>
        <x:v>-120.04510651404416</x:v>
      </x:c>
      <x:c r="S154" s="48" t="n">
        <x:f>Model_Data!Q154</x:f>
        <x:v>-20.541832843329825</x:v>
      </x:c>
      <x:c r="T154" s="48" t="n">
        <x:f>Model_Data!AN154</x:f>
        <x:v>-18.0247907678745</x:v>
      </x:c>
      <x:c r="U154" s="49"/>
      <x:c r="V154" s="48" t="n">
        <x:f>Model_Data!A154</x:f>
        <x:v>16</x:v>
      </x:c>
      <x:c r="W154" s="48" t="n">
        <x:f>Model_Data!B154-Inputs!$C$5</x:f>
        <x:v>0.28444444444443207</x:v>
      </x:c>
      <x:c r="X154" s="49"/>
      <x:c r="Y154" s="48" t="n">
        <x:f>Model_Data!A154</x:f>
        <x:v>16</x:v>
      </x:c>
      <x:c r="Z154" s="48" t="n">
        <x:f>0</x:f>
        <x:v>0</x:v>
      </x:c>
      <x:c r="AA154" s="48" t="n">
        <x:f>((SQRT((Inputs!$C$52+Inputs!$C$5)^2+Inputs!$C$52^2-2*(Inputs!$C$52+Inputs!$C$5)*Inputs!$C$52*COS(SQRT((Model_Data!A154)^2+Inputs!$C$6^2)/Inputs!$C$52))-Inputs!$C$5)*1000/Inputs!$C$12)</x:f>
        <x:v>775.8714840006216</x:v>
      </x:c>
      <x:c r="AB154" s="48" t="n">
        <x:f>Model_Data!F154</x:f>
        <x:v>775.4343194715455</x:v>
      </x:c>
    </x:row>
    <x:row r="155">
      <x:c r="A155" s="48" t="n">
        <x:f>Model_Data!A155</x:f>
        <x:v>16.5</x:v>
      </x:c>
      <x:c r="B155" s="48" t="n">
        <x:f>0</x:f>
        <x:v>0</x:v>
      </x:c>
      <x:c r="C155" s="48" t="n">
        <x:f>((SQRT((Inputs!$C$52+Inputs!$C$5)^2+Inputs!$C$52^2-2*(Inputs!$C$52+Inputs!$C$5)*Inputs!$C$52*COS(SQRT((Model_Data!A155)^2+Inputs!$C$6^2)/Inputs!$C$52))-Inputs!$C$5)*1000/Inputs!$C$12)</x:f>
        <x:v>790.1568827831939</x:v>
      </x:c>
      <x:c r="D155" s="48" t="n">
        <x:f>Model_Data!F155</x:f>
        <x:v>789.6834635919838</x:v>
      </x:c>
      <x:c r="E155" s="48" t="n">
        <x:f>Model_Data!AC155</x:f>
        <x:v>602.6586096200855</x:v>
      </x:c>
      <x:c r="F155" s="49"/>
      <x:c r="G155" s="48" t="n">
        <x:f>Model_Data!A155</x:f>
        <x:v>16.5</x:v>
      </x:c>
      <x:c r="H155" s="48" t="n">
        <x:f>0</x:f>
        <x:v>0</x:v>
      </x:c>
      <x:c r="I155" s="48" t="n">
        <x:f>Model_Data!Y155</x:f>
        <x:v>406.20178346502695</x:v>
      </x:c>
      <x:c r="J155" s="48" t="n">
        <x:f>Model_Data!X155</x:f>
        <x:v>71.50919840907298</x:v>
      </x:c>
      <x:c r="K155" s="48" t="n">
        <x:f>Model_Data!A155</x:f>
        <x:v>16.5</x:v>
      </x:c>
      <x:c r="L155" s="48" t="n">
        <x:f>Model_Data!Y155</x:f>
        <x:v>406.20178346502695</x:v>
      </x:c>
      <x:c r="M155" s="48" t="n">
        <x:f>Model_Data!X155</x:f>
        <x:v>71.50919840907298</x:v>
      </x:c>
      <x:c r="N155" s="48" t="n">
        <x:f>-(Model_Data!AC155-Model_Data!F155)*Inputs!$C$12</x:f>
        <x:v>332.90424006997904</x:v>
      </x:c>
      <x:c r="O155" s="49"/>
      <x:c r="P155" s="48" t="n">
        <x:f>Model_Data!A155</x:f>
        <x:v>16.5</x:v>
      </x:c>
      <x:c r="Q155" s="48" t="n">
        <x:f>Model_Data!P155</x:f>
        <x:v>-141.07269207324862</x:v>
      </x:c>
      <x:c r="R155" s="48" t="n">
        <x:f>Model_Data!AM155</x:f>
        <x:v>-137.05256517414455</x:v>
      </x:c>
      <x:c r="S155" s="48" t="n">
        <x:f>Model_Data!Q155</x:f>
        <x:v>-21.18208589688418</x:v>
      </x:c>
      <x:c r="T155" s="48" t="n">
        <x:f>Model_Data!AN155</x:f>
        <x:v>-20.578463239361046</x:v>
      </x:c>
      <x:c r="U155" s="49"/>
      <x:c r="V155" s="48" t="n">
        <x:f>Model_Data!A155</x:f>
        <x:v>16.5</x:v>
      </x:c>
      <x:c r="W155" s="48" t="n">
        <x:f>Model_Data!B155-Inputs!$C$5</x:f>
        <x:v>0.3025000000000091</x:v>
      </x:c>
      <x:c r="X155" s="49"/>
      <x:c r="Y155" s="48" t="n">
        <x:f>Model_Data!A155</x:f>
        <x:v>16.5</x:v>
      </x:c>
      <x:c r="Z155" s="48" t="n">
        <x:f>0</x:f>
        <x:v>0</x:v>
      </x:c>
      <x:c r="AA155" s="48" t="n">
        <x:f>((SQRT((Inputs!$C$52+Inputs!$C$5)^2+Inputs!$C$52^2-2*(Inputs!$C$52+Inputs!$C$5)*Inputs!$C$52*COS(SQRT((Model_Data!A155)^2+Inputs!$C$6^2)/Inputs!$C$52))-Inputs!$C$5)*1000/Inputs!$C$12)</x:f>
        <x:v>790.1568827831939</x:v>
      </x:c>
      <x:c r="AB155" s="48" t="n">
        <x:f>Model_Data!F155</x:f>
        <x:v>789.6834635919838</x:v>
      </x:c>
    </x:row>
    <x:row r="156">
      <x:c r="A156" s="48" t="n">
        <x:f>Model_Data!A156</x:f>
        <x:v>17</x:v>
      </x:c>
      <x:c r="B156" s="48" t="n">
        <x:f>0</x:f>
        <x:v>0</x:v>
      </x:c>
      <x:c r="C156" s="48" t="n">
        <x:f>((SQRT((Inputs!$C$52+Inputs!$C$5)^2+Inputs!$C$52^2-2*(Inputs!$C$52+Inputs!$C$5)*Inputs!$C$52*COS(SQRT((Model_Data!A156)^2+Inputs!$C$6^2)/Inputs!$C$52))-Inputs!$C$5)*1000/Inputs!$C$12)</x:f>
        <x:v>804.8808686017826</x:v>
      </x:c>
      <x:c r="D156" s="48" t="n">
        <x:f>Model_Data!F156</x:f>
        <x:v>804.3690194036186</x:v>
      </x:c>
      <x:c r="E156" s="48" t="n">
        <x:f>Model_Data!AC156</x:f>
        <x:v>611.950718920336</x:v>
      </x:c>
      <x:c r="F156" s="49"/>
      <x:c r="G156" s="48" t="n">
        <x:f>Model_Data!A156</x:f>
        <x:v>17</x:v>
      </x:c>
      <x:c r="H156" s="48" t="n">
        <x:f>0</x:f>
        <x:v>0</x:v>
      </x:c>
      <x:c r="I156" s="48" t="n">
        <x:f>Model_Data!Y156</x:f>
        <x:v>402.8973585501548</x:v>
      </x:c>
      <x:c r="J156" s="48" t="n">
        <x:f>Model_Data!X156</x:f>
        <x:v>58.586187093984584</x:v>
      </x:c>
      <x:c r="K156" s="48" t="n">
        <x:f>Model_Data!A156</x:f>
        <x:v>17</x:v>
      </x:c>
      <x:c r="L156" s="48" t="n">
        <x:f>Model_Data!Y156</x:f>
        <x:v>402.8973585501548</x:v>
      </x:c>
      <x:c r="M156" s="48" t="n">
        <x:f>Model_Data!X156</x:f>
        <x:v>58.586187093984584</x:v>
      </x:c>
      <x:c r="N156" s="48" t="n">
        <x:f>-(Model_Data!AC156-Model_Data!F156)*Inputs!$C$12</x:f>
        <x:v>342.504574860243</x:v>
      </x:c>
      <x:c r="O156" s="49"/>
      <x:c r="P156" s="48" t="n">
        <x:f>Model_Data!A156</x:f>
        <x:v>17</x:v>
      </x:c>
      <x:c r="Q156" s="48" t="n">
        <x:f>Model_Data!P156</x:f>
        <x:v>-145.33574898605366</x:v>
      </x:c>
      <x:c r="R156" s="48" t="n">
        <x:f>Model_Data!AM156</x:f>
        <x:v>-135.2580367196424</x:v>
      </x:c>
      <x:c r="S156" s="48" t="n">
        <x:f>Model_Data!Q156</x:f>
        <x:v>-21.82218453244049</x:v>
      </x:c>
      <x:c r="T156" s="48" t="n">
        <x:f>Model_Data!AN156</x:f>
        <x:v>-20.309014522468832</x:v>
      </x:c>
      <x:c r="U156" s="49"/>
      <x:c r="V156" s="48" t="n">
        <x:f>Model_Data!A156</x:f>
        <x:v>17</x:v>
      </x:c>
      <x:c r="W156" s="48" t="n">
        <x:f>Model_Data!B156-Inputs!$C$5</x:f>
        <x:v>0.3211111111111222</x:v>
      </x:c>
      <x:c r="X156" s="49"/>
      <x:c r="Y156" s="48" t="n">
        <x:f>Model_Data!A156</x:f>
        <x:v>17</x:v>
      </x:c>
      <x:c r="Z156" s="48" t="n">
        <x:f>0</x:f>
        <x:v>0</x:v>
      </x:c>
      <x:c r="AA156" s="48" t="n">
        <x:f>((SQRT((Inputs!$C$52+Inputs!$C$5)^2+Inputs!$C$52^2-2*(Inputs!$C$52+Inputs!$C$5)*Inputs!$C$52*COS(SQRT((Model_Data!A156)^2+Inputs!$C$6^2)/Inputs!$C$52))-Inputs!$C$5)*1000/Inputs!$C$12)</x:f>
        <x:v>804.8808686017826</x:v>
      </x:c>
      <x:c r="AB156" s="48" t="n">
        <x:f>Model_Data!F156</x:f>
        <x:v>804.3690194036186</x:v>
      </x:c>
    </x:row>
    <x:row r="157">
      <x:c r="A157" s="48" t="n">
        <x:f>Model_Data!A157</x:f>
        <x:v>17.5</x:v>
      </x:c>
      <x:c r="B157" s="48" t="n">
        <x:f>0</x:f>
        <x:v>0</x:v>
      </x:c>
      <x:c r="C157" s="48" t="n">
        <x:f>((SQRT((Inputs!$C$52+Inputs!$C$5)^2+Inputs!$C$52^2-2*(Inputs!$C$52+Inputs!$C$5)*Inputs!$C$52*COS(SQRT((Model_Data!A157)^2+Inputs!$C$6^2)/Inputs!$C$52))-Inputs!$C$5)*1000/Inputs!$C$12)</x:f>
        <x:v>820.0433540484541</x:v>
      </x:c>
      <x:c r="D157" s="48" t="n">
        <x:f>Model_Data!F157</x:f>
        <x:v>819.4908036698047</x:v>
      </x:c>
      <x:c r="E157" s="48" t="n">
        <x:f>Model_Data!AC157</x:f>
        <x:v>625.6707230353426</x:v>
      </x:c>
      <x:c r="F157" s="49"/>
      <x:c r="G157" s="48" t="n">
        <x:f>Model_Data!A157</x:f>
        <x:v>17.5</x:v>
      </x:c>
      <x:c r="H157" s="48" t="n">
        <x:f>0</x:f>
        <x:v>0</x:v>
      </x:c>
      <x:c r="I157" s="48" t="n">
        <x:f>Model_Data!Y157</x:f>
        <x:v>412.59673853506814</x:v>
      </x:c>
      <x:c r="J157" s="48" t="n">
        <x:f>Model_Data!X157</x:f>
        <x:v>65.71226511619231</x:v>
      </x:c>
      <x:c r="K157" s="48" t="n">
        <x:f>Model_Data!A157</x:f>
        <x:v>17.5</x:v>
      </x:c>
      <x:c r="L157" s="48" t="n">
        <x:f>Model_Data!Y157</x:f>
        <x:v>412.59673853506814</x:v>
      </x:c>
      <x:c r="M157" s="48" t="n">
        <x:f>Model_Data!X157</x:f>
        <x:v>65.71226511619231</x:v>
      </x:c>
      <x:c r="N157" s="48" t="n">
        <x:f>-(Model_Data!AC157-Model_Data!F157)*Inputs!$C$12</x:f>
        <x:v>344.99974352934254</x:v>
      </x:c>
      <x:c r="O157" s="49"/>
      <x:c r="P157" s="48" t="n">
        <x:f>Model_Data!A157</x:f>
        <x:v>17.5</x:v>
      </x:c>
      <x:c r="Q157" s="48" t="n">
        <x:f>Model_Data!P157</x:f>
        <x:v>-149.59774689641563</x:v>
      </x:c>
      <x:c r="R157" s="48" t="n">
        <x:f>Model_Data!AM157</x:f>
        <x:v>-126.66363410589838</x:v>
      </x:c>
      <x:c r="S157" s="48" t="n">
        <x:f>Model_Data!Q157</x:f>
        <x:v>-22.462124158620966</x:v>
      </x:c>
      <x:c r="T157" s="48" t="n">
        <x:f>Model_Data!AN157</x:f>
        <x:v>-19.018563679564323</x:v>
      </x:c>
      <x:c r="U157" s="49"/>
      <x:c r="V157" s="48" t="n">
        <x:f>Model_Data!A157</x:f>
        <x:v>17.5</x:v>
      </x:c>
      <x:c r="W157" s="48" t="n">
        <x:f>Model_Data!B157-Inputs!$C$5</x:f>
        <x:v>0.34027777777777146</x:v>
      </x:c>
      <x:c r="X157" s="49"/>
      <x:c r="Y157" s="48" t="n">
        <x:f>Model_Data!A157</x:f>
        <x:v>17.5</x:v>
      </x:c>
      <x:c r="Z157" s="48" t="n">
        <x:f>0</x:f>
        <x:v>0</x:v>
      </x:c>
      <x:c r="AA157" s="48" t="n">
        <x:f>((SQRT((Inputs!$C$52+Inputs!$C$5)^2+Inputs!$C$52^2-2*(Inputs!$C$52+Inputs!$C$5)*Inputs!$C$52*COS(SQRT((Model_Data!A157)^2+Inputs!$C$6^2)/Inputs!$C$52))-Inputs!$C$5)*1000/Inputs!$C$12)</x:f>
        <x:v>820.0433540484541</x:v>
      </x:c>
      <x:c r="AB157" s="48" t="n">
        <x:f>Model_Data!F157</x:f>
        <x:v>819.4908036698047</x:v>
      </x:c>
    </x:row>
    <x:row r="158">
      <x:c r="A158" s="48" t="n">
        <x:f>Model_Data!A158</x:f>
        <x:v>18</x:v>
      </x:c>
      <x:c r="B158" s="48" t="n">
        <x:f>0</x:f>
        <x:v>0</x:v>
      </x:c>
      <x:c r="C158" s="48" t="n">
        <x:f>((SQRT((Inputs!$C$52+Inputs!$C$5)^2+Inputs!$C$52^2-2*(Inputs!$C$52+Inputs!$C$5)*Inputs!$C$52*COS(SQRT((Model_Data!A158)^2+Inputs!$C$6^2)/Inputs!$C$52))-Inputs!$C$5)*1000/Inputs!$C$12)</x:f>
        <x:v>835.6442491352863</x:v>
      </x:c>
      <x:c r="D158" s="48" t="n">
        <x:f>Model_Data!F158</x:f>
        <x:v>835.0486277864097</x:v>
      </x:c>
      <x:c r="E158" s="48" t="n">
        <x:f>Model_Data!AC158</x:f>
        <x:v>641.272450083539</x:v>
      </x:c>
      <x:c r="F158" s="49"/>
      <x:c r="G158" s="48" t="n">
        <x:f>Model_Data!A158</x:f>
        <x:v>18</x:v>
      </x:c>
      <x:c r="H158" s="48" t="n">
        <x:f>0</x:f>
        <x:v>0</x:v>
      </x:c>
      <x:c r="I158" s="48" t="n">
        <x:f>Model_Data!Y158</x:f>
        <x:v>417.3671248555401</x:v>
      </x:c>
      <x:c r="J158" s="48" t="n">
        <x:f>Model_Data!X158</x:f>
        <x:v>70.50298613715029</x:v>
      </x:c>
      <x:c r="K158" s="48" t="n">
        <x:f>Model_Data!A158</x:f>
        <x:v>18</x:v>
      </x:c>
      <x:c r="L158" s="48" t="n">
        <x:f>Model_Data!Y158</x:f>
        <x:v>417.3671248555401</x:v>
      </x:c>
      <x:c r="M158" s="48" t="n">
        <x:f>Model_Data!X158</x:f>
        <x:v>70.50298613715029</x:v>
      </x:c>
      <x:c r="N158" s="48" t="n">
        <x:f>-(Model_Data!AC158-Model_Data!F158)*Inputs!$C$12</x:f>
        <x:v>344.92159631110997</x:v>
      </x:c>
      <x:c r="O158" s="49"/>
      <x:c r="P158" s="48" t="n">
        <x:f>Model_Data!A158</x:f>
        <x:v>18</x:v>
      </x:c>
      <x:c r="Q158" s="48" t="n">
        <x:f>Model_Data!P158</x:f>
        <x:v>-153.85865527787246</x:v>
      </x:c>
      <x:c r="R158" s="48" t="n">
        <x:f>Model_Data!AM158</x:f>
        <x:v>-151.69053844329028</x:v>
      </x:c>
      <x:c r="S158" s="48" t="n">
        <x:f>Model_Data!Q158</x:f>
        <x:v>-23.101900191872744</x:v>
      </x:c>
      <x:c r="T158" s="48" t="n">
        <x:f>Model_Data!AN158</x:f>
        <x:v>-22.77635712361716</x:v>
      </x:c>
      <x:c r="U158" s="49"/>
      <x:c r="V158" s="48" t="n">
        <x:f>Model_Data!A158</x:f>
        <x:v>18</x:v>
      </x:c>
      <x:c r="W158" s="48" t="n">
        <x:f>Model_Data!B158-Inputs!$C$5</x:f>
        <x:v>0.36000000000001364</x:v>
      </x:c>
      <x:c r="X158" s="49"/>
      <x:c r="Y158" s="48" t="n">
        <x:f>Model_Data!A158</x:f>
        <x:v>18</x:v>
      </x:c>
      <x:c r="Z158" s="48" t="n">
        <x:f>0</x:f>
        <x:v>0</x:v>
      </x:c>
      <x:c r="AA158" s="48" t="n">
        <x:f>((SQRT((Inputs!$C$52+Inputs!$C$5)^2+Inputs!$C$52^2-2*(Inputs!$C$52+Inputs!$C$5)*Inputs!$C$52*COS(SQRT((Model_Data!A158)^2+Inputs!$C$6^2)/Inputs!$C$52))-Inputs!$C$5)*1000/Inputs!$C$12)</x:f>
        <x:v>835.6442491352863</x:v>
      </x:c>
      <x:c r="AB158" s="48" t="n">
        <x:f>Model_Data!F158</x:f>
        <x:v>835.0486277864097</x:v>
      </x:c>
    </x:row>
    <x:row r="159">
      <x:c r="A159" s="48" t="n">
        <x:f>Model_Data!A159</x:f>
        <x:v>18.5</x:v>
      </x:c>
      <x:c r="B159" s="48" t="n">
        <x:f>0</x:f>
        <x:v>0</x:v>
      </x:c>
      <x:c r="C159" s="48" t="n">
        <x:f>((SQRT((Inputs!$C$52+Inputs!$C$5)^2+Inputs!$C$52^2-2*(Inputs!$C$52+Inputs!$C$5)*Inputs!$C$52*COS(SQRT((Model_Data!A159)^2+Inputs!$C$6^2)/Inputs!$C$52))-Inputs!$C$5)*1000/Inputs!$C$12)</x:f>
        <x:v>851.6834612977212</x:v>
      </x:c>
      <x:c r="D159" s="48" t="n">
        <x:f>Model_Data!F159</x:f>
        <x:v>851.0422977982597</x:v>
      </x:c>
      <x:c r="E159" s="48" t="n">
        <x:f>Model_Data!AC159</x:f>
        <x:v>666.8213603992552</x:v>
      </x:c>
      <x:c r="F159" s="49"/>
      <x:c r="G159" s="48" t="n">
        <x:f>Model_Data!A159</x:f>
        <x:v>18.5</x:v>
      </x:c>
      <x:c r="H159" s="48" t="n">
        <x:f>0</x:f>
        <x:v>0</x:v>
      </x:c>
      <x:c r="I159" s="48" t="n">
        <x:f>Model_Data!Y159</x:f>
        <x:v>414.03078360208366</x:v>
      </x:c>
      <x:c r="J159" s="48" t="n">
        <x:f>Model_Data!X159</x:f>
        <x:v>84.15381309689964</x:v>
      </x:c>
      <x:c r="K159" s="48" t="n">
        <x:f>Model_Data!A159</x:f>
        <x:v>18.5</x:v>
      </x:c>
      <x:c r="L159" s="48" t="n">
        <x:f>Model_Data!Y159</x:f>
        <x:v>414.03078360208366</x:v>
      </x:c>
      <x:c r="M159" s="48" t="n">
        <x:f>Model_Data!X159</x:f>
        <x:v>84.15381309689964</x:v>
      </x:c>
      <x:c r="N159" s="48" t="n">
        <x:f>-(Model_Data!AC159-Model_Data!F159)*Inputs!$C$12</x:f>
        <x:v>327.91326857022796</x:v>
      </x:c>
      <x:c r="O159" s="49"/>
      <x:c r="P159" s="48" t="n">
        <x:f>Model_Data!A159</x:f>
        <x:v>18.5</x:v>
      </x:c>
      <x:c r="Q159" s="48" t="n">
        <x:f>Model_Data!P159</x:f>
        <x:v>-158.1184436692638</x:v>
      </x:c>
      <x:c r="R159" s="48" t="n">
        <x:f>Model_Data!AM159</x:f>
        <x:v>-139.1757167734795</x:v>
      </x:c>
      <x:c r="S159" s="48" t="n">
        <x:f>Model_Data!Q159</x:f>
        <x:v>-23.74150805844802</x:v>
      </x:c>
      <x:c r="T159" s="48" t="n">
        <x:f>Model_Data!AN159</x:f>
        <x:v>-20.89725477079272</x:v>
      </x:c>
      <x:c r="U159" s="49"/>
      <x:c r="V159" s="48" t="n">
        <x:f>Model_Data!A159</x:f>
        <x:v>18.5</x:v>
      </x:c>
      <x:c r="W159" s="48" t="n">
        <x:f>Model_Data!B159-Inputs!$C$5</x:f>
        <x:v>0.3802777777777919</x:v>
      </x:c>
      <x:c r="X159" s="49"/>
      <x:c r="Y159" s="48" t="n">
        <x:f>Model_Data!A159</x:f>
        <x:v>18.5</x:v>
      </x:c>
      <x:c r="Z159" s="48" t="n">
        <x:f>0</x:f>
        <x:v>0</x:v>
      </x:c>
      <x:c r="AA159" s="48" t="n">
        <x:f>((SQRT((Inputs!$C$52+Inputs!$C$5)^2+Inputs!$C$52^2-2*(Inputs!$C$52+Inputs!$C$5)*Inputs!$C$52*COS(SQRT((Model_Data!A159)^2+Inputs!$C$6^2)/Inputs!$C$52))-Inputs!$C$5)*1000/Inputs!$C$12)</x:f>
        <x:v>851.6834612977212</x:v>
      </x:c>
      <x:c r="AB159" s="48" t="n">
        <x:f>Model_Data!F159</x:f>
        <x:v>851.0422977982597</x:v>
      </x:c>
    </x:row>
    <x:row r="160">
      <x:c r="A160" s="48" t="n">
        <x:f>Model_Data!A160</x:f>
        <x:v>19</x:v>
      </x:c>
      <x:c r="B160" s="48" t="n">
        <x:f>0</x:f>
        <x:v>0</x:v>
      </x:c>
      <x:c r="C160" s="48" t="n">
        <x:f>((SQRT((Inputs!$C$52+Inputs!$C$5)^2+Inputs!$C$52^2-2*(Inputs!$C$52+Inputs!$C$5)*Inputs!$C$52*COS(SQRT((Model_Data!A160)^2+Inputs!$C$6^2)/Inputs!$C$52))-Inputs!$C$5)*1000/Inputs!$C$12)</x:f>
        <x:v>868.1608953972801</x:v>
      </x:c>
      <x:c r="D160" s="48" t="n">
        <x:f>Model_Data!F160</x:f>
        <x:v>867.4716144056217</x:v>
      </x:c>
      <x:c r="E160" s="48" t="n">
        <x:f>Model_Data!AC160</x:f>
        <x:v>676.7589035842173</x:v>
      </x:c>
      <x:c r="F160" s="49"/>
      <x:c r="G160" s="48" t="n">
        <x:f>Model_Data!A160</x:f>
        <x:v>19</x:v>
      </x:c>
      <x:c r="H160" s="48" t="n">
        <x:f>0</x:f>
        <x:v>0</x:v>
      </x:c>
      <x:c r="I160" s="48" t="n">
        <x:f>Model_Data!Y160</x:f>
        <x:v>429.33926339108206</x:v>
      </x:c>
      <x:c r="J160" s="48" t="n">
        <x:f>Model_Data!X160</x:f>
        <x:v>87.79516149602648</x:v>
      </x:c>
      <x:c r="K160" s="48" t="n">
        <x:f>Model_Data!A160</x:f>
        <x:v>19</x:v>
      </x:c>
      <x:c r="L160" s="48" t="n">
        <x:f>Model_Data!Y160</x:f>
        <x:v>429.33926339108206</x:v>
      </x:c>
      <x:c r="M160" s="48" t="n">
        <x:f>Model_Data!X160</x:f>
        <x:v>87.79516149602648</x:v>
      </x:c>
      <x:c r="N160" s="48" t="n">
        <x:f>-(Model_Data!AC160-Model_Data!F160)*Inputs!$C$12</x:f>
        <x:v>339.4686252621</x:v>
      </x:c>
      <x:c r="O160" s="49"/>
      <x:c r="P160" s="48" t="n">
        <x:f>Model_Data!A160</x:f>
        <x:v>19</x:v>
      </x:c>
      <x:c r="Q160" s="48" t="n">
        <x:f>Model_Data!P160</x:f>
        <x:v>-162.37708165526783</x:v>
      </x:c>
      <x:c r="R160" s="48" t="n">
        <x:f>Model_Data!AM160</x:f>
        <x:v>-126.46437359499032</x:v>
      </x:c>
      <x:c r="S160" s="48" t="n">
        <x:f>Model_Data!Q160</x:f>
        <x:v>-24.38094319148166</x:v>
      </x:c>
      <x:c r="T160" s="48" t="n">
        <x:f>Model_Data!AN160</x:f>
        <x:v>-18.98864468393248</x:v>
      </x:c>
      <x:c r="U160" s="49"/>
      <x:c r="V160" s="48" t="n">
        <x:f>Model_Data!A160</x:f>
        <x:v>19</x:v>
      </x:c>
      <x:c r="W160" s="48" t="n">
        <x:f>Model_Data!B160-Inputs!$C$5</x:f>
        <x:v>0.4011111111111063</x:v>
      </x:c>
      <x:c r="X160" s="49"/>
      <x:c r="Y160" s="48" t="n">
        <x:f>Model_Data!A160</x:f>
        <x:v>19</x:v>
      </x:c>
      <x:c r="Z160" s="48" t="n">
        <x:f>0</x:f>
        <x:v>0</x:v>
      </x:c>
      <x:c r="AA160" s="48" t="n">
        <x:f>((SQRT((Inputs!$C$52+Inputs!$C$5)^2+Inputs!$C$52^2-2*(Inputs!$C$52+Inputs!$C$5)*Inputs!$C$52*COS(SQRT((Model_Data!A160)^2+Inputs!$C$6^2)/Inputs!$C$52))-Inputs!$C$5)*1000/Inputs!$C$12)</x:f>
        <x:v>868.1608953972801</x:v>
      </x:c>
      <x:c r="AB160" s="48" t="n">
        <x:f>Model_Data!F160</x:f>
        <x:v>867.4716144056217</x:v>
      </x:c>
    </x:row>
    <x:row r="161">
      <x:c r="A161" s="48" t="n">
        <x:f>Model_Data!A161</x:f>
        <x:v>19.5</x:v>
      </x:c>
      <x:c r="B161" s="48" t="n">
        <x:f>0</x:f>
        <x:v>0</x:v>
      </x:c>
      <x:c r="C161" s="48" t="n">
        <x:f>((SQRT((Inputs!$C$52+Inputs!$C$5)^2+Inputs!$C$52^2-2*(Inputs!$C$52+Inputs!$C$5)*Inputs!$C$52*COS(SQRT((Model_Data!A161)^2+Inputs!$C$6^2)/Inputs!$C$52))-Inputs!$C$5)*1000/Inputs!$C$12)</x:f>
        <x:v>885.0764537237027</x:v>
      </x:c>
      <x:c r="D161" s="48" t="n">
        <x:f>Model_Data!F161</x:f>
        <x:v>884.3363729737207</x:v>
      </x:c>
      <x:c r="E161" s="48" t="n">
        <x:f>Model_Data!AC161</x:f>
        <x:v>685.2202289391233</x:v>
      </x:c>
      <x:c r="F161" s="49"/>
      <x:c r="G161" s="48" t="n">
        <x:f>Model_Data!A161</x:f>
        <x:v>19.5</x:v>
      </x:c>
      <x:c r="H161" s="48" t="n">
        <x:f>0</x:f>
        <x:v>0</x:v>
      </x:c>
      <x:c r="I161" s="48" t="n">
        <x:f>Model_Data!Y161</x:f>
        <x:v>436.66425250955575</x:v>
      </x:c>
      <x:c r="J161" s="48" t="n">
        <x:f>Model_Data!X161</x:f>
        <x:v>80.08578782325549</x:v>
      </x:c>
      <x:c r="K161" s="48" t="n">
        <x:f>Model_Data!A161</x:f>
        <x:v>19.5</x:v>
      </x:c>
      <x:c r="L161" s="48" t="n">
        <x:f>Model_Data!Y161</x:f>
        <x:v>436.66425250955575</x:v>
      </x:c>
      <x:c r="M161" s="48" t="n">
        <x:f>Model_Data!X161</x:f>
        <x:v>80.08578782325549</x:v>
      </x:c>
      <x:c r="N161" s="48" t="n">
        <x:f>-(Model_Data!AC161-Model_Data!F161)*Inputs!$C$12</x:f>
        <x:v>354.42673638158334</x:v>
      </x:c>
      <x:c r="O161" s="49"/>
      <x:c r="P161" s="48" t="n">
        <x:f>Model_Data!A161</x:f>
        <x:v>19.5</x:v>
      </x:c>
      <x:c r="Q161" s="48" t="n">
        <x:f>Model_Data!P161</x:f>
        <x:v>-166.6345388791342</x:v>
      </x:c>
      <x:c r="R161" s="48" t="n">
        <x:f>Model_Data!AM161</x:f>
        <x:v>-151.36712018684193</x:v>
      </x:c>
      <x:c r="S161" s="48" t="n">
        <x:f>Model_Data!Q161</x:f>
        <x:v>-25.020201032903035</x:v>
      </x:c>
      <x:c r="T161" s="48" t="n">
        <x:f>Model_Data!AN161</x:f>
        <x:v>-22.72779582385014</x:v>
      </x:c>
      <x:c r="U161" s="49"/>
      <x:c r="V161" s="48" t="n">
        <x:f>Model_Data!A161</x:f>
        <x:v>19.5</x:v>
      </x:c>
      <x:c r="W161" s="48" t="n">
        <x:f>Model_Data!B161-Inputs!$C$5</x:f>
        <x:v>0.42250000000001364</x:v>
      </x:c>
      <x:c r="X161" s="49"/>
      <x:c r="Y161" s="48" t="n">
        <x:f>Model_Data!A161</x:f>
        <x:v>19.5</x:v>
      </x:c>
      <x:c r="Z161" s="48" t="n">
        <x:f>0</x:f>
        <x:v>0</x:v>
      </x:c>
      <x:c r="AA161" s="48" t="n">
        <x:f>((SQRT((Inputs!$C$52+Inputs!$C$5)^2+Inputs!$C$52^2-2*(Inputs!$C$52+Inputs!$C$5)*Inputs!$C$52*COS(SQRT((Model_Data!A161)^2+Inputs!$C$6^2)/Inputs!$C$52))-Inputs!$C$5)*1000/Inputs!$C$12)</x:f>
        <x:v>885.0764537237027</x:v>
      </x:c>
      <x:c r="AB161" s="48" t="n">
        <x:f>Model_Data!F161</x:f>
        <x:v>884.3363729737207</x:v>
      </x:c>
    </x:row>
    <x:row r="162">
      <x:c r="A162" s="48" t="n">
        <x:f>Model_Data!A162</x:f>
        <x:v>20</x:v>
      </x:c>
      <x:c r="B162" s="48" t="n">
        <x:f>0</x:f>
        <x:v>0</x:v>
      </x:c>
      <x:c r="C162" s="48" t="n">
        <x:f>((SQRT((Inputs!$C$52+Inputs!$C$5)^2+Inputs!$C$52^2-2*(Inputs!$C$52+Inputs!$C$5)*Inputs!$C$52*COS(SQRT((Model_Data!A162)^2+Inputs!$C$6^2)/Inputs!$C$52))-Inputs!$C$5)*1000/Inputs!$C$12)</x:f>
        <x:v>902.4300359989069</x:v>
      </x:c>
      <x:c r="D162" s="48" t="n">
        <x:f>Model_Data!F162</x:f>
        <x:v>901.6363635438846</x:v>
      </x:c>
      <x:c r="E162" s="48" t="n">
        <x:f>Model_Data!AC162</x:f>
        <x:v>697.9991417450349</x:v>
      </x:c>
      <x:c r="F162" s="49"/>
      <x:c r="G162" s="48" t="n">
        <x:f>Model_Data!A162</x:f>
        <x:v>20</x:v>
      </x:c>
      <x:c r="H162" s="48" t="n">
        <x:f>0</x:f>
        <x:v>0</x:v>
      </x:c>
      <x:c r="I162" s="48" t="n">
        <x:f>Model_Data!Y162</x:f>
        <x:v>439.0113020882822</x:v>
      </x:c>
      <x:c r="J162" s="48" t="n">
        <x:f>Model_Data!X162</x:f>
        <x:v>74.33166863889775</x:v>
      </x:c>
      <x:c r="K162" s="48" t="n">
        <x:f>Model_Data!A162</x:f>
        <x:v>20</x:v>
      </x:c>
      <x:c r="L162" s="48" t="n">
        <x:f>Model_Data!Y162</x:f>
        <x:v>439.0113020882822</x:v>
      </x:c>
      <x:c r="M162" s="48" t="n">
        <x:f>Model_Data!X162</x:f>
        <x:v>74.33166863889775</x:v>
      </x:c>
      <x:c r="N162" s="48" t="n">
        <x:f>-(Model_Data!AC162-Model_Data!F162)*Inputs!$C$12</x:f>
        <x:v>362.47425480195255</x:v>
      </x:c>
      <x:c r="O162" s="49"/>
      <x:c r="P162" s="48" t="n">
        <x:f>Model_Data!A162</x:f>
        <x:v>20</x:v>
      </x:c>
      <x:c r="Q162" s="48" t="n">
        <x:f>Model_Data!P162</x:f>
        <x:v>-170.89078503895507</x:v>
      </x:c>
      <x:c r="R162" s="48" t="n">
        <x:f>Model_Data!AM162</x:f>
        <x:v>-162.90904520274125</x:v>
      </x:c>
      <x:c r="S162" s="48" t="n">
        <x:f>Model_Data!Q162</x:f>
        <x:v>-25.65927703287614</x:v>
      </x:c>
      <x:c r="T162" s="48" t="n">
        <x:f>Model_Data!AN162</x:f>
        <x:v>-24.4608175980092</x:v>
      </x:c>
      <x:c r="U162" s="49"/>
      <x:c r="V162" s="48" t="n">
        <x:f>Model_Data!A162</x:f>
        <x:v>20</x:v>
      </x:c>
      <x:c r="W162" s="48" t="n">
        <x:f>Model_Data!B162-Inputs!$C$5</x:f>
        <x:v>0.4444444444444571</x:v>
      </x:c>
      <x:c r="X162" s="49"/>
      <x:c r="Y162" s="48" t="n">
        <x:f>Model_Data!A162</x:f>
        <x:v>20</x:v>
      </x:c>
      <x:c r="Z162" s="48" t="n">
        <x:f>0</x:f>
        <x:v>0</x:v>
      </x:c>
      <x:c r="AA162" s="48" t="n">
        <x:f>((SQRT((Inputs!$C$52+Inputs!$C$5)^2+Inputs!$C$52^2-2*(Inputs!$C$52+Inputs!$C$5)*Inputs!$C$52*COS(SQRT((Model_Data!A162)^2+Inputs!$C$6^2)/Inputs!$C$52))-Inputs!$C$5)*1000/Inputs!$C$12)</x:f>
        <x:v>902.4300359989069</x:v>
      </x:c>
      <x:c r="AB162" s="48" t="n">
        <x:f>Model_Data!F162</x:f>
        <x:v>901.6363635438846</x:v>
      </x:c>
    </x:row>
    <x:row r="163">
      <x:c r="A163" s="48" t="n">
        <x:f>Model_Data!A163</x:f>
        <x:v>20.5</x:v>
      </x:c>
      <x:c r="B163" s="48" t="n">
        <x:f>0</x:f>
        <x:v>0</x:v>
      </x:c>
      <x:c r="C163" s="48" t="n">
        <x:f>((SQRT((Inputs!$C$52+Inputs!$C$5)^2+Inputs!$C$52^2-2*(Inputs!$C$52+Inputs!$C$5)*Inputs!$C$52*COS(SQRT((Model_Data!A163)^2+Inputs!$C$6^2)/Inputs!$C$52))-Inputs!$C$5)*1000/Inputs!$C$12)</x:f>
        <x:v>920.2215393788732</x:v>
      </x:c>
      <x:c r="D163" s="48" t="n">
        <x:f>Model_Data!F163</x:f>
        <x:v>919.3713708416556</x:v>
      </x:c>
      <x:c r="E163" s="48" t="n">
        <x:f>Model_Data!AC163</x:f>
        <x:v>715.7656836312115</x:v>
      </x:c>
      <x:c r="F163" s="49"/>
      <x:c r="G163" s="48" t="n">
        <x:f>Model_Data!A163</x:f>
        <x:v>20.5</x:v>
      </x:c>
      <x:c r="H163" s="48" t="n">
        <x:f>0</x:f>
        <x:v>0</x:v>
      </x:c>
      <x:c r="I163" s="48" t="n">
        <x:f>Model_Data!Y163</x:f>
        <x:v>441.7637232897853</x:v>
      </x:c>
      <x:c r="J163" s="48" t="n">
        <x:f>Model_Data!X163</x:f>
        <x:v>77.08298836787891</x:v>
      </x:c>
      <x:c r="K163" s="48" t="n">
        <x:f>Model_Data!A163</x:f>
        <x:v>20.5</x:v>
      </x:c>
      <x:c r="L163" s="48" t="n">
        <x:f>Model_Data!Y163</x:f>
        <x:v>441.7637232897853</x:v>
      </x:c>
      <x:c r="M163" s="48" t="n">
        <x:f>Model_Data!X163</x:f>
        <x:v>77.08298836787891</x:v>
      </x:c>
      <x:c r="N163" s="48" t="n">
        <x:f>-(Model_Data!AC163-Model_Data!F163)*Inputs!$C$12</x:f>
        <x:v>362.4181232345905</x:v>
      </x:c>
      <x:c r="O163" s="49"/>
      <x:c r="P163" s="48" t="n">
        <x:f>Model_Data!A163</x:f>
        <x:v>20.5</x:v>
      </x:c>
      <x:c r="Q163" s="48" t="n">
        <x:f>Model_Data!P163</x:f>
        <x:v>-175.14578990121663</x:v>
      </x:c>
      <x:c r="R163" s="48" t="n">
        <x:f>Model_Data!AM163</x:f>
        <x:v>-171.7163481087482</x:v>
      </x:c>
      <x:c r="S163" s="48" t="n">
        <x:f>Model_Data!Q163</x:f>
        <x:v>-26.298166651834332</x:v>
      </x:c>
      <x:c r="T163" s="48" t="n">
        <x:f>Model_Data!AN163</x:f>
        <x:v>-25.783235451763996</x:v>
      </x:c>
      <x:c r="U163" s="49"/>
      <x:c r="V163" s="48" t="n">
        <x:f>Model_Data!A163</x:f>
        <x:v>20.5</x:v>
      </x:c>
      <x:c r="W163" s="48" t="n">
        <x:f>Model_Data!B163-Inputs!$C$5</x:f>
        <x:v>0.4669444444444366</x:v>
      </x:c>
      <x:c r="X163" s="49"/>
      <x:c r="Y163" s="48" t="n">
        <x:f>Model_Data!A163</x:f>
        <x:v>20.5</x:v>
      </x:c>
      <x:c r="Z163" s="48" t="n">
        <x:f>0</x:f>
        <x:v>0</x:v>
      </x:c>
      <x:c r="AA163" s="48" t="n">
        <x:f>((SQRT((Inputs!$C$52+Inputs!$C$5)^2+Inputs!$C$52^2-2*(Inputs!$C$52+Inputs!$C$5)*Inputs!$C$52*COS(SQRT((Model_Data!A163)^2+Inputs!$C$6^2)/Inputs!$C$52))-Inputs!$C$5)*1000/Inputs!$C$12)</x:f>
        <x:v>920.2215393788732</x:v>
      </x:c>
      <x:c r="AB163" s="48" t="n">
        <x:f>Model_Data!F163</x:f>
        <x:v>919.3713708416556</x:v>
      </x:c>
    </x:row>
    <x:row r="164">
      <x:c r="A164" s="48" t="n">
        <x:f>Model_Data!A164</x:f>
        <x:v>21</x:v>
      </x:c>
      <x:c r="B164" s="48" t="n">
        <x:f>0</x:f>
        <x:v>0</x:v>
      </x:c>
      <x:c r="C164" s="48" t="n">
        <x:f>((SQRT((Inputs!$C$52+Inputs!$C$5)^2+Inputs!$C$52^2-2*(Inputs!$C$52+Inputs!$C$5)*Inputs!$C$52*COS(SQRT((Model_Data!A164)^2+Inputs!$C$6^2)/Inputs!$C$52))-Inputs!$C$5)*1000/Inputs!$C$12)</x:f>
        <x:v>938.450858456998</x:v>
      </x:c>
      <x:c r="D164" s="48" t="n">
        <x:f>Model_Data!F164</x:f>
        <x:v>937.5411742925972</x:v>
      </x:c>
      <x:c r="E164" s="48" t="n">
        <x:f>Model_Data!AC164</x:f>
        <x:v>738.4719361030246</x:v>
      </x:c>
      <x:c r="F164" s="49"/>
      <x:c r="G164" s="48" t="n">
        <x:f>Model_Data!A164</x:f>
        <x:v>21</x:v>
      </x:c>
      <x:c r="H164" s="48" t="n">
        <x:f>0</x:f>
        <x:v>0</x:v>
      </x:c>
      <x:c r="I164" s="48" t="n">
        <x:f>Model_Data!Y164</x:f>
        <x:v>441.2537143317768</x:v>
      </x:c>
      <x:c r="J164" s="48" t="n">
        <x:f>Model_Data!X164</x:f>
        <x:v>84.6060805836893</x:v>
      </x:c>
      <x:c r="K164" s="48" t="n">
        <x:f>Model_Data!A164</x:f>
        <x:v>21</x:v>
      </x:c>
      <x:c r="L164" s="48" t="n">
        <x:f>Model_Data!Y164</x:f>
        <x:v>441.2537143317768</x:v>
      </x:c>
      <x:c r="M164" s="48" t="n">
        <x:f>Model_Data!X164</x:f>
        <x:v>84.6060805836893</x:v>
      </x:c>
      <x:c r="N164" s="48" t="n">
        <x:f>-(Model_Data!AC164-Model_Data!F164)*Inputs!$C$12</x:f>
        <x:v>354.3432439774393</x:v>
      </x:c>
      <x:c r="O164" s="49"/>
      <x:c r="P164" s="48" t="n">
        <x:f>Model_Data!A164</x:f>
        <x:v>21</x:v>
      </x:c>
      <x:c r="Q164" s="48" t="n">
        <x:f>Model_Data!P164</x:f>
        <x:v>-179.3995232830639</x:v>
      </x:c>
      <x:c r="R164" s="48" t="n">
        <x:f>Model_Data!AM164</x:f>
        <x:v>-175.76256821785137</x:v>
      </x:c>
      <x:c r="S164" s="48" t="n">
        <x:f>Model_Data!Q164</x:f>
        <x:v>-26.936865357817403</x:v>
      </x:c>
      <x:c r="T164" s="48" t="n">
        <x:f>Model_Data!AN164</x:f>
        <x:v>-26.390776008686395</x:v>
      </x:c>
      <x:c r="U164" s="49"/>
      <x:c r="V164" s="48" t="n">
        <x:f>Model_Data!A164</x:f>
        <x:v>21</x:v>
      </x:c>
      <x:c r="W164" s="48" t="n">
        <x:f>Model_Data!B164-Inputs!$C$5</x:f>
        <x:v>0.4900000000000091</x:v>
      </x:c>
      <x:c r="X164" s="49"/>
      <x:c r="Y164" s="48" t="n">
        <x:f>Model_Data!A164</x:f>
        <x:v>21</x:v>
      </x:c>
      <x:c r="Z164" s="48" t="n">
        <x:f>0</x:f>
        <x:v>0</x:v>
      </x:c>
      <x:c r="AA164" s="48" t="n">
        <x:f>((SQRT((Inputs!$C$52+Inputs!$C$5)^2+Inputs!$C$52^2-2*(Inputs!$C$52+Inputs!$C$5)*Inputs!$C$52*COS(SQRT((Model_Data!A164)^2+Inputs!$C$6^2)/Inputs!$C$52))-Inputs!$C$5)*1000/Inputs!$C$12)</x:f>
        <x:v>938.450858456998</x:v>
      </x:c>
      <x:c r="AB164" s="48" t="n">
        <x:f>Model_Data!F164</x:f>
        <x:v>937.5411742925972</x:v>
      </x:c>
    </x:row>
    <x:row r="165">
      <x:c r="A165" s="48" t="n">
        <x:f>Model_Data!A165</x:f>
        <x:v>21.5</x:v>
      </x:c>
      <x:c r="B165" s="48" t="n">
        <x:f>0</x:f>
        <x:v>0</x:v>
      </x:c>
      <x:c r="C165" s="48" t="n">
        <x:f>((SQRT((Inputs!$C$52+Inputs!$C$5)^2+Inputs!$C$52^2-2*(Inputs!$C$52+Inputs!$C$5)*Inputs!$C$52*COS(SQRT((Model_Data!A165)^2+Inputs!$C$6^2)/Inputs!$C$52))-Inputs!$C$5)*1000/Inputs!$C$12)</x:f>
        <x:v>957.1178852667437</x:v>
      </x:c>
      <x:c r="D165" s="48" t="n">
        <x:f>Model_Data!F165</x:f>
        <x:v>956.1455480243712</x:v>
      </x:c>
      <x:c r="E165" s="48" t="n">
        <x:f>Model_Data!AC165</x:f>
        <x:v>754.9531130982788</x:v>
      </x:c>
      <x:c r="F165" s="49"/>
      <x:c r="G165" s="48" t="n">
        <x:f>Model_Data!A165</x:f>
        <x:v>21.5</x:v>
      </x:c>
      <x:c r="H165" s="48" t="n">
        <x:f>0</x:f>
        <x:v>0</x:v>
      </x:c>
      <x:c r="I165" s="48" t="n">
        <x:f>Model_Data!Y165</x:f>
        <x:v>444.1394266764314</x:v>
      </x:c>
      <x:c r="J165" s="48" t="n">
        <x:f>Model_Data!X165</x:f>
        <x:v>83.65167434978589</x:v>
      </x:c>
      <x:c r="K165" s="48" t="n">
        <x:f>Model_Data!A165</x:f>
        <x:v>21.5</x:v>
      </x:c>
      <x:c r="L165" s="48" t="n">
        <x:f>Model_Data!Y165</x:f>
        <x:v>444.1394266764314</x:v>
      </x:c>
      <x:c r="M165" s="48" t="n">
        <x:f>Model_Data!X165</x:f>
        <x:v>83.65167434978589</x:v>
      </x:c>
      <x:c r="N165" s="48" t="n">
        <x:f>-(Model_Data!AC165-Model_Data!F165)*Inputs!$C$12</x:f>
        <x:v>358.1225341684446</x:v>
      </x:c>
      <x:c r="O165" s="49"/>
      <x:c r="P165" s="48" t="n">
        <x:f>Model_Data!A165</x:f>
        <x:v>21.5</x:v>
      </x:c>
      <x:c r="Q165" s="48" t="n">
        <x:f>Model_Data!P165</x:f>
        <x:v>-183.65195507121825</x:v>
      </x:c>
      <x:c r="R165" s="48" t="n">
        <x:f>Model_Data!AM165</x:f>
        <x:v>-173.414639069415</x:v>
      </x:c>
      <x:c r="S165" s="48" t="n">
        <x:f>Model_Data!Q165</x:f>
        <x:v>-27.575368629312052</x:v>
      </x:c>
      <x:c r="T165" s="48" t="n">
        <x:f>Model_Data!AN165</x:f>
        <x:v>-26.03823409450676</x:v>
      </x:c>
      <x:c r="U165" s="49"/>
      <x:c r="V165" s="48" t="n">
        <x:f>Model_Data!A165</x:f>
        <x:v>21.5</x:v>
      </x:c>
      <x:c r="W165" s="48" t="n">
        <x:f>Model_Data!B165-Inputs!$C$5</x:f>
        <x:v>0.5136111111111177</x:v>
      </x:c>
      <x:c r="X165" s="49"/>
      <x:c r="Y165" s="48" t="n">
        <x:f>Model_Data!A165</x:f>
        <x:v>21.5</x:v>
      </x:c>
      <x:c r="Z165" s="48" t="n">
        <x:f>0</x:f>
        <x:v>0</x:v>
      </x:c>
      <x:c r="AA165" s="48" t="n">
        <x:f>((SQRT((Inputs!$C$52+Inputs!$C$5)^2+Inputs!$C$52^2-2*(Inputs!$C$52+Inputs!$C$5)*Inputs!$C$52*COS(SQRT((Model_Data!A165)^2+Inputs!$C$6^2)/Inputs!$C$52))-Inputs!$C$5)*1000/Inputs!$C$12)</x:f>
        <x:v>957.1178852667437</x:v>
      </x:c>
      <x:c r="AB165" s="48" t="n">
        <x:f>Model_Data!F165</x:f>
        <x:v>956.1455480243712</x:v>
      </x:c>
    </x:row>
    <x:row r="166">
      <x:c r="A166" s="48" t="n">
        <x:f>Model_Data!A166</x:f>
        <x:v>22</x:v>
      </x:c>
      <x:c r="B166" s="48" t="n">
        <x:f>0</x:f>
        <x:v>0</x:v>
      </x:c>
      <x:c r="C166" s="48" t="n">
        <x:f>((SQRT((Inputs!$C$52+Inputs!$C$5)^2+Inputs!$C$52^2-2*(Inputs!$C$52+Inputs!$C$5)*Inputs!$C$52*COS(SQRT((Model_Data!A166)^2+Inputs!$C$6^2)/Inputs!$C$52))-Inputs!$C$5)*1000/Inputs!$C$12)</x:f>
        <x:v>976.222509285854</x:v>
      </x:c>
      <x:c r="D166" s="48" t="n">
        <x:f>Model_Data!F166</x:f>
        <x:v>975.1842608890905</x:v>
      </x:c>
      <x:c r="E166" s="48" t="n">
        <x:f>Model_Data!AC166</x:f>
        <x:v>766.2057503281173</x:v>
      </x:c>
      <x:c r="F166" s="49"/>
      <x:c r="G166" s="48" t="n">
        <x:f>Model_Data!A166</x:f>
        <x:v>22</x:v>
      </x:c>
      <x:c r="H166" s="48" t="n">
        <x:f>0</x:f>
        <x:v>0</x:v>
      </x:c>
      <x:c r="I166" s="48" t="n">
        <x:f>Model_Data!Y166</x:f>
        <x:v>447.7794532624074</x:v>
      </x:c>
      <x:c r="J166" s="48" t="n">
        <x:f>Model_Data!X166</x:f>
        <x:v>73.36589826371042</x:v>
      </x:c>
      <x:c r="K166" s="48" t="n">
        <x:f>Model_Data!A166</x:f>
        <x:v>22</x:v>
      </x:c>
      <x:c r="L166" s="48" t="n">
        <x:f>Model_Data!Y166</x:f>
        <x:v>447.7794532624074</x:v>
      </x:c>
      <x:c r="M166" s="48" t="n">
        <x:f>Model_Data!X166</x:f>
        <x:v>73.36589826371042</x:v>
      </x:c>
      <x:c r="N166" s="48" t="n">
        <x:f>-(Model_Data!AC166-Model_Data!F166)*Inputs!$C$12</x:f>
        <x:v>371.98174879853224</x:v>
      </x:c>
      <x:c r="O166" s="49"/>
      <x:c r="P166" s="48" t="n">
        <x:f>Model_Data!A166</x:f>
        <x:v>22</x:v>
      </x:c>
      <x:c r="Q166" s="48" t="n">
        <x:f>Model_Data!P166</x:f>
        <x:v>-187.90305521988557</x:v>
      </x:c>
      <x:c r="R166" s="48" t="n">
        <x:f>Model_Data!AM166</x:f>
        <x:v>-190.64828334176127</x:v>
      </x:c>
      <x:c r="S166" s="48" t="n">
        <x:f>Model_Data!Q166</x:f>
        <x:v>-28.213671954937777</x:v>
      </x:c>
      <x:c r="T166" s="48" t="n">
        <x:f>Model_Data!AN166</x:f>
        <x:v>-28.625868369633828</x:v>
      </x:c>
      <x:c r="U166" s="49"/>
      <x:c r="V166" s="48" t="n">
        <x:f>Model_Data!A166</x:f>
        <x:v>22</x:v>
      </x:c>
      <x:c r="W166" s="48" t="n">
        <x:f>Model_Data!B166-Inputs!$C$5</x:f>
        <x:v>0.5377777777777624</x:v>
      </x:c>
      <x:c r="X166" s="49"/>
      <x:c r="Y166" s="48" t="n">
        <x:f>Model_Data!A166</x:f>
        <x:v>22</x:v>
      </x:c>
      <x:c r="Z166" s="48" t="n">
        <x:f>0</x:f>
        <x:v>0</x:v>
      </x:c>
      <x:c r="AA166" s="48" t="n">
        <x:f>((SQRT((Inputs!$C$52+Inputs!$C$5)^2+Inputs!$C$52^2-2*(Inputs!$C$52+Inputs!$C$5)*Inputs!$C$52*COS(SQRT((Model_Data!A166)^2+Inputs!$C$6^2)/Inputs!$C$52))-Inputs!$C$5)*1000/Inputs!$C$12)</x:f>
        <x:v>976.222509285854</x:v>
      </x:c>
      <x:c r="AB166" s="48" t="n">
        <x:f>Model_Data!F166</x:f>
        <x:v>975.1842608890905</x:v>
      </x:c>
    </x:row>
    <x:row r="167">
      <x:c r="A167" s="48" t="n">
        <x:f>Model_Data!A167</x:f>
        <x:v>22.5</x:v>
      </x:c>
      <x:c r="B167" s="48" t="n">
        <x:f>0</x:f>
        <x:v>0</x:v>
      </x:c>
      <x:c r="C167" s="48" t="n">
        <x:f>((SQRT((Inputs!$C$52+Inputs!$C$5)^2+Inputs!$C$52^2-2*(Inputs!$C$52+Inputs!$C$5)*Inputs!$C$52*COS(SQRT((Model_Data!A167)^2+Inputs!$C$6^2)/Inputs!$C$52))-Inputs!$C$5)*1000/Inputs!$C$12)</x:f>
        <x:v>995.7646174390374</x:v>
      </x:c>
      <x:c r="D167" s="48" t="n">
        <x:f>Model_Data!F167</x:f>
        <x:v>994.6570764645656</x:v>
      </x:c>
      <x:c r="E167" s="48" t="n">
        <x:f>Model_Data!AC167</x:f>
        <x:v>788.9294242986809</x:v>
      </x:c>
      <x:c r="F167" s="49"/>
      <x:c r="G167" s="48" t="n">
        <x:f>Model_Data!A167</x:f>
        <x:v>22.5</x:v>
      </x:c>
      <x:c r="H167" s="48" t="n">
        <x:f>0</x:f>
        <x:v>0</x:v>
      </x:c>
      <x:c r="I167" s="48" t="n">
        <x:f>Model_Data!Y167</x:f>
        <x:v>442.50927153418206</x:v>
      </x:c>
      <x:c r="J167" s="48" t="n">
        <x:f>Model_Data!X167</x:f>
        <x:v>73.86322008676284</x:v>
      </x:c>
      <x:c r="K167" s="48" t="n">
        <x:f>Model_Data!A167</x:f>
        <x:v>22.5</x:v>
      </x:c>
      <x:c r="L167" s="48" t="n">
        <x:f>Model_Data!Y167</x:f>
        <x:v>442.50927153418206</x:v>
      </x:c>
      <x:c r="M167" s="48" t="n">
        <x:f>Model_Data!X167</x:f>
        <x:v>73.86322008676284</x:v>
      </x:c>
      <x:c r="N167" s="48" t="n">
        <x:f>-(Model_Data!AC167-Model_Data!F167)*Inputs!$C$12</x:f>
        <x:v>366.1952208552748</x:v>
      </x:c>
      <x:c r="O167" s="49"/>
      <x:c r="P167" s="48" t="n">
        <x:f>Model_Data!A167</x:f>
        <x:v>22.5</x:v>
      </x:c>
      <x:c r="Q167" s="48" t="n">
        <x:f>Model_Data!P167</x:f>
        <x:v>-192.15279373456724</x:v>
      </x:c>
      <x:c r="R167" s="48" t="n">
        <x:f>Model_Data!AM167</x:f>
        <x:v>-207.66237126308624</x:v>
      </x:c>
      <x:c r="S167" s="48" t="n">
        <x:f>Model_Data!Q167</x:f>
        <x:v>-28.851770831016104</x:v>
      </x:c>
      <x:c r="T167" s="48" t="n">
        <x:f>Model_Data!AN167</x:f>
        <x:v>-31.180536225688627</x:v>
      </x:c>
      <x:c r="U167" s="49"/>
      <x:c r="V167" s="48" t="n">
        <x:f>Model_Data!A167</x:f>
        <x:v>22.5</x:v>
      </x:c>
      <x:c r="W167" s="48" t="n">
        <x:f>Model_Data!B167-Inputs!$C$5</x:f>
        <x:v>0.5625</x:v>
      </x:c>
      <x:c r="X167" s="49"/>
      <x:c r="Y167" s="48" t="n">
        <x:f>Model_Data!A167</x:f>
        <x:v>22.5</x:v>
      </x:c>
      <x:c r="Z167" s="48" t="n">
        <x:f>0</x:f>
        <x:v>0</x:v>
      </x:c>
      <x:c r="AA167" s="48" t="n">
        <x:f>((SQRT((Inputs!$C$52+Inputs!$C$5)^2+Inputs!$C$52^2-2*(Inputs!$C$52+Inputs!$C$5)*Inputs!$C$52*COS(SQRT((Model_Data!A167)^2+Inputs!$C$6^2)/Inputs!$C$52))-Inputs!$C$5)*1000/Inputs!$C$12)</x:f>
        <x:v>995.7646174390374</x:v>
      </x:c>
      <x:c r="AB167" s="48" t="n">
        <x:f>Model_Data!F167</x:f>
        <x:v>994.6570764645656</x:v>
      </x:c>
    </x:row>
    <x:row r="168">
      <x:c r="A168" s="48" t="n">
        <x:f>Model_Data!A168</x:f>
        <x:v>23</x:v>
      </x:c>
      <x:c r="B168" s="48" t="n">
        <x:f>0</x:f>
        <x:v>0</x:v>
      </x:c>
      <x:c r="C168" s="48" t="n">
        <x:f>((SQRT((Inputs!$C$52+Inputs!$C$5)^2+Inputs!$C$52^2-2*(Inputs!$C$52+Inputs!$C$5)*Inputs!$C$52*COS(SQRT((Model_Data!A168)^2+Inputs!$C$6^2)/Inputs!$C$52))-Inputs!$C$5)*1000/Inputs!$C$12)</x:f>
        <x:v>1015.7440940999775</x:v>
      </x:c>
      <x:c r="D168" s="48" t="n">
        <x:f>Model_Data!F168</x:f>
        <x:v>1014.5637530711654</x:v>
      </x:c>
      <x:c r="E168" s="48" t="n">
        <x:f>Model_Data!AC168</x:f>
        <x:v>804.522959392281</x:v>
      </x:c>
      <x:c r="F168" s="49"/>
      <x:c r="G168" s="48" t="n">
        <x:f>Model_Data!A168</x:f>
        <x:v>23</x:v>
      </x:c>
      <x:c r="H168" s="48" t="n">
        <x:f>0</x:f>
        <x:v>0</x:v>
      </x:c>
      <x:c r="I168" s="48" t="n">
        <x:f>Model_Data!Y168</x:f>
        <x:v>438.1289491107309</x:v>
      </x:c>
      <x:c r="J168" s="48" t="n">
        <x:f>Model_Data!X168</x:f>
        <x:v>61.781548358505674</x:v>
      </x:c>
      <x:c r="K168" s="48" t="n">
        <x:f>Model_Data!A168</x:f>
        <x:v>23</x:v>
      </x:c>
      <x:c r="L168" s="48" t="n">
        <x:f>Model_Data!Y168</x:f>
        <x:v>438.1289491107309</x:v>
      </x:c>
      <x:c r="M168" s="48" t="n">
        <x:f>Model_Data!X168</x:f>
        <x:v>61.781548358505674</x:v>
      </x:c>
      <x:c r="N168" s="48" t="n">
        <x:f>-(Model_Data!AC168-Model_Data!F168)*Inputs!$C$12</x:f>
        <x:v>373.87261274841416</x:v>
      </x:c>
      <x:c r="O168" s="49"/>
      <x:c r="P168" s="48" t="n">
        <x:f>Model_Data!A168</x:f>
        <x:v>23</x:v>
      </x:c>
      <x:c r="Q168" s="48" t="n">
        <x:f>Model_Data!P168</x:f>
        <x:v>-196.40114070170966</x:v>
      </x:c>
      <x:c r="R168" s="48" t="n">
        <x:f>Model_Data!AM168</x:f>
        <x:v>-214.52838117938882</x:v>
      </x:c>
      <x:c r="S168" s="48" t="n">
        <x:f>Model_Data!Q168</x:f>
        <x:v>-29.489660766022475</x:v>
      </x:c>
      <x:c r="T168" s="48" t="n">
        <x:f>Model_Data!AN168</x:f>
        <x:v>-32.21146864555388</x:v>
      </x:c>
      <x:c r="U168" s="49"/>
      <x:c r="V168" s="48" t="n">
        <x:f>Model_Data!A168</x:f>
        <x:v>23</x:v>
      </x:c>
      <x:c r="W168" s="48" t="n">
        <x:f>Model_Data!B168-Inputs!$C$5</x:f>
        <x:v>0.5877777777777737</x:v>
      </x:c>
      <x:c r="X168" s="49"/>
      <x:c r="Y168" s="48" t="n">
        <x:f>Model_Data!A168</x:f>
        <x:v>23</x:v>
      </x:c>
      <x:c r="Z168" s="48" t="n">
        <x:f>0</x:f>
        <x:v>0</x:v>
      </x:c>
      <x:c r="AA168" s="48" t="n">
        <x:f>((SQRT((Inputs!$C$52+Inputs!$C$5)^2+Inputs!$C$52^2-2*(Inputs!$C$52+Inputs!$C$5)*Inputs!$C$52*COS(SQRT((Model_Data!A168)^2+Inputs!$C$6^2)/Inputs!$C$52))-Inputs!$C$5)*1000/Inputs!$C$12)</x:f>
        <x:v>1015.7440940999775</x:v>
      </x:c>
      <x:c r="AB168" s="48" t="n">
        <x:f>Model_Data!F168</x:f>
        <x:v>1014.5637530711654</x:v>
      </x:c>
    </x:row>
    <x:row r="169">
      <x:c r="A169" s="48" t="n">
        <x:f>Model_Data!A169</x:f>
        <x:v>23.5</x:v>
      </x:c>
      <x:c r="B169" s="48" t="n">
        <x:f>0</x:f>
        <x:v>0</x:v>
      </x:c>
      <x:c r="C169" s="48" t="n">
        <x:f>((SQRT((Inputs!$C$52+Inputs!$C$5)^2+Inputs!$C$52^2-2*(Inputs!$C$52+Inputs!$C$5)*Inputs!$C$52*COS(SQRT((Model_Data!A169)^2+Inputs!$C$6^2)/Inputs!$C$52))-Inputs!$C$5)*1000/Inputs!$C$12)</x:f>
        <x:v>1036.1608210971144</x:v>
      </x:c>
      <x:c r="D169" s="48" t="n">
        <x:f>Model_Data!F169</x:f>
        <x:v>1034.9040437833773</x:v>
      </x:c>
      <x:c r="E169" s="48" t="n">
        <x:f>Model_Data!AC169</x:f>
        <x:v>833.9263770468148</x:v>
      </x:c>
      <x:c r="F169" s="49"/>
      <x:c r="G169" s="48" t="n">
        <x:f>Model_Data!A169</x:f>
        <x:v>23.5</x:v>
      </x:c>
      <x:c r="H169" s="48" t="n">
        <x:f>0</x:f>
        <x:v>0</x:v>
      </x:c>
      <x:c r="I169" s="48" t="n">
        <x:f>Model_Data!Y169</x:f>
        <x:v>431.2131008039683</x:v>
      </x:c>
      <x:c r="J169" s="48" t="n">
        <x:f>Model_Data!X169</x:f>
        <x:v>70.98866885242666</x:v>
      </x:c>
      <x:c r="K169" s="48" t="n">
        <x:f>Model_Data!A169</x:f>
        <x:v>23.5</x:v>
      </x:c>
      <x:c r="L169" s="48" t="n">
        <x:f>Model_Data!Y169</x:f>
        <x:v>431.2131008039683</x:v>
      </x:c>
      <x:c r="M169" s="48" t="n">
        <x:f>Model_Data!X169</x:f>
        <x:v>70.98866885242666</x:v>
      </x:c>
      <x:c r="N169" s="48" t="n">
        <x:f>-(Model_Data!AC169-Model_Data!F169)*Inputs!$C$12</x:f>
        <x:v>357.7402467910814</x:v>
      </x:c>
      <x:c r="O169" s="49"/>
      <x:c r="P169" s="48" t="n">
        <x:f>Model_Data!A169</x:f>
        <x:v>23.5</x:v>
      </x:c>
      <x:c r="Q169" s="48" t="n">
        <x:f>Model_Data!P169</x:f>
        <x:v>-200.64806626696736</x:v>
      </x:c>
      <x:c r="R169" s="48" t="n">
        <x:f>Model_Data!AM169</x:f>
        <x:v>-195.82322653741357</x:v>
      </x:c>
      <x:c r="S169" s="48" t="n">
        <x:f>Model_Data!Q169</x:f>
        <x:v>-30.12733727732243</x:v>
      </x:c>
      <x:c r="T169" s="48" t="n">
        <x:f>Model_Data!AN169</x:f>
        <x:v>-29.40288686747952</x:v>
      </x:c>
      <x:c r="U169" s="49"/>
      <x:c r="V169" s="48" t="n">
        <x:f>Model_Data!A169</x:f>
        <x:v>23.5</x:v>
      </x:c>
      <x:c r="W169" s="48" t="n">
        <x:f>Model_Data!B169-Inputs!$C$5</x:f>
        <x:v>0.6136111111110836</x:v>
      </x:c>
      <x:c r="X169" s="49"/>
      <x:c r="Y169" s="48" t="n">
        <x:f>Model_Data!A169</x:f>
        <x:v>23.5</x:v>
      </x:c>
      <x:c r="Z169" s="48" t="n">
        <x:f>0</x:f>
        <x:v>0</x:v>
      </x:c>
      <x:c r="AA169" s="48" t="n">
        <x:f>((SQRT((Inputs!$C$52+Inputs!$C$5)^2+Inputs!$C$52^2-2*(Inputs!$C$52+Inputs!$C$5)*Inputs!$C$52*COS(SQRT((Model_Data!A169)^2+Inputs!$C$6^2)/Inputs!$C$52))-Inputs!$C$5)*1000/Inputs!$C$12)</x:f>
        <x:v>1036.1608210971144</x:v>
      </x:c>
      <x:c r="AB169" s="48" t="n">
        <x:f>Model_Data!F169</x:f>
        <x:v>1034.9040437833773</x:v>
      </x:c>
    </x:row>
    <x:row r="170">
      <x:c r="A170" s="48" t="n">
        <x:f>Model_Data!A170</x:f>
        <x:v>24</x:v>
      </x:c>
      <x:c r="B170" s="48" t="n">
        <x:f>0</x:f>
        <x:v>0</x:v>
      </x:c>
      <x:c r="C170" s="48" t="n">
        <x:f>((SQRT((Inputs!$C$52+Inputs!$C$5)^2+Inputs!$C$52^2-2*(Inputs!$C$52+Inputs!$C$5)*Inputs!$C$52*COS(SQRT((Model_Data!A170)^2+Inputs!$C$6^2)/Inputs!$C$52))-Inputs!$C$5)*1000/Inputs!$C$12)</x:f>
        <x:v>1057.0146777139</x:v>
      </x:c>
      <x:c r="D170" s="48" t="n">
        <x:f>Model_Data!F170</x:f>
        <x:v>1055.6776964389417</x:v>
      </x:c>
      <x:c r="E170" s="48" t="n">
        <x:f>Model_Data!AC170</x:f>
        <x:v>851.6318898279699</x:v>
      </x:c>
      <x:c r="F170" s="49"/>
      <x:c r="G170" s="48" t="n">
        <x:f>Model_Data!A170</x:f>
        <x:v>24</x:v>
      </x:c>
      <x:c r="H170" s="48" t="n">
        <x:f>0</x:f>
        <x:v>0</x:v>
      </x:c>
      <x:c r="I170" s="48" t="n">
        <x:f>Model_Data!Y170</x:f>
        <x:v>441.2625072507224</x:v>
      </x:c>
      <x:c r="J170" s="48" t="n">
        <x:f>Model_Data!X170</x:f>
        <x:v>75.46815017037277</x:v>
      </x:c>
      <x:c r="K170" s="48" t="n">
        <x:f>Model_Data!A170</x:f>
        <x:v>24</x:v>
      </x:c>
      <x:c r="L170" s="48" t="n">
        <x:f>Model_Data!Y170</x:f>
        <x:v>441.2625072507224</x:v>
      </x:c>
      <x:c r="M170" s="48" t="n">
        <x:f>Model_Data!X170</x:f>
        <x:v>75.46815017037277</x:v>
      </x:c>
      <x:c r="N170" s="48" t="n">
        <x:f>-(Model_Data!AC170-Model_Data!F170)*Inputs!$C$12</x:f>
        <x:v>363.2015357675298</x:v>
      </x:c>
      <x:c r="O170" s="49"/>
      <x:c r="P170" s="48" t="n">
        <x:f>Model_Data!A170</x:f>
        <x:v>24</x:v>
      </x:c>
      <x:c r="Q170" s="48" t="n">
        <x:f>Model_Data!P170</x:f>
        <x:v>-204.89354065312</x:v>
      </x:c>
      <x:c r="R170" s="48" t="n">
        <x:f>Model_Data!AM170</x:f>
        <x:v>-230.14401414493477</x:v>
      </x:c>
      <x:c r="S170" s="48" t="n">
        <x:f>Model_Data!Q170</x:f>
        <x:v>-30.764795893861866</x:v>
      </x:c>
      <x:c r="T170" s="48" t="n">
        <x:f>Model_Data!AN170</x:f>
        <x:v>-34.55615828002024</x:v>
      </x:c>
      <x:c r="U170" s="49"/>
      <x:c r="V170" s="48" t="n">
        <x:f>Model_Data!A170</x:f>
        <x:v>24</x:v>
      </x:c>
      <x:c r="W170" s="48" t="n">
        <x:f>Model_Data!B170-Inputs!$C$5</x:f>
        <x:v>0.6399999999999864</x:v>
      </x:c>
      <x:c r="X170" s="49"/>
      <x:c r="Y170" s="48" t="n">
        <x:f>Model_Data!A170</x:f>
        <x:v>24</x:v>
      </x:c>
      <x:c r="Z170" s="48" t="n">
        <x:f>0</x:f>
        <x:v>0</x:v>
      </x:c>
      <x:c r="AA170" s="48" t="n">
        <x:f>((SQRT((Inputs!$C$52+Inputs!$C$5)^2+Inputs!$C$52^2-2*(Inputs!$C$52+Inputs!$C$5)*Inputs!$C$52*COS(SQRT((Model_Data!A170)^2+Inputs!$C$6^2)/Inputs!$C$52))-Inputs!$C$5)*1000/Inputs!$C$12)</x:f>
        <x:v>1057.0146777139</x:v>
      </x:c>
      <x:c r="AB170" s="48" t="n">
        <x:f>Model_Data!F170</x:f>
        <x:v>1055.6776964389417</x:v>
      </x:c>
    </x:row>
    <x:row r="171">
      <x:c r="A171" s="48" t="n">
        <x:f>Model_Data!A171</x:f>
        <x:v>24.5</x:v>
      </x:c>
      <x:c r="B171" s="48" t="n">
        <x:f>0</x:f>
        <x:v>0</x:v>
      </x:c>
      <x:c r="C171" s="48" t="n">
        <x:f>((SQRT((Inputs!$C$52+Inputs!$C$5)^2+Inputs!$C$52^2-2*(Inputs!$C$52+Inputs!$C$5)*Inputs!$C$52*COS(SQRT((Model_Data!A171)^2+Inputs!$C$6^2)/Inputs!$C$52))-Inputs!$C$5)*1000/Inputs!$C$12)</x:f>
        <x:v>1078.3055406969088</x:v>
      </x:c>
      <x:c r="D171" s="48" t="n">
        <x:f>Model_Data!F171</x:f>
        <x:v>1076.8844536568934</x:v>
      </x:c>
      <x:c r="E171" s="48" t="n">
        <x:f>Model_Data!AC171</x:f>
        <x:v>889.9972587260671</x:v>
      </x:c>
      <x:c r="F171" s="49"/>
      <x:c r="G171" s="48" t="n">
        <x:f>Model_Data!A171</x:f>
        <x:v>24.5</x:v>
      </x:c>
      <x:c r="H171" s="48" t="n">
        <x:f>0</x:f>
        <x:v>0</x:v>
      </x:c>
      <x:c r="I171" s="48" t="n">
        <x:f>Model_Data!Y171</x:f>
        <x:v>415.4369773442437</x:v>
      </x:c>
      <x:c r="J171" s="48" t="n">
        <x:f>Model_Data!X171</x:f>
        <x:v>80.2881627342364</x:v>
      </x:c>
      <x:c r="K171" s="48" t="n">
        <x:f>Model_Data!A171</x:f>
        <x:v>24.5</x:v>
      </x:c>
      <x:c r="L171" s="48" t="n">
        <x:f>Model_Data!Y171</x:f>
        <x:v>415.4369773442437</x:v>
      </x:c>
      <x:c r="M171" s="48" t="n">
        <x:f>Model_Data!X171</x:f>
        <x:v>80.2881627342364</x:v>
      </x:c>
      <x:c r="N171" s="48" t="n">
        <x:f>-(Model_Data!AC171-Model_Data!F171)*Inputs!$C$12</x:f>
        <x:v>332.65920697687073</x:v>
      </x:c>
      <x:c r="O171" s="49"/>
      <x:c r="P171" s="48" t="n">
        <x:f>Model_Data!A171</x:f>
        <x:v>24.5</x:v>
      </x:c>
      <x:c r="Q171" s="48" t="n">
        <x:f>Model_Data!P171</x:f>
        <x:v>-209.13753414824896</x:v>
      </x:c>
      <x:c r="R171" s="48" t="n">
        <x:f>Model_Data!AM171</x:f>
        <x:v>-244.97379562135393</x:v>
      </x:c>
      <x:c r="S171" s="48" t="n">
        <x:f>Model_Data!Q171</x:f>
        <x:v>-31.402032154391737</x:v>
      </x:c>
      <x:c r="T171" s="48" t="n">
        <x:f>Model_Data!AN171</x:f>
        <x:v>-36.78285219539849</x:v>
      </x:c>
      <x:c r="U171" s="49"/>
      <x:c r="V171" s="48" t="n">
        <x:f>Model_Data!A171</x:f>
        <x:v>24.5</x:v>
      </x:c>
      <x:c r="W171" s="48" t="n">
        <x:f>Model_Data!B171-Inputs!$C$5</x:f>
        <x:v>0.6669444444444252</x:v>
      </x:c>
      <x:c r="X171" s="49"/>
      <x:c r="Y171" s="48" t="n">
        <x:f>Model_Data!A171</x:f>
        <x:v>24.5</x:v>
      </x:c>
      <x:c r="Z171" s="48" t="n">
        <x:f>0</x:f>
        <x:v>0</x:v>
      </x:c>
      <x:c r="AA171" s="48" t="n">
        <x:f>((SQRT((Inputs!$C$52+Inputs!$C$5)^2+Inputs!$C$52^2-2*(Inputs!$C$52+Inputs!$C$5)*Inputs!$C$52*COS(SQRT((Model_Data!A171)^2+Inputs!$C$6^2)/Inputs!$C$52))-Inputs!$C$5)*1000/Inputs!$C$12)</x:f>
        <x:v>1078.3055406969088</x:v>
      </x:c>
      <x:c r="AB171" s="48" t="n">
        <x:f>Model_Data!F171</x:f>
        <x:v>1076.8844536568934</x:v>
      </x:c>
    </x:row>
    <x:row r="172">
      <x:c r="A172" s="48" t="n">
        <x:f>Model_Data!A172</x:f>
        <x:v>25</x:v>
      </x:c>
      <x:c r="B172" s="48" t="n">
        <x:f>0</x:f>
        <x:v>0</x:v>
      </x:c>
      <x:c r="C172" s="48" t="n">
        <x:f>((SQRT((Inputs!$C$52+Inputs!$C$5)^2+Inputs!$C$52^2-2*(Inputs!$C$52+Inputs!$C$5)*Inputs!$C$52*COS(SQRT((Model_Data!A172)^2+Inputs!$C$6^2)/Inputs!$C$52))-Inputs!$C$5)*1000/Inputs!$C$12)</x:f>
        <x:v>1100.033284253411</x:v>
      </x:c>
      <x:c r="D172" s="48" t="n">
        <x:f>Model_Data!F172</x:f>
        <x:v>1098.5240528424165</x:v>
      </x:c>
      <x:c r="E172" s="48" t="n">
        <x:f>Model_Data!AC172</x:f>
        <x:v>899.2131123935461</x:v>
      </x:c>
      <x:c r="F172" s="49"/>
      <x:c r="G172" s="48" t="n">
        <x:f>Model_Data!A172</x:f>
        <x:v>25</x:v>
      </x:c>
      <x:c r="H172" s="48" t="n">
        <x:f>0</x:f>
        <x:v>0</x:v>
      </x:c>
      <x:c r="I172" s="48" t="n">
        <x:f>Model_Data!Y172</x:f>
        <x:v>418.8320748478676</x:v>
      </x:c>
      <x:c r="J172" s="48" t="n">
        <x:f>Model_Data!X172</x:f>
        <x:v>61.498548518191555</x:v>
      </x:c>
      <x:c r="K172" s="48" t="n">
        <x:f>Model_Data!A172</x:f>
        <x:v>25</x:v>
      </x:c>
      <x:c r="L172" s="48" t="n">
        <x:f>Model_Data!Y172</x:f>
        <x:v>418.8320748478676</x:v>
      </x:c>
      <x:c r="M172" s="48" t="n">
        <x:f>Model_Data!X172</x:f>
        <x:v>61.498548518191555</x:v>
      </x:c>
      <x:c r="N172" s="48" t="n">
        <x:f>-(Model_Data!AC172-Model_Data!F172)*Inputs!$C$12</x:f>
        <x:v>354.7734739989893</x:v>
      </x:c>
      <x:c r="O172" s="49"/>
      <x:c r="P172" s="48" t="n">
        <x:f>Model_Data!A172</x:f>
        <x:v>25</x:v>
      </x:c>
      <x:c r="Q172" s="48" t="n">
        <x:f>Model_Data!P172</x:f>
        <x:v>-213.38001711119432</x:v>
      </x:c>
      <x:c r="R172" s="48" t="n">
        <x:f>Model_Data!AM172</x:f>
        <x:v>-253.7362306406976</x:v>
      </x:c>
      <x:c r="S172" s="48" t="n">
        <x:f>Model_Data!Q172</x:f>
        <x:v>-32.03904160828744</x:v>
      </x:c>
      <x:c r="T172" s="48" t="n">
        <x:f>Model_Data!AN172</x:f>
        <x:v>-38.09853312923388</x:v>
      </x:c>
      <x:c r="U172" s="49"/>
      <x:c r="V172" s="48" t="n">
        <x:f>Model_Data!A172</x:f>
        <x:v>25</x:v>
      </x:c>
      <x:c r="W172" s="48" t="n">
        <x:f>Model_Data!B172-Inputs!$C$5</x:f>
        <x:v>0.6944444444444571</x:v>
      </x:c>
      <x:c r="X172" s="49"/>
      <x:c r="Y172" s="48" t="n">
        <x:f>Model_Data!A172</x:f>
        <x:v>25</x:v>
      </x:c>
      <x:c r="Z172" s="48" t="n">
        <x:f>0</x:f>
        <x:v>0</x:v>
      </x:c>
      <x:c r="AA172" s="48" t="n">
        <x:f>((SQRT((Inputs!$C$52+Inputs!$C$5)^2+Inputs!$C$52^2-2*(Inputs!$C$52+Inputs!$C$5)*Inputs!$C$52*COS(SQRT((Model_Data!A172)^2+Inputs!$C$6^2)/Inputs!$C$52))-Inputs!$C$5)*1000/Inputs!$C$12)</x:f>
        <x:v>1100.033284253411</x:v>
      </x:c>
      <x:c r="AB172" s="48" t="n">
        <x:f>Model_Data!F172</x:f>
        <x:v>1098.5240528424165</x:v>
      </x:c>
    </x:row>
    <x:row r="173">
      <x:c r="A173" s="48" t="n">
        <x:f>Model_Data!A173</x:f>
        <x:v>25.5</x:v>
      </x:c>
      <x:c r="B173" s="48" t="n">
        <x:f>0</x:f>
        <x:v>0</x:v>
      </x:c>
      <x:c r="C173" s="48" t="n">
        <x:f>((SQRT((Inputs!$C$52+Inputs!$C$5)^2+Inputs!$C$52^2-2*(Inputs!$C$52+Inputs!$C$5)*Inputs!$C$52*COS(SQRT((Model_Data!A173)^2+Inputs!$C$6^2)/Inputs!$C$52))-Inputs!$C$5)*1000/Inputs!$C$12)</x:f>
        <x:v>1122.1977800602508</x:v>
      </x:c>
      <x:c r="D173" s="48" t="n">
        <x:f>Model_Data!F173</x:f>
        <x:v>1120.5962262068354</x:v>
      </x:c>
      <x:c r="E173" s="48" t="n">
        <x:f>Model_Data!AC173</x:f>
        <x:v>940.9204645179622</x:v>
      </x:c>
      <x:c r="F173" s="49"/>
      <x:c r="G173" s="48" t="n">
        <x:f>Model_Data!A173</x:f>
        <x:v>25.5</x:v>
      </x:c>
      <x:c r="H173" s="48" t="n">
        <x:f>0</x:f>
        <x:v>0</x:v>
      </x:c>
      <x:c r="I173" s="48" t="n">
        <x:f>Model_Data!Y173</x:f>
        <x:v>390.15691093629596</x:v>
      </x:c>
      <x:c r="J173" s="48" t="n">
        <x:f>Model_Data!X173</x:f>
        <x:v>67.90188044896082</x:v>
      </x:c>
      <x:c r="K173" s="48" t="n">
        <x:f>Model_Data!A173</x:f>
        <x:v>25.5</x:v>
      </x:c>
      <x:c r="L173" s="48" t="n">
        <x:f>Model_Data!Y173</x:f>
        <x:v>390.15691093629596</x:v>
      </x:c>
      <x:c r="M173" s="48" t="n">
        <x:f>Model_Data!X173</x:f>
        <x:v>67.90188044896082</x:v>
      </x:c>
      <x:c r="N173" s="48" t="n">
        <x:f>-(Model_Data!AC173-Model_Data!F173)*Inputs!$C$12</x:f>
        <x:v>319.8228558061943</x:v>
      </x:c>
      <x:c r="O173" s="49"/>
      <x:c r="P173" s="48" t="n">
        <x:f>Model_Data!A173</x:f>
        <x:v>25.5</x:v>
      </x:c>
      <x:c r="Q173" s="48" t="n">
        <x:f>Model_Data!P173</x:f>
        <x:v>-217.6209599799222</x:v>
      </x:c>
      <x:c r="R173" s="48" t="n">
        <x:f>Model_Data!AM173</x:f>
        <x:v>-267.79701353634664</x:v>
      </x:c>
      <x:c r="S173" s="48" t="n">
        <x:f>Model_Data!Q173</x:f>
        <x:v>-32.67581981680514</x:v>
      </x:c>
      <x:c r="T173" s="48" t="n">
        <x:f>Model_Data!AN173</x:f>
        <x:v>-40.209761792244244</x:v>
      </x:c>
      <x:c r="U173" s="49"/>
      <x:c r="V173" s="48" t="n">
        <x:f>Model_Data!A173</x:f>
        <x:v>25.5</x:v>
      </x:c>
      <x:c r="W173" s="48" t="n">
        <x:f>Model_Data!B173-Inputs!$C$5</x:f>
        <x:v>0.722500000000025</x:v>
      </x:c>
      <x:c r="X173" s="49"/>
      <x:c r="Y173" s="48" t="n">
        <x:f>Model_Data!A173</x:f>
        <x:v>25.5</x:v>
      </x:c>
      <x:c r="Z173" s="48" t="n">
        <x:f>0</x:f>
        <x:v>0</x:v>
      </x:c>
      <x:c r="AA173" s="48" t="n">
        <x:f>((SQRT((Inputs!$C$52+Inputs!$C$5)^2+Inputs!$C$52^2-2*(Inputs!$C$52+Inputs!$C$5)*Inputs!$C$52*COS(SQRT((Model_Data!A173)^2+Inputs!$C$6^2)/Inputs!$C$52))-Inputs!$C$5)*1000/Inputs!$C$12)</x:f>
        <x:v>1122.1977800602508</x:v>
      </x:c>
      <x:c r="AB173" s="48" t="n">
        <x:f>Model_Data!F173</x:f>
        <x:v>1120.5962262068354</x:v>
      </x:c>
    </x:row>
    <x:row r="174">
      <x:c r="A174" s="48" t="n">
        <x:f>Model_Data!A174</x:f>
        <x:v>26</x:v>
      </x:c>
      <x:c r="B174" s="48" t="n">
        <x:f>0</x:f>
        <x:v>0</x:v>
      </x:c>
      <x:c r="C174" s="48" t="n">
        <x:f>((SQRT((Inputs!$C$52+Inputs!$C$5)^2+Inputs!$C$52^2-2*(Inputs!$C$52+Inputs!$C$5)*Inputs!$C$52*COS(SQRT((Model_Data!A174)^2+Inputs!$C$6^2)/Inputs!$C$52))-Inputs!$C$5)*1000/Inputs!$C$12)</x:f>
        <x:v>1144.7988972650598</x:v>
      </x:c>
      <x:c r="D174" s="48" t="n">
        <x:f>Model_Data!F174</x:f>
        <x:v>1143.1007007754386</x:v>
      </x:c>
      <x:c r="E174" s="48" t="n">
        <x:f>Model_Data!AC174</x:f>
        <x:v>963.3932192123735</x:v>
      </x:c>
      <x:c r="F174" s="49"/>
      <x:c r="G174" s="48" t="n">
        <x:f>Model_Data!A174</x:f>
        <x:v>26</x:v>
      </x:c>
      <x:c r="H174" s="48" t="n">
        <x:f>0</x:f>
        <x:v>0</x:v>
      </x:c>
      <x:c r="I174" s="48" t="n">
        <x:f>Model_Data!Y174</x:f>
        <x:v>387.3749410180904</x:v>
      </x:c>
      <x:c r="J174" s="48" t="n">
        <x:f>Model_Data!X174</x:f>
        <x:v>65.03267186217182</x:v>
      </x:c>
      <x:c r="K174" s="48" t="n">
        <x:f>Model_Data!A174</x:f>
        <x:v>26</x:v>
      </x:c>
      <x:c r="L174" s="48" t="n">
        <x:f>Model_Data!Y174</x:f>
        <x:v>387.3749410180904</x:v>
      </x:c>
      <x:c r="M174" s="48" t="n">
        <x:f>Model_Data!X174</x:f>
        <x:v>65.03267186217182</x:v>
      </x:c>
      <x:c r="N174" s="48" t="n">
        <x:f>-(Model_Data!AC174-Model_Data!F174)*Inputs!$C$12</x:f>
        <x:v>319.87931718225576</x:v>
      </x:c>
      <x:c r="O174" s="49"/>
      <x:c r="P174" s="48" t="n">
        <x:f>Model_Data!A174</x:f>
        <x:v>26</x:v>
      </x:c>
      <x:c r="Q174" s="48" t="n">
        <x:f>Model_Data!P174</x:f>
        <x:v>-221.86033326770485</x:v>
      </x:c>
      <x:c r="R174" s="48" t="n">
        <x:f>Model_Data!AM174</x:f>
        <x:v>-232.61930903145185</x:v>
      </x:c>
      <x:c r="S174" s="48" t="n">
        <x:f>Model_Data!Q174</x:f>
        <x:v>-33.31236235250824</x:v>
      </x:c>
      <x:c r="T174" s="48" t="n">
        <x:f>Model_Data!AN174</x:f>
        <x:v>-34.92782417889668</x:v>
      </x:c>
      <x:c r="U174" s="49"/>
      <x:c r="V174" s="48" t="n">
        <x:f>Model_Data!A174</x:f>
        <x:v>26</x:v>
      </x:c>
      <x:c r="W174" s="48" t="n">
        <x:f>Model_Data!B174-Inputs!$C$5</x:f>
        <x:v>0.751111111111129</x:v>
      </x:c>
      <x:c r="X174" s="49"/>
      <x:c r="Y174" s="48" t="n">
        <x:f>Model_Data!A174</x:f>
        <x:v>26</x:v>
      </x:c>
      <x:c r="Z174" s="48" t="n">
        <x:f>0</x:f>
        <x:v>0</x:v>
      </x:c>
      <x:c r="AA174" s="48" t="n">
        <x:f>((SQRT((Inputs!$C$52+Inputs!$C$5)^2+Inputs!$C$52^2-2*(Inputs!$C$52+Inputs!$C$5)*Inputs!$C$52*COS(SQRT((Model_Data!A174)^2+Inputs!$C$6^2)/Inputs!$C$52))-Inputs!$C$5)*1000/Inputs!$C$12)</x:f>
        <x:v>1144.7988972650598</x:v>
      </x:c>
      <x:c r="AB174" s="48" t="n">
        <x:f>Model_Data!F174</x:f>
        <x:v>1143.1007007754386</x:v>
      </x:c>
    </x:row>
    <x:row r="175">
      <x:c r="A175" s="48" t="n">
        <x:f>Model_Data!A175</x:f>
        <x:v>26.5</x:v>
      </x:c>
      <x:c r="B175" s="48" t="n">
        <x:f>0</x:f>
        <x:v>0</x:v>
      </x:c>
      <x:c r="C175" s="48" t="n">
        <x:f>((SQRT((Inputs!$C$52+Inputs!$C$5)^2+Inputs!$C$52^2-2*(Inputs!$C$52+Inputs!$C$5)*Inputs!$C$52*COS(SQRT((Model_Data!A175)^2+Inputs!$C$6^2)/Inputs!$C$52))-Inputs!$C$5)*1000/Inputs!$C$12)</x:f>
        <x:v>1167.83650249044</x:v>
      </x:c>
      <x:c r="D175" s="48" t="n">
        <x:f>Model_Data!F175</x:f>
        <x:v>1166.0371984060328</x:v>
      </x:c>
      <x:c r="E175" s="48" t="n">
        <x:f>Model_Data!AC175</x:f>
        <x:v>991.0463117819929</x:v>
      </x:c>
      <x:c r="F175" s="49"/>
      <x:c r="G175" s="48" t="n">
        <x:f>Model_Data!A175</x:f>
        <x:v>26.5</x:v>
      </x:c>
      <x:c r="H175" s="48" t="n">
        <x:f>0</x:f>
        <x:v>0</x:v>
      </x:c>
      <x:c r="I175" s="48" t="n">
        <x:f>Model_Data!Y175</x:f>
        <x:v>383.48713922986474</x:v>
      </x:c>
      <x:c r="J175" s="48" t="n">
        <x:f>Model_Data!X175</x:f>
        <x:v>69.51659821200863</x:v>
      </x:c>
      <x:c r="K175" s="48" t="n">
        <x:f>Model_Data!A175</x:f>
        <x:v>26.5</x:v>
      </x:c>
      <x:c r="L175" s="48" t="n">
        <x:f>Model_Data!Y175</x:f>
        <x:v>383.48713922986474</x:v>
      </x:c>
      <x:c r="M175" s="48" t="n">
        <x:f>Model_Data!X175</x:f>
        <x:v>69.51659821200863</x:v>
      </x:c>
      <x:c r="N175" s="48" t="n">
        <x:f>-(Model_Data!AC175-Model_Data!F175)*Inputs!$C$12</x:f>
        <x:v>311.48377819079093</x:v>
      </x:c>
      <x:c r="O175" s="49"/>
      <x:c r="P175" s="48" t="n">
        <x:f>Model_Data!A175</x:f>
        <x:v>26.5</x:v>
      </x:c>
      <x:c r="Q175" s="48" t="n">
        <x:f>Model_Data!P175</x:f>
        <x:v>-226.0981075584823</x:v>
      </x:c>
      <x:c r="R175" s="48" t="n">
        <x:f>Model_Data!AM175</x:f>
        <x:v>-291.65466654148986</x:v>
      </x:c>
      <x:c r="S175" s="48" t="n">
        <x:f>Model_Data!Q175</x:f>
        <x:v>-33.94866479857092</x:v>
      </x:c>
      <x:c r="T175" s="48" t="n">
        <x:f>Model_Data!AN175</x:f>
        <x:v>-43.79199197319668</x:v>
      </x:c>
      <x:c r="U175" s="49"/>
      <x:c r="V175" s="48" t="n">
        <x:f>Model_Data!A175</x:f>
        <x:v>26.5</x:v>
      </x:c>
      <x:c r="W175" s="48" t="n">
        <x:f>Model_Data!B175-Inputs!$C$5</x:f>
        <x:v>0.7802777777777692</x:v>
      </x:c>
      <x:c r="X175" s="49"/>
      <x:c r="Y175" s="48" t="n">
        <x:f>Model_Data!A175</x:f>
        <x:v>26.5</x:v>
      </x:c>
      <x:c r="Z175" s="48" t="n">
        <x:f>0</x:f>
        <x:v>0</x:v>
      </x:c>
      <x:c r="AA175" s="48" t="n">
        <x:f>((SQRT((Inputs!$C$52+Inputs!$C$5)^2+Inputs!$C$52^2-2*(Inputs!$C$52+Inputs!$C$5)*Inputs!$C$52*COS(SQRT((Model_Data!A175)^2+Inputs!$C$6^2)/Inputs!$C$52))-Inputs!$C$5)*1000/Inputs!$C$12)</x:f>
        <x:v>1167.83650249044</x:v>
      </x:c>
      <x:c r="AB175" s="48" t="n">
        <x:f>Model_Data!F175</x:f>
        <x:v>1166.0371984060328</x:v>
      </x:c>
    </x:row>
    <x:row r="176">
      <x:c r="A176" s="48" t="n">
        <x:f>Model_Data!A176</x:f>
        <x:v>27</x:v>
      </x:c>
      <x:c r="B176" s="48" t="n">
        <x:f>0</x:f>
        <x:v>0</x:v>
      </x:c>
      <x:c r="C176" s="48" t="n">
        <x:f>((SQRT((Inputs!$C$52+Inputs!$C$5)^2+Inputs!$C$52^2-2*(Inputs!$C$52+Inputs!$C$5)*Inputs!$C$52*COS(SQRT((Model_Data!A176)^2+Inputs!$C$6^2)/Inputs!$C$52))-Inputs!$C$5)*1000/Inputs!$C$12)</x:f>
        <x:v>1191.3104598367102</x:v>
      </x:c>
      <x:c r="D176" s="48" t="n">
        <x:f>Model_Data!F176</x:f>
        <x:v>1189.4054357952016</x:v>
      </x:c>
      <x:c r="E176" s="48" t="n">
        <x:f>Model_Data!AC176</x:f>
        <x:v>1032.3915762449658</x:v>
      </x:c>
      <x:c r="F176" s="49"/>
      <x:c r="G176" s="48" t="n">
        <x:f>Model_Data!A176</x:f>
        <x:v>27</x:v>
      </x:c>
      <x:c r="H176" s="48" t="n">
        <x:f>0</x:f>
        <x:v>0</x:v>
      </x:c>
      <x:c r="I176" s="48" t="n">
        <x:f>Model_Data!Y176</x:f>
        <x:v>346.2287328646241</x:v>
      </x:c>
      <x:c r="J176" s="48" t="n">
        <x:f>Model_Data!X176</x:f>
        <x:v>64.45446968061479</x:v>
      </x:c>
      <x:c r="K176" s="48" t="n">
        <x:f>Model_Data!A176</x:f>
        <x:v>27</x:v>
      </x:c>
      <x:c r="L176" s="48" t="n">
        <x:f>Model_Data!Y176</x:f>
        <x:v>346.2287328646241</x:v>
      </x:c>
      <x:c r="M176" s="48" t="n">
        <x:f>Model_Data!X176</x:f>
        <x:v>64.45446968061479</x:v>
      </x:c>
      <x:c r="N176" s="48" t="n">
        <x:f>-(Model_Data!AC176-Model_Data!F176)*Inputs!$C$12</x:f>
        <x:v>279.48466999941974</x:v>
      </x:c>
      <x:c r="O176" s="49"/>
      <x:c r="P176" s="48" t="n">
        <x:f>Model_Data!A176</x:f>
        <x:v>27</x:v>
      </x:c>
      <x:c r="Q176" s="48" t="n">
        <x:f>Model_Data!P176</x:f>
        <x:v>-230.3342535144111</x:v>
      </x:c>
      <x:c r="R176" s="48" t="n">
        <x:f>Model_Data!AM176</x:f>
        <x:v>-304.31541811476563</x:v>
      </x:c>
      <x:c r="S176" s="48" t="n">
        <x:f>Model_Data!Q176</x:f>
        <x:v>-34.58472274991158</x:v>
      </x:c>
      <x:c r="T176" s="48" t="n">
        <x:f>Model_Data!AN176</x:f>
        <x:v>-45.693005722937784</x:v>
      </x:c>
      <x:c r="U176" s="49"/>
      <x:c r="V176" s="48" t="n">
        <x:f>Model_Data!A176</x:f>
        <x:v>27</x:v>
      </x:c>
      <x:c r="W176" s="48" t="n">
        <x:f>Model_Data!B176-Inputs!$C$5</x:f>
        <x:v>0.8100000000000023</x:v>
      </x:c>
      <x:c r="X176" s="49"/>
      <x:c r="Y176" s="48" t="n">
        <x:f>Model_Data!A176</x:f>
        <x:v>27</x:v>
      </x:c>
      <x:c r="Z176" s="48" t="n">
        <x:f>0</x:f>
        <x:v>0</x:v>
      </x:c>
      <x:c r="AA176" s="48" t="n">
        <x:f>((SQRT((Inputs!$C$52+Inputs!$C$5)^2+Inputs!$C$52^2-2*(Inputs!$C$52+Inputs!$C$5)*Inputs!$C$52*COS(SQRT((Model_Data!A176)^2+Inputs!$C$6^2)/Inputs!$C$52))-Inputs!$C$5)*1000/Inputs!$C$12)</x:f>
        <x:v>1191.3104598367102</x:v>
      </x:c>
      <x:c r="AB176" s="48" t="n">
        <x:f>Model_Data!F176</x:f>
        <x:v>1189.4054357952016</x:v>
      </x:c>
    </x:row>
    <x:row r="177">
      <x:c r="A177" s="48" t="n">
        <x:f>Model_Data!A177</x:f>
        <x:v>27.5</x:v>
      </x:c>
      <x:c r="B177" s="48" t="n">
        <x:f>0</x:f>
        <x:v>0</x:v>
      </x:c>
      <x:c r="C177" s="48" t="n">
        <x:f>((SQRT((Inputs!$C$52+Inputs!$C$5)^2+Inputs!$C$52^2-2*(Inputs!$C$52+Inputs!$C$5)*Inputs!$C$52*COS(SQRT((Model_Data!A177)^2+Inputs!$C$6^2)/Inputs!$C$52))-Inputs!$C$5)*1000/Inputs!$C$12)</x:f>
        <x:v>1215.2206308890595</x:v>
      </x:c>
      <x:c r="D177" s="48" t="n">
        <x:f>Model_Data!F177</x:f>
        <x:v>1213.2051244995746</x:v>
      </x:c>
      <x:c r="E177" s="48" t="n">
        <x:f>Model_Data!AC177</x:f>
        <x:v>1050.8589069580808</x:v>
      </x:c>
      <x:c r="F177" s="49"/>
      <x:c r="G177" s="48" t="n">
        <x:f>Model_Data!A177</x:f>
        <x:v>27.5</x:v>
      </x:c>
      <x:c r="H177" s="48" t="n">
        <x:f>0</x:f>
        <x:v>0</x:v>
      </x:c>
      <x:c r="I177" s="48" t="n">
        <x:f>Model_Data!Y177</x:f>
        <x:v>337.0351401860322</x:v>
      </x:c>
      <x:c r="J177" s="48" t="n">
        <x:f>Model_Data!X177</x:f>
        <x:v>45.78588130375909</x:v>
      </x:c>
      <x:c r="K177" s="48" t="n">
        <x:f>Model_Data!A177</x:f>
        <x:v>27.5</x:v>
      </x:c>
      <x:c r="L177" s="48" t="n">
        <x:f>Model_Data!Y177</x:f>
        <x:v>337.0351401860322</x:v>
      </x:c>
      <x:c r="M177" s="48" t="n">
        <x:f>Model_Data!X177</x:f>
        <x:v>45.78588130375909</x:v>
      </x:c>
      <x:c r="N177" s="48" t="n">
        <x:f>-(Model_Data!AC177-Model_Data!F177)*Inputs!$C$12</x:f>
        <x:v>288.97626722385905</x:v>
      </x:c>
      <x:c r="O177" s="49"/>
      <x:c r="P177" s="48" t="n">
        <x:f>Model_Data!A177</x:f>
        <x:v>27.5</x:v>
      </x:c>
      <x:c r="Q177" s="48" t="n">
        <x:f>Model_Data!P177</x:f>
        <x:v>-234.56874188968868</x:v>
      </x:c>
      <x:c r="R177" s="48" t="n">
        <x:f>Model_Data!AM177</x:f>
        <x:v>-288.8126042343174</x:v>
      </x:c>
      <x:c r="S177" s="48" t="n">
        <x:f>Model_Data!Q177</x:f>
        <x:v>-35.22053181526857</x:v>
      </x:c>
      <x:c r="T177" s="48" t="n">
        <x:f>Model_Data!AN177</x:f>
        <x:v>-43.36525589103865</x:v>
      </x:c>
      <x:c r="U177" s="49"/>
      <x:c r="V177" s="48" t="n">
        <x:f>Model_Data!A177</x:f>
        <x:v>27.5</x:v>
      </x:c>
      <x:c r="W177" s="48" t="n">
        <x:f>Model_Data!B177-Inputs!$C$5</x:f>
        <x:v>0.8402777777777715</x:v>
      </x:c>
      <x:c r="X177" s="49"/>
      <x:c r="Y177" s="48" t="n">
        <x:f>Model_Data!A177</x:f>
        <x:v>27.5</x:v>
      </x:c>
      <x:c r="Z177" s="48" t="n">
        <x:f>0</x:f>
        <x:v>0</x:v>
      </x:c>
      <x:c r="AA177" s="48" t="n">
        <x:f>((SQRT((Inputs!$C$52+Inputs!$C$5)^2+Inputs!$C$52^2-2*(Inputs!$C$52+Inputs!$C$5)*Inputs!$C$52*COS(SQRT((Model_Data!A177)^2+Inputs!$C$6^2)/Inputs!$C$52))-Inputs!$C$5)*1000/Inputs!$C$12)</x:f>
        <x:v>1215.2206308890595</x:v>
      </x:c>
      <x:c r="AB177" s="48" t="n">
        <x:f>Model_Data!F177</x:f>
        <x:v>1213.2051244995746</x:v>
      </x:c>
    </x:row>
    <x:row r="178">
      <x:c r="A178" s="48" t="n">
        <x:f>Model_Data!A178</x:f>
        <x:v>28</x:v>
      </x:c>
      <x:c r="B178" s="48" t="n">
        <x:f>0</x:f>
        <x:v>0</x:v>
      </x:c>
      <x:c r="C178" s="48" t="n">
        <x:f>((SQRT((Inputs!$C$52+Inputs!$C$5)^2+Inputs!$C$52^2-2*(Inputs!$C$52+Inputs!$C$5)*Inputs!$C$52*COS(SQRT((Model_Data!A178)^2+Inputs!$C$6^2)/Inputs!$C$52))-Inputs!$C$5)*1000/Inputs!$C$12)</x:f>
        <x:v>1239.5668747174202</x:v>
      </x:c>
      <x:c r="D178" s="48" t="n">
        <x:f>Model_Data!F178</x:f>
        <x:v>1237.4359709468442</x:v>
      </x:c>
      <x:c r="E178" s="48" t="n">
        <x:f>Model_Data!AC178</x:f>
        <x:v>1096.3728619912488</x:v>
      </x:c>
      <x:c r="F178" s="49"/>
      <x:c r="G178" s="48" t="n">
        <x:f>Model_Data!A178</x:f>
        <x:v>28</x:v>
      </x:c>
      <x:c r="H178" s="48" t="n">
        <x:f>0</x:f>
        <x:v>0</x:v>
      </x:c>
      <x:c r="I178" s="48" t="n">
        <x:f>Model_Data!Y178</x:f>
        <x:v>312.18369818898617</x:v>
      </x:c>
      <x:c r="J178" s="48" t="n">
        <x:f>Model_Data!X178</x:f>
        <x:v>58.94439177372493</x:v>
      </x:c>
      <x:c r="K178" s="48" t="n">
        <x:f>Model_Data!A178</x:f>
        <x:v>28</x:v>
      </x:c>
      <x:c r="L178" s="48" t="n">
        <x:f>Model_Data!Y178</x:f>
        <x:v>312.18369818898617</x:v>
      </x:c>
      <x:c r="M178" s="48" t="n">
        <x:f>Model_Data!X178</x:f>
        <x:v>58.94439177372493</x:v>
      </x:c>
      <x:c r="N178" s="48" t="n">
        <x:f>-(Model_Data!AC178-Model_Data!F178)*Inputs!$C$12</x:f>
        <x:v>251.09233394095992</x:v>
      </x:c>
      <x:c r="O178" s="49"/>
      <x:c r="P178" s="48" t="n">
        <x:f>Model_Data!A178</x:f>
        <x:v>28</x:v>
      </x:c>
      <x:c r="Q178" s="48" t="n">
        <x:f>Model_Data!P178</x:f>
        <x:v>-238.80154350054</x:v>
      </x:c>
      <x:c r="R178" s="48" t="n">
        <x:f>Model_Data!AM178</x:f>
        <x:v>-281.15917075083416</x:v>
      </x:c>
      <x:c r="S178" s="48" t="n">
        <x:f>Model_Data!Q178</x:f>
        <x:v>-35.8560876126937</x:v>
      </x:c>
      <x:c r="T178" s="48" t="n">
        <x:f>Model_Data!AN178</x:f>
        <x:v>-42.21609170432946</x:v>
      </x:c>
      <x:c r="U178" s="49"/>
      <x:c r="V178" s="48" t="n">
        <x:f>Model_Data!A178</x:f>
        <x:v>28</x:v>
      </x:c>
      <x:c r="W178" s="48" t="n">
        <x:f>Model_Data!B178-Inputs!$C$5</x:f>
        <x:v>0.8711111111111336</x:v>
      </x:c>
      <x:c r="X178" s="49"/>
      <x:c r="Y178" s="48" t="n">
        <x:f>Model_Data!A178</x:f>
        <x:v>28</x:v>
      </x:c>
      <x:c r="Z178" s="48" t="n">
        <x:f>0</x:f>
        <x:v>0</x:v>
      </x:c>
      <x:c r="AA178" s="48" t="n">
        <x:f>((SQRT((Inputs!$C$52+Inputs!$C$5)^2+Inputs!$C$52^2-2*(Inputs!$C$52+Inputs!$C$5)*Inputs!$C$52*COS(SQRT((Model_Data!A178)^2+Inputs!$C$6^2)/Inputs!$C$52))-Inputs!$C$5)*1000/Inputs!$C$12)</x:f>
        <x:v>1239.5668747174202</x:v>
      </x:c>
      <x:c r="AB178" s="48" t="n">
        <x:f>Model_Data!F178</x:f>
        <x:v>1237.4359709468442</x:v>
      </x:c>
    </x:row>
    <x:row r="179">
      <x:c r="A179" s="48" t="n">
        <x:f>Model_Data!A179</x:f>
        <x:v>28.5</x:v>
      </x:c>
      <x:c r="B179" s="48" t="n">
        <x:f>0</x:f>
        <x:v>0</x:v>
      </x:c>
      <x:c r="C179" s="48" t="n">
        <x:f>((SQRT((Inputs!$C$52+Inputs!$C$5)^2+Inputs!$C$52^2-2*(Inputs!$C$52+Inputs!$C$5)*Inputs!$C$52*COS(SQRT((Model_Data!A179)^2+Inputs!$C$6^2)/Inputs!$C$52))-Inputs!$C$5)*1000/Inputs!$C$12)</x:f>
        <x:v>1264.3490478827257</x:v>
      </x:c>
      <x:c r="D179" s="48" t="n">
        <x:f>Model_Data!F179</x:f>
        <x:v>1262.09767644656</x:v>
      </x:c>
      <x:c r="E179" s="48" t="n">
        <x:f>Model_Data!AC179</x:f>
        <x:v>1119.085556794183</x:v>
      </x:c>
      <x:c r="F179" s="49"/>
      <x:c r="G179" s="48" t="n">
        <x:f>Model_Data!A179</x:f>
        <x:v>28.5</x:v>
      </x:c>
      <x:c r="H179" s="48" t="n">
        <x:f>0</x:f>
        <x:v>0</x:v>
      </x:c>
      <x:c r="I179" s="48" t="n">
        <x:f>Model_Data!Y179</x:f>
        <x:v>310.4659866511931</x:v>
      </x:c>
      <x:c r="J179" s="48" t="n">
        <x:f>Model_Data!X179</x:f>
        <x:v>53.72705851492565</x:v>
      </x:c>
      <x:c r="K179" s="48" t="n">
        <x:f>Model_Data!A179</x:f>
        <x:v>28.5</x:v>
      </x:c>
      <x:c r="L179" s="48" t="n">
        <x:f>Model_Data!Y179</x:f>
        <x:v>310.4659866511931</x:v>
      </x:c>
      <x:c r="M179" s="48" t="n">
        <x:f>Model_Data!X179</x:f>
        <x:v>53.72705851492565</x:v>
      </x:c>
      <x:c r="N179" s="48" t="n">
        <x:f>-(Model_Data!AC179-Model_Data!F179)*Inputs!$C$12</x:f>
        <x:v>254.56157298123088</x:v>
      </x:c>
      <x:c r="O179" s="49"/>
      <x:c r="P179" s="48" t="n">
        <x:f>Model_Data!A179</x:f>
        <x:v>28.5</x:v>
      </x:c>
      <x:c r="Q179" s="48" t="n">
        <x:f>Model_Data!P179</x:f>
        <x:v>-243.03262925423041</x:v>
      </x:c>
      <x:c r="R179" s="48" t="n">
        <x:f>Model_Data!AM179</x:f>
        <x:v>-287.9698524754531</x:v>
      </x:c>
      <x:c r="S179" s="48" t="n">
        <x:f>Model_Data!Q179</x:f>
        <x:v>-36.491385773908476</x:v>
      </x:c>
      <x:c r="T179" s="48" t="n">
        <x:f>Model_Data!AN179</x:f>
        <x:v>-43.23871658790587</x:v>
      </x:c>
      <x:c r="U179" s="49"/>
      <x:c r="V179" s="48" t="n">
        <x:f>Model_Data!A179</x:f>
        <x:v>28.5</x:v>
      </x:c>
      <x:c r="W179" s="48" t="n">
        <x:f>Model_Data!B179-Inputs!$C$5</x:f>
        <x:v>0.902499999999975</x:v>
      </x:c>
      <x:c r="X179" s="49"/>
      <x:c r="Y179" s="48" t="n">
        <x:f>Model_Data!A179</x:f>
        <x:v>28.5</x:v>
      </x:c>
      <x:c r="Z179" s="48" t="n">
        <x:f>0</x:f>
        <x:v>0</x:v>
      </x:c>
      <x:c r="AA179" s="48" t="n">
        <x:f>((SQRT((Inputs!$C$52+Inputs!$C$5)^2+Inputs!$C$52^2-2*(Inputs!$C$52+Inputs!$C$5)*Inputs!$C$52*COS(SQRT((Model_Data!A179)^2+Inputs!$C$6^2)/Inputs!$C$52))-Inputs!$C$5)*1000/Inputs!$C$12)</x:f>
        <x:v>1264.3490478827257</x:v>
      </x:c>
      <x:c r="AB179" s="48" t="n">
        <x:f>Model_Data!F179</x:f>
        <x:v>1262.09767644656</x:v>
      </x:c>
    </x:row>
    <x:row r="180">
      <x:c r="A180" s="48" t="n">
        <x:f>Model_Data!A180</x:f>
        <x:v>29</x:v>
      </x:c>
      <x:c r="B180" s="48" t="n">
        <x:f>0</x:f>
        <x:v>0</x:v>
      </x:c>
      <x:c r="C180" s="48" t="n">
        <x:f>((SQRT((Inputs!$C$52+Inputs!$C$5)^2+Inputs!$C$52^2-2*(Inputs!$C$52+Inputs!$C$5)*Inputs!$C$52*COS(SQRT((Model_Data!A180)^2+Inputs!$C$6^2)/Inputs!$C$52))-Inputs!$C$5)*1000/Inputs!$C$12)</x:f>
        <x:v>1289.5670044428514</x:v>
      </x:c>
      <x:c r="D180" s="48" t="n">
        <x:f>Model_Data!F180</x:f>
        <x:v>1287.1899372112048</x:v>
      </x:c>
      <x:c r="E180" s="48" t="n">
        <x:f>Model_Data!AC180</x:f>
        <x:v>1145.2861149607454</x:v>
      </x:c>
      <x:c r="F180" s="49"/>
      <x:c r="G180" s="48" t="n">
        <x:f>Model_Data!A180</x:f>
        <x:v>29</x:v>
      </x:c>
      <x:c r="H180" s="48" t="n">
        <x:f>0</x:f>
        <x:v>0</x:v>
      </x:c>
      <x:c r="I180" s="48" t="n">
        <x:f>Model_Data!Y180</x:f>
        <x:v>283.98171018669603</x:v>
      </x:c>
      <x:c r="J180" s="48" t="n">
        <x:f>Model_Data!X180</x:f>
        <x:v>29.362157595592716</x:v>
      </x:c>
      <x:c r="K180" s="48" t="n">
        <x:f>Model_Data!A180</x:f>
        <x:v>29</x:v>
      </x:c>
      <x:c r="L180" s="48" t="n">
        <x:f>Model_Data!Y180</x:f>
        <x:v>283.98171018669603</x:v>
      </x:c>
      <x:c r="M180" s="48" t="n">
        <x:f>Model_Data!X180</x:f>
        <x:v>29.362157595592716</x:v>
      </x:c>
      <x:c r="N180" s="48" t="n">
        <x:f>-(Model_Data!AC180-Model_Data!F180)*Inputs!$C$12</x:f>
        <x:v>252.58880360581767</x:v>
      </x:c>
      <x:c r="O180" s="49"/>
      <x:c r="P180" s="48" t="n">
        <x:f>Model_Data!A180</x:f>
        <x:v>29</x:v>
      </x:c>
      <x:c r="Q180" s="48" t="n">
        <x:f>Model_Data!P180</x:f>
        <x:v>-247.26197014497302</x:v>
      </x:c>
      <x:c r="R180" s="48" t="n">
        <x:f>Model_Data!AM180</x:f>
        <x:v>-321.95858402801605</x:v>
      </x:c>
      <x:c r="S180" s="48" t="n">
        <x:f>Model_Data!Q180</x:f>
        <x:v>-37.12642194368964</x:v>
      </x:c>
      <x:c r="T180" s="48" t="n">
        <x:f>Model_Data!AN180</x:f>
        <x:v>-48.342129733936346</x:v>
      </x:c>
      <x:c r="U180" s="49"/>
      <x:c r="V180" s="48" t="n">
        <x:f>Model_Data!A180</x:f>
        <x:v>29</x:v>
      </x:c>
      <x:c r="W180" s="48" t="n">
        <x:f>Model_Data!B180-Inputs!$C$5</x:f>
        <x:v>0.9344444444444662</x:v>
      </x:c>
      <x:c r="X180" s="49"/>
      <x:c r="Y180" s="48" t="n">
        <x:f>Model_Data!A180</x:f>
        <x:v>29</x:v>
      </x:c>
      <x:c r="Z180" s="48" t="n">
        <x:f>0</x:f>
        <x:v>0</x:v>
      </x:c>
      <x:c r="AA180" s="48" t="n">
        <x:f>((SQRT((Inputs!$C$52+Inputs!$C$5)^2+Inputs!$C$52^2-2*(Inputs!$C$52+Inputs!$C$5)*Inputs!$C$52*COS(SQRT((Model_Data!A180)^2+Inputs!$C$6^2)/Inputs!$C$52))-Inputs!$C$5)*1000/Inputs!$C$12)</x:f>
        <x:v>1289.5670044428514</x:v>
      </x:c>
      <x:c r="AB180" s="48" t="n">
        <x:f>Model_Data!F180</x:f>
        <x:v>1287.1899372112048</x:v>
      </x:c>
    </x:row>
    <x:row r="181">
      <x:c r="A181" s="48" t="n">
        <x:f>Model_Data!A181</x:f>
        <x:v>29.5</x:v>
      </x:c>
      <x:c r="B181" s="48" t="n">
        <x:f>0</x:f>
        <x:v>0</x:v>
      </x:c>
      <x:c r="C181" s="48" t="n">
        <x:f>((SQRT((Inputs!$C$52+Inputs!$C$5)^2+Inputs!$C$52^2-2*(Inputs!$C$52+Inputs!$C$5)*Inputs!$C$52*COS(SQRT((Model_Data!A181)^2+Inputs!$C$6^2)/Inputs!$C$52))-Inputs!$C$5)*1000/Inputs!$C$12)</x:f>
        <x:v>1315.2205959528692</x:v>
      </x:c>
      <x:c r="D181" s="48" t="n">
        <x:f>Model_Data!F181</x:f>
        <x:v>1312.7124443657435</x:v>
      </x:c>
      <x:c r="E181" s="48" t="n">
        <x:f>Model_Data!AC181</x:f>
        <x:v>1177.2307489554819</x:v>
      </x:c>
      <x:c r="F181" s="49"/>
      <x:c r="G181" s="48" t="n">
        <x:f>Model_Data!A181</x:f>
        <x:v>29.5</x:v>
      </x:c>
      <x:c r="H181" s="48" t="n">
        <x:f>0</x:f>
        <x:v>0</x:v>
      </x:c>
      <x:c r="I181" s="48" t="n">
        <x:f>Model_Data!Y181</x:f>
        <x:v>263.5246591496981</x:v>
      </x:c>
      <x:c r="J181" s="48" t="n">
        <x:f>Model_Data!X181</x:f>
        <x:v>20.4458299890095</x:v>
      </x:c>
      <x:c r="K181" s="48" t="n">
        <x:f>Model_Data!A181</x:f>
        <x:v>29.5</x:v>
      </x:c>
      <x:c r="L181" s="48" t="n">
        <x:f>Model_Data!Y181</x:f>
        <x:v>263.5246591496981</x:v>
      </x:c>
      <x:c r="M181" s="48" t="n">
        <x:f>Model_Data!X181</x:f>
        <x:v>20.4458299890095</x:v>
      </x:c>
      <x:c r="N181" s="48" t="n">
        <x:f>-(Model_Data!AC181-Model_Data!F181)*Inputs!$C$12</x:f>
        <x:v>241.15741783026573</x:v>
      </x:c>
      <x:c r="O181" s="49"/>
      <x:c r="P181" s="48" t="n">
        <x:f>Model_Data!A181</x:f>
        <x:v>29.5</x:v>
      </x:c>
      <x:c r="Q181" s="48" t="n">
        <x:f>Model_Data!P181</x:f>
        <x:v>-251.4895372385581</x:v>
      </x:c>
      <x:c r="R181" s="48" t="n">
        <x:f>Model_Data!AM181</x:f>
        <x:v>-292.2747079845067</x:v>
      </x:c>
      <x:c r="S181" s="48" t="n">
        <x:f>Model_Data!Q181</x:f>
        <x:v>-37.76119177756128</x:v>
      </x:c>
      <x:c r="T181" s="48" t="n">
        <x:f>Model_Data!AN181</x:f>
        <x:v>-43.88509128896497</x:v>
      </x:c>
      <x:c r="U181" s="49"/>
      <x:c r="V181" s="48" t="n">
        <x:f>Model_Data!A181</x:f>
        <x:v>29.5</x:v>
      </x:c>
      <x:c r="W181" s="48" t="n">
        <x:f>Model_Data!B181-Inputs!$C$5</x:f>
        <x:v>0.9669444444444366</x:v>
      </x:c>
      <x:c r="X181" s="49"/>
      <x:c r="Y181" s="48" t="n">
        <x:f>Model_Data!A181</x:f>
        <x:v>29.5</x:v>
      </x:c>
      <x:c r="Z181" s="48" t="n">
        <x:f>0</x:f>
        <x:v>0</x:v>
      </x:c>
      <x:c r="AA181" s="48" t="n">
        <x:f>((SQRT((Inputs!$C$52+Inputs!$C$5)^2+Inputs!$C$52^2-2*(Inputs!$C$52+Inputs!$C$5)*Inputs!$C$52*COS(SQRT((Model_Data!A181)^2+Inputs!$C$6^2)/Inputs!$C$52))-Inputs!$C$5)*1000/Inputs!$C$12)</x:f>
        <x:v>1315.2205959528692</x:v>
      </x:c>
      <x:c r="AB181" s="48" t="n">
        <x:f>Model_Data!F181</x:f>
        <x:v>1312.7124443657435</x:v>
      </x:c>
    </x:row>
    <x:row r="182">
      <x:c r="A182" s="48" t="n">
        <x:f>Model_Data!A182</x:f>
        <x:v>30</x:v>
      </x:c>
      <x:c r="B182" s="48" t="n">
        <x:f>0</x:f>
        <x:v>0</x:v>
      </x:c>
      <x:c r="C182" s="48" t="n">
        <x:f>((SQRT((Inputs!$C$52+Inputs!$C$5)^2+Inputs!$C$52^2-2*(Inputs!$C$52+Inputs!$C$5)*Inputs!$C$52*COS(SQRT((Model_Data!A182)^2+Inputs!$C$6^2)/Inputs!$C$52))-Inputs!$C$5)*1000/Inputs!$C$12)</x:f>
        <x:v>1341.3096714700305</x:v>
      </x:c>
      <x:c r="D182" s="48" t="n">
        <x:f>Model_Data!F182</x:f>
        <x:v>1338.6648839632076</x:v>
      </x:c>
      <x:c r="E182" s="48" t="n">
        <x:f>Model_Data!AC182</x:f>
        <x:v>1201.2597654401989</x:v>
      </x:c>
      <x:c r="F182" s="49"/>
      <x:c r="G182" s="48" t="n">
        <x:f>Model_Data!A182</x:f>
        <x:v>30</x:v>
      </x:c>
      <x:c r="H182" s="48" t="n">
        <x:f>0</x:f>
        <x:v>0</x:v>
      </x:c>
      <x:c r="I182" s="48" t="n">
        <x:f>Model_Data!Y182</x:f>
        <x:v>258.3810354027646</x:v>
      </x:c>
      <x:c r="J182" s="48" t="n">
        <x:f>Model_Data!X182</x:f>
        <x:v>11.879118514207924</x:v>
      </x:c>
      <x:c r="K182" s="48" t="n">
        <x:f>Model_Data!A182</x:f>
        <x:v>30</x:v>
      </x:c>
      <x:c r="L182" s="48" t="n">
        <x:f>Model_Data!Y182</x:f>
        <x:v>258.3810354027646</x:v>
      </x:c>
      <x:c r="M182" s="48" t="n">
        <x:f>Model_Data!X182</x:f>
        <x:v>11.879118514207924</x:v>
      </x:c>
      <x:c r="N182" s="48" t="n">
        <x:f>-(Model_Data!AC182-Model_Data!F182)*Inputs!$C$12</x:f>
        <x:v>244.58111097095548</x:v>
      </x:c>
      <x:c r="O182" s="49"/>
      <x:c r="P182" s="48" t="n">
        <x:f>Model_Data!A182</x:f>
        <x:v>30</x:v>
      </x:c>
      <x:c r="Q182" s="48" t="n">
        <x:f>Model_Data!P182</x:f>
        <x:v>-255.71530170509504</x:v>
      </x:c>
      <x:c r="R182" s="48" t="n">
        <x:f>Model_Data!AM182</x:f>
        <x:v>-293.2127943361593</x:v>
      </x:c>
      <x:c r="S182" s="48" t="n">
        <x:f>Model_Data!Q182</x:f>
        <x:v>-38.39569094671097</x:v>
      </x:c>
      <x:c r="T182" s="48" t="n">
        <x:f>Model_Data!AN182</x:f>
        <x:v>-44.02594509551942</x:v>
      </x:c>
      <x:c r="U182" s="49"/>
      <x:c r="V182" s="48" t="n">
        <x:f>Model_Data!A182</x:f>
        <x:v>30</x:v>
      </x:c>
      <x:c r="W182" s="48" t="n">
        <x:f>Model_Data!B182-Inputs!$C$5</x:f>
        <x:v>1</x:v>
      </x:c>
      <x:c r="X182" s="49"/>
      <x:c r="Y182" s="48" t="n">
        <x:f>Model_Data!A182</x:f>
        <x:v>30</x:v>
      </x:c>
      <x:c r="Z182" s="48" t="n">
        <x:f>0</x:f>
        <x:v>0</x:v>
      </x:c>
      <x:c r="AA182" s="48" t="n">
        <x:f>((SQRT((Inputs!$C$52+Inputs!$C$5)^2+Inputs!$C$52^2-2*(Inputs!$C$52+Inputs!$C$5)*Inputs!$C$52*COS(SQRT((Model_Data!A182)^2+Inputs!$C$6^2)/Inputs!$C$52))-Inputs!$C$5)*1000/Inputs!$C$12)</x:f>
        <x:v>1341.3096714700305</x:v>
      </x:c>
      <x:c r="AB182" s="48" t="n">
        <x:f>Model_Data!F182</x:f>
        <x:v>1338.6648839632076</x:v>
      </x:c>
    </x:row>
    <x:row r="183">
      <x:c r="A183" s="48" t="n">
        <x:f>Model_Data!A183</x:f>
        <x:v>30.5</x:v>
      </x:c>
      <x:c r="B183" s="48" t="n">
        <x:f>0</x:f>
        <x:v>0</x:v>
      </x:c>
      <x:c r="C183" s="48" t="n">
        <x:f>((SQRT((Inputs!$C$52+Inputs!$C$5)^2+Inputs!$C$52^2-2*(Inputs!$C$52+Inputs!$C$5)*Inputs!$C$52*COS(SQRT((Model_Data!A183)^2+Inputs!$C$6^2)/Inputs!$C$52))-Inputs!$C$5)*1000/Inputs!$C$12)</x:f>
        <x:v>1367.8340775619401</x:v>
      </x:c>
      <x:c r="D183" s="48" t="n">
        <x:f>Model_Data!F183</x:f>
        <x:v>1365.0469370056433</x:v>
      </x:c>
      <x:c r="E183" s="48" t="n">
        <x:f>Model_Data!AC183</x:f>
        <x:v>1233.6522677244784</x:v>
      </x:c>
      <x:c r="F183" s="49"/>
      <x:c r="G183" s="48" t="n">
        <x:f>Model_Data!A183</x:f>
        <x:v>30.5</x:v>
      </x:c>
      <x:c r="H183" s="48" t="n">
        <x:f>0</x:f>
        <x:v>0</x:v>
      </x:c>
      <x:c r="I183" s="48" t="n">
        <x:f>Model_Data!Y183</x:f>
        <x:v>239.98613946224492</x:v>
      </x:c>
      <x:c r="J183" s="48" t="n">
        <x:f>Model_Data!X183</x:f>
        <x:v>4.284803604386864</x:v>
      </x:c>
      <x:c r="K183" s="48" t="n">
        <x:f>Model_Data!A183</x:f>
        <x:v>30.5</x:v>
      </x:c>
      <x:c r="L183" s="48" t="n">
        <x:f>Model_Data!Y183</x:f>
        <x:v>239.98613946224492</x:v>
      </x:c>
      <x:c r="M183" s="48" t="n">
        <x:f>Model_Data!X183</x:f>
        <x:v>4.284803604386864</x:v>
      </x:c>
      <x:c r="N183" s="48" t="n">
        <x:f>-(Model_Data!AC183-Model_Data!F183)*Inputs!$C$12</x:f>
        <x:v>233.88251132047344</x:v>
      </x:c>
      <x:c r="O183" s="49"/>
      <x:c r="P183" s="48" t="n">
        <x:f>Model_Data!A183</x:f>
        <x:v>30.5</x:v>
      </x:c>
      <x:c r="Q183" s="48" t="n">
        <x:f>Model_Data!P183</x:f>
        <x:v>-259.939234788817</x:v>
      </x:c>
      <x:c r="R183" s="48" t="n">
        <x:f>Model_Data!AM183</x:f>
        <x:v>-289.90851072876467</x:v>
      </x:c>
      <x:c r="S183" s="48" t="n">
        <x:f>Model_Data!Q183</x:f>
        <x:v>-39.02991513345601</x:v>
      </x:c>
      <x:c r="T183" s="48" t="n">
        <x:f>Model_Data!AN183</x:f>
        <x:v>-43.529806415730434</x:v>
      </x:c>
      <x:c r="U183" s="49"/>
      <x:c r="V183" s="48" t="n">
        <x:f>Model_Data!A183</x:f>
        <x:v>30.5</x:v>
      </x:c>
      <x:c r="W183" s="48" t="n">
        <x:f>Model_Data!B183-Inputs!$C$5</x:f>
        <x:v>1.0336111111110995</x:v>
      </x:c>
      <x:c r="X183" s="49"/>
      <x:c r="Y183" s="48" t="n">
        <x:f>Model_Data!A183</x:f>
        <x:v>30.5</x:v>
      </x:c>
      <x:c r="Z183" s="48" t="n">
        <x:f>0</x:f>
        <x:v>0</x:v>
      </x:c>
      <x:c r="AA183" s="48" t="n">
        <x:f>((SQRT((Inputs!$C$52+Inputs!$C$5)^2+Inputs!$C$52^2-2*(Inputs!$C$52+Inputs!$C$5)*Inputs!$C$52*COS(SQRT((Model_Data!A183)^2+Inputs!$C$6^2)/Inputs!$C$52))-Inputs!$C$5)*1000/Inputs!$C$12)</x:f>
        <x:v>1367.8340775619401</x:v>
      </x:c>
      <x:c r="AB183" s="48" t="n">
        <x:f>Model_Data!F183</x:f>
        <x:v>1365.0469370056433</x:v>
      </x:c>
    </x:row>
    <x:row r="184">
      <x:c r="A184" s="48" t="n">
        <x:f>Model_Data!A184</x:f>
        <x:v>31</x:v>
      </x:c>
      <x:c r="B184" s="48" t="n">
        <x:f>0</x:f>
        <x:v>0</x:v>
      </x:c>
      <x:c r="C184" s="48" t="n">
        <x:f>((SQRT((Inputs!$C$52+Inputs!$C$5)^2+Inputs!$C$52^2-2*(Inputs!$C$52+Inputs!$C$5)*Inputs!$C$52*COS(SQRT((Model_Data!A184)^2+Inputs!$C$6^2)/Inputs!$C$52))-Inputs!$C$5)*1000/Inputs!$C$12)</x:f>
        <x:v>1394.7936583071323</x:v>
      </x:c>
      <x:c r="D184" s="48" t="n">
        <x:f>Model_Data!F184</x:f>
        <x:v>1391.8582794492854</x:v>
      </x:c>
      <x:c r="E184" s="48" t="n">
        <x:f>Model_Data!AC184</x:f>
        <x:v>1268.803727223807</x:v>
      </x:c>
      <x:c r="F184" s="49"/>
      <x:c r="G184" s="48" t="n">
        <x:f>Model_Data!A184</x:f>
        <x:v>31</x:v>
      </x:c>
      <x:c r="H184" s="48" t="n">
        <x:f>0</x:f>
        <x:v>0</x:v>
      </x:c>
      <x:c r="I184" s="48" t="n">
        <x:f>Model_Data!Y184</x:f>
        <x:v>239.58052305996605</x:v>
      </x:c>
      <x:c r="J184" s="48" t="n">
        <x:f>Model_Data!X184</x:f>
        <x:v>18.692329061381155</x:v>
      </x:c>
      <x:c r="K184" s="48" t="n">
        <x:f>Model_Data!A184</x:f>
        <x:v>31</x:v>
      </x:c>
      <x:c r="L184" s="48" t="n">
        <x:f>Model_Data!Y184</x:f>
        <x:v>239.58052305996605</x:v>
      </x:c>
      <x:c r="M184" s="48" t="n">
        <x:f>Model_Data!X184</x:f>
        <x:v>18.692329061381155</x:v>
      </x:c>
      <x:c r="N184" s="48" t="n">
        <x:f>-(Model_Data!AC184-Model_Data!F184)*Inputs!$C$12</x:f>
        <x:v>219.03710296135145</x:v>
      </x:c>
      <x:c r="O184" s="49"/>
      <x:c r="P184" s="48" t="n">
        <x:f>Model_Data!A184</x:f>
        <x:v>31</x:v>
      </x:c>
      <x:c r="Q184" s="48" t="n">
        <x:f>Model_Data!P184</x:f>
        <x:v>-264.16130781663014</x:v>
      </x:c>
      <x:c r="R184" s="48" t="n">
        <x:f>Model_Data!AM184</x:f>
        <x:v>-301.4594318800846</x:v>
      </x:c>
      <x:c r="S184" s="48" t="n">
        <x:f>Model_Data!Q184</x:f>
        <x:v>-39.663860032527054</x:v>
      </x:c>
      <x:c r="T184" s="48" t="n">
        <x:f>Model_Data!AN184</x:f>
        <x:v>-45.264178960973666</x:v>
      </x:c>
      <x:c r="U184" s="49"/>
      <x:c r="V184" s="48" t="n">
        <x:f>Model_Data!A184</x:f>
        <x:v>31</x:v>
      </x:c>
      <x:c r="W184" s="48" t="n">
        <x:f>Model_Data!B184-Inputs!$C$5</x:f>
        <x:v>1.067777777777792</x:v>
      </x:c>
      <x:c r="X184" s="49"/>
      <x:c r="Y184" s="48" t="n">
        <x:f>Model_Data!A184</x:f>
        <x:v>31</x:v>
      </x:c>
      <x:c r="Z184" s="48" t="n">
        <x:f>0</x:f>
        <x:v>0</x:v>
      </x:c>
      <x:c r="AA184" s="48" t="n">
        <x:f>((SQRT((Inputs!$C$52+Inputs!$C$5)^2+Inputs!$C$52^2-2*(Inputs!$C$52+Inputs!$C$5)*Inputs!$C$52*COS(SQRT((Model_Data!A184)^2+Inputs!$C$6^2)/Inputs!$C$52))-Inputs!$C$5)*1000/Inputs!$C$12)</x:f>
        <x:v>1394.7936583071323</x:v>
      </x:c>
      <x:c r="AB184" s="48" t="n">
        <x:f>Model_Data!F184</x:f>
        <x:v>1391.8582794492854</x:v>
      </x:c>
    </x:row>
    <x:row r="185">
      <x:c r="A185" s="48" t="n">
        <x:f>Model_Data!A185</x:f>
        <x:v>31.5</x:v>
      </x:c>
      <x:c r="B185" s="48" t="n">
        <x:f>0</x:f>
        <x:v>0</x:v>
      </x:c>
      <x:c r="C185" s="48" t="n">
        <x:f>((SQRT((Inputs!$C$52+Inputs!$C$5)^2+Inputs!$C$52^2-2*(Inputs!$C$52+Inputs!$C$5)*Inputs!$C$52*COS(SQRT((Model_Data!A185)^2+Inputs!$C$6^2)/Inputs!$C$52))-Inputs!$C$5)*1000/Inputs!$C$12)</x:f>
        <x:v>1422.1882553000517</x:v>
      </x:c>
      <x:c r="D185" s="48" t="n">
        <x:f>Model_Data!F185</x:f>
        <x:v>1419.0985822283808</x:v>
      </x:c>
      <x:c r="E185" s="48" t="n">
        <x:f>Model_Data!AC185</x:f>
        <x:v>1308.8310653149633</x:v>
      </x:c>
      <x:c r="F185" s="49"/>
      <x:c r="G185" s="48" t="n">
        <x:f>Model_Data!A185</x:f>
        <x:v>31.5</x:v>
      </x:c>
      <x:c r="H185" s="48" t="n">
        <x:f>0</x:f>
        <x:v>0</x:v>
      </x:c>
      <x:c r="I185" s="48" t="n">
        <x:f>Model_Data!Y185</x:f>
        <x:v>216.56157473369862</x:v>
      </x:c>
      <x:c r="J185" s="48" t="n">
        <x:f>Model_Data!X185</x:f>
        <x:v>18.579807279306877</x:v>
      </x:c>
      <x:c r="K185" s="48" t="n">
        <x:f>Model_Data!A185</x:f>
        <x:v>31.5</x:v>
      </x:c>
      <x:c r="L185" s="48" t="n">
        <x:f>Model_Data!Y185</x:f>
        <x:v>216.56157473369862</x:v>
      </x:c>
      <x:c r="M185" s="48" t="n">
        <x:f>Model_Data!X185</x:f>
        <x:v>18.579807279306877</x:v>
      </x:c>
      <x:c r="N185" s="48" t="n">
        <x:f>-(Model_Data!AC185-Model_Data!F185)*Inputs!$C$12</x:f>
        <x:v>196.2761801058831</x:v>
      </x:c>
      <x:c r="O185" s="49"/>
      <x:c r="P185" s="48" t="n">
        <x:f>Model_Data!A185</x:f>
        <x:v>31.5</x:v>
      </x:c>
      <x:c r="Q185" s="48" t="n">
        <x:f>Model_Data!P185</x:f>
        <x:v>-268.38149222203356</x:v>
      </x:c>
      <x:c r="R185" s="48" t="n">
        <x:f>Model_Data!AM185</x:f>
        <x:v>-295.7054253145543</x:v>
      </x:c>
      <x:c r="S185" s="48" t="n">
        <x:f>Model_Data!Q185</x:f>
        <x:v>-40.29752135465969</x:v>
      </x:c>
      <x:c r="T185" s="48" t="n">
        <x:f>Model_Data!AN185</x:f>
        <x:v>-44.40021401119434</x:v>
      </x:c>
      <x:c r="U185" s="49"/>
      <x:c r="V185" s="48" t="n">
        <x:f>Model_Data!A185</x:f>
        <x:v>31.5</x:v>
      </x:c>
      <x:c r="W185" s="48" t="n">
        <x:f>Model_Data!B185-Inputs!$C$5</x:f>
        <x:v>1.1025000000000205</x:v>
      </x:c>
      <x:c r="X185" s="49"/>
      <x:c r="Y185" s="48" t="n">
        <x:f>Model_Data!A185</x:f>
        <x:v>31.5</x:v>
      </x:c>
      <x:c r="Z185" s="48" t="n">
        <x:f>0</x:f>
        <x:v>0</x:v>
      </x:c>
      <x:c r="AA185" s="48" t="n">
        <x:f>((SQRT((Inputs!$C$52+Inputs!$C$5)^2+Inputs!$C$52^2-2*(Inputs!$C$52+Inputs!$C$5)*Inputs!$C$52*COS(SQRT((Model_Data!A185)^2+Inputs!$C$6^2)/Inputs!$C$52))-Inputs!$C$5)*1000/Inputs!$C$12)</x:f>
        <x:v>1422.1882553000517</x:v>
      </x:c>
      <x:c r="AB185" s="48" t="n">
        <x:f>Model_Data!F185</x:f>
        <x:v>1419.0985822283808</x:v>
      </x:c>
    </x:row>
    <x:row r="186">
      <x:c r="A186" s="48" t="n">
        <x:f>Model_Data!A186</x:f>
        <x:v>32</x:v>
      </x:c>
      <x:c r="B186" s="48" t="n">
        <x:f>0</x:f>
        <x:v>0</x:v>
      </x:c>
      <x:c r="C186" s="48" t="n">
        <x:f>((SQRT((Inputs!$C$52+Inputs!$C$5)^2+Inputs!$C$52^2-2*(Inputs!$C$52+Inputs!$C$5)*Inputs!$C$52*COS(SQRT((Model_Data!A186)^2+Inputs!$C$6^2)/Inputs!$C$52))-Inputs!$C$5)*1000/Inputs!$C$12)</x:f>
        <x:v>1450.017707656291</x:v>
      </x:c>
      <x:c r="D186" s="48" t="n">
        <x:f>Model_Data!F186</x:f>
        <x:v>1446.7675112688235</x:v>
      </x:c>
      <x:c r="E186" s="48" t="n">
        <x:f>Model_Data!AC186</x:f>
        <x:v>1322.0423396394713</x:v>
      </x:c>
      <x:c r="F186" s="49"/>
      <x:c r="G186" s="48" t="n">
        <x:f>Model_Data!A186</x:f>
        <x:v>32</x:v>
      </x:c>
      <x:c r="H186" s="48" t="n">
        <x:f>0</x:f>
        <x:v>0</x:v>
      </x:c>
      <x:c r="I186" s="48" t="n">
        <x:f>Model_Data!Y186</x:f>
        <x:v>222.43770342182788</x:v>
      </x:c>
      <x:c r="J186" s="48" t="n">
        <x:f>Model_Data!X186</x:f>
        <x:v>-1.3588316603362678</x:v>
      </x:c>
      <x:c r="K186" s="48" t="n">
        <x:f>Model_Data!A186</x:f>
        <x:v>32</x:v>
      </x:c>
      <x:c r="L186" s="48" t="n">
        <x:f>Model_Data!Y186</x:f>
        <x:v>222.43770342182788</x:v>
      </x:c>
      <x:c r="M186" s="48" t="n">
        <x:f>Model_Data!X186</x:f>
        <x:v>-1.3588316603362678</x:v>
      </x:c>
      <x:c r="N186" s="48" t="n">
        <x:f>-(Model_Data!AC186-Model_Data!F186)*Inputs!$C$12</x:f>
        <x:v>222.0108055002469</x:v>
      </x:c>
      <x:c r="O186" s="49"/>
      <x:c r="P186" s="48" t="n">
        <x:f>Model_Data!A186</x:f>
        <x:v>32</x:v>
      </x:c>
      <x:c r="Q186" s="48" t="n">
        <x:f>Model_Data!P186</x:f>
        <x:v>-272.599759519926</x:v>
      </x:c>
      <x:c r="R186" s="48" t="n">
        <x:f>Model_Data!AM186</x:f>
        <x:v>-254.59907467848097</x:v>
      </x:c>
      <x:c r="S186" s="48" t="n">
        <x:f>Model_Data!Q186</x:f>
        <x:v>-40.930894822811716</x:v>
      </x:c>
      <x:c r="T186" s="48" t="n">
        <x:f>Model_Data!AN186</x:f>
        <x:v>-38.22808929106321</x:v>
      </x:c>
      <x:c r="U186" s="49"/>
      <x:c r="V186" s="48" t="n">
        <x:f>Model_Data!A186</x:f>
        <x:v>32</x:v>
      </x:c>
      <x:c r="W186" s="48" t="n">
        <x:f>Model_Data!B186-Inputs!$C$5</x:f>
        <x:v>1.137777777777785</x:v>
      </x:c>
      <x:c r="X186" s="49"/>
      <x:c r="Y186" s="48" t="n">
        <x:f>Model_Data!A186</x:f>
        <x:v>32</x:v>
      </x:c>
      <x:c r="Z186" s="48" t="n">
        <x:f>0</x:f>
        <x:v>0</x:v>
      </x:c>
      <x:c r="AA186" s="48" t="n">
        <x:f>((SQRT((Inputs!$C$52+Inputs!$C$5)^2+Inputs!$C$52^2-2*(Inputs!$C$52+Inputs!$C$5)*Inputs!$C$52*COS(SQRT((Model_Data!A186)^2+Inputs!$C$6^2)/Inputs!$C$52))-Inputs!$C$5)*1000/Inputs!$C$12)</x:f>
        <x:v>1450.017707656291</x:v>
      </x:c>
      <x:c r="AB186" s="48" t="n">
        <x:f>Model_Data!F186</x:f>
        <x:v>1446.7675112688235</x:v>
      </x:c>
    </x:row>
    <x:row r="187">
      <x:c r="A187" s="48" t="n">
        <x:f>Model_Data!A187</x:f>
        <x:v>32.5</x:v>
      </x:c>
      <x:c r="B187" s="48" t="n">
        <x:f>0</x:f>
        <x:v>0</x:v>
      </x:c>
      <x:c r="C187" s="48" t="n">
        <x:f>((SQRT((Inputs!$C$52+Inputs!$C$5)^2+Inputs!$C$52^2-2*(Inputs!$C$52+Inputs!$C$5)*Inputs!$C$52*COS(SQRT((Model_Data!A187)^2+Inputs!$C$6^2)/Inputs!$C$52))-Inputs!$C$5)*1000/Inputs!$C$12)</x:f>
        <x:v>1478.281852017923</x:v>
      </x:c>
      <x:c r="D187" s="48" t="n">
        <x:f>Model_Data!F187</x:f>
        <x:v>1474.864727503037</x:v>
      </x:c>
      <x:c r="E187" s="48" t="n">
        <x:f>Model_Data!AC187</x:f>
        <x:v>1351.1233946981142</x:v>
      </x:c>
      <x:c r="F187" s="49"/>
      <x:c r="G187" s="48" t="n">
        <x:f>Model_Data!A187</x:f>
        <x:v>32.5</x:v>
      </x:c>
      <x:c r="H187" s="48" t="n">
        <x:f>0</x:f>
        <x:v>0</x:v>
      </x:c>
      <x:c r="I187" s="48" t="n">
        <x:f>Model_Data!Y187</x:f>
        <x:v>227.97180197677312</x:v>
      </x:c>
      <x:c r="J187" s="48" t="n">
        <x:f>Model_Data!X187</x:f>
        <x:v>5.846843018322446</x:v>
      </x:c>
      <x:c r="K187" s="48" t="n">
        <x:f>Model_Data!A187</x:f>
        <x:v>32.5</x:v>
      </x:c>
      <x:c r="L187" s="48" t="n">
        <x:f>Model_Data!Y187</x:f>
        <x:v>227.97180197677312</x:v>
      </x:c>
      <x:c r="M187" s="48" t="n">
        <x:f>Model_Data!X187</x:f>
        <x:v>5.846843018322446</x:v>
      </x:c>
      <x:c r="N187" s="48" t="n">
        <x:f>-(Model_Data!AC187-Model_Data!F187)*Inputs!$C$12</x:f>
        <x:v>220.25957239276272</x:v>
      </x:c>
      <x:c r="O187" s="49"/>
      <x:c r="P187" s="48" t="n">
        <x:f>Model_Data!A187</x:f>
        <x:v>32.5</x:v>
      </x:c>
      <x:c r="Q187" s="48" t="n">
        <x:f>Model_Data!P187</x:f>
        <x:v>-276.81608131206303</x:v>
      </x:c>
      <x:c r="R187" s="48" t="n">
        <x:f>Model_Data!AM187</x:f>
        <x:v>-271.14112996578115</x:v>
      </x:c>
      <x:c r="S187" s="48" t="n">
        <x:f>Model_Data!Q187</x:f>
        <x:v>-41.56397617298244</x:v>
      </x:c>
      <x:c r="T187" s="48" t="n">
        <x:f>Model_Data!AN187</x:f>
        <x:v>-40.71188137624342</x:v>
      </x:c>
      <x:c r="U187" s="49"/>
      <x:c r="V187" s="48" t="n">
        <x:f>Model_Data!A187</x:f>
        <x:v>32.5</x:v>
      </x:c>
      <x:c r="W187" s="48" t="n">
        <x:f>Model_Data!B187-Inputs!$C$5</x:f>
        <x:v>1.1736111111110858</x:v>
      </x:c>
      <x:c r="X187" s="49"/>
      <x:c r="Y187" s="48" t="n">
        <x:f>Model_Data!A187</x:f>
        <x:v>32.5</x:v>
      </x:c>
      <x:c r="Z187" s="48" t="n">
        <x:f>0</x:f>
        <x:v>0</x:v>
      </x:c>
      <x:c r="AA187" s="48" t="n">
        <x:f>((SQRT((Inputs!$C$52+Inputs!$C$5)^2+Inputs!$C$52^2-2*(Inputs!$C$52+Inputs!$C$5)*Inputs!$C$52*COS(SQRT((Model_Data!A187)^2+Inputs!$C$6^2)/Inputs!$C$52))-Inputs!$C$5)*1000/Inputs!$C$12)</x:f>
        <x:v>1478.281852017923</x:v>
      </x:c>
      <x:c r="AB187" s="48" t="n">
        <x:f>Model_Data!F187</x:f>
        <x:v>1474.864727503037</x:v>
      </x:c>
    </x:row>
    <x:row r="188">
      <x:c r="A188" s="48" t="n">
        <x:f>Model_Data!A188</x:f>
        <x:v>33</x:v>
      </x:c>
      <x:c r="B188" s="48" t="n">
        <x:f>0</x:f>
        <x:v>0</x:v>
      </x:c>
      <x:c r="C188" s="48" t="n">
        <x:f>((SQRT((Inputs!$C$52+Inputs!$C$5)^2+Inputs!$C$52^2-2*(Inputs!$C$52+Inputs!$C$5)*Inputs!$C$52*COS(SQRT((Model_Data!A188)^2+Inputs!$C$6^2)/Inputs!$C$52))-Inputs!$C$5)*1000/Inputs!$C$12)</x:f>
        <x:v>1506.9805225566647</x:v>
      </x:c>
      <x:c r="D188" s="48" t="n">
        <x:f>Model_Data!F188</x:f>
        <x:v>1503.3898868855904</x:v>
      </x:c>
      <x:c r="E188" s="48" t="n">
        <x:f>Model_Data!AC188</x:f>
        <x:v>1375.4072411425598</x:v>
      </x:c>
      <x:c r="F188" s="49"/>
      <x:c r="G188" s="48" t="n">
        <x:f>Model_Data!A188</x:f>
        <x:v>33</x:v>
      </x:c>
      <x:c r="H188" s="48" t="n">
        <x:f>0</x:f>
        <x:v>0</x:v>
      </x:c>
      <x:c r="I188" s="48" t="n">
        <x:f>Model_Data!Y188</x:f>
        <x:v>226.0841822180117</x:v>
      </x:c>
      <x:c r="J188" s="48" t="n">
        <x:f>Model_Data!X188</x:f>
        <x:v>-3.610290991247414</x:v>
      </x:c>
      <x:c r="K188" s="48" t="n">
        <x:f>Model_Data!A188</x:f>
        <x:v>33</x:v>
      </x:c>
      <x:c r="L188" s="48" t="n">
        <x:f>Model_Data!Y188</x:f>
        <x:v>226.0841822180117</x:v>
      </x:c>
      <x:c r="M188" s="48" t="n">
        <x:f>Model_Data!X188</x:f>
        <x:v>-3.610290991247414</x:v>
      </x:c>
      <x:c r="N188" s="48" t="n">
        <x:f>-(Model_Data!AC188-Model_Data!F188)*Inputs!$C$12</x:f>
        <x:v>227.8091094225945</x:v>
      </x:c>
      <x:c r="O188" s="49"/>
      <x:c r="P188" s="48" t="n">
        <x:f>Model_Data!A188</x:f>
        <x:v>33</x:v>
      </x:c>
      <x:c r="Q188" s="48" t="n">
        <x:f>Model_Data!P188</x:f>
        <x:v>-281.0304293043373</x:v>
      </x:c>
      <x:c r="R188" s="48" t="n">
        <x:f>Model_Data!AM188</x:f>
        <x:v>-283.8938267223057</x:v>
      </x:c>
      <x:c r="S188" s="48" t="n">
        <x:f>Model_Data!Q188</x:f>
        <x:v>-42.196761156807405</x:v>
      </x:c>
      <x:c r="T188" s="48" t="n">
        <x:f>Model_Data!AN188</x:f>
        <x:v>-42.62670070905491</x:v>
      </x:c>
      <x:c r="U188" s="49"/>
      <x:c r="V188" s="48" t="n">
        <x:f>Model_Data!A188</x:f>
        <x:v>33</x:v>
      </x:c>
      <x:c r="W188" s="48" t="n">
        <x:f>Model_Data!B188-Inputs!$C$5</x:f>
        <x:v>1.2099999999999795</x:v>
      </x:c>
      <x:c r="X188" s="49"/>
      <x:c r="Y188" s="48" t="n">
        <x:f>Model_Data!A188</x:f>
        <x:v>33</x:v>
      </x:c>
      <x:c r="Z188" s="48" t="n">
        <x:f>0</x:f>
        <x:v>0</x:v>
      </x:c>
      <x:c r="AA188" s="48" t="n">
        <x:f>((SQRT((Inputs!$C$52+Inputs!$C$5)^2+Inputs!$C$52^2-2*(Inputs!$C$52+Inputs!$C$5)*Inputs!$C$52*COS(SQRT((Model_Data!A188)^2+Inputs!$C$6^2)/Inputs!$C$52))-Inputs!$C$5)*1000/Inputs!$C$12)</x:f>
        <x:v>1506.9805225566647</x:v>
      </x:c>
      <x:c r="AB188" s="48" t="n">
        <x:f>Model_Data!F188</x:f>
        <x:v>1503.3898868855904</x:v>
      </x:c>
    </x:row>
    <x:row r="189">
      <x:c r="A189" s="48" t="n">
        <x:f>Model_Data!A189</x:f>
        <x:v>33.5</x:v>
      </x:c>
      <x:c r="B189" s="48" t="n">
        <x:f>0</x:f>
        <x:v>0</x:v>
      </x:c>
      <x:c r="C189" s="48" t="n">
        <x:f>((SQRT((Inputs!$C$52+Inputs!$C$5)^2+Inputs!$C$52^2-2*(Inputs!$C$52+Inputs!$C$5)*Inputs!$C$52*COS(SQRT((Model_Data!A189)^2+Inputs!$C$6^2)/Inputs!$C$52))-Inputs!$C$5)*1000/Inputs!$C$12)</x:f>
        <x:v>1536.1135509787923</x:v>
      </x:c>
      <x:c r="D189" s="48" t="n">
        <x:f>Model_Data!F189</x:f>
        <x:v>1532.3426404141778</x:v>
      </x:c>
      <x:c r="E189" s="48" t="n">
        <x:f>Model_Data!AC189</x:f>
        <x:v>1407.905893148992</x:v>
      </x:c>
      <x:c r="F189" s="49"/>
      <x:c r="G189" s="48" t="n">
        <x:f>Model_Data!A189</x:f>
        <x:v>33.5</x:v>
      </x:c>
      <x:c r="H189" s="48" t="n">
        <x:f>0</x:f>
        <x:v>0</x:v>
      </x:c>
      <x:c r="I189" s="48" t="n">
        <x:f>Model_Data!Y189</x:f>
        <x:v>226.23942491253771</x:v>
      </x:c>
      <x:c r="J189" s="48" t="n">
        <x:f>Model_Data!X189</x:f>
        <x:v>2.8193818928466783</x:v>
      </x:c>
      <x:c r="K189" s="48" t="n">
        <x:f>Model_Data!A189</x:f>
        <x:v>33.5</x:v>
      </x:c>
      <x:c r="L189" s="48" t="n">
        <x:f>Model_Data!Y189</x:f>
        <x:v>226.23942491253771</x:v>
      </x:c>
      <x:c r="M189" s="48" t="n">
        <x:f>Model_Data!X189</x:f>
        <x:v>2.8193818928466783</x:v>
      </x:c>
      <x:c r="N189" s="48" t="n">
        <x:f>-(Model_Data!AC189-Model_Data!F189)*Inputs!$C$12</x:f>
        <x:v>221.4974101320309</x:v>
      </x:c>
      <x:c r="O189" s="49"/>
      <x:c r="P189" s="48" t="n">
        <x:f>Model_Data!A189</x:f>
        <x:v>33.5</x:v>
      </x:c>
      <x:c r="Q189" s="48" t="n">
        <x:f>Model_Data!P189</x:f>
        <x:v>-285.24277529395476</x:v>
      </x:c>
      <x:c r="R189" s="48" t="n">
        <x:f>Model_Data!AM189</x:f>
        <x:v>-258.09890866003116</x:v>
      </x:c>
      <x:c r="S189" s="48" t="n">
        <x:f>Model_Data!Q189</x:f>
        <x:v>-42.82924553963285</x:v>
      </x:c>
      <x:c r="T189" s="48" t="n">
        <x:f>Model_Data!AN189</x:f>
        <x:v>-38.75358988889357</x:v>
      </x:c>
      <x:c r="U189" s="49"/>
      <x:c r="V189" s="48" t="n">
        <x:f>Model_Data!A189</x:f>
        <x:v>33.5</x:v>
      </x:c>
      <x:c r="W189" s="48" t="n">
        <x:f>Model_Data!B189-Inputs!$C$5</x:f>
        <x:v>1.2469444444444662</x:v>
      </x:c>
      <x:c r="X189" s="49"/>
      <x:c r="Y189" s="48" t="n">
        <x:f>Model_Data!A189</x:f>
        <x:v>33.5</x:v>
      </x:c>
      <x:c r="Z189" s="48" t="n">
        <x:f>0</x:f>
        <x:v>0</x:v>
      </x:c>
      <x:c r="AA189" s="48" t="n">
        <x:f>((SQRT((Inputs!$C$52+Inputs!$C$5)^2+Inputs!$C$52^2-2*(Inputs!$C$52+Inputs!$C$5)*Inputs!$C$52*COS(SQRT((Model_Data!A189)^2+Inputs!$C$6^2)/Inputs!$C$52))-Inputs!$C$5)*1000/Inputs!$C$12)</x:f>
        <x:v>1536.1135509787923</x:v>
      </x:c>
      <x:c r="AB189" s="48" t="n">
        <x:f>Model_Data!F189</x:f>
        <x:v>1532.3426404141778</x:v>
      </x:c>
    </x:row>
    <x:row r="190">
      <x:c r="A190" s="48" t="n">
        <x:f>Model_Data!A190</x:f>
        <x:v>34</x:v>
      </x:c>
      <x:c r="B190" s="48" t="n">
        <x:f>0</x:f>
        <x:v>0</x:v>
      </x:c>
      <x:c r="C190" s="48" t="n">
        <x:f>((SQRT((Inputs!$C$52+Inputs!$C$5)^2+Inputs!$C$52^2-2*(Inputs!$C$52+Inputs!$C$5)*Inputs!$C$52*COS(SQRT((Model_Data!A190)^2+Inputs!$C$6^2)/Inputs!$C$52))-Inputs!$C$5)*1000/Inputs!$C$12)</x:f>
        <x:v>1565.6807665318488</x:v>
      </x:c>
      <x:c r="D190" s="48" t="n">
        <x:f>Model_Data!F190</x:f>
        <x:v>1561.7226341407977</x:v>
      </x:c>
      <x:c r="E190" s="48" t="n">
        <x:f>Model_Data!AC190</x:f>
        <x:v>1431.800074093966</x:v>
      </x:c>
      <x:c r="F190" s="49"/>
      <x:c r="G190" s="48" t="n">
        <x:f>Model_Data!A190</x:f>
        <x:v>34</x:v>
      </x:c>
      <x:c r="H190" s="48" t="n">
        <x:f>0</x:f>
        <x:v>0</x:v>
      </x:c>
      <x:c r="I190" s="48" t="n">
        <x:f>Model_Data!Y190</x:f>
        <x:v>243.2704274883201</x:v>
      </x:c>
      <x:c r="J190" s="48" t="n">
        <x:f>Model_Data!X190</x:f>
        <x:v>9.90157819415245</x:v>
      </x:c>
      <x:c r="K190" s="48" t="n">
        <x:f>Model_Data!A190</x:f>
        <x:v>34</x:v>
      </x:c>
      <x:c r="L190" s="48" t="n">
        <x:f>Model_Data!Y190</x:f>
        <x:v>243.2704274883201</x:v>
      </x:c>
      <x:c r="M190" s="48" t="n">
        <x:f>Model_Data!X190</x:f>
        <x:v>9.90157819415245</x:v>
      </x:c>
      <x:c r="N190" s="48" t="n">
        <x:f>-(Model_Data!AC190-Model_Data!F190)*Inputs!$C$12</x:f>
        <x:v>231.26215688336038</x:v>
      </x:c>
      <x:c r="O190" s="49"/>
      <x:c r="P190" s="48" t="n">
        <x:f>Model_Data!A190</x:f>
        <x:v>34</x:v>
      </x:c>
      <x:c r="Q190" s="48" t="n">
        <x:f>Model_Data!P190</x:f>
        <x:v>-289.4530911666152</x:v>
      </x:c>
      <x:c r="R190" s="48" t="n">
        <x:f>Model_Data!AM190</x:f>
        <x:v>-253.7267367678396</x:v>
      </x:c>
      <x:c r="S190" s="48" t="n">
        <x:f>Model_Data!Q190</x:f>
        <x:v>-43.46142510009238</x:v>
      </x:c>
      <x:c r="T190" s="48" t="n">
        <x:f>Model_Data!AN190</x:f>
        <x:v>-38.097107622798745</x:v>
      </x:c>
      <x:c r="U190" s="49"/>
      <x:c r="V190" s="48" t="n">
        <x:f>Model_Data!A190</x:f>
        <x:v>34</x:v>
      </x:c>
      <x:c r="W190" s="48" t="n">
        <x:f>Model_Data!B190-Inputs!$C$5</x:f>
        <x:v>1.284444444444432</x:v>
      </x:c>
      <x:c r="X190" s="49"/>
      <x:c r="Y190" s="48" t="n">
        <x:f>Model_Data!A190</x:f>
        <x:v>34</x:v>
      </x:c>
      <x:c r="Z190" s="48" t="n">
        <x:f>0</x:f>
        <x:v>0</x:v>
      </x:c>
      <x:c r="AA190" s="48" t="n">
        <x:f>((SQRT((Inputs!$C$52+Inputs!$C$5)^2+Inputs!$C$52^2-2*(Inputs!$C$52+Inputs!$C$5)*Inputs!$C$52*COS(SQRT((Model_Data!A190)^2+Inputs!$C$6^2)/Inputs!$C$52))-Inputs!$C$5)*1000/Inputs!$C$12)</x:f>
        <x:v>1565.6807665318488</x:v>
      </x:c>
      <x:c r="AB190" s="48" t="n">
        <x:f>Model_Data!F190</x:f>
        <x:v>1561.7226341407977</x:v>
      </x:c>
    </x:row>
    <x:row r="191">
      <x:c r="A191" s="48" t="n">
        <x:f>Model_Data!A191</x:f>
        <x:v>34.5</x:v>
      </x:c>
      <x:c r="B191" s="48" t="n">
        <x:f>0</x:f>
        <x:v>0</x:v>
      </x:c>
      <x:c r="C191" s="48" t="n">
        <x:f>((SQRT((Inputs!$C$52+Inputs!$C$5)^2+Inputs!$C$52^2-2*(Inputs!$C$52+Inputs!$C$5)*Inputs!$C$52*COS(SQRT((Model_Data!A191)^2+Inputs!$C$6^2)/Inputs!$C$52))-Inputs!$C$5)*1000/Inputs!$C$12)</x:f>
        <x:v>1595.6819960061448</x:v>
      </x:c>
      <x:c r="D191" s="48" t="n">
        <x:f>Model_Data!F191</x:f>
        <x:v>1591.5295091914868</x:v>
      </x:c>
      <x:c r="E191" s="48" t="n">
        <x:f>Model_Data!AC191</x:f>
        <x:v>1465.4960413270337</x:v>
      </x:c>
      <x:c r="F191" s="49"/>
      <x:c r="G191" s="48" t="n">
        <x:f>Model_Data!A191</x:f>
        <x:v>34.5</x:v>
      </x:c>
      <x:c r="H191" s="48" t="n">
        <x:f>0</x:f>
        <x:v>0</x:v>
      </x:c>
      <x:c r="I191" s="48" t="n">
        <x:f>Model_Data!Y191</x:f>
        <x:v>248.8414359782273</x:v>
      </x:c>
      <x:c r="J191" s="48" t="n">
        <x:f>Model_Data!X191</x:f>
        <x:v>22.306190725387925</x:v>
      </x:c>
      <x:c r="K191" s="48" t="n">
        <x:f>Model_Data!A191</x:f>
        <x:v>34.5</x:v>
      </x:c>
      <x:c r="L191" s="48" t="n">
        <x:f>Model_Data!Y191</x:f>
        <x:v>248.8414359782273</x:v>
      </x:c>
      <x:c r="M191" s="48" t="n">
        <x:f>Model_Data!X191</x:f>
        <x:v>22.306190725387925</x:v>
      </x:c>
      <x:c r="N191" s="48" t="n">
        <x:f>-(Model_Data!AC191-Model_Data!F191)*Inputs!$C$12</x:f>
        <x:v>224.3395727987265</x:v>
      </x:c>
      <x:c r="O191" s="49"/>
      <x:c r="P191" s="48" t="n">
        <x:f>Model_Data!A191</x:f>
        <x:v>34.5</x:v>
      </x:c>
      <x:c r="Q191" s="48" t="n">
        <x:f>Model_Data!P191</x:f>
        <x:v>-293.66134891224647</x:v>
      </x:c>
      <x:c r="R191" s="48" t="n">
        <x:f>Model_Data!AM191</x:f>
        <x:v>-295.78985259904584</x:v>
      </x:c>
      <x:c r="S191" s="48" t="n">
        <x:f>Model_Data!Q191</x:f>
        <x:v>-44.09329563246944</x:v>
      </x:c>
      <x:c r="T191" s="48" t="n">
        <x:f>Model_Data!AN191</x:f>
        <x:v>-44.41289078063752</x:v>
      </x:c>
      <x:c r="U191" s="49"/>
      <x:c r="V191" s="48" t="n">
        <x:f>Model_Data!A191</x:f>
        <x:v>34.5</x:v>
      </x:c>
      <x:c r="W191" s="48" t="n">
        <x:f>Model_Data!B191-Inputs!$C$5</x:f>
        <x:v>1.322499999999991</x:v>
      </x:c>
      <x:c r="X191" s="49"/>
      <x:c r="Y191" s="48" t="n">
        <x:f>Model_Data!A191</x:f>
        <x:v>34.5</x:v>
      </x:c>
      <x:c r="Z191" s="48" t="n">
        <x:f>0</x:f>
        <x:v>0</x:v>
      </x:c>
      <x:c r="AA191" s="48" t="n">
        <x:f>((SQRT((Inputs!$C$52+Inputs!$C$5)^2+Inputs!$C$52^2-2*(Inputs!$C$52+Inputs!$C$5)*Inputs!$C$52*COS(SQRT((Model_Data!A191)^2+Inputs!$C$6^2)/Inputs!$C$52))-Inputs!$C$5)*1000/Inputs!$C$12)</x:f>
        <x:v>1595.6819960061448</x:v>
      </x:c>
      <x:c r="AB191" s="48" t="n">
        <x:f>Model_Data!F191</x:f>
        <x:v>1591.5295091914868</x:v>
      </x:c>
    </x:row>
    <x:row r="192">
      <x:c r="A192" s="48" t="n">
        <x:f>Model_Data!A192</x:f>
        <x:v>35</x:v>
      </x:c>
      <x:c r="B192" s="48" t="n">
        <x:f>0</x:f>
        <x:v>0</x:v>
      </x:c>
      <x:c r="C192" s="48" t="n">
        <x:f>((SQRT((Inputs!$C$52+Inputs!$C$5)^2+Inputs!$C$52^2-2*(Inputs!$C$52+Inputs!$C$5)*Inputs!$C$52*COS(SQRT((Model_Data!A192)^2+Inputs!$C$6^2)/Inputs!$C$52))-Inputs!$C$5)*1000/Inputs!$C$12)</x:f>
        <x:v>1626.1170637436685</x:v>
      </x:c>
      <x:c r="D192" s="48" t="n">
        <x:f>Model_Data!F192</x:f>
        <x:v>1621.7629017832137</x:v>
      </x:c>
      <x:c r="E192" s="48" t="n">
        <x:f>Model_Data!AC192</x:f>
        <x:v>1503.2744465409978</x:v>
      </x:c>
      <x:c r="F192" s="49"/>
      <x:c r="G192" s="48" t="n">
        <x:f>Model_Data!A192</x:f>
        <x:v>35</x:v>
      </x:c>
      <x:c r="H192" s="48" t="n">
        <x:f>0</x:f>
        <x:v>0</x:v>
      </x:c>
      <x:c r="I192" s="48" t="n">
        <x:f>Model_Data!Y192</x:f>
        <x:v>242.00890812042311</x:v>
      </x:c>
      <x:c r="J192" s="48" t="n">
        <x:f>Model_Data!X192</x:f>
        <x:v>28.92396994213728</x:v>
      </x:c>
      <x:c r="K192" s="48" t="n">
        <x:f>Model_Data!A192</x:f>
        <x:v>35</x:v>
      </x:c>
      <x:c r="L192" s="48" t="n">
        <x:f>Model_Data!Y192</x:f>
        <x:v>242.00890812042311</x:v>
      </x:c>
      <x:c r="M192" s="48" t="n">
        <x:f>Model_Data!X192</x:f>
        <x:v>28.92396994213728</x:v>
      </x:c>
      <x:c r="N192" s="48" t="n">
        <x:f>-(Model_Data!AC192-Model_Data!F192)*Inputs!$C$12</x:f>
        <x:v>210.90945033114426</x:v>
      </x:c>
      <x:c r="O192" s="49"/>
      <x:c r="P192" s="48" t="n">
        <x:f>Model_Data!A192</x:f>
        <x:v>35</x:v>
      </x:c>
      <x:c r="Q192" s="48" t="n">
        <x:f>Model_Data!P192</x:f>
        <x:v>-297.8675206210937</x:v>
      </x:c>
      <x:c r="R192" s="48" t="n">
        <x:f>Model_Data!AM192</x:f>
        <x:v>-307.8352331618589</x:v>
      </x:c>
      <x:c r="S192" s="48" t="n">
        <x:f>Model_Data!Q192</x:f>
        <x:v>-44.72485294611017</x:v>
      </x:c>
      <x:c r="T192" s="48" t="n">
        <x:f>Model_Data!AN192</x:f>
        <x:v>-46.2215064807596</x:v>
      </x:c>
      <x:c r="U192" s="49"/>
      <x:c r="V192" s="48" t="n">
        <x:f>Model_Data!A192</x:f>
        <x:v>35</x:v>
      </x:c>
      <x:c r="W192" s="48" t="n">
        <x:f>Model_Data!B192-Inputs!$C$5</x:f>
        <x:v>1.3611111111110858</x:v>
      </x:c>
      <x:c r="X192" s="49"/>
      <x:c r="Y192" s="48" t="n">
        <x:f>Model_Data!A192</x:f>
        <x:v>35</x:v>
      </x:c>
      <x:c r="Z192" s="48" t="n">
        <x:f>0</x:f>
        <x:v>0</x:v>
      </x:c>
      <x:c r="AA192" s="48" t="n">
        <x:f>((SQRT((Inputs!$C$52+Inputs!$C$5)^2+Inputs!$C$52^2-2*(Inputs!$C$52+Inputs!$C$5)*Inputs!$C$52*COS(SQRT((Model_Data!A192)^2+Inputs!$C$6^2)/Inputs!$C$52))-Inputs!$C$5)*1000/Inputs!$C$12)</x:f>
        <x:v>1626.1170637436685</x:v>
      </x:c>
      <x:c r="AB192" s="48" t="n">
        <x:f>Model_Data!F192</x:f>
        <x:v>1621.7629017832137</x:v>
      </x:c>
    </x:row>
    <x:row r="193">
      <x:c r="A193" s="48" t="n">
        <x:f>Model_Data!A193</x:f>
        <x:v>35.5</x:v>
      </x:c>
      <x:c r="B193" s="48" t="n">
        <x:f>0</x:f>
        <x:v>0</x:v>
      </x:c>
      <x:c r="C193" s="48" t="n">
        <x:f>((SQRT((Inputs!$C$52+Inputs!$C$5)^2+Inputs!$C$52^2-2*(Inputs!$C$52+Inputs!$C$5)*Inputs!$C$52*COS(SQRT((Model_Data!A193)^2+Inputs!$C$6^2)/Inputs!$C$52))-Inputs!$C$5)*1000/Inputs!$C$12)</x:f>
        <x:v>1656.9857916385645</x:v>
      </x:c>
      <x:c r="D193" s="48" t="n">
        <x:f>Model_Data!F193</x:f>
        <x:v>1652.4224432422736</x:v>
      </x:c>
      <x:c r="E193" s="48" t="n">
        <x:f>Model_Data!AC193</x:f>
        <x:v>1535.4627090121364</x:v>
      </x:c>
      <x:c r="F193" s="49"/>
      <x:c r="G193" s="48" t="n">
        <x:f>Model_Data!A193</x:f>
        <x:v>35.5</x:v>
      </x:c>
      <x:c r="H193" s="48" t="n">
        <x:f>0</x:f>
        <x:v>0</x:v>
      </x:c>
      <x:c r="I193" s="48" t="n">
        <x:f>Model_Data!Y193</x:f>
        <x:v>242.63788270086079</x:v>
      </x:c>
      <x:c r="J193" s="48" t="n">
        <x:f>Model_Data!X193</x:f>
        <x:v>32.227616256478356</x:v>
      </x:c>
      <x:c r="K193" s="48" t="n">
        <x:f>Model_Data!A193</x:f>
        <x:v>35.5</x:v>
      </x:c>
      <x:c r="L193" s="48" t="n">
        <x:f>Model_Data!Y193</x:f>
        <x:v>242.63788270086079</x:v>
      </x:c>
      <x:c r="M193" s="48" t="n">
        <x:f>Model_Data!X193</x:f>
        <x:v>32.227616256478356</x:v>
      </x:c>
      <x:c r="N193" s="48" t="n">
        <x:f>-(Model_Data!AC193-Model_Data!F193)*Inputs!$C$12</x:f>
        <x:v>208.18832692964423</x:v>
      </x:c>
      <x:c r="O193" s="49"/>
      <x:c r="P193" s="48" t="n">
        <x:f>Model_Data!A193</x:f>
        <x:v>35.5</x:v>
      </x:c>
      <x:c r="Q193" s="48" t="n">
        <x:f>Model_Data!P193</x:f>
        <x:v>-302.0715784808999</x:v>
      </x:c>
      <x:c r="R193" s="48" t="n">
        <x:f>Model_Data!AM193</x:f>
        <x:v>-286.6069943915136</x:v>
      </x:c>
      <x:c r="S193" s="48" t="n">
        <x:f>Model_Data!Q193</x:f>
        <x:v>-45.356092864999994</x:v>
      </x:c>
      <x:c r="T193" s="48" t="n">
        <x:f>Model_Data!AN193</x:f>
        <x:v>-43.03408324196901</x:v>
      </x:c>
      <x:c r="U193" s="49"/>
      <x:c r="V193" s="48" t="n">
        <x:f>Model_Data!A193</x:f>
        <x:v>35.5</x:v>
      </x:c>
      <x:c r="W193" s="48" t="n">
        <x:f>Model_Data!B193-Inputs!$C$5</x:f>
        <x:v>1.4002777777777737</x:v>
      </x:c>
      <x:c r="X193" s="49"/>
      <x:c r="Y193" s="48" t="n">
        <x:f>Model_Data!A193</x:f>
        <x:v>35.5</x:v>
      </x:c>
      <x:c r="Z193" s="48" t="n">
        <x:f>0</x:f>
        <x:v>0</x:v>
      </x:c>
      <x:c r="AA193" s="48" t="n">
        <x:f>((SQRT((Inputs!$C$52+Inputs!$C$5)^2+Inputs!$C$52^2-2*(Inputs!$C$52+Inputs!$C$5)*Inputs!$C$52*COS(SQRT((Model_Data!A193)^2+Inputs!$C$6^2)/Inputs!$C$52))-Inputs!$C$5)*1000/Inputs!$C$12)</x:f>
        <x:v>1656.9857916385645</x:v>
      </x:c>
      <x:c r="AB193" s="48" t="n">
        <x:f>Model_Data!F193</x:f>
        <x:v>1652.4224432422736</x:v>
      </x:c>
    </x:row>
    <x:row r="194">
      <x:c r="A194" s="48" t="n">
        <x:f>Model_Data!A194</x:f>
        <x:v>36</x:v>
      </x:c>
      <x:c r="B194" s="48" t="n">
        <x:f>0</x:f>
        <x:v>0</x:v>
      </x:c>
      <x:c r="C194" s="48" t="n">
        <x:f>((SQRT((Inputs!$C$52+Inputs!$C$5)^2+Inputs!$C$52^2-2*(Inputs!$C$52+Inputs!$C$5)*Inputs!$C$52*COS(SQRT((Model_Data!A194)^2+Inputs!$C$6^2)/Inputs!$C$52))-Inputs!$C$5)*1000/Inputs!$C$12)</x:f>
        <x:v>1688.2879991473199</x:v>
      </x:c>
      <x:c r="D194" s="48" t="n">
        <x:f>Model_Data!F194</x:f>
        <x:v>1683.507760020096</x:v>
      </x:c>
      <x:c r="E194" s="48" t="n">
        <x:f>Model_Data!AC194</x:f>
        <x:v>1568.8581820072843</x:v>
      </x:c>
      <x:c r="F194" s="49"/>
      <x:c r="G194" s="48" t="n">
        <x:f>Model_Data!A194</x:f>
        <x:v>36</x:v>
      </x:c>
      <x:c r="H194" s="48" t="n">
        <x:f>0</x:f>
        <x:v>0</x:v>
      </x:c>
      <x:c r="I194" s="48" t="n">
        <x:f>Model_Data!Y194</x:f>
        <x:v>251.8480330414438</x:v>
      </x:c>
      <x:c r="J194" s="48" t="n">
        <x:f>Model_Data!X194</x:f>
        <x:v>45.422536466318</x:v>
      </x:c>
      <x:c r="K194" s="48" t="n">
        <x:f>Model_Data!A194</x:f>
        <x:v>36</x:v>
      </x:c>
      <x:c r="L194" s="48" t="n">
        <x:f>Model_Data!Y194</x:f>
        <x:v>251.8480330414438</x:v>
      </x:c>
      <x:c r="M194" s="48" t="n">
        <x:f>Model_Data!X194</x:f>
        <x:v>45.422536466318</x:v>
      </x:c>
      <x:c r="N194" s="48" t="n">
        <x:f>-(Model_Data!AC194-Model_Data!F194)*Inputs!$C$12</x:f>
        <x:v>204.07624886280468</x:v>
      </x:c>
      <x:c r="O194" s="49"/>
      <x:c r="P194" s="48" t="n">
        <x:f>Model_Data!A194</x:f>
        <x:v>36</x:v>
      </x:c>
      <x:c r="Q194" s="48" t="n">
        <x:f>Model_Data!P194</x:f>
        <x:v>-306.2734947710851</x:v>
      </x:c>
      <x:c r="R194" s="48" t="n">
        <x:f>Model_Data!AM194</x:f>
        <x:v>-256.20808419480454</x:v>
      </x:c>
      <x:c r="S194" s="48" t="n">
        <x:f>Model_Data!Q194</x:f>
        <x:v>-45.987011226889656</x:v>
      </x:c>
      <x:c r="T194" s="48" t="n">
        <x:f>Model_Data!AN194</x:f>
        <x:v>-38.46968231153222</x:v>
      </x:c>
      <x:c r="U194" s="49"/>
      <x:c r="V194" s="48" t="n">
        <x:f>Model_Data!A194</x:f>
        <x:v>36</x:v>
      </x:c>
      <x:c r="W194" s="48" t="n">
        <x:f>Model_Data!B194-Inputs!$C$5</x:f>
        <x:v>1.4399999999999977</x:v>
      </x:c>
      <x:c r="X194" s="49"/>
      <x:c r="Y194" s="48" t="n">
        <x:f>Model_Data!A194</x:f>
        <x:v>36</x:v>
      </x:c>
      <x:c r="Z194" s="48" t="n">
        <x:f>0</x:f>
        <x:v>0</x:v>
      </x:c>
      <x:c r="AA194" s="48" t="n">
        <x:f>((SQRT((Inputs!$C$52+Inputs!$C$5)^2+Inputs!$C$52^2-2*(Inputs!$C$52+Inputs!$C$5)*Inputs!$C$52*COS(SQRT((Model_Data!A194)^2+Inputs!$C$6^2)/Inputs!$C$52))-Inputs!$C$5)*1000/Inputs!$C$12)</x:f>
        <x:v>1688.2879991473199</x:v>
      </x:c>
      <x:c r="AB194" s="48" t="n">
        <x:f>Model_Data!F194</x:f>
        <x:v>1683.507760020096</x:v>
      </x:c>
    </x:row>
    <x:row r="195">
      <x:c r="A195" s="48" t="n">
        <x:f>Model_Data!A195</x:f>
        <x:v>36.5</x:v>
      </x:c>
      <x:c r="B195" s="48" t="n">
        <x:f>0</x:f>
        <x:v>0</x:v>
      </x:c>
      <x:c r="C195" s="48" t="n">
        <x:f>((SQRT((Inputs!$C$52+Inputs!$C$5)^2+Inputs!$C$52^2-2*(Inputs!$C$52+Inputs!$C$5)*Inputs!$C$52*COS(SQRT((Model_Data!A195)^2+Inputs!$C$6^2)/Inputs!$C$52))-Inputs!$C$5)*1000/Inputs!$C$12)</x:f>
        <x:v>1720.0235032886708</x:v>
      </x:c>
      <x:c r="D195" s="48" t="n">
        <x:f>Model_Data!F195</x:f>
        <x:v>1715.0184737096579</x:v>
      </x:c>
      <x:c r="E195" s="48" t="n">
        <x:f>Model_Data!AC195</x:f>
        <x:v>1587.6450860711047</x:v>
      </x:c>
      <x:c r="F195" s="49"/>
      <x:c r="G195" s="48" t="n">
        <x:f>Model_Data!A195</x:f>
        <x:v>36.5</x:v>
      </x:c>
      <x:c r="H195" s="48" t="n">
        <x:f>0</x:f>
        <x:v>0</x:v>
      </x:c>
      <x:c r="I195" s="48" t="n">
        <x:f>Model_Data!Y195</x:f>
        <x:v>274.3131350022337</x:v>
      </x:c>
      <x:c r="J195" s="48" t="n">
        <x:f>Model_Data!X195</x:f>
        <x:v>44.98219479967033</x:v>
      </x:c>
      <x:c r="K195" s="48" t="n">
        <x:f>Model_Data!A195</x:f>
        <x:v>36.5</x:v>
      </x:c>
      <x:c r="L195" s="48" t="n">
        <x:f>Model_Data!Y195</x:f>
        <x:v>274.3131350022337</x:v>
      </x:c>
      <x:c r="M195" s="48" t="n">
        <x:f>Model_Data!X195</x:f>
        <x:v>44.98219479967033</x:v>
      </x:c>
      <x:c r="N195" s="48" t="n">
        <x:f>-(Model_Data!AC195-Model_Data!F195)*Inputs!$C$12</x:f>
        <x:v>226.7246299966246</x:v>
      </x:c>
      <x:c r="O195" s="49"/>
      <x:c r="P195" s="48" t="n">
        <x:f>Model_Data!A195</x:f>
        <x:v>36.5</x:v>
      </x:c>
      <x:c r="Q195" s="48" t="n">
        <x:f>Model_Data!P195</x:f>
        <x:v>-310.4732418857566</x:v>
      </x:c>
      <x:c r="R195" s="48" t="n">
        <x:f>Model_Data!AM195</x:f>
        <x:v>-270.33211644011317</x:v>
      </x:c>
      <x:c r="S195" s="48" t="n">
        <x:f>Model_Data!Q195</x:f>
        <x:v>-46.61760388675024</x:v>
      </x:c>
      <x:c r="T195" s="48" t="n">
        <x:f>Model_Data!AN195</x:f>
        <x:v>-40.59040787389087</x:v>
      </x:c>
      <x:c r="U195" s="49"/>
      <x:c r="V195" s="48" t="n">
        <x:f>Model_Data!A195</x:f>
        <x:v>36.5</x:v>
      </x:c>
      <x:c r="W195" s="48" t="n">
        <x:f>Model_Data!B195-Inputs!$C$5</x:f>
        <x:v>1.4802777777777578</x:v>
      </x:c>
      <x:c r="X195" s="49"/>
      <x:c r="Y195" s="48" t="n">
        <x:f>Model_Data!A195</x:f>
        <x:v>36.5</x:v>
      </x:c>
      <x:c r="Z195" s="48" t="n">
        <x:f>0</x:f>
        <x:v>0</x:v>
      </x:c>
      <x:c r="AA195" s="48" t="n">
        <x:f>((SQRT((Inputs!$C$52+Inputs!$C$5)^2+Inputs!$C$52^2-2*(Inputs!$C$52+Inputs!$C$5)*Inputs!$C$52*COS(SQRT((Model_Data!A195)^2+Inputs!$C$6^2)/Inputs!$C$52))-Inputs!$C$5)*1000/Inputs!$C$12)</x:f>
        <x:v>1720.0235032886708</x:v>
      </x:c>
      <x:c r="AB195" s="48" t="n">
        <x:f>Model_Data!F195</x:f>
        <x:v>1715.0184737096579</x:v>
      </x:c>
    </x:row>
    <x:row r="196">
      <x:c r="A196" s="48" t="n">
        <x:f>Model_Data!A196</x:f>
        <x:v>37</x:v>
      </x:c>
      <x:c r="B196" s="48" t="n">
        <x:f>0</x:f>
        <x:v>0</x:v>
      </x:c>
      <x:c r="C196" s="48" t="n">
        <x:f>((SQRT((Inputs!$C$52+Inputs!$C$5)^2+Inputs!$C$52^2-2*(Inputs!$C$52+Inputs!$C$5)*Inputs!$C$52*COS(SQRT((Model_Data!A196)^2+Inputs!$C$6^2)/Inputs!$C$52))-Inputs!$C$5)*1000/Inputs!$C$12)</x:f>
        <x:v>1752.1921186527331</x:v>
      </x:c>
      <x:c r="D196" s="48" t="n">
        <x:f>Model_Data!F196</x:f>
        <x:v>1746.9542010692446</x:v>
      </x:c>
      <x:c r="E196" s="48" t="n">
        <x:f>Model_Data!AC196</x:f>
        <x:v>1625.4789197829355</x:v>
      </x:c>
      <x:c r="F196" s="49"/>
      <x:c r="G196" s="48" t="n">
        <x:f>Model_Data!A196</x:f>
        <x:v>37</x:v>
      </x:c>
      <x:c r="H196" s="48" t="n">
        <x:f>0</x:f>
        <x:v>0</x:v>
      </x:c>
      <x:c r="I196" s="48" t="n">
        <x:f>Model_Data!Y196</x:f>
        <x:v>277.26991348245565</x:v>
      </x:c>
      <x:c r="J196" s="48" t="n">
        <x:f>Model_Data!X196</x:f>
        <x:v>58.36098804305038</x:v>
      </x:c>
      <x:c r="K196" s="48" t="n">
        <x:f>Model_Data!A196</x:f>
        <x:v>37</x:v>
      </x:c>
      <x:c r="L196" s="48" t="n">
        <x:f>Model_Data!Y196</x:f>
        <x:v>277.26991348245565</x:v>
      </x:c>
      <x:c r="M196" s="48" t="n">
        <x:f>Model_Data!X196</x:f>
        <x:v>58.36098804305038</x:v>
      </x:c>
      <x:c r="N196" s="48" t="n">
        <x:f>-(Model_Data!AC196-Model_Data!F196)*Inputs!$C$12</x:f>
        <x:v>216.2260006896303</x:v>
      </x:c>
      <x:c r="O196" s="49"/>
      <x:c r="P196" s="48" t="n">
        <x:f>Model_Data!A196</x:f>
        <x:v>37</x:v>
      </x:c>
      <x:c r="Q196" s="48" t="n">
        <x:f>Model_Data!P196</x:f>
        <x:v>-314.6707923143367</x:v>
      </x:c>
      <x:c r="R196" s="48" t="n">
        <x:f>Model_Data!AM196</x:f>
        <x:v>-304.7320025682893</x:v>
      </x:c>
      <x:c r="S196" s="48" t="n">
        <x:f>Model_Data!Q196</x:f>
        <x:v>-47.247866713864376</x:v>
      </x:c>
      <x:c r="T196" s="48" t="n">
        <x:f>Model_Data!AN196</x:f>
        <x:v>-45.75555594118459</x:v>
      </x:c>
      <x:c r="U196" s="49"/>
      <x:c r="V196" s="48" t="n">
        <x:f>Model_Data!A196</x:f>
        <x:v>37</x:v>
      </x:c>
      <x:c r="W196" s="48" t="n">
        <x:f>Model_Data!B196-Inputs!$C$5</x:f>
        <x:v>1.5211111111111109</x:v>
      </x:c>
      <x:c r="X196" s="49"/>
      <x:c r="Y196" s="48" t="n">
        <x:f>Model_Data!A196</x:f>
        <x:v>37</x:v>
      </x:c>
      <x:c r="Z196" s="48" t="n">
        <x:f>0</x:f>
        <x:v>0</x:v>
      </x:c>
      <x:c r="AA196" s="48" t="n">
        <x:f>((SQRT((Inputs!$C$52+Inputs!$C$5)^2+Inputs!$C$52^2-2*(Inputs!$C$52+Inputs!$C$5)*Inputs!$C$52*COS(SQRT((Model_Data!A196)^2+Inputs!$C$6^2)/Inputs!$C$52))-Inputs!$C$5)*1000/Inputs!$C$12)</x:f>
        <x:v>1752.1921186527331</x:v>
      </x:c>
      <x:c r="AB196" s="48" t="n">
        <x:f>Model_Data!F196</x:f>
        <x:v>1746.9542010692446</x:v>
      </x:c>
    </x:row>
    <x:row r="197">
      <x:c r="A197" s="48" t="n">
        <x:f>Model_Data!A197</x:f>
        <x:v>37.5</x:v>
      </x:c>
      <x:c r="B197" s="48" t="n">
        <x:f>0</x:f>
        <x:v>0</x:v>
      </x:c>
      <x:c r="C197" s="48" t="n">
        <x:f>((SQRT((Inputs!$C$52+Inputs!$C$5)^2+Inputs!$C$52^2-2*(Inputs!$C$52+Inputs!$C$5)*Inputs!$C$52*COS(SQRT((Model_Data!A197)^2+Inputs!$C$6^2)/Inputs!$C$52))-Inputs!$C$5)*1000/Inputs!$C$12)</x:f>
        <x:v>1784.7936574050277</x:v>
      </x:c>
      <x:c r="D197" s="48" t="n">
        <x:f>Model_Data!F197</x:f>
        <x:v>1779.3145540322525</x:v>
      </x:c>
      <x:c r="E197" s="48" t="n">
        <x:f>Model_Data!AC197</x:f>
        <x:v>1654.6867542325188</x:v>
      </x:c>
      <x:c r="F197" s="49"/>
      <x:c r="G197" s="48" t="n">
        <x:f>Model_Data!A197</x:f>
        <x:v>37.5</x:v>
      </x:c>
      <x:c r="H197" s="48" t="n">
        <x:f>0</x:f>
        <x:v>0</x:v>
      </x:c>
      <x:c r="I197" s="48" t="n">
        <x:f>Model_Data!Y197</x:f>
        <x:v>280.6842863692354</x:v>
      </x:c>
      <x:c r="J197" s="48" t="n">
        <x:f>Model_Data!X197</x:f>
        <x:v>56.08108474403666</x:v>
      </x:c>
      <x:c r="K197" s="48" t="n">
        <x:f>Model_Data!A197</x:f>
        <x:v>37.5</x:v>
      </x:c>
      <x:c r="L197" s="48" t="n">
        <x:f>Model_Data!Y197</x:f>
        <x:v>280.6842863692354</x:v>
      </x:c>
      <x:c r="M197" s="48" t="n">
        <x:f>Model_Data!X197</x:f>
        <x:v>56.08108474403666</x:v>
      </x:c>
      <x:c r="N197" s="48" t="n">
        <x:f>-(Model_Data!AC197-Model_Data!F197)*Inputs!$C$12</x:f>
        <x:v>221.83748364352616</x:v>
      </x:c>
      <x:c r="O197" s="49"/>
      <x:c r="P197" s="48" t="n">
        <x:f>Model_Data!A197</x:f>
        <x:v>37.5</x:v>
      </x:c>
      <x:c r="Q197" s="48" t="n">
        <x:f>Model_Data!P197</x:f>
        <x:v>-318.8661186490208</x:v>
      </x:c>
      <x:c r="R197" s="48" t="n">
        <x:f>Model_Data!AM197</x:f>
        <x:v>-310.94330885744057</x:v>
      </x:c>
      <x:c r="S197" s="48" t="n">
        <x:f>Model_Data!Q197</x:f>
        <x:v>-47.87779559294607</x:v>
      </x:c>
      <x:c r="T197" s="48" t="n">
        <x:f>Model_Data!AN197</x:f>
        <x:v>-46.688184513129215</x:v>
      </x:c>
      <x:c r="U197" s="49"/>
      <x:c r="V197" s="48" t="n">
        <x:f>Model_Data!A197</x:f>
        <x:v>37.5</x:v>
      </x:c>
      <x:c r="W197" s="48" t="n">
        <x:f>Model_Data!B197-Inputs!$C$5</x:f>
        <x:v>1.5625</x:v>
      </x:c>
      <x:c r="X197" s="49"/>
      <x:c r="Y197" s="48" t="n">
        <x:f>Model_Data!A197</x:f>
        <x:v>37.5</x:v>
      </x:c>
      <x:c r="Z197" s="48" t="n">
        <x:f>0</x:f>
        <x:v>0</x:v>
      </x:c>
      <x:c r="AA197" s="48" t="n">
        <x:f>((SQRT((Inputs!$C$52+Inputs!$C$5)^2+Inputs!$C$52^2-2*(Inputs!$C$52+Inputs!$C$5)*Inputs!$C$52*COS(SQRT((Model_Data!A197)^2+Inputs!$C$6^2)/Inputs!$C$52))-Inputs!$C$5)*1000/Inputs!$C$12)</x:f>
        <x:v>1784.7936574050277</x:v>
      </x:c>
      <x:c r="AB197" s="48" t="n">
        <x:f>Model_Data!F197</x:f>
        <x:v>1779.3145540322525</x:v>
      </x:c>
    </x:row>
    <x:row r="198">
      <x:c r="A198" s="48" t="n">
        <x:f>Model_Data!A198</x:f>
        <x:v>38</x:v>
      </x:c>
      <x:c r="B198" s="48" t="n">
        <x:f>0</x:f>
        <x:v>0</x:v>
      </x:c>
      <x:c r="C198" s="48" t="n">
        <x:f>((SQRT((Inputs!$C$52+Inputs!$C$5)^2+Inputs!$C$52^2-2*(Inputs!$C$52+Inputs!$C$5)*Inputs!$C$52*COS(SQRT((Model_Data!A198)^2+Inputs!$C$6^2)/Inputs!$C$52))-Inputs!$C$5)*1000/Inputs!$C$12)</x:f>
        <x:v>1817.8279292902807</x:v>
      </x:c>
      <x:c r="D198" s="48" t="n">
        <x:f>Model_Data!F198</x:f>
        <x:v>1812.0991397334715</x:v>
      </x:c>
      <x:c r="E198" s="48" t="n">
        <x:f>Model_Data!AC198</x:f>
        <x:v>1697.1287035508037</x:v>
      </x:c>
      <x:c r="F198" s="49"/>
      <x:c r="G198" s="48" t="n">
        <x:f>Model_Data!A198</x:f>
        <x:v>38</x:v>
      </x:c>
      <x:c r="H198" s="48" t="n">
        <x:f>0</x:f>
        <x:v>0</x:v>
      </x:c>
      <x:c r="I198" s="48" t="n">
        <x:f>Model_Data!Y198</x:f>
        <x:v>282.3717678695042</x:v>
      </x:c>
      <x:c r="J198" s="48" t="n">
        <x:f>Model_Data!X198</x:f>
        <x:v>74.89136844725374</x:v>
      </x:c>
      <x:c r="K198" s="48" t="n">
        <x:f>Model_Data!A198</x:f>
        <x:v>38</x:v>
      </x:c>
      <x:c r="L198" s="48" t="n">
        <x:f>Model_Data!Y198</x:f>
        <x:v>282.3717678695042</x:v>
      </x:c>
      <x:c r="M198" s="48" t="n">
        <x:f>Model_Data!X198</x:f>
        <x:v>74.89136844725374</x:v>
      </x:c>
      <x:c r="N198" s="48" t="n">
        <x:f>-(Model_Data!AC198-Model_Data!F198)*Inputs!$C$12</x:f>
        <x:v>204.6473764051486</x:v>
      </x:c>
      <x:c r="O198" s="49"/>
      <x:c r="P198" s="48" t="n">
        <x:f>Model_Data!A198</x:f>
        <x:v>38</x:v>
      </x:c>
      <x:c r="Q198" s="48" t="n">
        <x:f>Model_Data!P198</x:f>
        <x:v>-323.0591935966004</x:v>
      </x:c>
      <x:c r="R198" s="48" t="n">
        <x:f>Model_Data!AM198</x:f>
        <x:v>-274.9239634749756</x:v>
      </x:c>
      <x:c r="S198" s="48" t="n">
        <x:f>Model_Data!Q198</x:f>
        <x:v>-48.507386425915975</x:v>
      </x:c>
      <x:c r="T198" s="48" t="n">
        <x:f>Model_Data!AN198</x:f>
        <x:v>-41.27987439564199</x:v>
      </x:c>
      <x:c r="U198" s="49"/>
      <x:c r="V198" s="48" t="n">
        <x:f>Model_Data!A198</x:f>
        <x:v>38</x:v>
      </x:c>
      <x:c r="W198" s="48" t="n">
        <x:f>Model_Data!B198-Inputs!$C$5</x:f>
        <x:v>1.6044444444444252</x:v>
      </x:c>
      <x:c r="X198" s="49"/>
      <x:c r="Y198" s="48" t="n">
        <x:f>Model_Data!A198</x:f>
        <x:v>38</x:v>
      </x:c>
      <x:c r="Z198" s="48" t="n">
        <x:f>0</x:f>
        <x:v>0</x:v>
      </x:c>
      <x:c r="AA198" s="48" t="n">
        <x:f>((SQRT((Inputs!$C$52+Inputs!$C$5)^2+Inputs!$C$52^2-2*(Inputs!$C$52+Inputs!$C$5)*Inputs!$C$52*COS(SQRT((Model_Data!A198)^2+Inputs!$C$6^2)/Inputs!$C$52))-Inputs!$C$5)*1000/Inputs!$C$12)</x:f>
        <x:v>1817.8279292902807</x:v>
      </x:c>
      <x:c r="AB198" s="48" t="n">
        <x:f>Model_Data!F198</x:f>
        <x:v>1812.0991397334715</x:v>
      </x:c>
    </x:row>
    <x:row r="199">
      <x:c r="A199" s="48" t="n">
        <x:f>Model_Data!A199</x:f>
        <x:v>38.5</x:v>
      </x:c>
      <x:c r="B199" s="48" t="n">
        <x:f>0</x:f>
        <x:v>0</x:v>
      </x:c>
      <x:c r="C199" s="48" t="n">
        <x:f>((SQRT((Inputs!$C$52+Inputs!$C$5)^2+Inputs!$C$52^2-2*(Inputs!$C$52+Inputs!$C$5)*Inputs!$C$52*COS(SQRT((Model_Data!A199)^2+Inputs!$C$6^2)/Inputs!$C$52))-Inputs!$C$5)*1000/Inputs!$C$12)</x:f>
        <x:v>1851.2947416406298</x:v>
      </x:c>
      <x:c r="D199" s="48" t="n">
        <x:f>Model_Data!F199</x:f>
        <x:v>1845.3075605229446</x:v>
      </x:c>
      <x:c r="E199" s="48" t="n">
        <x:f>Model_Data!AC199</x:f>
        <x:v>1717.9066332410525</x:v>
      </x:c>
      <x:c r="F199" s="49"/>
      <x:c r="G199" s="48" t="n">
        <x:f>Model_Data!A199</x:f>
        <x:v>38.5</x:v>
      </x:c>
      <x:c r="H199" s="48" t="n">
        <x:f>0</x:f>
        <x:v>0</x:v>
      </x:c>
      <x:c r="I199" s="48" t="n">
        <x:f>Model_Data!Y199</x:f>
        <x:v>311.18191933727104</x:v>
      </x:c>
      <x:c r="J199" s="48" t="n">
        <x:f>Model_Data!X199</x:f>
        <x:v>81.22943665181958</x:v>
      </x:c>
      <x:c r="K199" s="48" t="n">
        <x:f>Model_Data!A199</x:f>
        <x:v>38.5</x:v>
      </x:c>
      <x:c r="L199" s="48" t="n">
        <x:f>Model_Data!Y199</x:f>
        <x:v>311.18191933727104</x:v>
      </x:c>
      <x:c r="M199" s="48" t="n">
        <x:f>Model_Data!X199</x:f>
        <x:v>81.22943665181958</x:v>
      </x:c>
      <x:c r="N199" s="48" t="n">
        <x:f>-(Model_Data!AC199-Model_Data!F199)*Inputs!$C$12</x:f>
        <x:v>226.77365056176797</x:v>
      </x:c>
      <x:c r="O199" s="49"/>
      <x:c r="P199" s="48" t="n">
        <x:f>Model_Data!A199</x:f>
        <x:v>38.5</x:v>
      </x:c>
      <x:c r="Q199" s="48" t="n">
        <x:f>Model_Data!P199</x:f>
        <x:v>-327.2499899624563</x:v>
      </x:c>
      <x:c r="R199" s="48" t="n">
        <x:f>Model_Data!AM199</x:f>
        <x:v>-295.00116253339</x:v>
      </x:c>
      <x:c r="S199" s="48" t="n">
        <x:f>Model_Data!Q199</x:f>
        <x:v>-49.13663512949795</x:v>
      </x:c>
      <x:c r="T199" s="48" t="n">
        <x:f>Model_Data!AN199</x:f>
        <x:v>-44.29446884885736</x:v>
      </x:c>
      <x:c r="U199" s="49"/>
      <x:c r="V199" s="48" t="n">
        <x:f>Model_Data!A199</x:f>
        <x:v>38.5</x:v>
      </x:c>
      <x:c r="W199" s="48" t="n">
        <x:f>Model_Data!B199-Inputs!$C$5</x:f>
        <x:v>1.6469444444444434</x:v>
      </x:c>
      <x:c r="X199" s="49"/>
      <x:c r="Y199" s="48" t="n">
        <x:f>Model_Data!A199</x:f>
        <x:v>38.5</x:v>
      </x:c>
      <x:c r="Z199" s="48" t="n">
        <x:f>0</x:f>
        <x:v>0</x:v>
      </x:c>
      <x:c r="AA199" s="48" t="n">
        <x:f>((SQRT((Inputs!$C$52+Inputs!$C$5)^2+Inputs!$C$52^2-2*(Inputs!$C$52+Inputs!$C$5)*Inputs!$C$52*COS(SQRT((Model_Data!A199)^2+Inputs!$C$6^2)/Inputs!$C$52))-Inputs!$C$5)*1000/Inputs!$C$12)</x:f>
        <x:v>1851.2947416406298</x:v>
      </x:c>
      <x:c r="AB199" s="48" t="n">
        <x:f>Model_Data!F199</x:f>
        <x:v>1845.3075605229446</x:v>
      </x:c>
    </x:row>
    <x:row r="200">
      <x:c r="A200" s="48" t="n">
        <x:f>Model_Data!A200</x:f>
        <x:v>39</x:v>
      </x:c>
      <x:c r="B200" s="48" t="n">
        <x:f>0</x:f>
        <x:v>0</x:v>
      </x:c>
      <x:c r="C200" s="48" t="n">
        <x:f>((SQRT((Inputs!$C$52+Inputs!$C$5)^2+Inputs!$C$52^2-2*(Inputs!$C$52+Inputs!$C$5)*Inputs!$C$52*COS(SQRT((Model_Data!A200)^2+Inputs!$C$6^2)/Inputs!$C$52))-Inputs!$C$5)*1000/Inputs!$C$12)</x:f>
        <x:v>1885.1938993782433</x:v>
      </x:c>
      <x:c r="D200" s="48" t="n">
        <x:f>Model_Data!F200</x:f>
        <x:v>1878.9394139868214</x:v>
      </x:c>
      <x:c r="E200" s="48" t="n">
        <x:f>Model_Data!AC200</x:f>
        <x:v>1757.064950521521</x:v>
      </x:c>
      <x:c r="F200" s="49"/>
      <x:c r="G200" s="48" t="n">
        <x:f>Model_Data!A200</x:f>
        <x:v>39</x:v>
      </x:c>
      <x:c r="H200" s="48" t="n">
        <x:f>0</x:f>
        <x:v>0</x:v>
      </x:c>
      <x:c r="I200" s="48" t="n">
        <x:f>Model_Data!Y200</x:f>
        <x:v>302.8435496777789</x:v>
      </x:c>
      <x:c r="J200" s="48" t="n">
        <x:f>Model_Data!X200</x:f>
        <x:v>82.75771702731363</x:v>
      </x:c>
      <x:c r="K200" s="48" t="n">
        <x:f>Model_Data!A200</x:f>
        <x:v>39</x:v>
      </x:c>
      <x:c r="L200" s="48" t="n">
        <x:f>Model_Data!Y200</x:f>
        <x:v>302.8435496777789</x:v>
      </x:c>
      <x:c r="M200" s="48" t="n">
        <x:f>Model_Data!X200</x:f>
        <x:v>82.75771702731363</x:v>
      </x:c>
      <x:c r="N200" s="48" t="n">
        <x:f>-(Model_Data!AC200-Model_Data!F200)*Inputs!$C$12</x:f>
        <x:v>216.93654496823459</x:v>
      </x:c>
      <x:c r="O200" s="49"/>
      <x:c r="P200" s="48" t="n">
        <x:f>Model_Data!A200</x:f>
        <x:v>39</x:v>
      </x:c>
      <x:c r="Q200" s="48" t="n">
        <x:f>Model_Data!P200</x:f>
        <x:v>-331.4384806597445</x:v>
      </x:c>
      <x:c r="R200" s="48" t="n">
        <x:f>Model_Data!AM200</x:f>
        <x:v>-351.0190914843406</x:v>
      </x:c>
      <x:c r="S200" s="48" t="n">
        <x:f>Model_Data!Q200</x:f>
        <x:v>-49.76553763659828</x:v>
      </x:c>
      <x:c r="T200" s="48" t="n">
        <x:f>Model_Data!AN200</x:f>
        <x:v>-52.705569291943036</x:v>
      </x:c>
      <x:c r="U200" s="49"/>
      <x:c r="V200" s="48" t="n">
        <x:f>Model_Data!A200</x:f>
        <x:v>39</x:v>
      </x:c>
      <x:c r="W200" s="48" t="n">
        <x:f>Model_Data!B200-Inputs!$C$5</x:f>
        <x:v>1.6899999999999977</x:v>
      </x:c>
      <x:c r="X200" s="49"/>
      <x:c r="Y200" s="48" t="n">
        <x:f>Model_Data!A200</x:f>
        <x:v>39</x:v>
      </x:c>
      <x:c r="Z200" s="48" t="n">
        <x:f>0</x:f>
        <x:v>0</x:v>
      </x:c>
      <x:c r="AA200" s="48" t="n">
        <x:f>((SQRT((Inputs!$C$52+Inputs!$C$5)^2+Inputs!$C$52^2-2*(Inputs!$C$52+Inputs!$C$5)*Inputs!$C$52*COS(SQRT((Model_Data!A200)^2+Inputs!$C$6^2)/Inputs!$C$52))-Inputs!$C$5)*1000/Inputs!$C$12)</x:f>
        <x:v>1885.1938993782433</x:v>
      </x:c>
      <x:c r="AB200" s="48" t="n">
        <x:f>Model_Data!F200</x:f>
        <x:v>1878.9394139868214</x:v>
      </x:c>
    </x:row>
    <x:row r="201">
      <x:c r="A201" s="48" t="n">
        <x:f>Model_Data!A201</x:f>
        <x:v>39.5</x:v>
      </x:c>
      <x:c r="B201" s="48" t="n">
        <x:f>0</x:f>
        <x:v>0</x:v>
      </x:c>
      <x:c r="C201" s="48" t="n">
        <x:f>((SQRT((Inputs!$C$52+Inputs!$C$5)^2+Inputs!$C$52^2-2*(Inputs!$C$52+Inputs!$C$5)*Inputs!$C$52*COS(SQRT((Model_Data!A201)^2+Inputs!$C$6^2)/Inputs!$C$52))-Inputs!$C$5)*1000/Inputs!$C$12)</x:f>
        <x:v>1919.5252050223141</x:v>
      </x:c>
      <x:c r="D201" s="48" t="n">
        <x:f>Model_Data!F201</x:f>
        <x:v>1912.9942929643466</x:v>
      </x:c>
      <x:c r="E201" s="48" t="n">
        <x:f>Model_Data!AC201</x:f>
        <x:v>1789.7063769262995</x:v>
      </x:c>
      <x:c r="F201" s="49"/>
      <x:c r="G201" s="48" t="n">
        <x:f>Model_Data!A201</x:f>
        <x:v>39.5</x:v>
      </x:c>
      <x:c r="H201" s="48" t="n">
        <x:f>0</x:f>
        <x:v>0</x:v>
      </x:c>
      <x:c r="I201" s="48" t="n">
        <x:f>Model_Data!Y201</x:f>
        <x:v>298.92940490783735</x:v>
      </x:c>
      <x:c r="J201" s="48" t="n">
        <x:f>Model_Data!X201</x:f>
        <x:v>76.31271490051972</x:v>
      </x:c>
      <x:c r="K201" s="48" t="n">
        <x:f>Model_Data!A201</x:f>
        <x:v>39.5</x:v>
      </x:c>
      <x:c r="L201" s="48" t="n">
        <x:f>Model_Data!Y201</x:f>
        <x:v>298.92940490783735</x:v>
      </x:c>
      <x:c r="M201" s="48" t="n">
        <x:f>Model_Data!X201</x:f>
        <x:v>76.31271490051972</x:v>
      </x:c>
      <x:c r="N201" s="48" t="n">
        <x:f>-(Model_Data!AC201-Model_Data!F201)*Inputs!$C$12</x:f>
        <x:v>219.45249054772387</x:v>
      </x:c>
      <x:c r="O201" s="49"/>
      <x:c r="P201" s="48" t="n">
        <x:f>Model_Data!A201</x:f>
        <x:v>39.5</x:v>
      </x:c>
      <x:c r="Q201" s="48" t="n">
        <x:f>Model_Data!P201</x:f>
        <x:v>-335.62463871039654</x:v>
      </x:c>
      <x:c r="R201" s="48" t="n">
        <x:f>Model_Data!AM201</x:f>
        <x:v>-332.6760334270148</x:v>
      </x:c>
      <x:c r="S201" s="48" t="n">
        <x:f>Model_Data!Q201</x:f>
        <x:v>-50.39408989645594</x:v>
      </x:c>
      <x:c r="T201" s="48" t="n">
        <x:f>Model_Data!AN201</x:f>
        <x:v>-49.951356370422644</x:v>
      </x:c>
      <x:c r="U201" s="49"/>
      <x:c r="V201" s="48" t="n">
        <x:f>Model_Data!A201</x:f>
        <x:v>39.5</x:v>
      </x:c>
      <x:c r="W201" s="48" t="n">
        <x:f>Model_Data!B201-Inputs!$C$5</x:f>
        <x:v>1.7336111111110881</x:v>
      </x:c>
      <x:c r="X201" s="49"/>
      <x:c r="Y201" s="48" t="n">
        <x:f>Model_Data!A201</x:f>
        <x:v>39.5</x:v>
      </x:c>
      <x:c r="Z201" s="48" t="n">
        <x:f>0</x:f>
        <x:v>0</x:v>
      </x:c>
      <x:c r="AA201" s="48" t="n">
        <x:f>((SQRT((Inputs!$C$52+Inputs!$C$5)^2+Inputs!$C$52^2-2*(Inputs!$C$52+Inputs!$C$5)*Inputs!$C$52*COS(SQRT((Model_Data!A201)^2+Inputs!$C$6^2)/Inputs!$C$52))-Inputs!$C$5)*1000/Inputs!$C$12)</x:f>
        <x:v>1919.5252050223141</x:v>
      </x:c>
      <x:c r="AB201" s="48" t="n">
        <x:f>Model_Data!F201</x:f>
        <x:v>1912.9942929643466</x:v>
      </x:c>
    </x:row>
    <x:row r="202">
      <x:c r="A202" s="48" t="n">
        <x:f>Model_Data!A202</x:f>
        <x:v>40</x:v>
      </x:c>
      <x:c r="B202" s="48" t="n">
        <x:f>0</x:f>
        <x:v>0</x:v>
      </x:c>
      <x:c r="C202" s="48" t="n">
        <x:f>((SQRT((Inputs!$C$52+Inputs!$C$5)^2+Inputs!$C$52^2-2*(Inputs!$C$52+Inputs!$C$5)*Inputs!$C$52*COS(SQRT((Model_Data!A202)^2+Inputs!$C$6^2)/Inputs!$C$52))-Inputs!$C$5)*1000/Inputs!$C$12)</x:f>
        <x:v>1954.2884586951907</x:v>
      </x:c>
      <x:c r="D202" s="48" t="n">
        <x:f>Model_Data!F202</x:f>
        <x:v>1947.4717855689696</x:v>
      </x:c>
      <x:c r="E202" s="48" t="n">
        <x:f>Model_Data!AC202</x:f>
        <x:v>1815.2970383237368</x:v>
      </x:c>
      <x:c r="F202" s="49"/>
      <x:c r="G202" s="48" t="n">
        <x:f>Model_Data!A202</x:f>
        <x:v>40</x:v>
      </x:c>
      <x:c r="H202" s="48" t="n">
        <x:f>0</x:f>
        <x:v>0</x:v>
      </x:c>
      <x:c r="I202" s="48" t="n">
        <x:f>Model_Data!Y202</x:f>
        <x:v>304.82117281231683</x:v>
      </x:c>
      <x:c r="J202" s="48" t="n">
        <x:f>Model_Data!X202</x:f>
        <x:v>66.26609020115302</x:v>
      </x:c>
      <x:c r="K202" s="48" t="n">
        <x:f>Model_Data!A202</x:f>
        <x:v>40</x:v>
      </x:c>
      <x:c r="L202" s="48" t="n">
        <x:f>Model_Data!Y202</x:f>
        <x:v>304.82117281231683</x:v>
      </x:c>
      <x:c r="M202" s="48" t="n">
        <x:f>Model_Data!X202</x:f>
        <x:v>66.26609020115302</x:v>
      </x:c>
      <x:c r="N202" s="48" t="n">
        <x:f>-(Model_Data!AC202-Model_Data!F202)*Inputs!$C$12</x:f>
        <x:v>235.27105009651433</x:v>
      </x:c>
      <x:c r="O202" s="49"/>
      <x:c r="P202" s="48" t="n">
        <x:f>Model_Data!A202</x:f>
        <x:v>40</x:v>
      </x:c>
      <x:c r="Q202" s="48" t="n">
        <x:f>Model_Data!P202</x:f>
        <x:v>-339.80843724993974</x:v>
      </x:c>
      <x:c r="R202" s="48" t="n">
        <x:f>Model_Data!AM202</x:f>
        <x:v>-337.1917719139674</x:v>
      </x:c>
      <x:c r="S202" s="48" t="n">
        <x:f>Model_Data!Q202</x:f>
        <x:v>-51.02228787536633</x:v>
      </x:c>
      <x:c r="T202" s="48" t="n">
        <x:f>Model_Data!AN202</x:f>
        <x:v>-50.62939518227739</x:v>
      </x:c>
      <x:c r="U202" s="49"/>
      <x:c r="V202" s="48" t="n">
        <x:f>Model_Data!A202</x:f>
        <x:v>40</x:v>
      </x:c>
      <x:c r="W202" s="48" t="n">
        <x:f>Model_Data!B202-Inputs!$C$5</x:f>
        <x:v>1.7777777777777715</x:v>
      </x:c>
      <x:c r="X202" s="49"/>
      <x:c r="Y202" s="48" t="n">
        <x:f>Model_Data!A202</x:f>
        <x:v>40</x:v>
      </x:c>
      <x:c r="Z202" s="48" t="n">
        <x:f>0</x:f>
        <x:v>0</x:v>
      </x:c>
      <x:c r="AA202" s="48" t="n">
        <x:f>((SQRT((Inputs!$C$52+Inputs!$C$5)^2+Inputs!$C$52^2-2*(Inputs!$C$52+Inputs!$C$5)*Inputs!$C$52*COS(SQRT((Model_Data!A202)^2+Inputs!$C$6^2)/Inputs!$C$52))-Inputs!$C$5)*1000/Inputs!$C$12)</x:f>
        <x:v>1954.2884586951907</x:v>
      </x:c>
      <x:c r="AB202" s="48" t="n">
        <x:f>Model_Data!F202</x:f>
        <x:v>1947.4717855689696</x:v>
      </x:c>
    </x:row>
    <x:row r="203">
      <x:c r="A203" s="48" t="n">
        <x:f>Model_Data!A203</x:f>
        <x:v>40.5</x:v>
      </x:c>
      <x:c r="B203" s="48" t="n">
        <x:f>0</x:f>
        <x:v>0</x:v>
      </x:c>
      <x:c r="C203" s="48" t="n">
        <x:f>((SQRT((Inputs!$C$52+Inputs!$C$5)^2+Inputs!$C$52^2-2*(Inputs!$C$52+Inputs!$C$5)*Inputs!$C$52*COS(SQRT((Model_Data!A203)^2+Inputs!$C$6^2)/Inputs!$C$52))-Inputs!$C$5)*1000/Inputs!$C$12)</x:f>
        <x:v>1989.483458127327</x:v>
      </x:c>
      <x:c r="D203" s="48" t="n">
        <x:f>Model_Data!F203</x:f>
        <x:v>1982.3714752072171</x:v>
      </x:c>
      <x:c r="E203" s="48" t="n">
        <x:f>Model_Data!AC203</x:f>
        <x:v>1849.0858481752039</x:v>
      </x:c>
      <x:c r="F203" s="49"/>
      <x:c r="G203" s="48" t="n">
        <x:f>Model_Data!A203</x:f>
        <x:v>40.5</x:v>
      </x:c>
      <x:c r="H203" s="48" t="n">
        <x:f>0</x:f>
        <x:v>0</x:v>
      </x:c>
      <x:c r="I203" s="48" t="n">
        <x:f>Model_Data!Y203</x:f>
        <x:v>300.6975060152245</x:v>
      </x:c>
      <x:c r="J203" s="48" t="n">
        <x:f>Model_Data!X203</x:f>
        <x:v>60.152205166209214</x:v>
      </x:c>
      <x:c r="K203" s="48" t="n">
        <x:f>Model_Data!A203</x:f>
        <x:v>40.5</x:v>
      </x:c>
      <x:c r="L203" s="48" t="n">
        <x:f>Model_Data!Y203</x:f>
        <x:v>300.6975060152245</x:v>
      </x:c>
      <x:c r="M203" s="48" t="n">
        <x:f>Model_Data!X203</x:f>
        <x:v>60.152205166209214</x:v>
      </x:c>
      <x:c r="N203" s="48" t="n">
        <x:f>-(Model_Data!AC203-Model_Data!F203)*Inputs!$C$12</x:f>
        <x:v>237.24841611698363</x:v>
      </x:c>
      <x:c r="O203" s="49"/>
      <x:c r="P203" s="48" t="n">
        <x:f>Model_Data!A203</x:f>
        <x:v>40.5</x:v>
      </x:c>
      <x:c r="Q203" s="48" t="n">
        <x:f>Model_Data!P203</x:f>
        <x:v>-343.98984952458704</x:v>
      </x:c>
      <x:c r="R203" s="48" t="n">
        <x:f>Model_Data!AM203</x:f>
        <x:v>-388.8944572384389</x:v>
      </x:c>
      <x:c r="S203" s="48" t="n">
        <x:f>Model_Data!Q203</x:f>
        <x:v>-51.65012755624431</x:v>
      </x:c>
      <x:c r="T203" s="48" t="n">
        <x:f>Model_Data!AN203</x:f>
        <x:v>-58.392561146912755</x:v>
      </x:c>
      <x:c r="U203" s="49"/>
      <x:c r="V203" s="48" t="n">
        <x:f>Model_Data!A203</x:f>
        <x:v>40.5</x:v>
      </x:c>
      <x:c r="W203" s="48" t="n">
        <x:f>Model_Data!B203-Inputs!$C$5</x:f>
        <x:v>1.822499999999991</x:v>
      </x:c>
      <x:c r="X203" s="49"/>
      <x:c r="Y203" s="48" t="n">
        <x:f>Model_Data!A203</x:f>
        <x:v>40.5</x:v>
      </x:c>
      <x:c r="Z203" s="48" t="n">
        <x:f>0</x:f>
        <x:v>0</x:v>
      </x:c>
      <x:c r="AA203" s="48" t="n">
        <x:f>((SQRT((Inputs!$C$52+Inputs!$C$5)^2+Inputs!$C$52^2-2*(Inputs!$C$52+Inputs!$C$5)*Inputs!$C$52*COS(SQRT((Model_Data!A203)^2+Inputs!$C$6^2)/Inputs!$C$52))-Inputs!$C$5)*1000/Inputs!$C$12)</x:f>
        <x:v>1989.483458127327</x:v>
      </x:c>
      <x:c r="AB203" s="48" t="n">
        <x:f>Model_Data!F203</x:f>
        <x:v>1982.3714752072171</x:v>
      </x:c>
    </x:row>
    <x:row r="204">
      <x:c r="A204" s="48" t="n">
        <x:f>Model_Data!A204</x:f>
        <x:v>41</x:v>
      </x:c>
      <x:c r="B204" s="48" t="n">
        <x:f>0</x:f>
        <x:v>0</x:v>
      </x:c>
      <x:c r="C204" s="48" t="n">
        <x:f>((SQRT((Inputs!$C$52+Inputs!$C$5)^2+Inputs!$C$52^2-2*(Inputs!$C$52+Inputs!$C$5)*Inputs!$C$52*COS(SQRT((Model_Data!A204)^2+Inputs!$C$6^2)/Inputs!$C$52))-Inputs!$C$5)*1000/Inputs!$C$12)</x:f>
        <x:v>2025.1099986616898</x:v>
      </x:c>
      <x:c r="D204" s="48" t="n">
        <x:f>Model_Data!F204</x:f>
        <x:v>2017.6929405986523</x:v>
      </x:c>
      <x:c r="E204" s="48" t="n">
        <x:f>Model_Data!AC204</x:f>
        <x:v>1893.6129285270972</x:v>
      </x:c>
      <x:c r="F204" s="49"/>
      <x:c r="G204" s="48" t="n">
        <x:f>Model_Data!A204</x:f>
        <x:v>41</x:v>
      </x:c>
      <x:c r="H204" s="48" t="n">
        <x:f>0</x:f>
        <x:v>0</x:v>
      </x:c>
      <x:c r="I204" s="48" t="n">
        <x:f>Model_Data!Y204</x:f>
        <x:v>276.55710773836364</x:v>
      </x:c>
      <x:c r="J204" s="48" t="n">
        <x:f>Model_Data!X204</x:f>
        <x:v>52.60933898915909</x:v>
      </x:c>
      <x:c r="K204" s="48" t="n">
        <x:f>Model_Data!A204</x:f>
        <x:v>41</x:v>
      </x:c>
      <x:c r="L204" s="48" t="n">
        <x:f>Model_Data!Y204</x:f>
        <x:v>276.55710773836364</x:v>
      </x:c>
      <x:c r="M204" s="48" t="n">
        <x:f>Model_Data!X204</x:f>
        <x:v>52.60933898915909</x:v>
      </x:c>
      <x:c r="N204" s="48" t="n">
        <x:f>-(Model_Data!AC204-Model_Data!F204)*Inputs!$C$12</x:f>
        <x:v>220.86242148736804</x:v>
      </x:c>
      <x:c r="O204" s="49"/>
      <x:c r="P204" s="48" t="n">
        <x:f>Model_Data!A204</x:f>
        <x:v>41</x:v>
      </x:c>
      <x:c r="Q204" s="48" t="n">
        <x:f>Model_Data!P204</x:f>
        <x:v>-348.16884888314235</x:v>
      </x:c>
      <x:c r="R204" s="48" t="n">
        <x:f>Model_Data!AM204</x:f>
        <x:v>-398.15439784842965</x:v>
      </x:c>
      <x:c r="S204" s="48" t="n">
        <x:f>Model_Data!Q204</x:f>
        <x:v>-52.27760493740877</x:v>
      </x:c>
      <x:c r="T204" s="48" t="n">
        <x:f>Model_Data!AN204</x:f>
        <x:v>-59.78294261988434</x:v>
      </x:c>
      <x:c r="U204" s="49"/>
      <x:c r="V204" s="48" t="n">
        <x:f>Model_Data!A204</x:f>
        <x:v>41</x:v>
      </x:c>
      <x:c r="W204" s="48" t="n">
        <x:f>Model_Data!B204-Inputs!$C$5</x:f>
        <x:v>1.8677777777778033</x:v>
      </x:c>
      <x:c r="X204" s="49"/>
      <x:c r="Y204" s="48" t="n">
        <x:f>Model_Data!A204</x:f>
        <x:v>41</x:v>
      </x:c>
      <x:c r="Z204" s="48" t="n">
        <x:f>0</x:f>
        <x:v>0</x:v>
      </x:c>
      <x:c r="AA204" s="48" t="n">
        <x:f>((SQRT((Inputs!$C$52+Inputs!$C$5)^2+Inputs!$C$52^2-2*(Inputs!$C$52+Inputs!$C$5)*Inputs!$C$52*COS(SQRT((Model_Data!A204)^2+Inputs!$C$6^2)/Inputs!$C$52))-Inputs!$C$5)*1000/Inputs!$C$12)</x:f>
        <x:v>2025.1099986616898</x:v>
      </x:c>
      <x:c r="AB204" s="48" t="n">
        <x:f>Model_Data!F204</x:f>
        <x:v>2017.6929405986523</x:v>
      </x:c>
    </x:row>
    <x:row r="205">
      <x:c r="A205" s="48" t="n">
        <x:f>Model_Data!A205</x:f>
        <x:v>41.5</x:v>
      </x:c>
      <x:c r="B205" s="48" t="n">
        <x:f>0</x:f>
        <x:v>0</x:v>
      </x:c>
      <x:c r="C205" s="48" t="n">
        <x:f>((SQRT((Inputs!$C$52+Inputs!$C$5)^2+Inputs!$C$52^2-2*(Inputs!$C$52+Inputs!$C$5)*Inputs!$C$52*COS(SQRT((Model_Data!A205)^2+Inputs!$C$6^2)/Inputs!$C$52))-Inputs!$C$5)*1000/Inputs!$C$12)</x:f>
        <x:v>2061.1678732608475</x:v>
      </x:c>
      <x:c r="D205" s="48" t="n">
        <x:f>Model_Data!F205</x:f>
        <x:v>2053.4357557919698</x:v>
      </x:c>
      <x:c r="E205" s="48" t="n">
        <x:f>Model_Data!AC205</x:f>
        <x:v>1936.7061483302066</x:v>
      </x:c>
      <x:c r="F205" s="49"/>
      <x:c r="G205" s="48" t="n">
        <x:f>Model_Data!A205</x:f>
        <x:v>41.5</x:v>
      </x:c>
      <x:c r="H205" s="48" t="n">
        <x:f>0</x:f>
        <x:v>0</x:v>
      </x:c>
      <x:c r="I205" s="48" t="n">
        <x:f>Model_Data!Y205</x:f>
        <x:v>269.21554101681534</x:v>
      </x:c>
      <x:c r="J205" s="48" t="n">
        <x:f>Model_Data!X205</x:f>
        <x:v>58.38095189793533</x:v>
      </x:c>
      <x:c r="K205" s="48" t="n">
        <x:f>Model_Data!A205</x:f>
        <x:v>41.5</x:v>
      </x:c>
      <x:c r="L205" s="48" t="n">
        <x:f>Model_Data!Y205</x:f>
        <x:v>269.21554101681534</x:v>
      </x:c>
      <x:c r="M205" s="48" t="n">
        <x:f>Model_Data!X205</x:f>
        <x:v>58.38095189793533</x:v>
      </x:c>
      <x:c r="N205" s="48" t="n">
        <x:f>-(Model_Data!AC205-Model_Data!F205)*Inputs!$C$12</x:f>
        <x:v>207.77870128193845</x:v>
      </x:c>
      <x:c r="O205" s="49"/>
      <x:c r="P205" s="48" t="n">
        <x:f>Model_Data!A205</x:f>
        <x:v>41.5</x:v>
      </x:c>
      <x:c r="Q205" s="48" t="n">
        <x:f>Model_Data!P205</x:f>
        <x:v>-352.3454087967366</x:v>
      </x:c>
      <x:c r="R205" s="48" t="n">
        <x:f>Model_Data!AM205</x:f>
        <x:v>-361.1079984811113</x:v>
      </x:c>
      <x:c r="S205" s="48" t="n">
        <x:f>Model_Data!Q205</x:f>
        <x:v>-52.90471603554604</x:v>
      </x:c>
      <x:c r="T205" s="48" t="n">
        <x:f>Model_Data!AN205</x:f>
        <x:v>-54.22042019235906</x:v>
      </x:c>
      <x:c r="U205" s="49"/>
      <x:c r="V205" s="48" t="n">
        <x:f>Model_Data!A205</x:f>
        <x:v>41.5</x:v>
      </x:c>
      <x:c r="W205" s="48" t="n">
        <x:f>Model_Data!B205-Inputs!$C$5</x:f>
        <x:v>1.913611111111095</x:v>
      </x:c>
      <x:c r="X205" s="49"/>
      <x:c r="Y205" s="48" t="n">
        <x:f>Model_Data!A205</x:f>
        <x:v>41.5</x:v>
      </x:c>
      <x:c r="Z205" s="48" t="n">
        <x:f>0</x:f>
        <x:v>0</x:v>
      </x:c>
      <x:c r="AA205" s="48" t="n">
        <x:f>((SQRT((Inputs!$C$52+Inputs!$C$5)^2+Inputs!$C$52^2-2*(Inputs!$C$52+Inputs!$C$5)*Inputs!$C$52*COS(SQRT((Model_Data!A205)^2+Inputs!$C$6^2)/Inputs!$C$52))-Inputs!$C$5)*1000/Inputs!$C$12)</x:f>
        <x:v>2061.1678732608475</x:v>
      </x:c>
      <x:c r="AB205" s="48" t="n">
        <x:f>Model_Data!F205</x:f>
        <x:v>2053.4357557919698</x:v>
      </x:c>
    </x:row>
    <x:row r="206">
      <x:c r="A206" s="48" t="n">
        <x:f>Model_Data!A206</x:f>
        <x:v>42</x:v>
      </x:c>
      <x:c r="B206" s="48" t="n">
        <x:f>0</x:f>
        <x:v>0</x:v>
      </x:c>
      <x:c r="C206" s="48" t="n">
        <x:f>((SQRT((Inputs!$C$52+Inputs!$C$5)^2+Inputs!$C$52^2-2*(Inputs!$C$52+Inputs!$C$5)*Inputs!$C$52*COS(SQRT((Model_Data!A206)^2+Inputs!$C$6^2)/Inputs!$C$52))-Inputs!$C$5)*1000/Inputs!$C$12)</x:f>
        <x:v>2097.656872513326</x:v>
      </x:c>
      <x:c r="D206" s="48" t="n">
        <x:f>Model_Data!F206</x:f>
        <x:v>2089.5994901917893</x:v>
      </x:c>
      <x:c r="E206" s="48" t="n">
        <x:f>Model_Data!AC206</x:f>
        <x:v>1958.434377938433</x:v>
      </x:c>
      <x:c r="F206" s="49"/>
      <x:c r="G206" s="48" t="n">
        <x:f>Model_Data!A206</x:f>
        <x:v>42</x:v>
      </x:c>
      <x:c r="H206" s="48" t="n">
        <x:f>0</x:f>
        <x:v>0</x:v>
      </x:c>
      <x:c r="I206" s="48" t="n">
        <x:f>Model_Data!Y206</x:f>
        <x:v>271.1262021129023</x:v>
      </x:c>
      <x:c r="J206" s="48" t="n">
        <x:f>Model_Data!X206</x:f>
        <x:v>34.52124211278962</x:v>
      </x:c>
      <x:c r="K206" s="48" t="n">
        <x:f>Model_Data!A206</x:f>
        <x:v>42</x:v>
      </x:c>
      <x:c r="L206" s="48" t="n">
        <x:f>Model_Data!Y206</x:f>
        <x:v>271.1262021129023</x:v>
      </x:c>
      <x:c r="M206" s="48" t="n">
        <x:f>Model_Data!X206</x:f>
        <x:v>34.52124211278962</x:v>
      </x:c>
      <x:c r="N206" s="48" t="n">
        <x:f>-(Model_Data!AC206-Model_Data!F206)*Inputs!$C$12</x:f>
        <x:v>233.47389981097413</x:v>
      </x:c>
      <x:c r="O206" s="49"/>
      <x:c r="P206" s="48" t="n">
        <x:f>Model_Data!A206</x:f>
        <x:v>42</x:v>
      </x:c>
      <x:c r="Q206" s="48" t="n">
        <x:f>Model_Data!P206</x:f>
        <x:v>-356.5195028526432</x:v>
      </x:c>
      <x:c r="R206" s="48" t="n">
        <x:f>Model_Data!AM206</x:f>
        <x:v>-371.61471890167377</x:v>
      </x:c>
      <x:c r="S206" s="48" t="n">
        <x:f>Model_Data!Q206</x:f>
        <x:v>-53.531456884781264</x:v>
      </x:c>
      <x:c r="T206" s="48" t="n">
        <x:f>Model_Data!AN206</x:f>
        <x:v>-55.79800584109216</x:v>
      </x:c>
      <x:c r="U206" s="49"/>
      <x:c r="V206" s="48" t="n">
        <x:f>Model_Data!A206</x:f>
        <x:v>42</x:v>
      </x:c>
      <x:c r="W206" s="48" t="n">
        <x:f>Model_Data!B206-Inputs!$C$5</x:f>
        <x:v>1.9599999999999795</x:v>
      </x:c>
      <x:c r="X206" s="49"/>
      <x:c r="Y206" s="48" t="n">
        <x:f>Model_Data!A206</x:f>
        <x:v>42</x:v>
      </x:c>
      <x:c r="Z206" s="48" t="n">
        <x:f>0</x:f>
        <x:v>0</x:v>
      </x:c>
      <x:c r="AA206" s="48" t="n">
        <x:f>((SQRT((Inputs!$C$52+Inputs!$C$5)^2+Inputs!$C$52^2-2*(Inputs!$C$52+Inputs!$C$5)*Inputs!$C$52*COS(SQRT((Model_Data!A206)^2+Inputs!$C$6^2)/Inputs!$C$52))-Inputs!$C$5)*1000/Inputs!$C$12)</x:f>
        <x:v>2097.656872513326</x:v>
      </x:c>
      <x:c r="AB206" s="48" t="n">
        <x:f>Model_Data!F206</x:f>
        <x:v>2089.5994901917893</x:v>
      </x:c>
    </x:row>
    <x:row r="207">
      <x:c r="A207" s="48" t="n">
        <x:f>Model_Data!A207</x:f>
        <x:v>42.5</x:v>
      </x:c>
      <x:c r="B207" s="48" t="n">
        <x:f>0</x:f>
        <x:v>0</x:v>
      </x:c>
      <x:c r="C207" s="48" t="n">
        <x:f>((SQRT((Inputs!$C$52+Inputs!$C$5)^2+Inputs!$C$52^2-2*(Inputs!$C$52+Inputs!$C$5)*Inputs!$C$52*COS(SQRT((Model_Data!A207)^2+Inputs!$C$6^2)/Inputs!$C$52))-Inputs!$C$5)*1000/Inputs!$C$12)</x:f>
        <x:v>2134.576784639611</x:v>
      </x:c>
      <x:c r="D207" s="48" t="n">
        <x:f>Model_Data!F207</x:f>
        <x:v>2126.18370857261</x:v>
      </x:c>
      <x:c r="E207" s="48" t="n">
        <x:f>Model_Data!AC207</x:f>
        <x:v>2004.5691766690359</x:v>
      </x:c>
      <x:c r="F207" s="49"/>
      <x:c r="G207" s="48" t="n">
        <x:f>Model_Data!A207</x:f>
        <x:v>42.5</x:v>
      </x:c>
      <x:c r="H207" s="48" t="n">
        <x:f>0</x:f>
        <x:v>0</x:v>
      </x:c>
      <x:c r="I207" s="48" t="n">
        <x:f>Model_Data!Y207</x:f>
        <x:v>259.7768551367322</x:v>
      </x:c>
      <x:c r="J207" s="48" t="n">
        <x:f>Model_Data!X207</x:f>
        <x:v>40.25127636090155</x:v>
      </x:c>
      <x:c r="K207" s="48" t="n">
        <x:f>Model_Data!A207</x:f>
        <x:v>42.5</x:v>
      </x:c>
      <x:c r="L207" s="48" t="n">
        <x:f>Model_Data!Y207</x:f>
        <x:v>259.7768551367322</x:v>
      </x:c>
      <x:c r="M207" s="48" t="n">
        <x:f>Model_Data!X207</x:f>
        <x:v>40.25127636090155</x:v>
      </x:c>
      <x:c r="N207" s="48" t="n">
        <x:f>-(Model_Data!AC207-Model_Data!F207)*Inputs!$C$12</x:f>
        <x:v>216.47386678836224</x:v>
      </x:c>
      <x:c r="O207" s="49"/>
      <x:c r="P207" s="48" t="n">
        <x:f>Model_Data!A207</x:f>
        <x:v>42.5</x:v>
      </x:c>
      <x:c r="Q207" s="48" t="n">
        <x:f>Model_Data!P207</x:f>
        <x:v>-360.6911047401809</x:v>
      </x:c>
      <x:c r="R207" s="48" t="n">
        <x:f>Model_Data!AM207</x:f>
        <x:v>-398.58972229558276</x:v>
      </x:c>
      <x:c r="S207" s="48" t="n">
        <x:f>Model_Data!Q207</x:f>
        <x:v>-54.1578235345617</x:v>
      </x:c>
      <x:c r="T207" s="48" t="n">
        <x:f>Model_Data!AN207</x:f>
        <x:v>-59.848306650988405</x:v>
      </x:c>
      <x:c r="U207" s="49"/>
      <x:c r="V207" s="48" t="n">
        <x:f>Model_Data!A207</x:f>
        <x:v>42.5</x:v>
      </x:c>
      <x:c r="W207" s="48" t="n">
        <x:f>Model_Data!B207-Inputs!$C$5</x:f>
        <x:v>2.006944444444457</x:v>
      </x:c>
      <x:c r="X207" s="49"/>
      <x:c r="Y207" s="48" t="n">
        <x:f>Model_Data!A207</x:f>
        <x:v>42.5</x:v>
      </x:c>
      <x:c r="Z207" s="48" t="n">
        <x:f>0</x:f>
        <x:v>0</x:v>
      </x:c>
      <x:c r="AA207" s="48" t="n">
        <x:f>((SQRT((Inputs!$C$52+Inputs!$C$5)^2+Inputs!$C$52^2-2*(Inputs!$C$52+Inputs!$C$5)*Inputs!$C$52*COS(SQRT((Model_Data!A207)^2+Inputs!$C$6^2)/Inputs!$C$52))-Inputs!$C$5)*1000/Inputs!$C$12)</x:f>
        <x:v>2134.576784639611</x:v>
      </x:c>
      <x:c r="AB207" s="48" t="n">
        <x:f>Model_Data!F207</x:f>
        <x:v>2126.18370857261</x:v>
      </x:c>
    </x:row>
    <x:row r="208">
      <x:c r="A208" s="48" t="n">
        <x:f>Model_Data!A208</x:f>
        <x:v>43</x:v>
      </x:c>
      <x:c r="B208" s="48" t="n">
        <x:f>0</x:f>
        <x:v>0</x:v>
      </x:c>
      <x:c r="C208" s="48" t="n">
        <x:f>((SQRT((Inputs!$C$52+Inputs!$C$5)^2+Inputs!$C$52^2-2*(Inputs!$C$52+Inputs!$C$5)*Inputs!$C$52*COS(SQRT((Model_Data!A208)^2+Inputs!$C$6^2)/Inputs!$C$52))-Inputs!$C$5)*1000/Inputs!$C$12)</x:f>
        <x:v>2171.9273954940345</x:v>
      </x:c>
      <x:c r="D208" s="48" t="n">
        <x:f>Model_Data!F208</x:f>
        <x:v>2163.1879711008464</x:v>
      </x:c>
      <x:c r="E208" s="48" t="n">
        <x:f>Model_Data!AC208</x:f>
        <x:v>2044.6595852299038</x:v>
      </x:c>
      <x:c r="F208" s="49"/>
      <x:c r="G208" s="48" t="n">
        <x:f>Model_Data!A208</x:f>
        <x:v>43</x:v>
      </x:c>
      <x:c r="H208" s="48" t="n">
        <x:f>0</x:f>
        <x:v>0</x:v>
      </x:c>
      <x:c r="I208" s="48" t="n">
        <x:f>Model_Data!Y208</x:f>
        <x:v>247.2629698422237</x:v>
      </x:c>
      <x:c r="J208" s="48" t="n">
        <x:f>Model_Data!X208</x:f>
        <x:v>33.32797910139238</x:v>
      </x:c>
      <x:c r="K208" s="48" t="n">
        <x:f>Model_Data!A208</x:f>
        <x:v>43</x:v>
      </x:c>
      <x:c r="L208" s="48" t="n">
        <x:f>Model_Data!Y208</x:f>
        <x:v>247.2629698422237</x:v>
      </x:c>
      <x:c r="M208" s="48" t="n">
        <x:f>Model_Data!X208</x:f>
        <x:v>33.32797910139238</x:v>
      </x:c>
      <x:c r="N208" s="48" t="n">
        <x:f>-(Model_Data!AC208-Model_Data!F208)*Inputs!$C$12</x:f>
        <x:v>210.98052685027793</x:v>
      </x:c>
      <x:c r="O208" s="49"/>
      <x:c r="P208" s="48" t="n">
        <x:f>Model_Data!A208</x:f>
        <x:v>43</x:v>
      </x:c>
      <x:c r="Q208" s="48" t="n">
        <x:f>Model_Data!P208</x:f>
        <x:v>-364.8601882793628</x:v>
      </x:c>
      <x:c r="R208" s="48" t="n">
        <x:f>Model_Data!AM208</x:f>
        <x:v>-419.4335216990112</x:v>
      </x:c>
      <x:c r="S208" s="48" t="n">
        <x:f>Model_Data!Q208</x:f>
        <x:v>-54.78381205395838</x:v>
      </x:c>
      <x:c r="T208" s="48" t="n">
        <x:f>Model_Data!AN208</x:f>
        <x:v>-62.978006261112796</x:v>
      </x:c>
      <x:c r="U208" s="49"/>
      <x:c r="V208" s="48" t="n">
        <x:f>Model_Data!A208</x:f>
        <x:v>43</x:v>
      </x:c>
      <x:c r="W208" s="48" t="n">
        <x:f>Model_Data!B208-Inputs!$C$5</x:f>
        <x:v>2.0544444444444707</x:v>
      </x:c>
      <x:c r="X208" s="49"/>
      <x:c r="Y208" s="48" t="n">
        <x:f>Model_Data!A208</x:f>
        <x:v>43</x:v>
      </x:c>
      <x:c r="Z208" s="48" t="n">
        <x:f>0</x:f>
        <x:v>0</x:v>
      </x:c>
      <x:c r="AA208" s="48" t="n">
        <x:f>((SQRT((Inputs!$C$52+Inputs!$C$5)^2+Inputs!$C$52^2-2*(Inputs!$C$52+Inputs!$C$5)*Inputs!$C$52*COS(SQRT((Model_Data!A208)^2+Inputs!$C$6^2)/Inputs!$C$52))-Inputs!$C$5)*1000/Inputs!$C$12)</x:f>
        <x:v>2171.9273954940345</x:v>
      </x:c>
      <x:c r="AB208" s="48" t="n">
        <x:f>Model_Data!F208</x:f>
        <x:v>2163.1879711008464</x:v>
      </x:c>
    </x:row>
    <x:row r="209">
      <x:c r="A209" s="48" t="n">
        <x:f>Model_Data!A209</x:f>
        <x:v>43.5</x:v>
      </x:c>
      <x:c r="B209" s="48" t="n">
        <x:f>0</x:f>
        <x:v>0</x:v>
      </x:c>
      <x:c r="C209" s="48" t="n">
        <x:f>((SQRT((Inputs!$C$52+Inputs!$C$5)^2+Inputs!$C$52^2-2*(Inputs!$C$52+Inputs!$C$5)*Inputs!$C$52*COS(SQRT((Model_Data!A209)^2+Inputs!$C$6^2)/Inputs!$C$52))-Inputs!$C$5)*1000/Inputs!$C$12)</x:f>
        <x:v>2209.708488578056</x:v>
      </x:c>
      <x:c r="D209" s="48" t="n">
        <x:f>Model_Data!F209</x:f>
        <x:v>2200.611833358587</x:v>
      </x:c>
      <x:c r="E209" s="48" t="n">
        <x:f>Model_Data!AC209</x:f>
        <x:v>2087.0759561505297</x:v>
      </x:c>
      <x:c r="F209" s="49"/>
      <x:c r="G209" s="48" t="n">
        <x:f>Model_Data!A209</x:f>
        <x:v>43.5</x:v>
      </x:c>
      <x:c r="H209" s="48" t="n">
        <x:f>0</x:f>
        <x:v>0</x:v>
      </x:c>
      <x:c r="I209" s="48" t="n">
        <x:f>Model_Data!Y209</x:f>
        <x:v>225.35528260314678</x:v>
      </x:c>
      <x:c r="J209" s="48" t="n">
        <x:f>Model_Data!X209</x:f>
        <x:v>20.522948331606614</x:v>
      </x:c>
      <x:c r="K209" s="48" t="n">
        <x:f>Model_Data!A209</x:f>
        <x:v>43.5</x:v>
      </x:c>
      <x:c r="L209" s="48" t="n">
        <x:f>Model_Data!Y209</x:f>
        <x:v>225.35528260314678</x:v>
      </x:c>
      <x:c r="M209" s="48" t="n">
        <x:f>Model_Data!X209</x:f>
        <x:v>20.522948331606614</x:v>
      </x:c>
      <x:c r="N209" s="48" t="n">
        <x:f>-(Model_Data!AC209-Model_Data!F209)*Inputs!$C$12</x:f>
        <x:v>202.09386143034178</x:v>
      </x:c>
      <x:c r="O209" s="49"/>
      <x:c r="P209" s="48" t="n">
        <x:f>Model_Data!A209</x:f>
        <x:v>43.5</x:v>
      </x:c>
      <x:c r="Q209" s="48" t="n">
        <x:f>Model_Data!P209</x:f>
        <x:v>-369.0267273985228</x:v>
      </x:c>
      <x:c r="R209" s="48" t="n">
        <x:f>Model_Data!AM209</x:f>
        <x:v>-429.9051877553211</x:v>
      </x:c>
      <x:c r="S209" s="48" t="n">
        <x:f>Model_Data!Q209</x:f>
        <x:v>-55.40941852830673</x:v>
      </x:c>
      <x:c r="T209" s="48" t="n">
        <x:f>Model_Data!AN209</x:f>
        <x:v>-64.55032849178995</x:v>
      </x:c>
      <x:c r="U209" s="49"/>
      <x:c r="V209" s="48" t="n">
        <x:f>Model_Data!A209</x:f>
        <x:v>43.5</x:v>
      </x:c>
      <x:c r="W209" s="48" t="n">
        <x:f>Model_Data!B209-Inputs!$C$5</x:f>
        <x:v>2.1025000000000205</x:v>
      </x:c>
      <x:c r="X209" s="49"/>
      <x:c r="Y209" s="48" t="n">
        <x:f>Model_Data!A209</x:f>
        <x:v>43.5</x:v>
      </x:c>
      <x:c r="Z209" s="48" t="n">
        <x:f>0</x:f>
        <x:v>0</x:v>
      </x:c>
      <x:c r="AA209" s="48" t="n">
        <x:f>((SQRT((Inputs!$C$52+Inputs!$C$5)^2+Inputs!$C$52^2-2*(Inputs!$C$52+Inputs!$C$5)*Inputs!$C$52*COS(SQRT((Model_Data!A209)^2+Inputs!$C$6^2)/Inputs!$C$52))-Inputs!$C$5)*1000/Inputs!$C$12)</x:f>
        <x:v>2209.708488578056</x:v>
      </x:c>
      <x:c r="AB209" s="48" t="n">
        <x:f>Model_Data!F209</x:f>
        <x:v>2200.611833358587</x:v>
      </x:c>
    </x:row>
    <x:row r="210">
      <x:c r="A210" s="48" t="n">
        <x:f>Model_Data!A210</x:f>
        <x:v>44</x:v>
      </x:c>
      <x:c r="B210" s="48" t="n">
        <x:f>0</x:f>
        <x:v>0</x:v>
      </x:c>
      <x:c r="C210" s="48" t="n">
        <x:f>((SQRT((Inputs!$C$52+Inputs!$C$5)^2+Inputs!$C$52^2-2*(Inputs!$C$52+Inputs!$C$5)*Inputs!$C$52*COS(SQRT((Model_Data!A210)^2+Inputs!$C$6^2)/Inputs!$C$52))-Inputs!$C$5)*1000/Inputs!$C$12)</x:f>
        <x:v>2247.9198450390527</x:v>
      </x:c>
      <x:c r="D210" s="48" t="n">
        <x:f>Model_Data!F210</x:f>
        <x:v>2238.4548463578362</x:v>
      </x:c>
      <x:c r="E210" s="48" t="n">
        <x:f>Model_Data!AC210</x:f>
        <x:v>2126.5404819811456</x:v>
      </x:c>
      <x:c r="F210" s="49"/>
      <x:c r="G210" s="48" t="n">
        <x:f>Model_Data!A210</x:f>
        <x:v>44</x:v>
      </x:c>
      <x:c r="H210" s="48" t="n">
        <x:f>0</x:f>
        <x:v>0</x:v>
      </x:c>
      <x:c r="I210" s="48" t="n">
        <x:f>Model_Data!Y210</x:f>
        <x:v>208.84015984832814</x:v>
      </x:c>
      <x:c r="J210" s="48" t="n">
        <x:f>Model_Data!X210</x:f>
        <x:v>7.051899638170276</x:v>
      </x:c>
      <x:c r="K210" s="48" t="n">
        <x:f>Model_Data!A210</x:f>
        <x:v>44</x:v>
      </x:c>
      <x:c r="L210" s="48" t="n">
        <x:f>Model_Data!Y210</x:f>
        <x:v>208.84015984832814</x:v>
      </x:c>
      <x:c r="M210" s="48" t="n">
        <x:f>Model_Data!X210</x:f>
        <x:v>7.051899638170276</x:v>
      </x:c>
      <x:c r="N210" s="48" t="n">
        <x:f>-(Model_Data!AC210-Model_Data!F210)*Inputs!$C$12</x:f>
        <x:v>199.2075685905093</x:v>
      </x:c>
      <x:c r="O210" s="49"/>
      <x:c r="P210" s="48" t="n">
        <x:f>Model_Data!A210</x:f>
        <x:v>44</x:v>
      </x:c>
      <x:c r="Q210" s="48" t="n">
        <x:f>Model_Data!P210</x:f>
        <x:v>-373.1906961457753</x:v>
      </x:c>
      <x:c r="R210" s="48" t="n">
        <x:f>Model_Data!AM210</x:f>
        <x:v>-446.6345676146375</x:v>
      </x:c>
      <x:c r="S210" s="48" t="n">
        <x:f>Model_Data!Q210</x:f>
        <x:v>-56.034639060927226</x:v>
      </x:c>
      <x:c r="T210" s="48" t="n">
        <x:f>Model_Data!AN210</x:f>
        <x:v>-67.06224738958521</x:v>
      </x:c>
      <x:c r="U210" s="49"/>
      <x:c r="V210" s="48" t="n">
        <x:f>Model_Data!A210</x:f>
        <x:v>44</x:v>
      </x:c>
      <x:c r="W210" s="48" t="n">
        <x:f>Model_Data!B210-Inputs!$C$5</x:f>
        <x:v>2.1511111111111063</x:v>
      </x:c>
      <x:c r="X210" s="49"/>
      <x:c r="Y210" s="48" t="n">
        <x:f>Model_Data!A210</x:f>
        <x:v>44</x:v>
      </x:c>
      <x:c r="Z210" s="48" t="n">
        <x:f>0</x:f>
        <x:v>0</x:v>
      </x:c>
      <x:c r="AA210" s="48" t="n">
        <x:f>((SQRT((Inputs!$C$52+Inputs!$C$5)^2+Inputs!$C$52^2-2*(Inputs!$C$52+Inputs!$C$5)*Inputs!$C$52*COS(SQRT((Model_Data!A210)^2+Inputs!$C$6^2)/Inputs!$C$52))-Inputs!$C$5)*1000/Inputs!$C$12)</x:f>
        <x:v>2247.9198450390527</x:v>
      </x:c>
      <x:c r="AB210" s="48" t="n">
        <x:f>Model_Data!F210</x:f>
        <x:v>2238.4548463578362</x:v>
      </x:c>
    </x:row>
    <x:row r="211">
      <x:c r="A211" s="48" t="n">
        <x:f>Model_Data!A211</x:f>
        <x:v>44.5</x:v>
      </x:c>
      <x:c r="B211" s="48" t="n">
        <x:f>0</x:f>
        <x:v>0</x:v>
      </x:c>
      <x:c r="C211" s="48" t="n">
        <x:f>((SQRT((Inputs!$C$52+Inputs!$C$5)^2+Inputs!$C$52^2-2*(Inputs!$C$52+Inputs!$C$5)*Inputs!$C$52*COS(SQRT((Model_Data!A211)^2+Inputs!$C$6^2)/Inputs!$C$52))-Inputs!$C$5)*1000/Inputs!$C$12)</x:f>
        <x:v>2286.561243682292</x:v>
      </x:c>
      <x:c r="D211" s="48" t="n">
        <x:f>Model_Data!F211</x:f>
        <x:v>2276.7165565683313</x:v>
      </x:c>
      <x:c r="E211" s="48" t="n">
        <x:f>Model_Data!AC211</x:f>
        <x:v>2175.594024993667</x:v>
      </x:c>
      <x:c r="F211" s="49"/>
      <x:c r="G211" s="48" t="n">
        <x:f>Model_Data!A211</x:f>
        <x:v>44.5</x:v>
      </x:c>
      <x:c r="H211" s="48" t="n">
        <x:f>0</x:f>
        <x:v>0</x:v>
      </x:c>
      <x:c r="I211" s="48" t="n">
        <x:f>Model_Data!Y211</x:f>
        <x:v>178.96296340227542</x:v>
      </x:c>
      <x:c r="J211" s="48" t="n">
        <x:f>Model_Data!X211</x:f>
        <x:v>-3.283716108943903</x:v>
      </x:c>
      <x:c r="K211" s="48" t="n">
        <x:f>Model_Data!A211</x:f>
        <x:v>44.5</x:v>
      </x:c>
      <x:c r="L211" s="48" t="n">
        <x:f>Model_Data!Y211</x:f>
        <x:v>178.96296340227542</x:v>
      </x:c>
      <x:c r="M211" s="48" t="n">
        <x:f>Model_Data!X211</x:f>
        <x:v>-3.283716108943903</x:v>
      </x:c>
      <x:c r="N211" s="48" t="n">
        <x:f>-(Model_Data!AC211-Model_Data!F211)*Inputs!$C$12</x:f>
        <x:v>179.9981062029023</x:v>
      </x:c>
      <x:c r="O211" s="49"/>
      <x:c r="P211" s="48" t="n">
        <x:f>Model_Data!A211</x:f>
        <x:v>44.5</x:v>
      </x:c>
      <x:c r="Q211" s="48" t="n">
        <x:f>Model_Data!P211</x:f>
        <x:v>-377.3520686901975</x:v>
      </x:c>
      <x:c r="R211" s="48" t="n">
        <x:f>Model_Data!AM211</x:f>
        <x:v>-446.31989555336986</x:v>
      </x:c>
      <x:c r="S211" s="48" t="n">
        <x:f>Model_Data!Q211</x:f>
        <x:v>-56.65946977330293</x:v>
      </x:c>
      <x:c r="T211" s="48" t="n">
        <x:f>Model_Data!AN211</x:f>
        <x:v>-67.01499933233782</x:v>
      </x:c>
      <x:c r="U211" s="49"/>
      <x:c r="V211" s="48" t="n">
        <x:f>Model_Data!A211</x:f>
        <x:v>44.5</x:v>
      </x:c>
      <x:c r="W211" s="48" t="n">
        <x:f>Model_Data!B211-Inputs!$C$5</x:f>
        <x:v>2.200277777777785</x:v>
      </x:c>
      <x:c r="X211" s="49"/>
      <x:c r="Y211" s="48" t="n">
        <x:f>Model_Data!A211</x:f>
        <x:v>44.5</x:v>
      </x:c>
      <x:c r="Z211" s="48" t="n">
        <x:f>0</x:f>
        <x:v>0</x:v>
      </x:c>
      <x:c r="AA211" s="48" t="n">
        <x:f>((SQRT((Inputs!$C$52+Inputs!$C$5)^2+Inputs!$C$52^2-2*(Inputs!$C$52+Inputs!$C$5)*Inputs!$C$52*COS(SQRT((Model_Data!A211)^2+Inputs!$C$6^2)/Inputs!$C$52))-Inputs!$C$5)*1000/Inputs!$C$12)</x:f>
        <x:v>2286.561243682292</x:v>
      </x:c>
      <x:c r="AB211" s="48" t="n">
        <x:f>Model_Data!F211</x:f>
        <x:v>2276.7165565683313</x:v>
      </x:c>
    </x:row>
    <x:row r="212">
      <x:c r="A212" s="48" t="n">
        <x:f>Model_Data!A212</x:f>
        <x:v>45</x:v>
      </x:c>
      <x:c r="B212" s="48" t="n">
        <x:f>0</x:f>
        <x:v>0</x:v>
      </x:c>
      <x:c r="C212" s="48" t="n">
        <x:f>((SQRT((Inputs!$C$52+Inputs!$C$5)^2+Inputs!$C$52^2-2*(Inputs!$C$52+Inputs!$C$5)*Inputs!$C$52*COS(SQRT((Model_Data!A212)^2+Inputs!$C$6^2)/Inputs!$C$52))-Inputs!$C$5)*1000/Inputs!$C$12)</x:f>
        <x:v>2325.6324609706467</x:v>
      </x:c>
      <x:c r="D212" s="48" t="n">
        <x:f>Model_Data!F212</x:f>
        <x:v>2315.3965059322627</x:v>
      </x:c>
      <x:c r="E212" s="48" t="n">
        <x:f>Model_Data!AC212</x:f>
        <x:v>2221.0702225572986</x:v>
      </x:c>
      <x:c r="F212" s="49"/>
      <x:c r="G212" s="48" t="n">
        <x:f>Model_Data!A212</x:f>
        <x:v>45</x:v>
      </x:c>
      <x:c r="H212" s="48" t="n">
        <x:f>0</x:f>
        <x:v>0</x:v>
      </x:c>
      <x:c r="I212" s="48" t="n">
        <x:f>Model_Data!Y212</x:f>
        <x:v>165.26573251393552</x:v>
      </x:c>
      <x:c r="J212" s="48" t="n">
        <x:f>Model_Data!X212</x:f>
        <x:v>-4.746207968267804</x:v>
      </x:c>
      <x:c r="K212" s="48" t="n">
        <x:f>Model_Data!A212</x:f>
        <x:v>45</x:v>
      </x:c>
      <x:c r="L212" s="48" t="n">
        <x:f>Model_Data!Y212</x:f>
        <x:v>165.26573251393552</x:v>
      </x:c>
      <x:c r="M212" s="48" t="n">
        <x:f>Model_Data!X212</x:f>
        <x:v>-4.746207968267804</x:v>
      </x:c>
      <x:c r="N212" s="48" t="n">
        <x:f>-(Model_Data!AC212-Model_Data!F212)*Inputs!$C$12</x:f>
        <x:v>167.90078440743605</x:v>
      </x:c>
      <x:c r="O212" s="49"/>
      <x:c r="P212" s="48" t="n">
        <x:f>Model_Data!A212</x:f>
        <x:v>45</x:v>
      </x:c>
      <x:c r="Q212" s="48" t="n">
        <x:f>Model_Data!P212</x:f>
        <x:v>-381.5108193193737</x:v>
      </x:c>
      <x:c r="R212" s="48" t="n">
        <x:f>Model_Data!AM212</x:f>
        <x:v>-397.70995031030907</x:v>
      </x:c>
      <x:c r="S212" s="48" t="n">
        <x:f>Model_Data!Q212</x:f>
        <x:v>-57.28390680471077</x:v>
      </x:c>
      <x:c r="T212" s="48" t="n">
        <x:f>Model_Data!AN212</x:f>
        <x:v>-59.716208755301665</x:v>
      </x:c>
      <x:c r="U212" s="49"/>
      <x:c r="V212" s="48" t="n">
        <x:f>Model_Data!A212</x:f>
        <x:v>45</x:v>
      </x:c>
      <x:c r="W212" s="48" t="n">
        <x:f>Model_Data!B212-Inputs!$C$5</x:f>
        <x:v>2.25</x:v>
      </x:c>
      <x:c r="X212" s="49"/>
      <x:c r="Y212" s="48" t="n">
        <x:f>Model_Data!A212</x:f>
        <x:v>45</x:v>
      </x:c>
      <x:c r="Z212" s="48" t="n">
        <x:f>0</x:f>
        <x:v>0</x:v>
      </x:c>
      <x:c r="AA212" s="48" t="n">
        <x:f>((SQRT((Inputs!$C$52+Inputs!$C$5)^2+Inputs!$C$52^2-2*(Inputs!$C$52+Inputs!$C$5)*Inputs!$C$52*COS(SQRT((Model_Data!A212)^2+Inputs!$C$6^2)/Inputs!$C$52))-Inputs!$C$5)*1000/Inputs!$C$12)</x:f>
        <x:v>2325.6324609706467</x:v>
      </x:c>
      <x:c r="AB212" s="48" t="n">
        <x:f>Model_Data!F212</x:f>
        <x:v>2315.3965059322627</x:v>
      </x:c>
    </x:row>
    <x:row r="213">
      <x:c r="A213" s="48" t="n">
        <x:f>Model_Data!A213</x:f>
        <x:v>45.5</x:v>
      </x:c>
      <x:c r="B213" s="48" t="n">
        <x:f>0</x:f>
        <x:v>0</x:v>
      </x:c>
      <x:c r="C213" s="48" t="n">
        <x:f>((SQRT((Inputs!$C$52+Inputs!$C$5)^2+Inputs!$C$52^2-2*(Inputs!$C$52+Inputs!$C$5)*Inputs!$C$52*COS(SQRT((Model_Data!A213)^2+Inputs!$C$6^2)/Inputs!$C$52))-Inputs!$C$5)*1000/Inputs!$C$12)</x:f>
        <x:v>2365.133271037878</x:v>
      </x:c>
      <x:c r="D213" s="48" t="n">
        <x:f>Model_Data!F213</x:f>
        <x:v>2354.494231891164</x:v>
      </x:c>
      <x:c r="E213" s="48" t="n">
        <x:f>Model_Data!AC213</x:f>
        <x:v>2258.120799507168</x:v>
      </x:c>
      <x:c r="F213" s="49"/>
      <x:c r="G213" s="48" t="n">
        <x:f>Model_Data!A213</x:f>
        <x:v>45.5</x:v>
      </x:c>
      <x:c r="H213" s="48" t="n">
        <x:f>0</x:f>
        <x:v>0</x:v>
      </x:c>
      <x:c r="I213" s="48" t="n">
        <x:f>Model_Data!Y213</x:f>
        <x:v>168.78187987738474</x:v>
      </x:c>
      <x:c r="J213" s="48" t="n">
        <x:f>Model_Data!X213</x:f>
        <x:v>-4.954776418919145</x:v>
      </x:c>
      <x:c r="K213" s="48" t="n">
        <x:f>Model_Data!A213</x:f>
        <x:v>45.5</x:v>
      </x:c>
      <x:c r="L213" s="48" t="n">
        <x:f>Model_Data!Y213</x:f>
        <x:v>168.78187987738474</x:v>
      </x:c>
      <x:c r="M213" s="48" t="n">
        <x:f>Model_Data!X213</x:f>
        <x:v>-4.954776418919145</x:v>
      </x:c>
      <x:c r="N213" s="48" t="n">
        <x:f>-(Model_Data!AC213-Model_Data!F213)*Inputs!$C$12</x:f>
        <x:v>171.54470964351253</x:v>
      </x:c>
      <x:c r="O213" s="49"/>
      <x:c r="P213" s="48" t="n">
        <x:f>Model_Data!A213</x:f>
        <x:v>45.5</x:v>
      </x:c>
      <x:c r="Q213" s="48" t="n">
        <x:f>Model_Data!P213</x:f>
        <x:v>-385.6669224382131</x:v>
      </x:c>
      <x:c r="R213" s="48" t="n">
        <x:f>Model_Data!AM213</x:f>
        <x:v>-414.2659457460468</x:v>
      </x:c>
      <x:c r="S213" s="48" t="n">
        <x:f>Model_Data!Q213</x:f>
        <x:v>-57.90794631204401</x:v>
      </x:c>
      <x:c r="T213" s="48" t="n">
        <x:f>Model_Data!AN213</x:f>
        <x:v>-62.202093955862885</x:v>
      </x:c>
      <x:c r="U213" s="49"/>
      <x:c r="V213" s="48" t="n">
        <x:f>Model_Data!A213</x:f>
        <x:v>45.5</x:v>
      </x:c>
      <x:c r="W213" s="48" t="n">
        <x:f>Model_Data!B213-Inputs!$C$5</x:f>
        <x:v>2.300277777777751</x:v>
      </x:c>
      <x:c r="X213" s="49"/>
      <x:c r="Y213" s="48" t="n">
        <x:f>Model_Data!A213</x:f>
        <x:v>45.5</x:v>
      </x:c>
      <x:c r="Z213" s="48" t="n">
        <x:f>0</x:f>
        <x:v>0</x:v>
      </x:c>
      <x:c r="AA213" s="48" t="n">
        <x:f>((SQRT((Inputs!$C$52+Inputs!$C$5)^2+Inputs!$C$52^2-2*(Inputs!$C$52+Inputs!$C$5)*Inputs!$C$52*COS(SQRT((Model_Data!A213)^2+Inputs!$C$6^2)/Inputs!$C$52))-Inputs!$C$5)*1000/Inputs!$C$12)</x:f>
        <x:v>2365.133271037878</x:v>
      </x:c>
      <x:c r="AB213" s="48" t="n">
        <x:f>Model_Data!F213</x:f>
        <x:v>2354.494231891164</x:v>
      </x:c>
    </x:row>
    <x:row r="214">
      <x:c r="A214" s="48" t="n">
        <x:f>Model_Data!A214</x:f>
        <x:v>46</x:v>
      </x:c>
      <x:c r="B214" s="48" t="n">
        <x:f>0</x:f>
        <x:v>0</x:v>
      </x:c>
      <x:c r="C214" s="48" t="n">
        <x:f>((SQRT((Inputs!$C$52+Inputs!$C$5)^2+Inputs!$C$52^2-2*(Inputs!$C$52+Inputs!$C$5)*Inputs!$C$52*COS(SQRT((Model_Data!A214)^2+Inputs!$C$6^2)/Inputs!$C$52))-Inputs!$C$5)*1000/Inputs!$C$12)</x:f>
        <x:v>2405.063445691157</x:v>
      </x:c>
      <x:c r="D214" s="48" t="n">
        <x:f>Model_Data!F214</x:f>
        <x:v>2394.0092674001216</x:v>
      </x:c>
      <x:c r="E214" s="48" t="n">
        <x:f>Model_Data!AC214</x:f>
        <x:v>2312.3641104130807</x:v>
      </x:c>
      <x:c r="F214" s="49"/>
      <x:c r="G214" s="48" t="n">
        <x:f>Model_Data!A214</x:f>
        <x:v>46</x:v>
      </x:c>
      <x:c r="H214" s="48" t="n">
        <x:f>0</x:f>
        <x:v>0</x:v>
      </x:c>
      <x:c r="I214" s="48" t="n">
        <x:f>Model_Data!Y214</x:f>
        <x:v>147.2236511039814</x:v>
      </x:c>
      <x:c r="J214" s="48" t="n">
        <x:f>Model_Data!X214</x:f>
        <x:v>-0.04819256513620118</x:v>
      </x:c>
      <x:c r="K214" s="48" t="n">
        <x:f>Model_Data!A214</x:f>
        <x:v>46</x:v>
      </x:c>
      <x:c r="L214" s="48" t="n">
        <x:f>Model_Data!Y214</x:f>
        <x:v>147.2236511039814</x:v>
      </x:c>
      <x:c r="M214" s="48" t="n">
        <x:f>Model_Data!X214</x:f>
        <x:v>-0.04819256513620118</x:v>
      </x:c>
      <x:c r="N214" s="48" t="n">
        <x:f>-(Model_Data!AC214-Model_Data!F214)*Inputs!$C$12</x:f>
        <x:v>145.32837943693298</x:v>
      </x:c>
      <x:c r="O214" s="49"/>
      <x:c r="P214" s="48" t="n">
        <x:f>Model_Data!A214</x:f>
        <x:v>46</x:v>
      </x:c>
      <x:c r="Q214" s="48" t="n">
        <x:f>Model_Data!P214</x:f>
        <x:v>-389.8203525829558</x:v>
      </x:c>
      <x:c r="R214" s="48" t="n">
        <x:f>Model_Data!AM214</x:f>
        <x:v>-458.6307151440451</x:v>
      </x:c>
      <x:c r="S214" s="48" t="n">
        <x:f>Model_Data!Q214</x:f>
        <x:v>-58.531584471915295</x:v>
      </x:c>
      <x:c r="T214" s="48" t="n">
        <x:f>Model_Data!AN214</x:f>
        <x:v>-68.86347074234912</x:v>
      </x:c>
      <x:c r="U214" s="49"/>
      <x:c r="V214" s="48" t="n">
        <x:f>Model_Data!A214</x:f>
        <x:v>46</x:v>
      </x:c>
      <x:c r="W214" s="48" t="n">
        <x:f>Model_Data!B214-Inputs!$C$5</x:f>
        <x:v>2.351111111111095</x:v>
      </x:c>
      <x:c r="X214" s="49"/>
      <x:c r="Y214" s="48" t="n">
        <x:f>Model_Data!A214</x:f>
        <x:v>46</x:v>
      </x:c>
      <x:c r="Z214" s="48" t="n">
        <x:f>0</x:f>
        <x:v>0</x:v>
      </x:c>
      <x:c r="AA214" s="48" t="n">
        <x:f>((SQRT((Inputs!$C$52+Inputs!$C$5)^2+Inputs!$C$52^2-2*(Inputs!$C$52+Inputs!$C$5)*Inputs!$C$52*COS(SQRT((Model_Data!A214)^2+Inputs!$C$6^2)/Inputs!$C$52))-Inputs!$C$5)*1000/Inputs!$C$12)</x:f>
        <x:v>2405.063445691157</x:v>
      </x:c>
      <x:c r="AB214" s="48" t="n">
        <x:f>Model_Data!F214</x:f>
        <x:v>2394.0092674001216</x:v>
      </x:c>
    </x:row>
    <x:row r="215">
      <x:c r="A215" s="48" t="n">
        <x:f>Model_Data!A215</x:f>
        <x:v>46.5</x:v>
      </x:c>
      <x:c r="B215" s="48" t="n">
        <x:f>0</x:f>
        <x:v>0</x:v>
      </x:c>
      <x:c r="C215" s="48" t="n">
        <x:f>((SQRT((Inputs!$C$52+Inputs!$C$5)^2+Inputs!$C$52^2-2*(Inputs!$C$52+Inputs!$C$5)*Inputs!$C$52*COS(SQRT((Model_Data!A215)^2+Inputs!$C$6^2)/Inputs!$C$52))-Inputs!$C$5)*1000/Inputs!$C$12)</x:f>
        <x:v>2445.4227544159553</x:v>
      </x:c>
      <x:c r="D215" s="48" t="n">
        <x:f>Model_Data!F215</x:f>
        <x:v>2433.941140959773</x:v>
      </x:c>
      <x:c r="E215" s="48" t="n">
        <x:f>Model_Data!AC215</x:f>
        <x:v>2357.5887684713825</x:v>
      </x:c>
      <x:c r="F215" s="49"/>
      <x:c r="G215" s="48" t="n">
        <x:f>Model_Data!A215</x:f>
        <x:v>46.5</x:v>
      </x:c>
      <x:c r="H215" s="48" t="n">
        <x:f>0</x:f>
        <x:v>0</x:v>
      </x:c>
      <x:c r="I215" s="48" t="n">
        <x:f>Model_Data!Y215</x:f>
        <x:v>125.26409736726505</x:v>
      </x:c>
      <x:c r="J215" s="48" t="n">
        <x:f>Model_Data!X215</x:f>
        <x:v>-12.32376640540756</x:v>
      </x:c>
      <x:c r="K215" s="48" t="n">
        <x:f>Model_Data!A215</x:f>
        <x:v>46.5</x:v>
      </x:c>
      <x:c r="L215" s="48" t="n">
        <x:f>Model_Data!Y215</x:f>
        <x:v>125.26409736726505</x:v>
      </x:c>
      <x:c r="M215" s="48" t="n">
        <x:f>Model_Data!X215</x:f>
        <x:v>-12.32376640540756</x:v>
      </x:c>
      <x:c r="N215" s="48" t="n">
        <x:f>-(Model_Data!AC215-Model_Data!F215)*Inputs!$C$12</x:f>
        <x:v>135.90722302933474</x:v>
      </x:c>
      <x:c r="O215" s="49"/>
      <x:c r="P215" s="48" t="n">
        <x:f>Model_Data!A215</x:f>
        <x:v>46.5</x:v>
      </x:c>
      <x:c r="Q215" s="48" t="n">
        <x:f>Model_Data!P215</x:f>
        <x:v>-393.9710844109868</x:v>
      </x:c>
      <x:c r="R215" s="48" t="n">
        <x:f>Model_Data!AM215</x:f>
        <x:v>-438.4974537015296</x:v>
      </x:c>
      <x:c r="S215" s="48" t="n">
        <x:f>Model_Data!Q215</x:f>
        <x:v>-59.15481747912715</x:v>
      </x:c>
      <x:c r="T215" s="48" t="n">
        <x:f>Model_Data!AN215</x:f>
        <x:v>-65.84045851374319</x:v>
      </x:c>
      <x:c r="U215" s="49"/>
      <x:c r="V215" s="48" t="n">
        <x:f>Model_Data!A215</x:f>
        <x:v>46.5</x:v>
      </x:c>
      <x:c r="W215" s="48" t="n">
        <x:f>Model_Data!B215-Inputs!$C$5</x:f>
        <x:v>2.402499999999975</x:v>
      </x:c>
      <x:c r="X215" s="49"/>
      <x:c r="Y215" s="48" t="n">
        <x:f>Model_Data!A215</x:f>
        <x:v>46.5</x:v>
      </x:c>
      <x:c r="Z215" s="48" t="n">
        <x:f>0</x:f>
        <x:v>0</x:v>
      </x:c>
      <x:c r="AA215" s="48" t="n">
        <x:f>((SQRT((Inputs!$C$52+Inputs!$C$5)^2+Inputs!$C$52^2-2*(Inputs!$C$52+Inputs!$C$5)*Inputs!$C$52*COS(SQRT((Model_Data!A215)^2+Inputs!$C$6^2)/Inputs!$C$52))-Inputs!$C$5)*1000/Inputs!$C$12)</x:f>
        <x:v>2445.4227544159553</x:v>
      </x:c>
      <x:c r="AB215" s="48" t="n">
        <x:f>Model_Data!F215</x:f>
        <x:v>2433.941140959773</x:v>
      </x:c>
    </x:row>
    <x:row r="216">
      <x:c r="A216" s="48" t="n">
        <x:f>Model_Data!A216</x:f>
        <x:v>47</x:v>
      </x:c>
      <x:c r="B216" s="48" t="n">
        <x:f>0</x:f>
        <x:v>0</x:v>
      </x:c>
      <x:c r="C216" s="48" t="n">
        <x:f>((SQRT((Inputs!$C$52+Inputs!$C$5)^2+Inputs!$C$52^2-2*(Inputs!$C$52+Inputs!$C$5)*Inputs!$C$52*COS(SQRT((Model_Data!A216)^2+Inputs!$C$6^2)/Inputs!$C$52))-Inputs!$C$5)*1000/Inputs!$C$12)</x:f>
        <x:v>2486.2109643863873</x:v>
      </x:c>
      <x:c r="D216" s="48" t="n">
        <x:f>Model_Data!F216</x:f>
        <x:v>2474.289376626815</x:v>
      </x:c>
      <x:c r="E216" s="48" t="n">
        <x:f>Model_Data!AC216</x:f>
        <x:v>2411.4655156005692</x:v>
      </x:c>
      <x:c r="F216" s="49"/>
      <x:c r="G216" s="48" t="n">
        <x:f>Model_Data!A216</x:f>
        <x:v>47</x:v>
      </x:c>
      <x:c r="H216" s="48" t="n">
        <x:f>0</x:f>
        <x:v>0</x:v>
      </x:c>
      <x:c r="I216" s="48" t="n">
        <x:f>Model_Data!Y216</x:f>
        <x:v>119.07484471636309</x:v>
      </x:c>
      <x:c r="J216" s="48" t="n">
        <x:f>Model_Data!X216</x:f>
        <x:v>5.624733438492097</x:v>
      </x:c>
      <x:c r="K216" s="48" t="n">
        <x:f>Model_Data!A216</x:f>
        <x:v>47</x:v>
      </x:c>
      <x:c r="L216" s="48" t="n">
        <x:f>Model_Data!Y216</x:f>
        <x:v>119.07484471636309</x:v>
      </x:c>
      <x:c r="M216" s="48" t="n">
        <x:f>Model_Data!X216</x:f>
        <x:v>5.624733438492097</x:v>
      </x:c>
      <x:c r="N216" s="48" t="n">
        <x:f>-(Model_Data!AC216-Model_Data!F216)*Inputs!$C$12</x:f>
        <x:v>111.82647262671716</x:v>
      </x:c>
      <x:c r="O216" s="49"/>
      <x:c r="P216" s="48" t="n">
        <x:f>Model_Data!A216</x:f>
        <x:v>47</x:v>
      </x:c>
      <x:c r="Q216" s="48" t="n">
        <x:f>Model_Data!P216</x:f>
        <x:v>-398.1190926891031</x:v>
      </x:c>
      <x:c r="R216" s="48" t="n">
        <x:f>Model_Data!AM216</x:f>
        <x:v>-425.83713410422206</x:v>
      </x:c>
      <x:c r="S216" s="48" t="n">
        <x:f>Model_Data!Q216</x:f>
        <x:v>-59.77764154491039</x:v>
      </x:c>
      <x:c r="T216" s="48" t="n">
        <x:f>Model_Data!AN216</x:f>
        <x:v>-63.93950962525857</x:v>
      </x:c>
      <x:c r="U216" s="49"/>
      <x:c r="V216" s="48" t="n">
        <x:f>Model_Data!A216</x:f>
        <x:v>47</x:v>
      </x:c>
      <x:c r="W216" s="48" t="n">
        <x:f>Model_Data!B216-Inputs!$C$5</x:f>
        <x:v>2.454444444444448</x:v>
      </x:c>
      <x:c r="X216" s="49"/>
      <x:c r="Y216" s="48" t="n">
        <x:f>Model_Data!A216</x:f>
        <x:v>47</x:v>
      </x:c>
      <x:c r="Z216" s="48" t="n">
        <x:f>0</x:f>
        <x:v>0</x:v>
      </x:c>
      <x:c r="AA216" s="48" t="n">
        <x:f>((SQRT((Inputs!$C$52+Inputs!$C$5)^2+Inputs!$C$52^2-2*(Inputs!$C$52+Inputs!$C$5)*Inputs!$C$52*COS(SQRT((Model_Data!A216)^2+Inputs!$C$6^2)/Inputs!$C$52))-Inputs!$C$5)*1000/Inputs!$C$12)</x:f>
        <x:v>2486.2109643863873</x:v>
      </x:c>
      <x:c r="AB216" s="48" t="n">
        <x:f>Model_Data!F216</x:f>
        <x:v>2474.289376626815</x:v>
      </x:c>
    </x:row>
    <x:row r="217">
      <x:c r="A217" s="48" t="n">
        <x:f>Model_Data!A217</x:f>
        <x:v>47.5</x:v>
      </x:c>
      <x:c r="B217" s="48" t="n">
        <x:f>0</x:f>
        <x:v>0</x:v>
      </x:c>
      <x:c r="C217" s="48" t="n">
        <x:f>((SQRT((Inputs!$C$52+Inputs!$C$5)^2+Inputs!$C$52^2-2*(Inputs!$C$52+Inputs!$C$5)*Inputs!$C$52*COS(SQRT((Model_Data!A217)^2+Inputs!$C$6^2)/Inputs!$C$52))-Inputs!$C$5)*1000/Inputs!$C$12)</x:f>
        <x:v>2527.427840468437</x:v>
      </x:c>
      <x:c r="D217" s="48" t="n">
        <x:f>Model_Data!F217</x:f>
        <x:v>2515.0534940419116</x:v>
      </x:c>
      <x:c r="E217" s="48" t="n">
        <x:f>Model_Data!AC217</x:f>
        <x:v>2458.0119989601626</x:v>
      </x:c>
      <x:c r="F217" s="49"/>
      <x:c r="G217" s="48" t="n">
        <x:f>Model_Data!A217</x:f>
        <x:v>47.5</x:v>
      </x:c>
      <x:c r="H217" s="48" t="n">
        <x:f>0</x:f>
        <x:v>0</x:v>
      </x:c>
      <x:c r="I217" s="48" t="n">
        <x:f>Model_Data!Y217</x:f>
        <x:v>107.75271022723112</x:v>
      </x:c>
      <x:c r="J217" s="48" t="n">
        <x:f>Model_Data!X217</x:f>
        <x:v>4.725819493947935</x:v>
      </x:c>
      <x:c r="K217" s="48" t="n">
        <x:f>Model_Data!A217</x:f>
        <x:v>47.5</x:v>
      </x:c>
      <x:c r="L217" s="48" t="n">
        <x:f>Model_Data!Y217</x:f>
        <x:v>107.75271022723112</x:v>
      </x:c>
      <x:c r="M217" s="48" t="n">
        <x:f>Model_Data!X217</x:f>
        <x:v>4.725819493947935</x:v>
      </x:c>
      <x:c r="N217" s="48" t="n">
        <x:f>-(Model_Data!AC217-Model_Data!F217)*Inputs!$C$12</x:f>
        <x:v>101.53386124551315</x:v>
      </x:c>
      <x:c r="O217" s="49"/>
      <x:c r="P217" s="48" t="n">
        <x:f>Model_Data!A217</x:f>
        <x:v>47.5</x:v>
      </x:c>
      <x:c r="Q217" s="48" t="n">
        <x:f>Model_Data!P217</x:f>
        <x:v>-402.26435232361837</x:v>
      </x:c>
      <x:c r="R217" s="48" t="n">
        <x:f>Model_Data!AM217</x:f>
        <x:v>-393.00673283623837</x:v>
      </x:c>
      <x:c r="S217" s="48" t="n">
        <x:f>Model_Data!Q217</x:f>
        <x:v>-60.400052901444205</x:v>
      </x:c>
      <x:c r="T217" s="48" t="n">
        <x:f>Model_Data!AN217</x:f>
        <x:v>-59.01001994538114</x:v>
      </x:c>
      <x:c r="U217" s="49"/>
      <x:c r="V217" s="48" t="n">
        <x:f>Model_Data!A217</x:f>
        <x:v>47.5</x:v>
      </x:c>
      <x:c r="W217" s="48" t="n">
        <x:f>Model_Data!B217-Inputs!$C$5</x:f>
        <x:v>2.506944444444457</x:v>
      </x:c>
      <x:c r="X217" s="49"/>
      <x:c r="Y217" s="48" t="n">
        <x:f>Model_Data!A217</x:f>
        <x:v>47.5</x:v>
      </x:c>
      <x:c r="Z217" s="48" t="n">
        <x:f>0</x:f>
        <x:v>0</x:v>
      </x:c>
      <x:c r="AA217" s="48" t="n">
        <x:f>((SQRT((Inputs!$C$52+Inputs!$C$5)^2+Inputs!$C$52^2-2*(Inputs!$C$52+Inputs!$C$5)*Inputs!$C$52*COS(SQRT((Model_Data!A217)^2+Inputs!$C$6^2)/Inputs!$C$52))-Inputs!$C$5)*1000/Inputs!$C$12)</x:f>
        <x:v>2527.427840468437</x:v>
      </x:c>
      <x:c r="AB217" s="48" t="n">
        <x:f>Model_Data!F217</x:f>
        <x:v>2515.0534940419116</x:v>
      </x:c>
    </x:row>
    <x:row r="218">
      <x:c r="A218" s="48" t="n">
        <x:f>Model_Data!A218</x:f>
        <x:v>48</x:v>
      </x:c>
      <x:c r="B218" s="48" t="n">
        <x:f>0</x:f>
        <x:v>0</x:v>
      </x:c>
      <x:c r="C218" s="48" t="n">
        <x:f>((SQRT((Inputs!$C$52+Inputs!$C$5)^2+Inputs!$C$52^2-2*(Inputs!$C$52+Inputs!$C$5)*Inputs!$C$52*COS(SQRT((Model_Data!A218)^2+Inputs!$C$6^2)/Inputs!$C$52))-Inputs!$C$5)*1000/Inputs!$C$12)</x:f>
        <x:v>2569.073145227782</x:v>
      </x:c>
      <x:c r="D218" s="48" t="n">
        <x:f>Model_Data!F218</x:f>
        <x:v>2556.233008450807</x:v>
      </x:c>
      <x:c r="E218" s="48" t="n">
        <x:f>Model_Data!AC218</x:f>
        <x:v>2481.8992258812787</x:v>
      </x:c>
      <x:c r="F218" s="49"/>
      <x:c r="G218" s="48" t="n">
        <x:f>Model_Data!A218</x:f>
        <x:v>48</x:v>
      </x:c>
      <x:c r="H218" s="48" t="n">
        <x:f>0</x:f>
        <x:v>0</x:v>
      </x:c>
      <x:c r="I218" s="48" t="n">
        <x:f>Model_Data!Y218</x:f>
        <x:v>124.99715373468393</x:v>
      </x:c>
      <x:c r="J218" s="48" t="n">
        <x:f>Model_Data!X218</x:f>
        <x:v>-9.076914728959792</x:v>
      </x:c>
      <x:c r="K218" s="48" t="n">
        <x:f>Model_Data!A218</x:f>
        <x:v>48</x:v>
      </x:c>
      <x:c r="L218" s="48" t="n">
        <x:f>Model_Data!Y218</x:f>
        <x:v>124.99715373468393</x:v>
      </x:c>
      <x:c r="M218" s="48" t="n">
        <x:f>Model_Data!X218</x:f>
        <x:v>-9.076914728959792</x:v>
      </x:c>
      <x:c r="N218" s="48" t="n">
        <x:f>-(Model_Data!AC218-Model_Data!F218)*Inputs!$C$12</x:f>
        <x:v>132.31413297376068</x:v>
      </x:c>
      <x:c r="O218" s="49"/>
      <x:c r="P218" s="48" t="n">
        <x:f>Model_Data!A218</x:f>
        <x:v>48</x:v>
      </x:c>
      <x:c r="Q218" s="48" t="n">
        <x:f>Model_Data!P218</x:f>
        <x:v>-406.40683834462834</x:v>
      </x:c>
      <x:c r="R218" s="48" t="n">
        <x:f>Model_Data!AM218</x:f>
        <x:v>-396.2138094164402</x:v>
      </x:c>
      <x:c r="S218" s="48" t="n">
        <x:f>Model_Data!Q218</x:f>
        <x:v>-61.02204779949375</x:v>
      </x:c>
      <x:c r="T218" s="48" t="n">
        <x:f>Model_Data!AN218</x:f>
        <x:v>-59.491562975441475</x:v>
      </x:c>
      <x:c r="U218" s="49"/>
      <x:c r="V218" s="48" t="n">
        <x:f>Model_Data!A218</x:f>
        <x:v>48</x:v>
      </x:c>
      <x:c r="W218" s="48" t="n">
        <x:f>Model_Data!B218-Inputs!$C$5</x:f>
        <x:v>2.5600000000000023</x:v>
      </x:c>
      <x:c r="X218" s="49"/>
      <x:c r="Y218" s="48" t="n">
        <x:f>Model_Data!A218</x:f>
        <x:v>48</x:v>
      </x:c>
      <x:c r="Z218" s="48" t="n">
        <x:f>0</x:f>
        <x:v>0</x:v>
      </x:c>
      <x:c r="AA218" s="48" t="n">
        <x:f>((SQRT((Inputs!$C$52+Inputs!$C$5)^2+Inputs!$C$52^2-2*(Inputs!$C$52+Inputs!$C$5)*Inputs!$C$52*COS(SQRT((Model_Data!A218)^2+Inputs!$C$6^2)/Inputs!$C$52))-Inputs!$C$5)*1000/Inputs!$C$12)</x:f>
        <x:v>2569.073145227782</x:v>
      </x:c>
      <x:c r="AB218" s="48" t="n">
        <x:f>Model_Data!F218</x:f>
        <x:v>2556.233008450807</x:v>
      </x:c>
    </x:row>
    <x:row r="219">
      <x:c r="A219" s="48" t="n">
        <x:f>Model_Data!A219</x:f>
        <x:v>48.5</x:v>
      </x:c>
      <x:c r="B219" s="48" t="n">
        <x:f>0</x:f>
        <x:v>0</x:v>
      </x:c>
      <x:c r="C219" s="48" t="n">
        <x:f>((SQRT((Inputs!$C$52+Inputs!$C$5)^2+Inputs!$C$52^2-2*(Inputs!$C$52+Inputs!$C$5)*Inputs!$C$52*COS(SQRT((Model_Data!A219)^2+Inputs!$C$6^2)/Inputs!$C$52))-Inputs!$C$5)*1000/Inputs!$C$12)</x:f>
        <x:v>2611.146638936885</x:v>
      </x:c>
      <x:c r="D219" s="48" t="n">
        <x:f>Model_Data!F219</x:f>
        <x:v>2597.8274307266115</x:v>
      </x:c>
      <x:c r="E219" s="48" t="n">
        <x:f>Model_Data!AC219</x:f>
        <x:v>2533.405410159417</x:v>
      </x:c>
      <x:c r="F219" s="49"/>
      <x:c r="G219" s="48" t="n">
        <x:f>Model_Data!A219</x:f>
        <x:v>48.5</x:v>
      </x:c>
      <x:c r="H219" s="48" t="n">
        <x:f>0</x:f>
        <x:v>0</x:v>
      </x:c>
      <x:c r="I219" s="48" t="n">
        <x:f>Model_Data!Y219</x:f>
        <x:v>114.2648488799635</x:v>
      </x:c>
      <x:c r="J219" s="48" t="n">
        <x:f>Model_Data!X219</x:f>
        <x:v>-2.0408727900443155</x:v>
      </x:c>
      <x:c r="K219" s="48" t="n">
        <x:f>Model_Data!A219</x:f>
        <x:v>48.5</x:v>
      </x:c>
      <x:c r="L219" s="48" t="n">
        <x:f>Model_Data!Y219</x:f>
        <x:v>114.2648488799635</x:v>
      </x:c>
      <x:c r="M219" s="48" t="n">
        <x:f>Model_Data!X219</x:f>
        <x:v>-2.0408727900443155</x:v>
      </x:c>
      <x:c r="N219" s="48" t="n">
        <x:f>-(Model_Data!AC219-Model_Data!F219)*Inputs!$C$12</x:f>
        <x:v>114.67119660960626</x:v>
      </x:c>
      <x:c r="O219" s="49"/>
      <x:c r="P219" s="48" t="n">
        <x:f>Model_Data!A219</x:f>
        <x:v>48.5</x:v>
      </x:c>
      <x:c r="Q219" s="48" t="n">
        <x:f>Model_Data!P219</x:f>
        <x:v>-410.54652591110425</x:v>
      </x:c>
      <x:c r="R219" s="48" t="n">
        <x:f>Model_Data!AM219</x:f>
        <x:v>-435.0026550449911</x:v>
      </x:c>
      <x:c r="S219" s="48" t="n">
        <x:f>Model_Data!Q219</x:f>
        <x:v>-61.64362250917482</x:v>
      </x:c>
      <x:c r="T219" s="48" t="n">
        <x:f>Model_Data!AN219</x:f>
        <x:v>-65.31571397071939</x:v>
      </x:c>
      <x:c r="U219" s="49"/>
      <x:c r="V219" s="48" t="n">
        <x:f>Model_Data!A219</x:f>
        <x:v>48.5</x:v>
      </x:c>
      <x:c r="W219" s="48" t="n">
        <x:f>Model_Data!B219-Inputs!$C$5</x:f>
        <x:v>2.6136111111110836</x:v>
      </x:c>
      <x:c r="X219" s="49"/>
      <x:c r="Y219" s="48" t="n">
        <x:f>Model_Data!A219</x:f>
        <x:v>48.5</x:v>
      </x:c>
      <x:c r="Z219" s="48" t="n">
        <x:f>0</x:f>
        <x:v>0</x:v>
      </x:c>
      <x:c r="AA219" s="48" t="n">
        <x:f>((SQRT((Inputs!$C$52+Inputs!$C$5)^2+Inputs!$C$52^2-2*(Inputs!$C$52+Inputs!$C$5)*Inputs!$C$52*COS(SQRT((Model_Data!A219)^2+Inputs!$C$6^2)/Inputs!$C$52))-Inputs!$C$5)*1000/Inputs!$C$12)</x:f>
        <x:v>2611.146638936885</x:v>
      </x:c>
      <x:c r="AB219" s="48" t="n">
        <x:f>Model_Data!F219</x:f>
        <x:v>2597.8274307266115</x:v>
      </x:c>
    </x:row>
    <x:row r="220">
      <x:c r="A220" s="48" t="n">
        <x:f>Model_Data!A220</x:f>
        <x:v>49</x:v>
      </x:c>
      <x:c r="B220" s="48" t="n">
        <x:f>0</x:f>
        <x:v>0</x:v>
      </x:c>
      <x:c r="C220" s="48" t="n">
        <x:f>((SQRT((Inputs!$C$52+Inputs!$C$5)^2+Inputs!$C$52^2-2*(Inputs!$C$52+Inputs!$C$5)*Inputs!$C$52*COS(SQRT((Model_Data!A220)^2+Inputs!$C$6^2)/Inputs!$C$52))-Inputs!$C$5)*1000/Inputs!$C$12)</x:f>
        <x:v>2653.6480795811526</x:v>
      </x:c>
      <x:c r="D220" s="48" t="n">
        <x:f>Model_Data!F220</x:f>
        <x:v>2639.8362673927654</x:v>
      </x:c>
      <x:c r="E220" s="48" t="n">
        <x:f>Model_Data!AC220</x:f>
        <x:v>2585.04912675488</x:v>
      </x:c>
      <x:c r="F220" s="49"/>
      <x:c r="G220" s="48" t="n">
        <x:f>Model_Data!A220</x:f>
        <x:v>49</x:v>
      </x:c>
      <x:c r="H220" s="48" t="n">
        <x:f>0</x:f>
        <x:v>0</x:v>
      </x:c>
      <x:c r="I220" s="48" t="n">
        <x:f>Model_Data!Y220</x:f>
        <x:v>109.54402369059221</x:v>
      </x:c>
      <x:c r="J220" s="48" t="n">
        <x:f>Model_Data!X220</x:f>
        <x:v>10.43102720072224</x:v>
      </x:c>
      <x:c r="K220" s="48" t="n">
        <x:f>Model_Data!A220</x:f>
        <x:v>49</x:v>
      </x:c>
      <x:c r="L220" s="48" t="n">
        <x:f>Model_Data!Y220</x:f>
        <x:v>109.54402369059221</x:v>
      </x:c>
      <x:c r="M220" s="48" t="n">
        <x:f>Model_Data!X220</x:f>
        <x:v>10.43102720072224</x:v>
      </x:c>
      <x:c r="N220" s="48" t="n">
        <x:f>-(Model_Data!AC220-Model_Data!F220)*Inputs!$C$12</x:f>
        <x:v>97.52111033543599</x:v>
      </x:c>
      <x:c r="O220" s="49"/>
      <x:c r="P220" s="48" t="n">
        <x:f>Model_Data!A220</x:f>
        <x:v>49</x:v>
      </x:c>
      <x:c r="Q220" s="48" t="n">
        <x:f>Model_Data!P220</x:f>
        <x:v>-414.6833903003426</x:v>
      </x:c>
      <x:c r="R220" s="48" t="n">
        <x:f>Model_Data!AM220</x:f>
        <x:v>-412.3174071446556</x:v>
      </x:c>
      <x:c r="S220" s="48" t="n">
        <x:f>Model_Data!Q220</x:f>
        <x:v>-62.26477331836976</x:v>
      </x:c>
      <x:c r="T220" s="48" t="n">
        <x:f>Model_Data!AN220</x:f>
        <x:v>-61.90952059229063</x:v>
      </x:c>
      <x:c r="U220" s="49"/>
      <x:c r="V220" s="48" t="n">
        <x:f>Model_Data!A220</x:f>
        <x:v>49</x:v>
      </x:c>
      <x:c r="W220" s="48" t="n">
        <x:f>Model_Data!B220-Inputs!$C$5</x:f>
        <x:v>2.667777777777758</x:v>
      </x:c>
      <x:c r="X220" s="49"/>
      <x:c r="Y220" s="48" t="n">
        <x:f>Model_Data!A220</x:f>
        <x:v>49</x:v>
      </x:c>
      <x:c r="Z220" s="48" t="n">
        <x:f>0</x:f>
        <x:v>0</x:v>
      </x:c>
      <x:c r="AA220" s="48" t="n">
        <x:f>((SQRT((Inputs!$C$52+Inputs!$C$5)^2+Inputs!$C$52^2-2*(Inputs!$C$52+Inputs!$C$5)*Inputs!$C$52*COS(SQRT((Model_Data!A220)^2+Inputs!$C$6^2)/Inputs!$C$52))-Inputs!$C$5)*1000/Inputs!$C$12)</x:f>
        <x:v>2653.6480795811526</x:v>
      </x:c>
      <x:c r="AB220" s="48" t="n">
        <x:f>Model_Data!F220</x:f>
        <x:v>2639.8362673927654</x:v>
      </x:c>
    </x:row>
    <x:row r="221">
      <x:c r="A221" s="48" t="n">
        <x:f>Model_Data!A221</x:f>
        <x:v>49.5</x:v>
      </x:c>
      <x:c r="B221" s="48" t="n">
        <x:f>0</x:f>
        <x:v>0</x:v>
      </x:c>
      <x:c r="C221" s="48" t="n">
        <x:f>((SQRT((Inputs!$C$52+Inputs!$C$5)^2+Inputs!$C$52^2-2*(Inputs!$C$52+Inputs!$C$5)*Inputs!$C$52*COS(SQRT((Model_Data!A221)^2+Inputs!$C$6^2)/Inputs!$C$52))-Inputs!$C$5)*1000/Inputs!$C$12)</x:f>
        <x:v>2696.577222862134</x:v>
      </x:c>
      <x:c r="D221" s="48" t="n">
        <x:f>Model_Data!F221</x:f>
        <x:v>2682.2590206416526</x:v>
      </x:c>
      <x:c r="E221" s="48" t="n">
        <x:f>Model_Data!AC221</x:f>
        <x:v>2616.8775635060647</x:v>
      </x:c>
      <x:c r="F221" s="49"/>
      <x:c r="G221" s="48" t="n">
        <x:f>Model_Data!A221</x:f>
        <x:v>49.5</x:v>
      </x:c>
      <x:c r="H221" s="48" t="n">
        <x:f>0</x:f>
        <x:v>0</x:v>
      </x:c>
      <x:c r="I221" s="48" t="n">
        <x:f>Model_Data!Y221</x:f>
        <x:v>115.81874031490976</x:v>
      </x:c>
      <x:c r="J221" s="48" t="n">
        <x:f>Model_Data!X221</x:f>
        <x:v>-2.2699304094542576</x:v>
      </x:c>
      <x:c r="K221" s="48" t="n">
        <x:f>Model_Data!A221</x:f>
        <x:v>49.5</x:v>
      </x:c>
      <x:c r="L221" s="48" t="n">
        <x:f>Model_Data!Y221</x:f>
        <x:v>115.81874031490976</x:v>
      </x:c>
      <x:c r="M221" s="48" t="n">
        <x:f>Model_Data!X221</x:f>
        <x:v>-2.2699304094542576</x:v>
      </x:c>
      <x:c r="N221" s="48" t="n">
        <x:f>-(Model_Data!AC221-Model_Data!F221)*Inputs!$C$12</x:f>
        <x:v>116.37899370134643</x:v>
      </x:c>
      <x:c r="O221" s="49"/>
      <x:c r="P221" s="48" t="n">
        <x:f>Model_Data!A221</x:f>
        <x:v>49.5</x:v>
      </x:c>
      <x:c r="Q221" s="48" t="n">
        <x:f>Model_Data!P221</x:f>
        <x:v>-418.81740692178937</x:v>
      </x:c>
      <x:c r="R221" s="48" t="n">
        <x:f>Model_Data!AM221</x:f>
        <x:v>-409.9288273368984</x:v>
      </x:c>
      <x:c r="S221" s="48" t="n">
        <x:f>Model_Data!Q221</x:f>
        <x:v>-62.88549653480322</x:v>
      </x:c>
      <x:c r="T221" s="48" t="n">
        <x:f>Model_Data!AN221</x:f>
        <x:v>-61.550874975510276</x:v>
      </x:c>
      <x:c r="U221" s="49"/>
      <x:c r="V221" s="48" t="n">
        <x:f>Model_Data!A221</x:f>
        <x:v>49.5</x:v>
      </x:c>
      <x:c r="W221" s="48" t="n">
        <x:f>Model_Data!B221-Inputs!$C$5</x:f>
        <x:v>2.722500000000025</x:v>
      </x:c>
      <x:c r="X221" s="49"/>
      <x:c r="Y221" s="48" t="n">
        <x:f>Model_Data!A221</x:f>
        <x:v>49.5</x:v>
      </x:c>
      <x:c r="Z221" s="48" t="n">
        <x:f>0</x:f>
        <x:v>0</x:v>
      </x:c>
      <x:c r="AA221" s="48" t="n">
        <x:f>((SQRT((Inputs!$C$52+Inputs!$C$5)^2+Inputs!$C$52^2-2*(Inputs!$C$52+Inputs!$C$5)*Inputs!$C$52*COS(SQRT((Model_Data!A221)^2+Inputs!$C$6^2)/Inputs!$C$52))-Inputs!$C$5)*1000/Inputs!$C$12)</x:f>
        <x:v>2696.577222862134</x:v>
      </x:c>
      <x:c r="AB221" s="48" t="n">
        <x:f>Model_Data!F221</x:f>
        <x:v>2682.2590206416526</x:v>
      </x:c>
    </x:row>
    <x:row r="222">
      <x:c r="A222" s="48" t="n">
        <x:f>Model_Data!A222</x:f>
        <x:v>50</x:v>
      </x:c>
      <x:c r="B222" s="48" t="n">
        <x:f>0</x:f>
        <x:v>0</x:v>
      </x:c>
      <x:c r="C222" s="48" t="n">
        <x:f>((SQRT((Inputs!$C$52+Inputs!$C$5)^2+Inputs!$C$52^2-2*(Inputs!$C$52+Inputs!$C$5)*Inputs!$C$52*COS(SQRT((Model_Data!A222)^2+Inputs!$C$6^2)/Inputs!$C$52))-Inputs!$C$5)*1000/Inputs!$C$12)</x:f>
        <x:v>2739.9338222122688</x:v>
      </x:c>
      <x:c r="D222" s="48" t="n">
        <x:f>Model_Data!F222</x:f>
        <x:v>2725.0951883624866</x:v>
      </x:c>
      <x:c r="E222" s="48" t="n">
        <x:f>Model_Data!AC222</x:f>
        <x:v>2665.918271846108</x:v>
      </x:c>
      <x:c r="F222" s="49"/>
      <x:c r="G222" s="48" t="n">
        <x:f>Model_Data!A222</x:f>
        <x:v>50</x:v>
      </x:c>
      <x:c r="H222" s="48" t="n">
        <x:f>0</x:f>
        <x:v>0</x:v>
      </x:c>
      <x:c r="I222" s="48" t="n">
        <x:f>Model_Data!Y222</x:f>
        <x:v>115.23525161719914</x:v>
      </x:c>
      <x:c r="J222" s="48" t="n">
        <x:f>Model_Data!X222</x:f>
        <x:v>8.17258837755962</x:v>
      </x:c>
      <x:c r="K222" s="48" t="n">
        <x:f>Model_Data!A222</x:f>
        <x:v>50</x:v>
      </x:c>
      <x:c r="L222" s="48" t="n">
        <x:f>Model_Data!Y222</x:f>
        <x:v>115.23525161719914</x:v>
      </x:c>
      <x:c r="M222" s="48" t="n">
        <x:f>Model_Data!X222</x:f>
        <x:v>8.17258837755962</x:v>
      </x:c>
      <x:c r="N222" s="48" t="n">
        <x:f>-(Model_Data!AC222-Model_Data!F222)*Inputs!$C$12</x:f>
        <x:v>105.33491139915408</x:v>
      </x:c>
      <x:c r="O222" s="49"/>
      <x:c r="P222" s="48" t="n">
        <x:f>Model_Data!A222</x:f>
        <x:v>50</x:v>
      </x:c>
      <x:c r="Q222" s="48" t="n">
        <x:f>Model_Data!P222</x:f>
        <x:v>-422.9485513214968</x:v>
      </x:c>
      <x:c r="R222" s="48" t="n">
        <x:f>Model_Data!AM222</x:f>
        <x:v>-389.68272555466683</x:v>
      </x:c>
      <x:c r="S222" s="48" t="n">
        <x:f>Model_Data!Q222</x:f>
        <x:v>-63.50578848671123</x:v>
      </x:c>
      <x:c r="T222" s="48" t="n">
        <x:f>Model_Data!AN222</x:f>
        <x:v>-58.51091975295298</x:v>
      </x:c>
      <x:c r="U222" s="49"/>
      <x:c r="V222" s="48" t="n">
        <x:f>Model_Data!A222</x:f>
        <x:v>50</x:v>
      </x:c>
      <x:c r="W222" s="48" t="n">
        <x:f>Model_Data!B222-Inputs!$C$5</x:f>
        <x:v>2.7777777777777715</x:v>
      </x:c>
      <x:c r="X222" s="49"/>
      <x:c r="Y222" s="48" t="n">
        <x:f>Model_Data!A222</x:f>
        <x:v>50</x:v>
      </x:c>
      <x:c r="Z222" s="48" t="n">
        <x:f>0</x:f>
        <x:v>0</x:v>
      </x:c>
      <x:c r="AA222" s="48" t="n">
        <x:f>((SQRT((Inputs!$C$52+Inputs!$C$5)^2+Inputs!$C$52^2-2*(Inputs!$C$52+Inputs!$C$5)*Inputs!$C$52*COS(SQRT((Model_Data!A222)^2+Inputs!$C$6^2)/Inputs!$C$52))-Inputs!$C$5)*1000/Inputs!$C$12)</x:f>
        <x:v>2739.9338222122688</x:v>
      </x:c>
      <x:c r="AB222" s="48" t="n">
        <x:f>Model_Data!F222</x:f>
        <x:v>2725.0951883624866</x:v>
      </x:c>
    </x:row>
    <x:row r="223">
      <x:c r="A223" s="48" t="n">
        <x:f>Model_Data!A223</x:f>
        <x:v>50.5</x:v>
      </x:c>
      <x:c r="B223" s="48" t="n">
        <x:f>0</x:f>
        <x:v>0</x:v>
      </x:c>
      <x:c r="C223" s="48" t="n">
        <x:f>((SQRT((Inputs!$C$52+Inputs!$C$5)^2+Inputs!$C$52^2-2*(Inputs!$C$52+Inputs!$C$5)*Inputs!$C$52*COS(SQRT((Model_Data!A223)^2+Inputs!$C$6^2)/Inputs!$C$52))-Inputs!$C$5)*1000/Inputs!$C$12)</x:f>
        <x:v>2783.717628794319</x:v>
      </x:c>
      <x:c r="D223" s="48" t="n">
        <x:f>Model_Data!F223</x:f>
        <x:v>2768.3442641612314</x:v>
      </x:c>
      <x:c r="E223" s="48" t="n">
        <x:f>Model_Data!AC223</x:f>
        <x:v>2696.5887627519282</x:v>
      </x:c>
      <x:c r="F223" s="49"/>
      <x:c r="G223" s="48" t="n">
        <x:f>Model_Data!A223</x:f>
        <x:v>50.5</x:v>
      </x:c>
      <x:c r="H223" s="48" t="n">
        <x:f>0</x:f>
        <x:v>0</x:v>
      </x:c>
      <x:c r="I223" s="48" t="n">
        <x:f>Model_Data!Y223</x:f>
        <x:v>136.98620076238512</x:v>
      </x:c>
      <x:c r="J223" s="48" t="n">
        <x:f>Model_Data!X223</x:f>
        <x:v>7.175411887622014</x:v>
      </x:c>
      <x:c r="K223" s="48" t="n">
        <x:f>Model_Data!A223</x:f>
        <x:v>50.5</x:v>
      </x:c>
      <x:c r="L223" s="48" t="n">
        <x:f>Model_Data!Y223</x:f>
        <x:v>136.98620076238512</x:v>
      </x:c>
      <x:c r="M223" s="48" t="n">
        <x:f>Model_Data!X223</x:f>
        <x:v>7.175411887622014</x:v>
      </x:c>
      <x:c r="N223" s="48" t="n">
        <x:f>-(Model_Data!AC223-Model_Data!F223)*Inputs!$C$12</x:f>
        <x:v>127.72479250855966</x:v>
      </x:c>
      <x:c r="O223" s="49"/>
      <x:c r="P223" s="48" t="n">
        <x:f>Model_Data!A223</x:f>
        <x:v>50.5</x:v>
      </x:c>
      <x:c r="Q223" s="48" t="n">
        <x:f>Model_Data!P223</x:f>
        <x:v>-427.0767991610228</x:v>
      </x:c>
      <x:c r="R223" s="48" t="n">
        <x:f>Model_Data!AM223</x:f>
        <x:v>-392.7478406424598</x:v>
      </x:c>
      <x:c r="S223" s="48" t="n">
        <x:f>Model_Data!Q223</x:f>
        <x:v>-64.1256455196731</x:v>
      </x:c>
      <x:c r="T223" s="48" t="n">
        <x:f>Model_Data!AN223</x:f>
        <x:v>-58.971147243612585</x:v>
      </x:c>
      <x:c r="U223" s="49"/>
      <x:c r="V223" s="48" t="n">
        <x:f>Model_Data!A223</x:f>
        <x:v>50.5</x:v>
      </x:c>
      <x:c r="W223" s="48" t="n">
        <x:f>Model_Data!B223-Inputs!$C$5</x:f>
        <x:v>2.833611111111111</x:v>
      </x:c>
      <x:c r="X223" s="49"/>
      <x:c r="Y223" s="48" t="n">
        <x:f>Model_Data!A223</x:f>
        <x:v>50.5</x:v>
      </x:c>
      <x:c r="Z223" s="48" t="n">
        <x:f>0</x:f>
        <x:v>0</x:v>
      </x:c>
      <x:c r="AA223" s="48" t="n">
        <x:f>((SQRT((Inputs!$C$52+Inputs!$C$5)^2+Inputs!$C$52^2-2*(Inputs!$C$52+Inputs!$C$5)*Inputs!$C$52*COS(SQRT((Model_Data!A223)^2+Inputs!$C$6^2)/Inputs!$C$52))-Inputs!$C$5)*1000/Inputs!$C$12)</x:f>
        <x:v>2783.717628794319</x:v>
      </x:c>
      <x:c r="AB223" s="48" t="n">
        <x:f>Model_Data!F223</x:f>
        <x:v>2768.3442641612314</x:v>
      </x:c>
    </x:row>
    <x:row r="224">
      <x:c r="A224" s="48" t="n">
        <x:f>Model_Data!A224</x:f>
        <x:v>51</x:v>
      </x:c>
      <x:c r="B224" s="48" t="n">
        <x:f>0</x:f>
        <x:v>0</x:v>
      </x:c>
      <x:c r="C224" s="48" t="n">
        <x:f>((SQRT((Inputs!$C$52+Inputs!$C$5)^2+Inputs!$C$52^2-2*(Inputs!$C$52+Inputs!$C$5)*Inputs!$C$52*COS(SQRT((Model_Data!A224)^2+Inputs!$C$6^2)/Inputs!$C$52))-Inputs!$C$5)*1000/Inputs!$C$12)</x:f>
        <x:v>2827.928391510338</x:v>
      </x:c>
      <x:c r="D224" s="48" t="n">
        <x:f>Model_Data!F224</x:f>
        <x:v>2812.005737381264</x:v>
      </x:c>
      <x:c r="E224" s="48" t="n">
        <x:f>Model_Data!AC224</x:f>
        <x:v>2742.6586243969336</x:v>
      </x:c>
      <x:c r="F224" s="49"/>
      <x:c r="G224" s="48" t="n">
        <x:f>Model_Data!A224</x:f>
        <x:v>51</x:v>
      </x:c>
      <x:c r="H224" s="48" t="n">
        <x:f>0</x:f>
        <x:v>0</x:v>
      </x:c>
      <x:c r="I224" s="48" t="n">
        <x:f>Model_Data!Y224</x:f>
        <x:v>137.08289632779307</x:v>
      </x:c>
      <x:c r="J224" s="48" t="n">
        <x:f>Model_Data!X224</x:f>
        <x:v>11.525237738664625</x:v>
      </x:c>
      <x:c r="K224" s="48" t="n">
        <x:f>Model_Data!A224</x:f>
        <x:v>51</x:v>
      </x:c>
      <x:c r="L224" s="48" t="n">
        <x:f>Model_Data!Y224</x:f>
        <x:v>137.08289632779307</x:v>
      </x:c>
      <x:c r="M224" s="48" t="n">
        <x:f>Model_Data!X224</x:f>
        <x:v>11.525237738664625</x:v>
      </x:c>
      <x:c r="N224" s="48" t="n">
        <x:f>-(Model_Data!AC224-Model_Data!F224)*Inputs!$C$12</x:f>
        <x:v>123.43786111210844</x:v>
      </x:c>
      <x:c r="O224" s="49"/>
      <x:c r="P224" s="48" t="n">
        <x:f>Model_Data!A224</x:f>
        <x:v>51</x:v>
      </x:c>
      <x:c r="Q224" s="48" t="n">
        <x:f>Model_Data!P224</x:f>
        <x:v>-431.2021262460803</x:v>
      </x:c>
      <x:c r="R224" s="48" t="n">
        <x:f>Model_Data!AM224</x:f>
        <x:v>-395.66337661017315</x:v>
      </x:c>
      <x:c r="S224" s="48" t="n">
        <x:f>Model_Data!Q224</x:f>
        <x:v>-64.74506400091296</x:v>
      </x:c>
      <x:c r="T224" s="48" t="n">
        <x:f>Model_Data!AN224</x:f>
        <x:v>-59.40891540693291</x:v>
      </x:c>
      <x:c r="U224" s="49"/>
      <x:c r="V224" s="48" t="n">
        <x:f>Model_Data!A224</x:f>
        <x:v>51</x:v>
      </x:c>
      <x:c r="W224" s="48" t="n">
        <x:f>Model_Data!B224-Inputs!$C$5</x:f>
        <x:v>2.8899999999999864</x:v>
      </x:c>
      <x:c r="X224" s="49"/>
      <x:c r="Y224" s="48" t="n">
        <x:f>Model_Data!A224</x:f>
        <x:v>51</x:v>
      </x:c>
      <x:c r="Z224" s="48" t="n">
        <x:f>0</x:f>
        <x:v>0</x:v>
      </x:c>
      <x:c r="AA224" s="48" t="n">
        <x:f>((SQRT((Inputs!$C$52+Inputs!$C$5)^2+Inputs!$C$52^2-2*(Inputs!$C$52+Inputs!$C$5)*Inputs!$C$52*COS(SQRT((Model_Data!A224)^2+Inputs!$C$6^2)/Inputs!$C$52))-Inputs!$C$5)*1000/Inputs!$C$12)</x:f>
        <x:v>2827.928391510338</x:v>
      </x:c>
      <x:c r="AB224" s="48" t="n">
        <x:f>Model_Data!F224</x:f>
        <x:v>2812.005737381264</x:v>
      </x:c>
    </x:row>
    <x:row r="225">
      <x:c r="A225" s="48" t="n">
        <x:f>Model_Data!A225</x:f>
        <x:v>51.5</x:v>
      </x:c>
      <x:c r="B225" s="48" t="n">
        <x:f>0</x:f>
        <x:v>0</x:v>
      </x:c>
      <x:c r="C225" s="48" t="n">
        <x:f>((SQRT((Inputs!$C$52+Inputs!$C$5)^2+Inputs!$C$52^2-2*(Inputs!$C$52+Inputs!$C$5)*Inputs!$C$52*COS(SQRT((Model_Data!A225)^2+Inputs!$C$6^2)/Inputs!$C$52))-Inputs!$C$5)*1000/Inputs!$C$12)</x:f>
        <x:v>2872.5658570103246</x:v>
      </x:c>
      <x:c r="D225" s="48" t="n">
        <x:f>Model_Data!F225</x:f>
        <x:v>2856.0790931333977</x:v>
      </x:c>
      <x:c r="E225" s="48" t="n">
        <x:f>Model_Data!AC225</x:f>
        <x:v>2765.2572563634326</x:v>
      </x:c>
      <x:c r="F225" s="49"/>
      <x:c r="G225" s="48" t="n">
        <x:f>Model_Data!A225</x:f>
        <x:v>51.5</x:v>
      </x:c>
      <x:c r="H225" s="48" t="n">
        <x:f>0</x:f>
        <x:v>0</x:v>
      </x:c>
      <x:c r="I225" s="48" t="n">
        <x:f>Model_Data!Y225</x:f>
        <x:v>159.61831316527434</x:v>
      </x:c>
      <x:c r="J225" s="48" t="n">
        <x:f>Model_Data!X225</x:f>
        <x:v>-4.550946531934956</x:v>
      </x:c>
      <x:c r="K225" s="48" t="n">
        <x:f>Model_Data!A225</x:f>
        <x:v>51.5</x:v>
      </x:c>
      <x:c r="L225" s="48" t="n">
        <x:f>Model_Data!Y225</x:f>
        <x:v>159.61831316527434</x:v>
      </x:c>
      <x:c r="M225" s="48" t="n">
        <x:f>Model_Data!X225</x:f>
        <x:v>-4.550946531934956</x:v>
      </x:c>
      <x:c r="N225" s="48" t="n">
        <x:f>-(Model_Data!AC225-Model_Data!F225)*Inputs!$C$12</x:f>
        <x:v>161.6628694505379</x:v>
      </x:c>
      <x:c r="O225" s="49"/>
      <x:c r="P225" s="48" t="n">
        <x:f>Model_Data!A225</x:f>
        <x:v>51.5</x:v>
      </x:c>
      <x:c r="Q225" s="48" t="n">
        <x:f>Model_Data!P225</x:f>
        <x:v>-435.32450851025715</x:v>
      </x:c>
      <x:c r="R225" s="48" t="n">
        <x:f>Model_Data!AM225</x:f>
        <x:v>-388.336184705895</x:v>
      </x:c>
      <x:c r="S225" s="48" t="n">
        <x:f>Model_Data!Q225</x:f>
        <x:v>-65.36404031685544</x:v>
      </x:c>
      <x:c r="T225" s="48" t="n">
        <x:f>Model_Data!AN225</x:f>
        <x:v>-58.308736442326584</x:v>
      </x:c>
      <x:c r="U225" s="49"/>
      <x:c r="V225" s="48" t="n">
        <x:f>Model_Data!A225</x:f>
        <x:v>51.5</x:v>
      </x:c>
      <x:c r="W225" s="48" t="n">
        <x:f>Model_Data!B225-Inputs!$C$5</x:f>
        <x:v>2.946944444444455</x:v>
      </x:c>
      <x:c r="X225" s="49"/>
      <x:c r="Y225" s="48" t="n">
        <x:f>Model_Data!A225</x:f>
        <x:v>51.5</x:v>
      </x:c>
      <x:c r="Z225" s="48" t="n">
        <x:f>0</x:f>
        <x:v>0</x:v>
      </x:c>
      <x:c r="AA225" s="48" t="n">
        <x:f>((SQRT((Inputs!$C$52+Inputs!$C$5)^2+Inputs!$C$52^2-2*(Inputs!$C$52+Inputs!$C$5)*Inputs!$C$52*COS(SQRT((Model_Data!A225)^2+Inputs!$C$6^2)/Inputs!$C$52))-Inputs!$C$5)*1000/Inputs!$C$12)</x:f>
        <x:v>2872.5658570103246</x:v>
      </x:c>
      <x:c r="AB225" s="48" t="n">
        <x:f>Model_Data!F225</x:f>
        <x:v>2856.0790931333977</x:v>
      </x:c>
    </x:row>
    <x:row r="226">
      <x:c r="A226" s="48" t="n">
        <x:f>Model_Data!A226</x:f>
        <x:v>52</x:v>
      </x:c>
      <x:c r="B226" s="48" t="n">
        <x:f>0</x:f>
        <x:v>0</x:v>
      </x:c>
      <x:c r="C226" s="48" t="n">
        <x:f>((SQRT((Inputs!$C$52+Inputs!$C$5)^2+Inputs!$C$52^2-2*(Inputs!$C$52+Inputs!$C$5)*Inputs!$C$52*COS(SQRT((Model_Data!A226)^2+Inputs!$C$6^2)/Inputs!$C$52))-Inputs!$C$5)*1000/Inputs!$C$12)</x:f>
        <x:v>2917.629769696665</x:v>
      </x:c>
      <x:c r="D226" s="48" t="n">
        <x:f>Model_Data!F226</x:f>
        <x:v>2900.5638123107237</x:v>
      </x:c>
      <x:c r="E226" s="48" t="n">
        <x:f>Model_Data!AC226</x:f>
        <x:v>2803.832491945465</x:v>
      </x:c>
      <x:c r="F226" s="49"/>
      <x:c r="G226" s="48" t="n">
        <x:f>Model_Data!A226</x:f>
        <x:v>52</x:v>
      </x:c>
      <x:c r="H226" s="48" t="n">
        <x:f>0</x:f>
        <x:v>0</x:v>
      </x:c>
      <x:c r="I226" s="48" t="n">
        <x:f>Model_Data!Y226</x:f>
        <x:v>166.9931224443313</x:v>
      </x:c>
      <x:c r="J226" s="48" t="n">
        <x:f>Model_Data!X226</x:f>
        <x:v>-7.85094902162108</x:v>
      </x:c>
      <x:c r="K226" s="48" t="n">
        <x:f>Model_Data!A226</x:f>
        <x:v>52</x:v>
      </x:c>
      <x:c r="L226" s="48" t="n">
        <x:f>Model_Data!Y226</x:f>
        <x:v>166.9931224443313</x:v>
      </x:c>
      <x:c r="M226" s="48" t="n">
        <x:f>Model_Data!X226</x:f>
        <x:v>-7.85094902162108</x:v>
      </x:c>
      <x:c r="N226" s="48" t="n">
        <x:f>-(Model_Data!AC226-Model_Data!F226)*Inputs!$C$12</x:f>
        <x:v>172.18175025016075</x:v>
      </x:c>
      <x:c r="O226" s="49"/>
      <x:c r="P226" s="48" t="n">
        <x:f>Model_Data!A226</x:f>
        <x:v>52</x:v>
      </x:c>
      <x:c r="Q226" s="48" t="n">
        <x:f>Model_Data!P226</x:f>
        <x:v>-439.4439220161985</x:v>
      </x:c>
      <x:c r="R226" s="48" t="n">
        <x:f>Model_Data!AM226</x:f>
        <x:v>-432.5621530304488</x:v>
      </x:c>
      <x:c r="S226" s="48" t="n">
        <x:f>Model_Data!Q226</x:f>
        <x:v>-65.98257087330308</x:v>
      </x:c>
      <x:c r="T226" s="48" t="n">
        <x:f>Model_Data!AN226</x:f>
        <x:v>-64.94927222679412</x:v>
      </x:c>
      <x:c r="U226" s="49"/>
      <x:c r="V226" s="48" t="n">
        <x:f>Model_Data!A226</x:f>
        <x:v>52</x:v>
      </x:c>
      <x:c r="W226" s="48" t="n">
        <x:f>Model_Data!B226-Inputs!$C$5</x:f>
        <x:v>3.0044444444444594</x:v>
      </x:c>
      <x:c r="X226" s="49"/>
      <x:c r="Y226" s="48" t="n">
        <x:f>Model_Data!A226</x:f>
        <x:v>52</x:v>
      </x:c>
      <x:c r="Z226" s="48" t="n">
        <x:f>0</x:f>
        <x:v>0</x:v>
      </x:c>
      <x:c r="AA226" s="48" t="n">
        <x:f>((SQRT((Inputs!$C$52+Inputs!$C$5)^2+Inputs!$C$52^2-2*(Inputs!$C$52+Inputs!$C$5)*Inputs!$C$52*COS(SQRT((Model_Data!A226)^2+Inputs!$C$6^2)/Inputs!$C$52))-Inputs!$C$5)*1000/Inputs!$C$12)</x:f>
        <x:v>2917.629769696665</x:v>
      </x:c>
      <x:c r="AB226" s="48" t="n">
        <x:f>Model_Data!F226</x:f>
        <x:v>2900.5638123107237</x:v>
      </x:c>
    </x:row>
    <x:row r="227">
      <x:c r="A227" s="48" t="n">
        <x:f>Model_Data!A227</x:f>
        <x:v>52.5</x:v>
      </x:c>
      <x:c r="B227" s="48" t="n">
        <x:f>0</x:f>
        <x:v>0</x:v>
      </x:c>
      <x:c r="C227" s="48" t="n">
        <x:f>((SQRT((Inputs!$C$52+Inputs!$C$5)^2+Inputs!$C$52^2-2*(Inputs!$C$52+Inputs!$C$5)*Inputs!$C$52*COS(SQRT((Model_Data!A227)^2+Inputs!$C$6^2)/Inputs!$C$52))-Inputs!$C$5)*1000/Inputs!$C$12)</x:f>
        <x:v>2963.1198717330712</x:v>
      </x:c>
      <x:c r="D227" s="48" t="n">
        <x:f>Model_Data!F227</x:f>
        <x:v>2945.459371619116</x:v>
      </x:c>
      <x:c r="E227" s="48" t="n">
        <x:f>Model_Data!AC227</x:f>
        <x:v>2858.4792134152935</x:v>
      </x:c>
      <x:c r="F227" s="49"/>
      <x:c r="G227" s="48" t="n">
        <x:f>Model_Data!A227</x:f>
        <x:v>52.5</x:v>
      </x:c>
      <x:c r="H227" s="48" t="n">
        <x:f>0</x:f>
        <x:v>0</x:v>
      </x:c>
      <x:c r="I227" s="48" t="n">
        <x:f>Model_Data!Y227</x:f>
        <x:v>164.06842387185546</x:v>
      </x:c>
      <x:c r="J227" s="48" t="n">
        <x:f>Model_Data!X227</x:f>
        <x:v>6.588346931916092</x:v>
      </x:c>
      <x:c r="K227" s="48" t="n">
        <x:f>Model_Data!A227</x:f>
        <x:v>52.5</x:v>
      </x:c>
      <x:c r="L227" s="48" t="n">
        <x:f>Model_Data!Y227</x:f>
        <x:v>164.06842387185546</x:v>
      </x:c>
      <x:c r="M227" s="48" t="n">
        <x:f>Model_Data!X227</x:f>
        <x:v>6.588346931916092</x:v>
      </x:c>
      <x:c r="N227" s="48" t="n">
        <x:f>-(Model_Data!AC227-Model_Data!F227)*Inputs!$C$12</x:f>
        <x:v>154.82468160280425</x:v>
      </x:c>
      <x:c r="O227" s="49"/>
      <x:c r="P227" s="48" t="n">
        <x:f>Model_Data!A227</x:f>
        <x:v>52.5</x:v>
      </x:c>
      <x:c r="Q227" s="48" t="n">
        <x:f>Model_Data!P227</x:f>
        <x:v>-443.56034297125007</x:v>
      </x:c>
      <x:c r="R227" s="48" t="n">
        <x:f>Model_Data!AM227</x:f>
        <x:v>-417.6767255714367</x:v>
      </x:c>
      <x:c r="S227" s="48" t="n">
        <x:f>Model_Data!Q227</x:f>
        <x:v>-66.6006520977853</x:v>
      </x:c>
      <x:c r="T227" s="48" t="n">
        <x:f>Model_Data!AN227</x:f>
        <x:v>-62.71422305877428</x:v>
      </x:c>
      <x:c r="U227" s="49"/>
      <x:c r="V227" s="48" t="n">
        <x:f>Model_Data!A227</x:f>
        <x:v>52.5</x:v>
      </x:c>
      <x:c r="W227" s="48" t="n">
        <x:f>Model_Data!B227-Inputs!$C$5</x:f>
        <x:v>3.0625</x:v>
      </x:c>
      <x:c r="X227" s="49"/>
      <x:c r="Y227" s="48" t="n">
        <x:f>Model_Data!A227</x:f>
        <x:v>52.5</x:v>
      </x:c>
      <x:c r="Z227" s="48" t="n">
        <x:f>0</x:f>
        <x:v>0</x:v>
      </x:c>
      <x:c r="AA227" s="48" t="n">
        <x:f>((SQRT((Inputs!$C$52+Inputs!$C$5)^2+Inputs!$C$52^2-2*(Inputs!$C$52+Inputs!$C$5)*Inputs!$C$52*COS(SQRT((Model_Data!A227)^2+Inputs!$C$6^2)/Inputs!$C$52))-Inputs!$C$5)*1000/Inputs!$C$12)</x:f>
        <x:v>2963.1198717330712</x:v>
      </x:c>
      <x:c r="AB227" s="48" t="n">
        <x:f>Model_Data!F227</x:f>
        <x:v>2945.459371619116</x:v>
      </x:c>
    </x:row>
    <x:row r="228">
      <x:c r="A228" s="48" t="n">
        <x:f>Model_Data!A228</x:f>
        <x:v>53</x:v>
      </x:c>
      <x:c r="B228" s="48" t="n">
        <x:f>0</x:f>
        <x:v>0</x:v>
      </x:c>
      <x:c r="C228" s="48" t="n">
        <x:f>((SQRT((Inputs!$C$52+Inputs!$C$5)^2+Inputs!$C$52^2-2*(Inputs!$C$52+Inputs!$C$5)*Inputs!$C$52*COS(SQRT((Model_Data!A228)^2+Inputs!$C$6^2)/Inputs!$C$52))-Inputs!$C$5)*1000/Inputs!$C$12)</x:f>
        <x:v>3009.035903051642</x:v>
      </x:c>
      <x:c r="D228" s="48" t="n">
        <x:f>Model_Data!F228</x:f>
        <x:v>2990.7652435974414</x:v>
      </x:c>
      <x:c r="E228" s="48" t="n">
        <x:f>Model_Data!AC228</x:f>
        <x:v>2891.8890269892154</x:v>
      </x:c>
      <x:c r="F228" s="49"/>
      <x:c r="G228" s="48" t="n">
        <x:f>Model_Data!A228</x:f>
        <x:v>53</x:v>
      </x:c>
      <x:c r="H228" s="48" t="n">
        <x:f>0</x:f>
        <x:v>0</x:v>
      </x:c>
      <x:c r="I228" s="48" t="n">
        <x:f>Model_Data!Y228</x:f>
        <x:v>183.5232809151917</x:v>
      </x:c>
      <x:c r="J228" s="48" t="n">
        <x:f>Model_Data!X228</x:f>
        <x:v>4.508396540761183</x:v>
      </x:c>
      <x:c r="K228" s="48" t="n">
        <x:f>Model_Data!A228</x:f>
        <x:v>53</x:v>
      </x:c>
      <x:c r="L228" s="48" t="n">
        <x:f>Model_Data!Y228</x:f>
        <x:v>183.5232809151917</x:v>
      </x:c>
      <x:c r="M228" s="48" t="n">
        <x:f>Model_Data!X228</x:f>
        <x:v>4.508396540761183</x:v>
      </x:c>
      <x:c r="N228" s="48" t="n">
        <x:f>-(Model_Data!AC228-Model_Data!F228)*Inputs!$C$12</x:f>
        <x:v>175.99966556264238</x:v>
      </x:c>
      <x:c r="O228" s="49"/>
      <x:c r="P228" s="48" t="n">
        <x:f>Model_Data!A228</x:f>
        <x:v>53</x:v>
      </x:c>
      <x:c r="Q228" s="48" t="n">
        <x:f>Model_Data!P228</x:f>
        <x:v>-447.67374769307935</x:v>
      </x:c>
      <x:c r="R228" s="48" t="n">
        <x:f>Model_Data!AM228</x:f>
        <x:v>-421.09802518143624</x:v>
      </x:c>
      <x:c r="S228" s="48" t="n">
        <x:f>Model_Data!Q228</x:f>
        <x:v>-67.2182804343963</x:v>
      </x:c>
      <x:c r="T228" s="48" t="n">
        <x:f>Model_Data!AN228</x:f>
        <x:v>-63.227931708924366</x:v>
      </x:c>
      <x:c r="U228" s="49"/>
      <x:c r="V228" s="48" t="n">
        <x:f>Model_Data!A228</x:f>
        <x:v>53</x:v>
      </x:c>
      <x:c r="W228" s="48" t="n">
        <x:f>Model_Data!B228-Inputs!$C$5</x:f>
        <x:v>3.1211111111111336</x:v>
      </x:c>
      <x:c r="X228" s="49"/>
      <x:c r="Y228" s="48" t="n">
        <x:f>Model_Data!A228</x:f>
        <x:v>53</x:v>
      </x:c>
      <x:c r="Z228" s="48" t="n">
        <x:f>0</x:f>
        <x:v>0</x:v>
      </x:c>
      <x:c r="AA228" s="48" t="n">
        <x:f>((SQRT((Inputs!$C$52+Inputs!$C$5)^2+Inputs!$C$52^2-2*(Inputs!$C$52+Inputs!$C$5)*Inputs!$C$52*COS(SQRT((Model_Data!A228)^2+Inputs!$C$6^2)/Inputs!$C$52))-Inputs!$C$5)*1000/Inputs!$C$12)</x:f>
        <x:v>3009.035903051642</x:v>
      </x:c>
      <x:c r="AB228" s="48" t="n">
        <x:f>Model_Data!F228</x:f>
        <x:v>2990.7652435974414</x:v>
      </x:c>
    </x:row>
    <x:row r="229">
      <x:c r="A229" s="48" t="n">
        <x:f>Model_Data!A229</x:f>
        <x:v>53.5</x:v>
      </x:c>
      <x:c r="B229" s="48" t="n">
        <x:f>0</x:f>
        <x:v>0</x:v>
      </x:c>
      <x:c r="C229" s="48" t="n">
        <x:f>((SQRT((Inputs!$C$52+Inputs!$C$5)^2+Inputs!$C$52^2-2*(Inputs!$C$52+Inputs!$C$5)*Inputs!$C$52*COS(SQRT((Model_Data!A229)^2+Inputs!$C$6^2)/Inputs!$C$52))-Inputs!$C$5)*1000/Inputs!$C$12)</x:f>
        <x:v>3055.3776013572988</x:v>
      </x:c>
      <x:c r="D229" s="48" t="n">
        <x:f>Model_Data!F229</x:f>
        <x:v>3036.480896636179</x:v>
      </x:c>
      <x:c r="E229" s="48" t="n">
        <x:f>Model_Data!AC229</x:f>
        <x:v>2936.3961150667737</x:v>
      </x:c>
      <x:c r="F229" s="49"/>
      <x:c r="G229" s="48" t="n">
        <x:f>Model_Data!A229</x:f>
        <x:v>53.5</x:v>
      </x:c>
      <x:c r="H229" s="48" t="n">
        <x:f>0</x:f>
        <x:v>0</x:v>
      </x:c>
      <x:c r="I229" s="48" t="n">
        <x:f>Model_Data!Y229</x:f>
        <x:v>181.04186719105834</x:v>
      </x:c>
      <x:c r="J229" s="48" t="n">
        <x:f>Model_Data!X229</x:f>
        <x:v>-0.1280560890739677</x:v>
      </x:c>
      <x:c r="K229" s="48" t="n">
        <x:f>Model_Data!A229</x:f>
        <x:v>53.5</x:v>
      </x:c>
      <x:c r="L229" s="48" t="n">
        <x:f>Model_Data!Y229</x:f>
        <x:v>181.04186719105834</x:v>
      </x:c>
      <x:c r="M229" s="48" t="n">
        <x:f>Model_Data!X229</x:f>
        <x:v>-0.1280560890739677</x:v>
      </x:c>
      <x:c r="N229" s="48" t="n">
        <x:f>-(Model_Data!AC229-Model_Data!F229)*Inputs!$C$12</x:f>
        <x:v>178.15091119354108</x:v>
      </x:c>
      <x:c r="O229" s="49"/>
      <x:c r="P229" s="48" t="n">
        <x:f>Model_Data!A229</x:f>
        <x:v>53.5</x:v>
      </x:c>
      <x:c r="Q229" s="48" t="n">
        <x:f>Model_Data!P229</x:f>
        <x:v>-451.7841126563326</x:v>
      </x:c>
      <x:c r="R229" s="48" t="n">
        <x:f>Model_Data!AM229</x:f>
        <x:v>-455.0459523180507</x:v>
      </x:c>
      <x:c r="S229" s="48" t="n">
        <x:f>Model_Data!Q229</x:f>
        <x:v>-67.8354523508007</x:v>
      </x:c>
      <x:c r="T229" s="48" t="n">
        <x:f>Model_Data!AN229</x:f>
        <x:v>-68.32521806577338</x:v>
      </x:c>
      <x:c r="U229" s="49"/>
      <x:c r="V229" s="48" t="n">
        <x:f>Model_Data!A229</x:f>
        <x:v>53.5</x:v>
      </x:c>
      <x:c r="W229" s="48" t="n">
        <x:f>Model_Data!B229-Inputs!$C$5</x:f>
        <x:v>3.1802777777778033</x:v>
      </x:c>
      <x:c r="X229" s="49"/>
      <x:c r="Y229" s="48" t="n">
        <x:f>Model_Data!A229</x:f>
        <x:v>53.5</x:v>
      </x:c>
      <x:c r="Z229" s="48" t="n">
        <x:f>0</x:f>
        <x:v>0</x:v>
      </x:c>
      <x:c r="AA229" s="48" t="n">
        <x:f>((SQRT((Inputs!$C$52+Inputs!$C$5)^2+Inputs!$C$52^2-2*(Inputs!$C$52+Inputs!$C$5)*Inputs!$C$52*COS(SQRT((Model_Data!A229)^2+Inputs!$C$6^2)/Inputs!$C$52))-Inputs!$C$5)*1000/Inputs!$C$12)</x:f>
        <x:v>3055.3776013572988</x:v>
      </x:c>
      <x:c r="AB229" s="48" t="n">
        <x:f>Model_Data!F229</x:f>
        <x:v>3036.480896636179</x:v>
      </x:c>
    </x:row>
    <x:row r="230">
      <x:c r="A230" s="48" t="n">
        <x:f>Model_Data!A230</x:f>
        <x:v>54</x:v>
      </x:c>
      <x:c r="B230" s="48" t="n">
        <x:f>0</x:f>
        <x:v>0</x:v>
      </x:c>
      <x:c r="C230" s="48" t="n">
        <x:f>((SQRT((Inputs!$C$52+Inputs!$C$5)^2+Inputs!$C$52^2-2*(Inputs!$C$52+Inputs!$C$5)*Inputs!$C$52*COS(SQRT((Model_Data!A230)^2+Inputs!$C$6^2)/Inputs!$C$52))-Inputs!$C$5)*1000/Inputs!$C$12)</x:f>
        <x:v>3102.1447021381323</x:v>
      </x:c>
      <x:c r="D230" s="48" t="n">
        <x:f>Model_Data!F230</x:f>
        <x:v>3082.60579501392</x:v>
      </x:c>
      <x:c r="E230" s="48" t="n">
        <x:f>Model_Data!AC230</x:f>
        <x:v>2977.9303735869566</x:v>
      </x:c>
      <x:c r="F230" s="49"/>
      <x:c r="G230" s="48" t="n">
        <x:f>Model_Data!A230</x:f>
        <x:v>54</x:v>
      </x:c>
      <x:c r="H230" s="48" t="n">
        <x:f>0</x:f>
        <x:v>0</x:v>
      </x:c>
      <x:c r="I230" s="48" t="n">
        <x:f>Model_Data!Y230</x:f>
        <x:v>181.54184215615243</x:v>
      </x:c>
      <x:c r="J230" s="48" t="n">
        <x:f>Model_Data!X230</x:f>
        <x:v>-7.852837825142384</x:v>
      </x:c>
      <x:c r="K230" s="48" t="n">
        <x:f>Model_Data!A230</x:f>
        <x:v>54</x:v>
      </x:c>
      <x:c r="L230" s="48" t="n">
        <x:f>Model_Data!Y230</x:f>
        <x:v>181.54184215615243</x:v>
      </x:c>
      <x:c r="M230" s="48" t="n">
        <x:f>Model_Data!X230</x:f>
        <x:v>-7.852837825142384</x:v>
      </x:c>
      <x:c r="N230" s="48" t="n">
        <x:f>-(Model_Data!AC230-Model_Data!F230)*Inputs!$C$12</x:f>
        <x:v>186.32225013999516</x:v>
      </x:c>
      <x:c r="O230" s="49"/>
      <x:c r="P230" s="48" t="n">
        <x:f>Model_Data!A230</x:f>
        <x:v>54</x:v>
      </x:c>
      <x:c r="Q230" s="48" t="n">
        <x:f>Model_Data!P230</x:f>
        <x:v>-455.89141447326256</x:v>
      </x:c>
      <x:c r="R230" s="48" t="n">
        <x:f>Model_Data!AM230</x:f>
        <x:v>-462.8956826819376</x:v>
      </x:c>
      <x:c r="S230" s="48" t="n">
        <x:f>Model_Data!Q230</x:f>
        <x:v>-68.45216433532471</x:v>
      </x:c>
      <x:c r="T230" s="48" t="n">
        <x:f>Model_Data!AN230</x:f>
        <x:v>-69.50385625854919</x:v>
      </x:c>
      <x:c r="U230" s="49"/>
      <x:c r="V230" s="48" t="n">
        <x:f>Model_Data!A230</x:f>
        <x:v>54</x:v>
      </x:c>
      <x:c r="W230" s="48" t="n">
        <x:f>Model_Data!B230-Inputs!$C$5</x:f>
        <x:v>3.240000000000009</x:v>
      </x:c>
      <x:c r="X230" s="49"/>
      <x:c r="Y230" s="48" t="n">
        <x:f>Model_Data!A230</x:f>
        <x:v>54</x:v>
      </x:c>
      <x:c r="Z230" s="48" t="n">
        <x:f>0</x:f>
        <x:v>0</x:v>
      </x:c>
      <x:c r="AA230" s="48" t="n">
        <x:f>((SQRT((Inputs!$C$52+Inputs!$C$5)^2+Inputs!$C$52^2-2*(Inputs!$C$52+Inputs!$C$5)*Inputs!$C$52*COS(SQRT((Model_Data!A230)^2+Inputs!$C$6^2)/Inputs!$C$52))-Inputs!$C$5)*1000/Inputs!$C$12)</x:f>
        <x:v>3102.1447021381323</x:v>
      </x:c>
      <x:c r="AB230" s="48" t="n">
        <x:f>Model_Data!F230</x:f>
        <x:v>3082.60579501392</x:v>
      </x:c>
    </x:row>
    <x:row r="231">
      <x:c r="A231" s="48" t="n">
        <x:f>Model_Data!A231</x:f>
        <x:v>54.5</x:v>
      </x:c>
      <x:c r="B231" s="48" t="n">
        <x:f>0</x:f>
        <x:v>0</x:v>
      </x:c>
      <x:c r="C231" s="48" t="n">
        <x:f>((SQRT((Inputs!$C$52+Inputs!$C$5)^2+Inputs!$C$52^2-2*(Inputs!$C$52+Inputs!$C$5)*Inputs!$C$52*COS(SQRT((Model_Data!A231)^2+Inputs!$C$6^2)/Inputs!$C$52))-Inputs!$C$5)*1000/Inputs!$C$12)</x:f>
        <x:v>3149.336938669558</x:v>
      </x:c>
      <x:c r="D231" s="48" t="n">
        <x:f>Model_Data!F231</x:f>
        <x:v>3129.139398909123</x:v>
      </x:c>
      <x:c r="E231" s="48" t="n">
        <x:f>Model_Data!AC231</x:f>
        <x:v>3025.4702328953204</x:v>
      </x:c>
      <x:c r="F231" s="49"/>
      <x:c r="G231" s="48" t="n">
        <x:f>Model_Data!A231</x:f>
        <x:v>54.5</x:v>
      </x:c>
      <x:c r="H231" s="48" t="n">
        <x:f>0</x:f>
        <x:v>0</x:v>
      </x:c>
      <x:c r="I231" s="48" t="n">
        <x:f>Model_Data!Y231</x:f>
        <x:v>176.67952286630316</x:v>
      </x:c>
      <x:c r="J231" s="48" t="n">
        <x:f>Model_Data!X231</x:f>
        <x:v>-10.88592803052483</x:v>
      </x:c>
      <x:c r="K231" s="48" t="n">
        <x:f>Model_Data!A231</x:f>
        <x:v>54.5</x:v>
      </x:c>
      <x:c r="L231" s="48" t="n">
        <x:f>Model_Data!Y231</x:f>
        <x:v>176.67952286630316</x:v>
      </x:c>
      <x:c r="M231" s="48" t="n">
        <x:f>Model_Data!X231</x:f>
        <x:v>-10.88592803052483</x:v>
      </x:c>
      <x:c r="N231" s="48" t="n">
        <x:f>-(Model_Data!AC231-Model_Data!F231)*Inputs!$C$12</x:f>
        <x:v>184.53111550456867</x:v>
      </x:c>
      <x:c r="O231" s="49"/>
      <x:c r="P231" s="48" t="n">
        <x:f>Model_Data!A231</x:f>
        <x:v>54.5</x:v>
      </x:c>
      <x:c r="Q231" s="48" t="n">
        <x:f>Model_Data!P231</x:f>
        <x:v>-459.9956298745383</x:v>
      </x:c>
      <x:c r="R231" s="48" t="n">
        <x:f>Model_Data!AM231</x:f>
        <x:v>-449.1931834153547</x:v>
      </x:c>
      <x:c r="S231" s="48" t="n">
        <x:f>Model_Data!Q231</x:f>
        <x:v>-69.06841289407483</x:v>
      </x:c>
      <x:c r="T231" s="48" t="n">
        <x:f>Model_Data!AN231</x:f>
        <x:v>-67.44642393623946</x:v>
      </x:c>
      <x:c r="U231" s="49"/>
      <x:c r="V231" s="48" t="n">
        <x:f>Model_Data!A231</x:f>
        <x:v>54.5</x:v>
      </x:c>
      <x:c r="W231" s="48" t="n">
        <x:f>Model_Data!B231-Inputs!$C$5</x:f>
        <x:v>3.300277777777751</x:v>
      </x:c>
      <x:c r="X231" s="49"/>
      <x:c r="Y231" s="48" t="n">
        <x:f>Model_Data!A231</x:f>
        <x:v>54.5</x:v>
      </x:c>
      <x:c r="Z231" s="48" t="n">
        <x:f>0</x:f>
        <x:v>0</x:v>
      </x:c>
      <x:c r="AA231" s="48" t="n">
        <x:f>((SQRT((Inputs!$C$52+Inputs!$C$5)^2+Inputs!$C$52^2-2*(Inputs!$C$52+Inputs!$C$5)*Inputs!$C$52*COS(SQRT((Model_Data!A231)^2+Inputs!$C$6^2)/Inputs!$C$52))-Inputs!$C$5)*1000/Inputs!$C$12)</x:f>
        <x:v>3149.336938669558</x:v>
      </x:c>
      <x:c r="AB231" s="48" t="n">
        <x:f>Model_Data!F231</x:f>
        <x:v>3129.139398909123</x:v>
      </x:c>
    </x:row>
    <x:row r="232">
      <x:c r="A232" s="48" t="n">
        <x:f>Model_Data!A232</x:f>
        <x:v>55</x:v>
      </x:c>
      <x:c r="B232" s="48" t="n">
        <x:f>0</x:f>
        <x:v>0</x:v>
      </x:c>
      <x:c r="C232" s="48" t="n">
        <x:f>((SQRT((Inputs!$C$52+Inputs!$C$5)^2+Inputs!$C$52^2-2*(Inputs!$C$52+Inputs!$C$5)*Inputs!$C$52*COS(SQRT((Model_Data!A232)^2+Inputs!$C$6^2)/Inputs!$C$52))-Inputs!$C$5)*1000/Inputs!$C$12)</x:f>
        <x:v>3196.954042025839</x:v>
      </x:c>
      <x:c r="D232" s="48" t="n">
        <x:f>Model_Data!F232</x:f>
        <x:v>3176.081164429937</x:v>
      </x:c>
      <x:c r="E232" s="48" t="n">
        <x:f>Model_Data!AC232</x:f>
        <x:v>3070.485603094565</x:v>
      </x:c>
      <x:c r="F232" s="49"/>
      <x:c r="G232" s="48" t="n">
        <x:f>Model_Data!A232</x:f>
        <x:v>55</x:v>
      </x:c>
      <x:c r="H232" s="48" t="n">
        <x:f>0</x:f>
        <x:v>0</x:v>
      </x:c>
      <x:c r="I232" s="48" t="n">
        <x:f>Model_Data!Y232</x:f>
        <x:v>188.50605986389118</x:v>
      </x:c>
      <x:c r="J232" s="48" t="n">
        <x:f>Model_Data!X232</x:f>
        <x:v>-2.7391578251359494</x:v>
      </x:c>
      <x:c r="K232" s="48" t="n">
        <x:f>Model_Data!A232</x:f>
        <x:v>55</x:v>
      </x:c>
      <x:c r="L232" s="48" t="n">
        <x:f>Model_Data!Y232</x:f>
        <x:v>188.50605986389118</x:v>
      </x:c>
      <x:c r="M232" s="48" t="n">
        <x:f>Model_Data!X232</x:f>
        <x:v>-2.7391578251359494</x:v>
      </x:c>
      <x:c r="N232" s="48" t="n">
        <x:f>-(Model_Data!AC232-Model_Data!F232)*Inputs!$C$12</x:f>
        <x:v>187.96009917696247</x:v>
      </x:c>
      <x:c r="O232" s="49"/>
      <x:c r="P232" s="48" t="n">
        <x:f>Model_Data!A232</x:f>
        <x:v>55</x:v>
      </x:c>
      <x:c r="Q232" s="48" t="n">
        <x:f>Model_Data!P232</x:f>
        <x:v>-464.0967357390764</x:v>
      </x:c>
      <x:c r="R232" s="48" t="n">
        <x:f>Model_Data!AM232</x:f>
        <x:v>-455.00982441772067</x:v>
      </x:c>
      <x:c r="S232" s="48" t="n">
        <x:f>Model_Data!Q232</x:f>
        <x:v>-69.68419455541688</x:v>
      </x:c>
      <x:c r="T232" s="48" t="n">
        <x:f>Model_Data!AN232</x:f>
        <x:v>-68.31979345611423</x:v>
      </x:c>
      <x:c r="U232" s="49"/>
      <x:c r="V232" s="48" t="n">
        <x:f>Model_Data!A232</x:f>
        <x:v>55</x:v>
      </x:c>
      <x:c r="W232" s="48" t="n">
        <x:f>Model_Data!B232-Inputs!$C$5</x:f>
        <x:v>3.361111111111086</x:v>
      </x:c>
      <x:c r="X232" s="49"/>
      <x:c r="Y232" s="48" t="n">
        <x:f>Model_Data!A232</x:f>
        <x:v>55</x:v>
      </x:c>
      <x:c r="Z232" s="48" t="n">
        <x:f>0</x:f>
        <x:v>0</x:v>
      </x:c>
      <x:c r="AA232" s="48" t="n">
        <x:f>((SQRT((Inputs!$C$52+Inputs!$C$5)^2+Inputs!$C$52^2-2*(Inputs!$C$52+Inputs!$C$5)*Inputs!$C$52*COS(SQRT((Model_Data!A232)^2+Inputs!$C$6^2)/Inputs!$C$52))-Inputs!$C$5)*1000/Inputs!$C$12)</x:f>
        <x:v>3196.954042025839</x:v>
      </x:c>
      <x:c r="AB232" s="48" t="n">
        <x:f>Model_Data!F232</x:f>
        <x:v>3176.081164429937</x:v>
      </x:c>
    </x:row>
    <x:row r="233">
      <x:c r="A233" s="48" t="n">
        <x:f>Model_Data!A233</x:f>
        <x:v>55.5</x:v>
      </x:c>
      <x:c r="B233" s="48" t="n">
        <x:f>0</x:f>
        <x:v>0</x:v>
      </x:c>
      <x:c r="C233" s="48" t="n">
        <x:f>((SQRT((Inputs!$C$52+Inputs!$C$5)^2+Inputs!$C$52^2-2*(Inputs!$C$52+Inputs!$C$5)*Inputs!$C$52*COS(SQRT((Model_Data!A233)^2+Inputs!$C$6^2)/Inputs!$C$52))-Inputs!$C$5)*1000/Inputs!$C$12)</x:f>
        <x:v>3244.995741083732</x:v>
      </x:c>
      <x:c r="D233" s="48" t="n">
        <x:f>Model_Data!F233</x:f>
        <x:v>3223.4305436364602</x:v>
      </x:c>
      <x:c r="E233" s="48" t="n">
        <x:f>Model_Data!AC233</x:f>
        <x:v>3119.0133518780485</x:v>
      </x:c>
      <x:c r="F233" s="49"/>
      <x:c r="G233" s="48" t="n">
        <x:f>Model_Data!A233</x:f>
        <x:v>55.5</x:v>
      </x:c>
      <x:c r="H233" s="48" t="n">
        <x:f>0</x:f>
        <x:v>0</x:v>
      </x:c>
      <x:c r="I233" s="48" t="n">
        <x:f>Model_Data!Y233</x:f>
        <x:v>182.5522692746181</x:v>
      </x:c>
      <x:c r="J233" s="48" t="n">
        <x:f>Model_Data!X233</x:f>
        <x:v>-6.538094280084824</x:v>
      </x:c>
      <x:c r="K233" s="48" t="n">
        <x:f>Model_Data!A233</x:f>
        <x:v>55.5</x:v>
      </x:c>
      <x:c r="L233" s="48" t="n">
        <x:f>Model_Data!Y233</x:f>
        <x:v>182.5522692746181</x:v>
      </x:c>
      <x:c r="M233" s="48" t="n">
        <x:f>Model_Data!X233</x:f>
        <x:v>-6.538094280084824</x:v>
      </x:c>
      <x:c r="N233" s="48" t="n">
        <x:f>-(Model_Data!AC233-Model_Data!F233)*Inputs!$C$12</x:f>
        <x:v>185.86260132997285</x:v>
      </x:c>
      <x:c r="O233" s="49"/>
      <x:c r="P233" s="48" t="n">
        <x:f>Model_Data!A233</x:f>
        <x:v>55.5</x:v>
      </x:c>
      <x:c r="Q233" s="48" t="n">
        <x:f>Model_Data!P233</x:f>
        <x:v>-468.1947090801259</x:v>
      </x:c>
      <x:c r="R233" s="48" t="n">
        <x:f>Model_Data!AM233</x:f>
        <x:v>-470.8662445768823</x:v>
      </x:c>
      <x:c r="S233" s="48" t="n">
        <x:f>Model_Data!Q233</x:f>
        <x:v>-70.29950586788678</x:v>
      </x:c>
      <x:c r="T233" s="48" t="n">
        <x:f>Model_Data!AN233</x:f>
        <x:v>-70.70063732385621</x:v>
      </x:c>
      <x:c r="U233" s="49"/>
      <x:c r="V233" s="48" t="n">
        <x:f>Model_Data!A233</x:f>
        <x:v>55.5</x:v>
      </x:c>
      <x:c r="W233" s="48" t="n">
        <x:f>Model_Data!B233-Inputs!$C$5</x:f>
        <x:v>3.4225000000000136</x:v>
      </x:c>
      <x:c r="X233" s="49"/>
      <x:c r="Y233" s="48" t="n">
        <x:f>Model_Data!A233</x:f>
        <x:v>55.5</x:v>
      </x:c>
      <x:c r="Z233" s="48" t="n">
        <x:f>0</x:f>
        <x:v>0</x:v>
      </x:c>
      <x:c r="AA233" s="48" t="n">
        <x:f>((SQRT((Inputs!$C$52+Inputs!$C$5)^2+Inputs!$C$52^2-2*(Inputs!$C$52+Inputs!$C$5)*Inputs!$C$52*COS(SQRT((Model_Data!A233)^2+Inputs!$C$6^2)/Inputs!$C$52))-Inputs!$C$5)*1000/Inputs!$C$12)</x:f>
        <x:v>3244.995741083732</x:v>
      </x:c>
      <x:c r="AB233" s="48" t="n">
        <x:f>Model_Data!F233</x:f>
        <x:v>3223.4305436364602</x:v>
      </x:c>
    </x:row>
    <x:row r="234">
      <x:c r="A234" s="48" t="n">
        <x:f>Model_Data!A234</x:f>
        <x:v>56</x:v>
      </x:c>
      <x:c r="B234" s="48" t="n">
        <x:f>0</x:f>
        <x:v>0</x:v>
      </x:c>
      <x:c r="C234" s="48" t="n">
        <x:f>((SQRT((Inputs!$C$52+Inputs!$C$5)^2+Inputs!$C$52^2-2*(Inputs!$C$52+Inputs!$C$5)*Inputs!$C$52*COS(SQRT((Model_Data!A234)^2+Inputs!$C$6^2)/Inputs!$C$52))-Inputs!$C$5)*1000/Inputs!$C$12)</x:f>
        <x:v>3293.461762529603</x:v>
      </x:c>
      <x:c r="D234" s="48" t="n">
        <x:f>Model_Data!F234</x:f>
        <x:v>3271.186984565748</x:v>
      </x:c>
      <x:c r="E234" s="48" t="n">
        <x:f>Model_Data!AC234</x:f>
        <x:v>3165.620399260125</x:v>
      </x:c>
      <x:c r="F234" s="49"/>
      <x:c r="G234" s="48" t="n">
        <x:f>Model_Data!A234</x:f>
        <x:v>56</x:v>
      </x:c>
      <x:c r="H234" s="48" t="n">
        <x:f>0</x:f>
        <x:v>0</x:v>
      </x:c>
      <x:c r="I234" s="48" t="n">
        <x:f>Model_Data!Y234</x:f>
        <x:v>186.90390563143987</x:v>
      </x:c>
      <x:c r="J234" s="48" t="n">
        <x:f>Model_Data!X234</x:f>
        <x:v>-4.357290177669684</x:v>
      </x:c>
      <x:c r="K234" s="48" t="n">
        <x:f>Model_Data!A234</x:f>
        <x:v>56</x:v>
      </x:c>
      <x:c r="L234" s="48" t="n">
        <x:f>Model_Data!Y234</x:f>
        <x:v>186.90390563143987</x:v>
      </x:c>
      <x:c r="M234" s="48" t="n">
        <x:f>Model_Data!X234</x:f>
        <x:v>-4.357290177669684</x:v>
      </x:c>
      <x:c r="N234" s="48" t="n">
        <x:f>-(Model_Data!AC234-Model_Data!F234)*Inputs!$C$12</x:f>
        <x:v>187.90852184400893</x:v>
      </x:c>
      <x:c r="O234" s="49"/>
      <x:c r="P234" s="48" t="n">
        <x:f>Model_Data!A234</x:f>
        <x:v>56</x:v>
      </x:c>
      <x:c r="Q234" s="48" t="n">
        <x:f>Model_Data!P234</x:f>
        <x:v>-472.2895270569097</x:v>
      </x:c>
      <x:c r="R234" s="48" t="n">
        <x:f>Model_Data!AM234</x:f>
        <x:v>-460.6295562019113</x:v>
      </x:c>
      <x:c r="S234" s="48" t="n">
        <x:f>Model_Data!Q234</x:f>
        <x:v>-70.9143434019384</x:v>
      </x:c>
      <x:c r="T234" s="48" t="n">
        <x:f>Model_Data!AN234</x:f>
        <x:v>-69.16359702731403</x:v>
      </x:c>
      <x:c r="U234" s="49"/>
      <x:c r="V234" s="48" t="n">
        <x:f>Model_Data!A234</x:f>
        <x:v>56</x:v>
      </x:c>
      <x:c r="W234" s="48" t="n">
        <x:f>Model_Data!B234-Inputs!$C$5</x:f>
        <x:v>3.4844444444444207</x:v>
      </x:c>
      <x:c r="X234" s="49"/>
      <x:c r="Y234" s="48" t="n">
        <x:f>Model_Data!A234</x:f>
        <x:v>56</x:v>
      </x:c>
      <x:c r="Z234" s="48" t="n">
        <x:f>0</x:f>
        <x:v>0</x:v>
      </x:c>
      <x:c r="AA234" s="48" t="n">
        <x:f>((SQRT((Inputs!$C$52+Inputs!$C$5)^2+Inputs!$C$52^2-2*(Inputs!$C$52+Inputs!$C$5)*Inputs!$C$52*COS(SQRT((Model_Data!A234)^2+Inputs!$C$6^2)/Inputs!$C$52))-Inputs!$C$5)*1000/Inputs!$C$12)</x:f>
        <x:v>3293.461762529603</x:v>
      </x:c>
      <x:c r="AB234" s="48" t="n">
        <x:f>Model_Data!F234</x:f>
        <x:v>3271.186984565748</x:v>
      </x:c>
    </x:row>
    <x:row r="235">
      <x:c r="A235" s="48" t="n">
        <x:f>Model_Data!A235</x:f>
        <x:v>56.5</x:v>
      </x:c>
      <x:c r="B235" s="48" t="n">
        <x:f>0</x:f>
        <x:v>0</x:v>
      </x:c>
      <x:c r="C235" s="48" t="n">
        <x:f>((SQRT((Inputs!$C$52+Inputs!$C$5)^2+Inputs!$C$52^2-2*(Inputs!$C$52+Inputs!$C$5)*Inputs!$C$52*COS(SQRT((Model_Data!A235)^2+Inputs!$C$6^2)/Inputs!$C$52))-Inputs!$C$5)*1000/Inputs!$C$12)</x:f>
        <x:v>3342.3518308690136</x:v>
      </x:c>
      <x:c r="D235" s="48" t="n">
        <x:f>Model_Data!F235</x:f>
        <x:v>3319.3499312578997</x:v>
      </x:c>
      <x:c r="E235" s="48" t="n">
        <x:f>Model_Data!AC235</x:f>
        <x:v>3226.7114178873894</x:v>
      </x:c>
      <x:c r="F235" s="49"/>
      <x:c r="G235" s="48" t="n">
        <x:f>Model_Data!A235</x:f>
        <x:v>56.5</x:v>
      </x:c>
      <x:c r="H235" s="48" t="n">
        <x:f>0</x:f>
        <x:v>0</x:v>
      </x:c>
      <x:c r="I235" s="48" t="n">
        <x:f>Model_Data!Y235</x:f>
        <x:v>190.07062484954076</x:v>
      </x:c>
      <x:c r="J235" s="48" t="n">
        <x:f>Model_Data!X235</x:f>
        <x:v>21.715435034758002</x:v>
      </x:c>
      <x:c r="K235" s="48" t="n">
        <x:f>Model_Data!A235</x:f>
        <x:v>56.5</x:v>
      </x:c>
      <x:c r="L235" s="48" t="n">
        <x:f>Model_Data!Y235</x:f>
        <x:v>190.07062484954076</x:v>
      </x:c>
      <x:c r="M235" s="48" t="n">
        <x:f>Model_Data!X235</x:f>
        <x:v>21.715435034758002</x:v>
      </x:c>
      <x:c r="N235" s="48" t="n">
        <x:f>-(Model_Data!AC235-Model_Data!F235)*Inputs!$C$12</x:f>
        <x:v>164.8965537995083</x:v>
      </x:c>
      <x:c r="O235" s="49"/>
      <x:c r="P235" s="48" t="n">
        <x:f>Model_Data!A235</x:f>
        <x:v>56.5</x:v>
      </x:c>
      <x:c r="Q235" s="48" t="n">
        <x:f>Model_Data!P235</x:f>
        <x:v>-476.38116695534336</x:v>
      </x:c>
      <x:c r="R235" s="48" t="n">
        <x:f>Model_Data!AM235</x:f>
        <x:v>-454.89450199102066</x:v>
      </x:c>
      <x:c r="S235" s="48" t="n">
        <x:f>Model_Data!Q235</x:f>
        <x:v>-71.52870374704855</x:v>
      </x:c>
      <x:c r="T235" s="48" t="n">
        <x:f>Model_Data!AN235</x:f>
        <x:v>-68.30247777642954</x:v>
      </x:c>
      <x:c r="U235" s="49"/>
      <x:c r="V235" s="48" t="n">
        <x:f>Model_Data!A235</x:f>
        <x:v>56.5</x:v>
      </x:c>
      <x:c r="W235" s="48" t="n">
        <x:f>Model_Data!B235-Inputs!$C$5</x:f>
        <x:v>3.5469444444444207</x:v>
      </x:c>
      <x:c r="X235" s="49"/>
      <x:c r="Y235" s="48" t="n">
        <x:f>Model_Data!A235</x:f>
        <x:v>56.5</x:v>
      </x:c>
      <x:c r="Z235" s="48" t="n">
        <x:f>0</x:f>
        <x:v>0</x:v>
      </x:c>
      <x:c r="AA235" s="48" t="n">
        <x:f>((SQRT((Inputs!$C$52+Inputs!$C$5)^2+Inputs!$C$52^2-2*(Inputs!$C$52+Inputs!$C$5)*Inputs!$C$52*COS(SQRT((Model_Data!A235)^2+Inputs!$C$6^2)/Inputs!$C$52))-Inputs!$C$5)*1000/Inputs!$C$12)</x:f>
        <x:v>3342.3518308690136</x:v>
      </x:c>
      <x:c r="AB235" s="48" t="n">
        <x:f>Model_Data!F235</x:f>
        <x:v>3319.3499312578997</x:v>
      </x:c>
    </x:row>
    <x:row r="236">
      <x:c r="A236" s="48" t="n">
        <x:f>Model_Data!A236</x:f>
        <x:v>57</x:v>
      </x:c>
      <x:c r="B236" s="48" t="n">
        <x:f>0</x:f>
        <x:v>0</x:v>
      </x:c>
      <x:c r="C236" s="48" t="n">
        <x:f>((SQRT((Inputs!$C$52+Inputs!$C$5)^2+Inputs!$C$52^2-2*(Inputs!$C$52+Inputs!$C$5)*Inputs!$C$52*COS(SQRT((Model_Data!A236)^2+Inputs!$C$6^2)/Inputs!$C$52))-Inputs!$C$5)*1000/Inputs!$C$12)</x:f>
        <x:v>3391.6656684345407</x:v>
      </x:c>
      <x:c r="D236" s="48" t="n">
        <x:f>Model_Data!F236</x:f>
        <x:v>3367.918823774454</x:v>
      </x:c>
      <x:c r="E236" s="48" t="n">
        <x:f>Model_Data!AC236</x:f>
        <x:v>3267.600381912345</x:v>
      </x:c>
      <x:c r="F236" s="49"/>
      <x:c r="G236" s="48" t="n">
        <x:f>Model_Data!A236</x:f>
        <x:v>57</x:v>
      </x:c>
      <x:c r="H236" s="48" t="n">
        <x:f>0</x:f>
        <x:v>0</x:v>
      </x:c>
      <x:c r="I236" s="48" t="n">
        <x:f>Model_Data!Y236</x:f>
        <x:v>200.68454527158707</x:v>
      </x:c>
      <x:c r="J236" s="48" t="n">
        <x:f>Model_Data!X236</x:f>
        <x:v>18.4135707545088</x:v>
      </x:c>
      <x:c r="K236" s="48" t="n">
        <x:f>Model_Data!A236</x:f>
        <x:v>57</x:v>
      </x:c>
      <x:c r="L236" s="48" t="n">
        <x:f>Model_Data!Y236</x:f>
        <x:v>200.68454527158707</x:v>
      </x:c>
      <x:c r="M236" s="48" t="n">
        <x:f>Model_Data!X236</x:f>
        <x:v>18.4135707545088</x:v>
      </x:c>
      <x:c r="N236" s="48" t="n">
        <x:f>-(Model_Data!AC236-Model_Data!F236)*Inputs!$C$12</x:f>
        <x:v>178.56682651455404</x:v>
      </x:c>
      <x:c r="O236" s="49"/>
      <x:c r="P236" s="48" t="n">
        <x:f>Model_Data!A236</x:f>
        <x:v>57</x:v>
      </x:c>
      <x:c r="Q236" s="48" t="n">
        <x:f>Model_Data!P236</x:f>
        <x:v>-480.4696062107723</x:v>
      </x:c>
      <x:c r="R236" s="48" t="n">
        <x:f>Model_Data!AM236</x:f>
        <x:v>-499.14395786781824</x:v>
      </x:c>
      <x:c r="S236" s="48" t="n">
        <x:f>Model_Data!Q236</x:f>
        <x:v>-72.14258351513098</x:v>
      </x:c>
      <x:c r="T236" s="48" t="n">
        <x:f>Model_Data!AN236</x:f>
        <x:v>-74.94654022039313</x:v>
      </x:c>
      <x:c r="U236" s="49"/>
      <x:c r="V236" s="48" t="n">
        <x:f>Model_Data!A236</x:f>
        <x:v>57</x:v>
      </x:c>
      <x:c r="W236" s="48" t="n">
        <x:f>Model_Data!B236-Inputs!$C$5</x:f>
        <x:v>3.6100000000000136</x:v>
      </x:c>
      <x:c r="X236" s="49"/>
      <x:c r="Y236" s="48" t="n">
        <x:f>Model_Data!A236</x:f>
        <x:v>57</x:v>
      </x:c>
      <x:c r="Z236" s="48" t="n">
        <x:f>0</x:f>
        <x:v>0</x:v>
      </x:c>
      <x:c r="AA236" s="48" t="n">
        <x:f>((SQRT((Inputs!$C$52+Inputs!$C$5)^2+Inputs!$C$52^2-2*(Inputs!$C$52+Inputs!$C$5)*Inputs!$C$52*COS(SQRT((Model_Data!A236)^2+Inputs!$C$6^2)/Inputs!$C$52))-Inputs!$C$5)*1000/Inputs!$C$12)</x:f>
        <x:v>3391.6656684345407</x:v>
      </x:c>
      <x:c r="AB236" s="48" t="n">
        <x:f>Model_Data!F236</x:f>
        <x:v>3367.918823774454</x:v>
      </x:c>
    </x:row>
    <x:row r="237">
      <x:c r="A237" s="48" t="n">
        <x:f>Model_Data!A237</x:f>
        <x:v>57.5</x:v>
      </x:c>
      <x:c r="B237" s="48" t="n">
        <x:f>0</x:f>
        <x:v>0</x:v>
      </x:c>
      <x:c r="C237" s="48" t="n">
        <x:f>((SQRT((Inputs!$C$52+Inputs!$C$5)^2+Inputs!$C$52^2-2*(Inputs!$C$52+Inputs!$C$5)*Inputs!$C$52*COS(SQRT((Model_Data!A237)^2+Inputs!$C$6^2)/Inputs!$C$52))-Inputs!$C$5)*1000/Inputs!$C$12)</x:f>
        <x:v>3441.4029953902796</x:v>
      </x:c>
      <x:c r="D237" s="48" t="n">
        <x:f>Model_Data!F237</x:f>
        <x:v>3416.8930982326565</x:v>
      </x:c>
      <x:c r="E237" s="48" t="n">
        <x:f>Model_Data!AC237</x:f>
        <x:v>3333.2011078812866</x:v>
      </x:c>
      <x:c r="F237" s="49"/>
      <x:c r="G237" s="48" t="n">
        <x:f>Model_Data!A237</x:f>
        <x:v>57.5</x:v>
      </x:c>
      <x:c r="H237" s="48" t="n">
        <x:f>0</x:f>
        <x:v>0</x:v>
      </x:c>
      <x:c r="I237" s="48" t="n">
        <x:f>Model_Data!Y237</x:f>
        <x:v>178.2777126906697</x:v>
      </x:c>
      <x:c r="J237" s="48" t="n">
        <x:f>Model_Data!X237</x:f>
        <x:v>25.968776223167485</x:v>
      </x:c>
      <x:c r="K237" s="48" t="n">
        <x:f>Model_Data!A237</x:f>
        <x:v>57.5</x:v>
      </x:c>
      <x:c r="L237" s="48" t="n">
        <x:f>Model_Data!Y237</x:f>
        <x:v>178.2777126906697</x:v>
      </x:c>
      <x:c r="M237" s="48" t="n">
        <x:f>Model_Data!X237</x:f>
        <x:v>25.968776223167485</x:v>
      </x:c>
      <x:c r="N237" s="48" t="n">
        <x:f>-(Model_Data!AC237-Model_Data!F237)*Inputs!$C$12</x:f>
        <x:v>148.9717428254384</x:v>
      </x:c>
      <x:c r="O237" s="49"/>
      <x:c r="P237" s="48" t="n">
        <x:f>Model_Data!A237</x:f>
        <x:v>57.5</x:v>
      </x:c>
      <x:c r="Q237" s="48" t="n">
        <x:f>Model_Data!P237</x:f>
        <x:v>-484.554822402788</x:v>
      </x:c>
      <x:c r="R237" s="48" t="n">
        <x:f>Model_Data!AM237</x:f>
        <x:v>-494.387775107225</x:v>
      </x:c>
      <x:c r="S237" s="48" t="n">
        <x:f>Model_Data!Q237</x:f>
        <x:v>-72.75597933975796</x:v>
      </x:c>
      <x:c r="T237" s="48" t="n">
        <x:f>Model_Data!AN237</x:f>
        <x:v>-74.2323986647485</x:v>
      </x:c>
      <x:c r="U237" s="49"/>
      <x:c r="V237" s="48" t="n">
        <x:f>Model_Data!A237</x:f>
        <x:v>57.5</x:v>
      </x:c>
      <x:c r="W237" s="48" t="n">
        <x:f>Model_Data!B237-Inputs!$C$5</x:f>
        <x:v>3.673611111111086</x:v>
      </x:c>
      <x:c r="X237" s="49"/>
      <x:c r="Y237" s="48" t="n">
        <x:f>Model_Data!A237</x:f>
        <x:v>57.5</x:v>
      </x:c>
      <x:c r="Z237" s="48" t="n">
        <x:f>0</x:f>
        <x:v>0</x:v>
      </x:c>
      <x:c r="AA237" s="48" t="n">
        <x:f>((SQRT((Inputs!$C$52+Inputs!$C$5)^2+Inputs!$C$52^2-2*(Inputs!$C$52+Inputs!$C$5)*Inputs!$C$52*COS(SQRT((Model_Data!A237)^2+Inputs!$C$6^2)/Inputs!$C$52))-Inputs!$C$5)*1000/Inputs!$C$12)</x:f>
        <x:v>3441.4029953902796</x:v>
      </x:c>
      <x:c r="AB237" s="48" t="n">
        <x:f>Model_Data!F237</x:f>
        <x:v>3416.8930982326565</x:v>
      </x:c>
    </x:row>
    <x:row r="238">
      <x:c r="A238" s="48" t="n">
        <x:f>Model_Data!A238</x:f>
        <x:v>58</x:v>
      </x:c>
      <x:c r="B238" s="48" t="n">
        <x:f>0</x:f>
        <x:v>0</x:v>
      </x:c>
      <x:c r="C238" s="48" t="n">
        <x:f>((SQRT((Inputs!$C$52+Inputs!$C$5)^2+Inputs!$C$52^2-2*(Inputs!$C$52+Inputs!$C$5)*Inputs!$C$52*COS(SQRT((Model_Data!A238)^2+Inputs!$C$6^2)/Inputs!$C$52))-Inputs!$C$5)*1000/Inputs!$C$12)</x:f>
        <x:v>3491.563529741107</x:v>
      </x:c>
      <x:c r="D238" s="48" t="n">
        <x:f>Model_Data!F238</x:f>
        <x:v>3466.2721868216477</x:v>
      </x:c>
      <x:c r="E238" s="48" t="n">
        <x:f>Model_Data!AC238</x:f>
        <x:v>3375.954984734284</x:v>
      </x:c>
      <x:c r="F238" s="49"/>
      <x:c r="G238" s="48" t="n">
        <x:f>Model_Data!A238</x:f>
        <x:v>58</x:v>
      </x:c>
      <x:c r="H238" s="48" t="n">
        <x:f>0</x:f>
        <x:v>0</x:v>
      </x:c>
      <x:c r="I238" s="48" t="n">
        <x:f>Model_Data!Y238</x:f>
        <x:v>194.52778179385766</x:v>
      </x:c>
      <x:c r="J238" s="48" t="n">
        <x:f>Model_Data!X238</x:f>
        <x:v>30.070182113253747</x:v>
      </x:c>
      <x:c r="K238" s="48" t="n">
        <x:f>Model_Data!A238</x:f>
        <x:v>58</x:v>
      </x:c>
      <x:c r="L238" s="48" t="n">
        <x:f>Model_Data!Y238</x:f>
        <x:v>194.52778179385766</x:v>
      </x:c>
      <x:c r="M238" s="48" t="n">
        <x:f>Model_Data!X238</x:f>
        <x:v>30.070182113253747</x:v>
      </x:c>
      <x:c r="N238" s="48" t="n">
        <x:f>-(Model_Data!AC238-Model_Data!F238)*Inputs!$C$12</x:f>
        <x:v>160.76461971550705</x:v>
      </x:c>
      <x:c r="O238" s="49"/>
      <x:c r="P238" s="48" t="n">
        <x:f>Model_Data!A238</x:f>
        <x:v>58</x:v>
      </x:c>
      <x:c r="Q238" s="48" t="n">
        <x:f>Model_Data!P238</x:f>
        <x:v>-488.63679323794713</x:v>
      </x:c>
      <x:c r="R238" s="48" t="n">
        <x:f>Model_Data!AM238</x:f>
        <x:v>-473.0108753379682</x:v>
      </x:c>
      <x:c r="S238" s="48" t="n">
        <x:f>Model_Data!Q238</x:f>
        <x:v>-73.36888787356564</x:v>
      </x:c>
      <x:c r="T238" s="48" t="n">
        <x:f>Model_Data!AN238</x:f>
        <x:v>-71.02265395464988</x:v>
      </x:c>
      <x:c r="U238" s="49"/>
      <x:c r="V238" s="48" t="n">
        <x:f>Model_Data!A238</x:f>
        <x:v>58</x:v>
      </x:c>
      <x:c r="W238" s="48" t="n">
        <x:f>Model_Data!B238-Inputs!$C$5</x:f>
        <x:v>3.737777777777751</x:v>
      </x:c>
      <x:c r="X238" s="49"/>
      <x:c r="Y238" s="48" t="n">
        <x:f>Model_Data!A238</x:f>
        <x:v>58</x:v>
      </x:c>
      <x:c r="Z238" s="48" t="n">
        <x:f>0</x:f>
        <x:v>0</x:v>
      </x:c>
      <x:c r="AA238" s="48" t="n">
        <x:f>((SQRT((Inputs!$C$52+Inputs!$C$5)^2+Inputs!$C$52^2-2*(Inputs!$C$52+Inputs!$C$5)*Inputs!$C$52*COS(SQRT((Model_Data!A238)^2+Inputs!$C$6^2)/Inputs!$C$52))-Inputs!$C$5)*1000/Inputs!$C$12)</x:f>
        <x:v>3491.563529741107</x:v>
      </x:c>
      <x:c r="AB238" s="48" t="n">
        <x:f>Model_Data!F238</x:f>
        <x:v>3466.2721868216477</x:v>
      </x:c>
    </x:row>
    <x:row r="239">
      <x:c r="A239" s="48" t="n">
        <x:f>Model_Data!A239</x:f>
        <x:v>58.5</x:v>
      </x:c>
      <x:c r="B239" s="48" t="n">
        <x:f>0</x:f>
        <x:v>0</x:v>
      </x:c>
      <x:c r="C239" s="48" t="n">
        <x:f>((SQRT((Inputs!$C$52+Inputs!$C$5)^2+Inputs!$C$52^2-2*(Inputs!$C$52+Inputs!$C$5)*Inputs!$C$52*COS(SQRT((Model_Data!A239)^2+Inputs!$C$6^2)/Inputs!$C$52))-Inputs!$C$5)*1000/Inputs!$C$12)</x:f>
        <x:v>3542.1469873423243</x:v>
      </x:c>
      <x:c r="D239" s="48" t="n">
        <x:f>Model_Data!F239</x:f>
        <x:v>3516.055517830855</x:v>
      </x:c>
      <x:c r="E239" s="48" t="n">
        <x:f>Model_Data!AC239</x:f>
        <x:v>3428.256967146573</x:v>
      </x:c>
      <x:c r="F239" s="49"/>
      <x:c r="G239" s="48" t="n">
        <x:f>Model_Data!A239</x:f>
        <x:v>58.5</x:v>
      </x:c>
      <x:c r="H239" s="48" t="n">
        <x:f>0</x:f>
        <x:v>0</x:v>
      </x:c>
      <x:c r="I239" s="48" t="n">
        <x:f>Model_Data!Y239</x:f>
        <x:v>188.33221875951745</x:v>
      </x:c>
      <x:c r="J239" s="48" t="n">
        <x:f>Model_Data!X239</x:f>
        <x:v>28.425297518081656</x:v>
      </x:c>
      <x:c r="K239" s="48" t="n">
        <x:f>Model_Data!A239</x:f>
        <x:v>58.5</x:v>
      </x:c>
      <x:c r="L239" s="48" t="n">
        <x:f>Model_Data!Y239</x:f>
        <x:v>188.33221875951745</x:v>
      </x:c>
      <x:c r="M239" s="48" t="n">
        <x:f>Model_Data!X239</x:f>
        <x:v>28.425297518081656</x:v>
      </x:c>
      <x:c r="N239" s="48" t="n">
        <x:f>-(Model_Data!AC239-Model_Data!F239)*Inputs!$C$12</x:f>
        <x:v>156.2814202180219</x:v>
      </x:c>
      <x:c r="O239" s="49"/>
      <x:c r="P239" s="48" t="n">
        <x:f>Model_Data!A239</x:f>
        <x:v>58.5</x:v>
      </x:c>
      <x:c r="Q239" s="48" t="n">
        <x:f>Model_Data!P239</x:f>
        <x:v>-492.71549658133154</x:v>
      </x:c>
      <x:c r="R239" s="48" t="n">
        <x:f>Model_Data!AM239</x:f>
        <x:v>-494.11679295681097</x:v>
      </x:c>
      <x:c r="S239" s="48" t="n">
        <x:f>Model_Data!Q239</x:f>
        <x:v>-73.98130579299273</x:v>
      </x:c>
      <x:c r="T239" s="48" t="n">
        <x:f>Model_Data!AN239</x:f>
        <x:v>-74.19171065417582</x:v>
      </x:c>
      <x:c r="U239" s="49"/>
      <x:c r="V239" s="48" t="n">
        <x:f>Model_Data!A239</x:f>
        <x:v>58.5</x:v>
      </x:c>
      <x:c r="W239" s="48" t="n">
        <x:f>Model_Data!B239-Inputs!$C$5</x:f>
        <x:v>3.802500000000009</x:v>
      </x:c>
      <x:c r="X239" s="49"/>
      <x:c r="Y239" s="48" t="n">
        <x:f>Model_Data!A239</x:f>
        <x:v>58.5</x:v>
      </x:c>
      <x:c r="Z239" s="48" t="n">
        <x:f>0</x:f>
        <x:v>0</x:v>
      </x:c>
      <x:c r="AA239" s="48" t="n">
        <x:f>((SQRT((Inputs!$C$52+Inputs!$C$5)^2+Inputs!$C$52^2-2*(Inputs!$C$52+Inputs!$C$5)*Inputs!$C$52*COS(SQRT((Model_Data!A239)^2+Inputs!$C$6^2)/Inputs!$C$52))-Inputs!$C$5)*1000/Inputs!$C$12)</x:f>
        <x:v>3542.1469873423243</x:v>
      </x:c>
      <x:c r="AB239" s="48" t="n">
        <x:f>Model_Data!F239</x:f>
        <x:v>3516.055517830855</x:v>
      </x:c>
    </x:row>
    <x:row r="240">
      <x:c r="A240" s="48" t="n">
        <x:f>Model_Data!A240</x:f>
        <x:v>59</x:v>
      </x:c>
      <x:c r="B240" s="48" t="n">
        <x:f>0</x:f>
        <x:v>0</x:v>
      </x:c>
      <x:c r="C240" s="48" t="n">
        <x:f>((SQRT((Inputs!$C$52+Inputs!$C$5)^2+Inputs!$C$52^2-2*(Inputs!$C$52+Inputs!$C$5)*Inputs!$C$52*COS(SQRT((Model_Data!A240)^2+Inputs!$C$6^2)/Inputs!$C$52))-Inputs!$C$5)*1000/Inputs!$C$12)</x:f>
        <x:v>3593.153081902788</x:v>
      </x:c>
      <x:c r="D240" s="48" t="n">
        <x:f>Model_Data!F240</x:f>
        <x:v>3566.242515677423</x:v>
      </x:c>
      <x:c r="E240" s="48" t="n">
        <x:f>Model_Data!AC240</x:f>
        <x:v>3473.9548884925343</x:v>
      </x:c>
      <x:c r="F240" s="49"/>
      <x:c r="G240" s="48" t="n">
        <x:f>Model_Data!A240</x:f>
        <x:v>59</x:v>
      </x:c>
      <x:c r="H240" s="48" t="n">
        <x:f>0</x:f>
        <x:v>0</x:v>
      </x:c>
      <x:c r="I240" s="48" t="n">
        <x:f>Model_Data!Y240</x:f>
        <x:v>193.74067782731254</x:v>
      </x:c>
      <x:c r="J240" s="48" t="n">
        <x:f>Model_Data!X240</x:f>
        <x:v>25.687015205000044</x:v>
      </x:c>
      <x:c r="K240" s="48" t="n">
        <x:f>Model_Data!A240</x:f>
        <x:v>59</x:v>
      </x:c>
      <x:c r="L240" s="48" t="n">
        <x:f>Model_Data!Y240</x:f>
        <x:v>193.74067782731254</x:v>
      </x:c>
      <x:c r="M240" s="48" t="n">
        <x:f>Model_Data!X240</x:f>
        <x:v>25.687015205000044</x:v>
      </x:c>
      <x:c r="N240" s="48" t="n">
        <x:f>-(Model_Data!AC240-Model_Data!F240)*Inputs!$C$12</x:f>
        <x:v>164.27197638910172</x:v>
      </x:c>
      <x:c r="O240" s="49"/>
      <x:c r="P240" s="48" t="n">
        <x:f>Model_Data!A240</x:f>
        <x:v>59</x:v>
      </x:c>
      <x:c r="Q240" s="48" t="n">
        <x:f>Model_Data!P240</x:f>
        <x:v>-496.7909104278988</x:v>
      </x:c>
      <x:c r="R240" s="48" t="n">
        <x:f>Model_Data!AM240</x:f>
        <x:v>-527.305412295209</x:v>
      </x:c>
      <x:c r="S240" s="48" t="n">
        <x:f>Model_Data!Q240</x:f>
        <x:v>-74.59322979397881</x:v>
      </x:c>
      <x:c r="T240" s="48" t="n">
        <x:f>Model_Data!AN240</x:f>
        <x:v>-79.17498683111246</x:v>
      </x:c>
      <x:c r="U240" s="49"/>
      <x:c r="V240" s="48" t="n">
        <x:f>Model_Data!A240</x:f>
        <x:v>59</x:v>
      </x:c>
      <x:c r="W240" s="48" t="n">
        <x:f>Model_Data!B240-Inputs!$C$5</x:f>
        <x:v>3.8677777777778033</x:v>
      </x:c>
      <x:c r="X240" s="49"/>
      <x:c r="Y240" s="48" t="n">
        <x:f>Model_Data!A240</x:f>
        <x:v>59</x:v>
      </x:c>
      <x:c r="Z240" s="48" t="n">
        <x:f>0</x:f>
        <x:v>0</x:v>
      </x:c>
      <x:c r="AA240" s="48" t="n">
        <x:f>((SQRT((Inputs!$C$52+Inputs!$C$5)^2+Inputs!$C$52^2-2*(Inputs!$C$52+Inputs!$C$5)*Inputs!$C$52*COS(SQRT((Model_Data!A240)^2+Inputs!$C$6^2)/Inputs!$C$52))-Inputs!$C$5)*1000/Inputs!$C$12)</x:f>
        <x:v>3593.153081902788</x:v>
      </x:c>
      <x:c r="AB240" s="48" t="n">
        <x:f>Model_Data!F240</x:f>
        <x:v>3566.242515677423</x:v>
      </x:c>
    </x:row>
    <x:row r="241">
      <x:c r="A241" s="48" t="n">
        <x:f>Model_Data!A241</x:f>
        <x:v>59.5</x:v>
      </x:c>
      <x:c r="B241" s="48" t="n">
        <x:f>0</x:f>
        <x:v>0</x:v>
      </x:c>
      <x:c r="C241" s="48" t="n">
        <x:f>((SQRT((Inputs!$C$52+Inputs!$C$5)^2+Inputs!$C$52^2-2*(Inputs!$C$52+Inputs!$C$5)*Inputs!$C$52*COS(SQRT((Model_Data!A241)^2+Inputs!$C$6^2)/Inputs!$C$52))-Inputs!$C$5)*1000/Inputs!$C$12)</x:f>
        <x:v>3644.581524995093</x:v>
      </x:c>
      <x:c r="D241" s="48" t="n">
        <x:f>Model_Data!F241</x:f>
        <x:v>3616.8326009242887</x:v>
      </x:c>
      <x:c r="E241" s="48" t="n">
        <x:f>Model_Data!AC241</x:f>
        <x:v>3549.4429509301067</x:v>
      </x:c>
      <x:c r="F241" s="49"/>
      <x:c r="G241" s="48" t="n">
        <x:f>Model_Data!A241</x:f>
        <x:v>59.5</x:v>
      </x:c>
      <x:c r="H241" s="48" t="n">
        <x:f>0</x:f>
        <x:v>0</x:v>
      </x:c>
      <x:c r="I241" s="48" t="n">
        <x:f>Model_Data!Y241</x:f>
        <x:v>168.97901642333537</x:v>
      </x:c>
      <x:c r="J241" s="48" t="n">
        <x:f>Model_Data!X241</x:f>
        <x:v>45.681577079364786</x:v>
      </x:c>
      <x:c r="K241" s="48" t="n">
        <x:f>Model_Data!A241</x:f>
        <x:v>59.5</x:v>
      </x:c>
      <x:c r="L241" s="48" t="n">
        <x:f>Model_Data!Y241</x:f>
        <x:v>168.97901642333537</x:v>
      </x:c>
      <x:c r="M241" s="48" t="n">
        <x:f>Model_Data!X241</x:f>
        <x:v>45.681577079364786</x:v>
      </x:c>
      <x:c r="N241" s="48" t="n">
        <x:f>-(Model_Data!AC241-Model_Data!F241)*Inputs!$C$12</x:f>
        <x:v>119.95357698964402</x:v>
      </x:c>
      <x:c r="O241" s="49"/>
      <x:c r="P241" s="48" t="n">
        <x:f>Model_Data!A241</x:f>
        <x:v>59.5</x:v>
      </x:c>
      <x:c r="Q241" s="48" t="n">
        <x:f>Model_Data!P241</x:f>
        <x:v>-500.86301291985365</x:v>
      </x:c>
      <x:c r="R241" s="48" t="n">
        <x:f>Model_Data!AM241</x:f>
        <x:v>-523.5958188716722</x:v>
      </x:c>
      <x:c r="S241" s="48" t="n">
        <x:f>Model_Data!Q241</x:f>
        <x:v>-75.20465659457263</x:v>
      </x:c>
      <x:c r="T241" s="48" t="n">
        <x:f>Model_Data!AN241</x:f>
        <x:v>-78.61799082157242</x:v>
      </x:c>
      <x:c r="U241" s="49"/>
      <x:c r="V241" s="48" t="n">
        <x:f>Model_Data!A241</x:f>
        <x:v>59.5</x:v>
      </x:c>
      <x:c r="W241" s="48" t="n">
        <x:f>Model_Data!B241-Inputs!$C$5</x:f>
        <x:v>3.9336111111111336</x:v>
      </x:c>
      <x:c r="X241" s="49"/>
      <x:c r="Y241" s="48" t="n">
        <x:f>Model_Data!A241</x:f>
        <x:v>59.5</x:v>
      </x:c>
      <x:c r="Z241" s="48" t="n">
        <x:f>0</x:f>
        <x:v>0</x:v>
      </x:c>
      <x:c r="AA241" s="48" t="n">
        <x:f>((SQRT((Inputs!$C$52+Inputs!$C$5)^2+Inputs!$C$52^2-2*(Inputs!$C$52+Inputs!$C$5)*Inputs!$C$52*COS(SQRT((Model_Data!A241)^2+Inputs!$C$6^2)/Inputs!$C$52))-Inputs!$C$5)*1000/Inputs!$C$12)</x:f>
        <x:v>3644.581524995093</x:v>
      </x:c>
      <x:c r="AB241" s="48" t="n">
        <x:f>Model_Data!F241</x:f>
        <x:v>3616.8326009242887</x:v>
      </x:c>
    </x:row>
    <x:row r="242">
      <x:c r="A242" s="48" t="n">
        <x:f>Model_Data!A242</x:f>
        <x:v>60</x:v>
      </x:c>
      <x:c r="B242" s="48" t="n">
        <x:f>0</x:f>
        <x:v>0</x:v>
      </x:c>
      <x:c r="C242" s="48" t="n">
        <x:f>((SQRT((Inputs!$C$52+Inputs!$C$5)^2+Inputs!$C$52^2-2*(Inputs!$C$52+Inputs!$C$5)*Inputs!$C$52*COS(SQRT((Model_Data!A242)^2+Inputs!$C$6^2)/Inputs!$C$52))-Inputs!$C$5)*1000/Inputs!$C$12)</x:f>
        <x:v>3696.432026065829</x:v>
      </x:c>
      <x:c r="D242" s="48" t="n">
        <x:f>Model_Data!F242</x:f>
        <x:v>3667.825190313778</x:v>
      </x:c>
      <x:c r="E242" s="48" t="n">
        <x:f>Model_Data!AC242</x:f>
        <x:v>3587.006731344652</x:v>
      </x:c>
      <x:c r="F242" s="49"/>
      <x:c r="G242" s="48" t="n">
        <x:f>Model_Data!A242</x:f>
        <x:v>60</x:v>
      </x:c>
      <x:c r="H242" s="48" t="n">
        <x:f>0</x:f>
        <x:v>0</x:v>
      </x:c>
      <x:c r="I242" s="48" t="n">
        <x:f>Model_Data!Y242</x:f>
        <x:v>179.34901119414707</x:v>
      </x:c>
      <x:c r="J242" s="48" t="n">
        <x:f>Model_Data!X242</x:f>
        <x:v>31.89413090916895</x:v>
      </x:c>
      <x:c r="K242" s="48" t="n">
        <x:f>Model_Data!A242</x:f>
        <x:v>60</x:v>
      </x:c>
      <x:c r="L242" s="48" t="n">
        <x:f>Model_Data!Y242</x:f>
        <x:v>179.34901119414707</x:v>
      </x:c>
      <x:c r="M242" s="48" t="n">
        <x:f>Model_Data!X242</x:f>
        <x:v>31.89413090916895</x:v>
      </x:c>
      <x:c r="N242" s="48" t="n">
        <x:f>-(Model_Data!AC242-Model_Data!F242)*Inputs!$C$12</x:f>
        <x:v>143.85685696504413</x:v>
      </x:c>
      <x:c r="O242" s="49"/>
      <x:c r="P242" s="48" t="n">
        <x:f>Model_Data!A242</x:f>
        <x:v>60</x:v>
      </x:c>
      <x:c r="Q242" s="48" t="n">
        <x:f>Model_Data!P242</x:f>
        <x:v>-502.89823360690207</x:v>
      </x:c>
      <x:c r="R242" s="48" t="n">
        <x:f>Model_Data!AM242</x:f>
        <x:v>-470.52756543034775</x:v>
      </x:c>
      <x:c r="S242" s="48" t="n">
        <x:f>Model_Data!Q242</x:f>
        <x:v>-75.51024528632163</x:v>
      </x:c>
      <x:c r="T242" s="48" t="n">
        <x:f>Model_Data!AN242</x:f>
        <x:v>-70.64978459915132</x:v>
      </x:c>
      <x:c r="U242" s="49"/>
      <x:c r="V242" s="48" t="n">
        <x:f>Model_Data!A242</x:f>
        <x:v>60</x:v>
      </x:c>
      <x:c r="W242" s="48" t="n">
        <x:f>Model_Data!B242-Inputs!$C$5</x:f>
        <x:v>4</x:v>
      </x:c>
      <x:c r="X242" s="49"/>
      <x:c r="Y242" s="48" t="n">
        <x:f>Model_Data!A242</x:f>
        <x:v>60</x:v>
      </x:c>
      <x:c r="Z242" s="48" t="n">
        <x:f>0</x:f>
        <x:v>0</x:v>
      </x:c>
      <x:c r="AA242" s="48" t="n">
        <x:f>((SQRT((Inputs!$C$52+Inputs!$C$5)^2+Inputs!$C$52^2-2*(Inputs!$C$52+Inputs!$C$5)*Inputs!$C$52*COS(SQRT((Model_Data!A242)^2+Inputs!$C$6^2)/Inputs!$C$52))-Inputs!$C$5)*1000/Inputs!$C$12)</x:f>
        <x:v>3696.432026065829</x:v>
      </x:c>
      <x:c r="AB242" s="48" t="n">
        <x:f>Model_Data!F242</x:f>
        <x:v>3667.825190313778</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0" hidden="0" customWidth="1"/>
    <x:col min="4" max="4" width="30" hidden="0" customWidth="1"/>
    <x:col min="5" max="5" width="32" hidden="0" customWidth="1"/>
    <x:col min="6" max="6" width="4" hidden="0" customWidth="1"/>
    <x:col min="7" max="7" width="12" hidden="0" customWidth="1"/>
    <x:col min="8" max="8" width="30" hidden="0" customWidth="1"/>
    <x:col min="9" max="9" width="34" hidden="0" customWidth="1"/>
    <x:col min="10" max="10" width="34" hidden="0" customWidth="1"/>
    <x:col min="11" max="11" width="36" hidden="0" customWidth="1"/>
    <x:col min="12" max="12" width="4" hidden="0" customWidth="1"/>
    <x:col min="13" max="13" width="12" hidden="0" customWidth="1"/>
    <x:col min="14" max="14" width="30" hidden="0" customWidth="1"/>
    <x:col min="15" max="15" width="34" hidden="0" customWidth="1"/>
    <x:col min="16" max="16" width="34" hidden="0" customWidth="1"/>
    <x:col min="17" max="17" width="36" hidden="0" customWidth="1"/>
    <x:col min="18" max="18" width="4" hidden="0" customWidth="1"/>
    <x:col min="19" max="19" width="12" hidden="0" customWidth="1"/>
    <x:col min="20" max="20" width="24" hidden="0" customWidth="1"/>
    <x:col min="21" max="21" width="30" hidden="0" customWidth="1"/>
    <x:col min="22" max="22" width="30" hidden="0" customWidth="1"/>
    <x:col min="23" max="23" width="32" hidden="0" customWidth="1"/>
    <x:col min="25" max="25" width="12" hidden="0" customWidth="1"/>
    <x:col min="26" max="26" width="24" hidden="0" customWidth="1"/>
    <x:col min="27" max="27" width="30" hidden="0" customWidth="1"/>
    <x:col min="28" max="28" width="30" hidden="0" customWidth="1"/>
    <x:col min="29" max="29" width="32" hidden="0" customWidth="1"/>
    <x:col min="31" max="31" width="12" hidden="0" customWidth="1"/>
    <x:col min="32" max="32" width="30" hidden="0" customWidth="1"/>
    <x:col min="33" max="33" width="34" hidden="0" customWidth="1"/>
    <x:col min="34" max="34" width="34" hidden="0" customWidth="1"/>
    <x:col min="35" max="35" width="36" hidden="0" customWidth="1"/>
    <x:col min="37" max="37" width="12" hidden="0" customWidth="1"/>
    <x:col min="38" max="38" width="30" hidden="0" customWidth="1"/>
    <x:col min="39" max="39" width="34" hidden="0" customWidth="1"/>
    <x:col min="40" max="40" width="34" hidden="0" customWidth="1"/>
    <x:col min="41" max="41" width="36" hidden="0" customWidth="1"/>
    <x:col min="43" max="43" width="12" hidden="0" customWidth="1"/>
    <x:col min="44" max="44" width="24" hidden="0" customWidth="1"/>
    <x:col min="45" max="45" width="32" hidden="0" customWidth="1"/>
    <x:col min="46" max="46" width="36" hidden="0" customWidth="1"/>
    <x:col min="47" max="47" width="36" hidden="0" customWidth="1"/>
    <x:col min="48" max="48" width="38" hidden="0" customWidth="1"/>
    <x:col min="50" max="50" width="12" hidden="0" customWidth="1"/>
    <x:col min="51" max="51" width="28" hidden="0" customWidth="1"/>
    <x:col min="52" max="52" width="24" hidden="0" customWidth="1"/>
    <x:col min="53" max="53" width="30" hidden="0" customWidth="1"/>
    <x:col min="54" max="54" width="30" hidden="0" customWidth="1"/>
    <x:col min="55" max="55" width="32" hidden="0" customWidth="1"/>
    <x:col min="57" max="57" width="12" hidden="0" customWidth="1"/>
    <x:col min="58" max="58" width="28" hidden="0" customWidth="1"/>
    <x:col min="59" max="59" width="30" hidden="0" customWidth="1"/>
    <x:col min="60" max="60" width="34" hidden="0" customWidth="1"/>
    <x:col min="61" max="61" width="34" hidden="0" customWidth="1"/>
    <x:col min="62" max="62" width="36" hidden="0" customWidth="1"/>
  </x:cols>
  <x:sheetData>
    <x:row r="1">
      <x:c r="A1" s="14" t="str">
        <x:v>pass fraction</x:v>
      </x:c>
      <x:c r="B1" s="14" t="str">
        <x:v>Current custom inputs altitude (km)</x:v>
      </x:c>
      <x:c r="C1" s="14" t="str">
        <x:v>Paper low-altitude 800-km pass altitude (km)</x:v>
      </x:c>
      <x:c r="D1" s="14" t="str">
        <x:v>Paper ice-ocean 1600-km pass altitude (km)</x:v>
      </x:c>
      <x:c r="E1" s="14" t="str">
        <x:v>Paper operating 25-to-1000-km pass altitude (km)</x:v>
      </x:c>
      <x:c r="G1" s="14" t="str">
        <x:v>pass fraction</x:v>
      </x:c>
      <x:c r="H1" s="14" t="str">
        <x:v>Current custom inputs apparent depth (m)</x:v>
      </x:c>
      <x:c r="I1" s="14" t="str">
        <x:v>Paper low-altitude 800-km pass apparent depth (m)</x:v>
      </x:c>
      <x:c r="J1" s="14" t="str">
        <x:v>Paper ice-ocean 1600-km pass apparent depth (m)</x:v>
      </x:c>
      <x:c r="K1" s="14" t="str">
        <x:v>Paper operating 25-to-1000-km pass apparent depth (m)</x:v>
      </x:c>
      <x:c r="M1" s="14" t="str">
        <x:v>pass fraction</x:v>
      </x:c>
      <x:c r="N1" s="14" t="str">
        <x:v>Current custom inputs VHF Doppler (Hz)</x:v>
      </x:c>
      <x:c r="O1" s="14" t="str">
        <x:v>Paper low-altitude 800-km pass VHF Doppler (Hz)</x:v>
      </x:c>
      <x:c r="P1" s="14" t="str">
        <x:v>Paper ice-ocean 1600-km pass VHF Doppler (Hz)</x:v>
      </x:c>
      <x:c r="Q1" s="14" t="str">
        <x:v>Paper operating 25-to-1000-km pass VHF Doppler (Hz)</x:v>
      </x:c>
      <x:c r="S1" s="14" t="str">
        <x:v>pass fraction</x:v>
      </x:c>
      <x:c r="T1" s="14" t="str">
        <x:v>Current custom inputs x (km)</x:v>
      </x:c>
      <x:c r="U1" s="14" t="str">
        <x:v>Paper low-altitude 800-km pass x (km)</x:v>
      </x:c>
      <x:c r="V1" s="14" t="str">
        <x:v>Paper ice-ocean 1600-km pass x (km)</x:v>
      </x:c>
      <x:c r="W1" s="14" t="str">
        <x:v>Paper operating 25-to-1000-km pass x (km)</x:v>
      </x:c>
      <x:c r="Y1" s="14" t="str">
        <x:v>pass fraction</x:v>
      </x:c>
      <x:c r="Z1" s="14" t="str">
        <x:v>Current custom inputs raw altitude (km)</x:v>
      </x:c>
      <x:c r="AA1" s="14" t="str">
        <x:v>Paper low-altitude 800-km pass raw altitude (km)</x:v>
      </x:c>
      <x:c r="AB1" s="14" t="str">
        <x:v>Paper ice-ocean 1600-km pass raw altitude (km)</x:v>
      </x:c>
      <x:c r="AC1" s="14" t="str">
        <x:v>Paper operating 25-to-1000-km pass raw altitude (km)</x:v>
      </x:c>
      <x:c r="AE1" s="14" t="str">
        <x:v>pass fraction</x:v>
      </x:c>
      <x:c r="AF1" s="14" t="str">
        <x:v>Current custom inputs raw apparent depth (m)</x:v>
      </x:c>
      <x:c r="AG1" s="14" t="str">
        <x:v>Paper low-altitude 800-km pass raw apparent depth (m)</x:v>
      </x:c>
      <x:c r="AH1" s="14" t="str">
        <x:v>Paper ice-ocean 1600-km pass raw apparent depth (m)</x:v>
      </x:c>
      <x:c r="AI1" s="14" t="str">
        <x:v>Paper operating 25-to-1000-km pass raw apparent depth (m)</x:v>
      </x:c>
      <x:c r="AK1" s="14" t="str">
        <x:v>pass fraction</x:v>
      </x:c>
      <x:c r="AL1" s="14" t="str">
        <x:v>Current custom inputs raw VHF Doppler (Hz)</x:v>
      </x:c>
      <x:c r="AM1" s="14" t="str">
        <x:v>Paper low-altitude 800-km pass raw VHF Doppler (Hz)</x:v>
      </x:c>
      <x:c r="AN1" s="14" t="str">
        <x:v>Paper ice-ocean 1600-km pass raw VHF Doppler (Hz)</x:v>
      </x:c>
      <x:c r="AO1" s="14" t="str">
        <x:v>Paper operating 25-to-1000-km pass raw VHF Doppler (Hz)</x:v>
      </x:c>
      <x:c r="AQ1" s="14" t="str">
        <x:v>pass fraction</x:v>
      </x:c>
      <x:c r="AR1" s="14" t="str">
        <x:v>Reference floor (0 m, not a run)</x:v>
      </x:c>
      <x:c r="AS1" s="14" t="str">
        <x:v>Current custom inputs off-nadir surface (m)</x:v>
      </x:c>
      <x:c r="AT1" s="14" t="str">
        <x:v>Paper low-altitude 800-km pass off-nadir surface (m)</x:v>
      </x:c>
      <x:c r="AU1" s="14" t="str">
        <x:v>Paper ice-ocean 1600-km pass off-nadir surface (m)</x:v>
      </x:c>
      <x:c r="AV1" s="14" t="str">
        <x:v>Paper operating 25-to-1000-km pass off-nadir surface (m)</x:v>
      </x:c>
      <x:c r="AX1" s="14" t="str">
        <x:v>pass fraction</x:v>
      </x:c>
      <x:c r="AY1" s="14" t="str">
        <x:v>Reference surface floor (0 km, not a run)</x:v>
      </x:c>
      <x:c r="AZ1" s="14" t="str">
        <x:v>Current custom inputs altitude (km)</x:v>
      </x:c>
      <x:c r="BA1" s="14" t="str">
        <x:v>Paper low-altitude 800-km pass altitude (km)</x:v>
      </x:c>
      <x:c r="BB1" s="14" t="str">
        <x:v>Paper ice-ocean 1600-km pass altitude (km)</x:v>
      </x:c>
      <x:c r="BC1" s="14" t="str">
        <x:v>Paper operating 25-to-1000-km pass altitude (km)</x:v>
      </x:c>
      <x:c r="BE1" s="14" t="str">
        <x:v>pass fraction</x:v>
      </x:c>
      <x:c r="BF1" s="14" t="str">
        <x:v>Zero-depth reference (0 m, not a run)</x:v>
      </x:c>
      <x:c r="BG1" s="14" t="str">
        <x:v>Current custom inputs apparent depth (m)</x:v>
      </x:c>
      <x:c r="BH1" s="14" t="str">
        <x:v>Paper low-altitude 800-km pass apparent depth (m)</x:v>
      </x:c>
      <x:c r="BI1" s="14" t="str">
        <x:v>Paper ice-ocean 1600-km pass apparent depth (m)</x:v>
      </x:c>
      <x:c r="BJ1" s="14" t="str">
        <x:v>Paper operating 25-to-1000-km pass apparent depth (m)</x:v>
      </x:c>
    </x:row>
    <x:row r="2">
      <x:c r="A2" s="48" t="n">
        <x:f>ROUND(-1+0*2/240,3)</x:f>
        <x:v>-1</x:v>
      </x:c>
      <x:c r="B2" s="48" t="n">
        <x:f>IF(OR(Inputs!$F$6=TRUE,Inputs!$F$6="TRUE",Inputs!$F$6=1),(Inputs!$H$6+Inputs!$L$6*(((Inputs!$I$6+(((A2)+1)/2)*(Inputs!$J$6-Inputs!$I$6)))/Inputs!$K$6)^2),NA())</x:f>
        <x:v>404</x:v>
      </x:c>
      <x:c r="C2" s="48" t="n">
        <x:f>IF(OR(Inputs!$F$7=TRUE,Inputs!$F$7="TRUE",Inputs!$F$7=1),(Inputs!$H$7+Inputs!$L$7*(((Inputs!$I$7+(((A2)+1)/2)*(Inputs!$J$7-Inputs!$I$7)))/Inputs!$K$7)^2),NA())</x:f>
        <x:v>400</x:v>
      </x:c>
      <x:c r="D2" s="48" t="n">
        <x:f>IF(OR(Inputs!$F$8=TRUE,Inputs!$F$8="TRUE",Inputs!$F$8=1),(Inputs!$H$8+Inputs!$L$8*(((Inputs!$I$8+(((A2)+1)/2)*(Inputs!$J$8-Inputs!$I$8)))/Inputs!$K$8)^2),NA())</x:f>
        <x:v>1000</x:v>
      </x:c>
      <x:c r="E2" s="48" t="n">
        <x:f>IF(OR(Inputs!$F$9=TRUE,Inputs!$F$9="TRUE",Inputs!$F$9=1),(Inputs!$H$9+Inputs!$L$9*(((Inputs!$I$9+(((A2)+1)/2)*(Inputs!$J$9-Inputs!$I$9)))/Inputs!$K$9)^2),NA())</x:f>
        <x:v>1000</x:v>
      </x:c>
      <x:c r="F2" s="49"/>
      <x:c r="G2" s="48" t="n">
        <x:f>A2</x:f>
        <x:v>-1</x:v>
      </x:c>
      <x:c r="H2" s="48"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I2" s="48"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J2" s="48"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K2" s="48"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c r="L2" s="49"/>
      <x:c r="M2" s="48" t="n">
        <x:f>A2</x:f>
        <x:v>-1</x:v>
      </x:c>
      <x:c r="N2" s="48" t="n">
        <x: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x:f>
        <x:v>504.93234145565276</x:v>
      </x:c>
      <x:c r="O2" s="48" t="n">
        <x: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x:f>
        <x:v>3517.728529041067</x:v>
      </x:c>
      <x:c r="P2" s="48" t="n">
        <x: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x:f>
        <x:v>4665.341278693438</x:v>
      </x:c>
      <x:c r="Q2" s="48" t="n">
        <x: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x:f>
        <x:v>4699.066787940814</x:v>
      </x:c>
      <x:c r="R2" s="49"/>
      <x:c r="S2" s="48" t="n">
        <x:f>A2</x:f>
        <x:v>-1</x:v>
      </x:c>
      <x:c r="T2" s="48" t="n">
        <x:f>(Inputs!$I$6+(((A2)+1)/2)*(Inputs!$J$6-Inputs!$I$6))</x:f>
        <x:v>-60</x:v>
      </x:c>
      <x:c r="U2" s="48" t="n">
        <x:f>(Inputs!$I$7+(((A2)+1)/2)*(Inputs!$J$7-Inputs!$I$7))</x:f>
        <x:v>-400</x:v>
      </x:c>
      <x:c r="V2" s="48" t="n">
        <x:f>(Inputs!$I$8+(((A2)+1)/2)*(Inputs!$J$8-Inputs!$I$8))</x:f>
        <x:v>-800</x:v>
      </x:c>
      <x:c r="W2" s="48" t="n">
        <x:f>(Inputs!$I$9+(((A2)+1)/2)*(Inputs!$J$9-Inputs!$I$9))</x:f>
        <x:v>-800</x:v>
      </x:c>
      <x:c r="X2" s="49"/>
      <x:c r="Y2" s="48" t="n">
        <x:f>A2</x:f>
        <x:v>-1</x:v>
      </x:c>
      <x:c r="Z2" s="48" t="n">
        <x:f>(Inputs!$H$6+Inputs!$L$6*(((Inputs!$I$6+(((A2)+1)/2)*(Inputs!$J$6-Inputs!$I$6)))/Inputs!$K$6)^2)</x:f>
        <x:v>404</x:v>
      </x:c>
      <x:c r="AA2" s="48" t="n">
        <x:f>(Inputs!$H$7+Inputs!$L$7*(((Inputs!$I$7+(((A2)+1)/2)*(Inputs!$J$7-Inputs!$I$7)))/Inputs!$K$7)^2)</x:f>
        <x:v>400</x:v>
      </x:c>
      <x:c r="AB2" s="48" t="n">
        <x:f>(Inputs!$H$8+Inputs!$L$8*(((Inputs!$I$8+(((A2)+1)/2)*(Inputs!$J$8-Inputs!$I$8)))/Inputs!$K$8)^2)</x:f>
        <x:v>1000</x:v>
      </x:c>
      <x:c r="AC2" s="48" t="n">
        <x:f>(Inputs!$H$9+Inputs!$L$9*(((Inputs!$I$9+(((A2)+1)/2)*(Inputs!$J$9-Inputs!$I$9)))/Inputs!$K$9)^2)</x:f>
        <x:v>1000</x:v>
      </x:c>
      <x:c r="AD2" s="49"/>
      <x:c r="AE2" s="48" t="n">
        <x:f>A2</x:f>
        <x:v>-1</x:v>
      </x:c>
      <x:c r="AF2" s="48" t="n">
        <x:f>(((SQRT((Inputs!$C$52+((Inputs!$H$6+Inputs!$L$6*(((Inputs!$I$6+(((A2)+1)/2)*(Inputs!$J$6-Inputs!$I$6)))/Inputs!$K$6)^2)))^2+Inputs!$C$52^2-2*(Inputs!$C$52+((Inputs!$H$6+Inputs!$L$6*(((Inputs!$I$6+(((A2)+1)/2)*(Inputs!$J$6-Inputs!$I$6)))/Inputs!$K$6)^2)))*Inputs!$C$52*COS(SQRT(((Inputs!$I$6+(((A2)+1)/2)*(Inputs!$J$6-Inputs!$I$6)))^2+Inputs!$C$6^2)/Inputs!$C$52)))-((Inputs!$H$6+Inputs!$L$6*(((Inputs!$I$6+(((A2)+1)/2)*(Inputs!$J$6-Inputs!$I$6)))/Inputs!$K$6)^2)))*1000/Inputs!$C$12)</x:f>
        <x:v>3667.825190313778</x:v>
      </x:c>
      <x:c r="AG2" s="48" t="n">
        <x:f>(((SQRT((Inputs!$C$52+((Inputs!$H$7+Inputs!$L$7*(((Inputs!$I$7+(((A2)+1)/2)*(Inputs!$J$7-Inputs!$I$7)))/Inputs!$K$7)^2)))^2+Inputs!$C$52^2-2*(Inputs!$C$52+((Inputs!$H$7+Inputs!$L$7*(((Inputs!$I$7+(((A2)+1)/2)*(Inputs!$J$7-Inputs!$I$7)))/Inputs!$K$7)^2)))*Inputs!$C$52*COS(SQRT(((Inputs!$I$7+(((A2)+1)/2)*(Inputs!$J$7-Inputs!$I$7)))^2+Inputs!$C$6^2)/Inputs!$C$52)))-((Inputs!$H$7+Inputs!$L$7*(((Inputs!$I$7+(((A2)+1)/2)*(Inputs!$J$7-Inputs!$I$7)))/Inputs!$K$7)^2)))*1000/Inputs!$C$12)</x:f>
        <x:v>112679.37253407703</x:v>
      </x:c>
      <x:c r="AH2" s="48" t="n">
        <x:f>(((SQRT((Inputs!$C$52+((Inputs!$H$8+Inputs!$L$8*(((Inputs!$I$8+(((A2)+1)/2)*(Inputs!$J$8-Inputs!$I$8)))/Inputs!$K$8)^2)))^2+Inputs!$C$52^2-2*(Inputs!$C$52+((Inputs!$H$8+Inputs!$L$8*(((Inputs!$I$8+(((A2)+1)/2)*(Inputs!$J$8-Inputs!$I$8)))/Inputs!$K$8)^2)))*Inputs!$C$52*COS(SQRT(((Inputs!$I$8+(((A2)+1)/2)*(Inputs!$J$8-Inputs!$I$8)))^2+Inputs!$C$6^2)/Inputs!$C$52)))-((Inputs!$H$8+Inputs!$L$8*(((Inputs!$I$8+(((A2)+1)/2)*(Inputs!$J$8-Inputs!$I$8)))/Inputs!$K$8)^2)))*1000/Inputs!$C$12)</x:f>
        <x:v>238293.5737447618</x:v>
      </x:c>
      <x:c r="AI2" s="48" t="n">
        <x:f>(((SQRT((Inputs!$C$52+((Inputs!$H$9+Inputs!$L$9*(((Inputs!$I$9+(((A2)+1)/2)*(Inputs!$J$9-Inputs!$I$9)))/Inputs!$K$9)^2)))^2+Inputs!$C$52^2-2*(Inputs!$C$52+((Inputs!$H$9+Inputs!$L$9*(((Inputs!$I$9+(((A2)+1)/2)*(Inputs!$J$9-Inputs!$I$9)))/Inputs!$K$9)^2)))*Inputs!$C$52*COS(SQRT(((Inputs!$I$9+(((A2)+1)/2)*(Inputs!$J$9-Inputs!$I$9)))^2+Inputs!$C$6^2)/Inputs!$C$52)))-((Inputs!$H$9+Inputs!$L$9*(((Inputs!$I$9+(((A2)+1)/2)*(Inputs!$J$9-Inputs!$I$9)))/Inputs!$K$9)^2)))*1000/Inputs!$C$12)</x:f>
        <x:v>238293.5737447618</x:v>
      </x:c>
      <x:c r="AJ2" s="49"/>
      <x:c r="AK2" s="48" t="n">
        <x:f>A2</x:f>
        <x:v>-1</x:v>
      </x:c>
      <x:c r="AL2" s="48" t="n">
        <x: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x:f>
        <x:v>504.93234145565276</x:v>
      </x:c>
      <x:c r="AM2" s="48" t="n">
        <x: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x:f>
        <x:v>3517.728529041067</x:v>
      </x:c>
      <x:c r="AN2" s="48" t="n">
        <x: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x:f>
        <x:v>4665.341278693438</x:v>
      </x:c>
      <x:c r="AO2" s="48" t="n">
        <x: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x:f>
        <x:v>4699.066787940814</x:v>
      </x:c>
      <x:c r="AP2" s="49"/>
      <x:c r="AQ2" s="48" t="n">
        <x:f>A2</x:f>
        <x:v>-1</x:v>
      </x:c>
      <x:c r="AR2" s="48" t="n">
        <x:f>0</x:f>
        <x:v>0</x:v>
      </x:c>
      <x:c r="AS2" s="48" t="n">
        <x: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(0.45*SIN(2*PI()*((((Inputs!$I$6+(((A2)+1)/2)*(Inputs!$J$6-Inputs!$I$6)))/Inputs!$C$49)+Inputs!$C$47*0.137))+0.35*COS(2*PI()*(((Inputs!$C$6)/Inputs!$C$50)+Inputs!$C$47*0.173))+0.20*SIN(2*PI()*((((Inputs!$I$6+(((A2)+1)/2)*(Inputs!$J$6-Inputs!$I$6)))+(Inputs!$C$6))/(0.5*(Inputs!$C$49+Inputs!$C$50))+Inputs!$C$47*0.097)))+0.30*(2*((SIN((((Inputs!$I$6+(((A2)+1)/2)*(Inputs!$J$6-Inputs!$I$6)))*12.9898+(Inputs!$C$6)*78.233+Inputs!$C$47*37.719))*43758.5453)-INT((SIN((((Inputs!$I$6+(((A2)+1)/2)*(Inputs!$J$6-Inputs!$I$6)))*12.9898+(Inputs!$C$6)*78.233+Inputs!$C$47*37.719))*43758.5453)))-1))),NA())</x:f>
        <x:v>119.42638570504096</x:v>
      </x:c>
      <x:c r="AT2" s="48" t="n">
        <x: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(0.45*SIN(2*PI()*((((Inputs!$I$7+(((A2)+1)/2)*(Inputs!$J$7-Inputs!$I$7)))/Inputs!$C$49)+Inputs!$C$47*0.137))+0.35*COS(2*PI()*(((Inputs!$C$6)/Inputs!$C$50)+Inputs!$C$47*0.173))+0.20*SIN(2*PI()*((((Inputs!$I$7+(((A2)+1)/2)*(Inputs!$J$7-Inputs!$I$7)))+(Inputs!$C$6))/(0.5*(Inputs!$C$49+Inputs!$C$50))+Inputs!$C$47*0.097)))+0.30*(2*((SIN((((Inputs!$I$7+(((A2)+1)/2)*(Inputs!$J$7-Inputs!$I$7)))*12.9898+(Inputs!$C$6)*78.233+Inputs!$C$47*37.719))*43758.5453)-INT((SIN((((Inputs!$I$7+(((A2)+1)/2)*(Inputs!$J$7-Inputs!$I$7)))*12.9898+(Inputs!$C$6)*78.233+Inputs!$C$47*37.719))*43758.5453)))-1))),NA())</x:f>
        <x:v>102.57205251432374</x:v>
      </x:c>
      <x:c r="AU2" s="48" t="n">
        <x: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(0.45*SIN(2*PI()*((((Inputs!$I$8+(((A2)+1)/2)*(Inputs!$J$8-Inputs!$I$8)))/Inputs!$C$49)+Inputs!$C$47*0.137))+0.35*COS(2*PI()*(((Inputs!$C$6)/Inputs!$C$50)+Inputs!$C$47*0.173))+0.20*SIN(2*PI()*((((Inputs!$I$8+(((A2)+1)/2)*(Inputs!$J$8-Inputs!$I$8)))+(Inputs!$C$6))/(0.5*(Inputs!$C$49+Inputs!$C$50))+Inputs!$C$47*0.097)))+0.30*(2*((SIN((((Inputs!$I$8+(((A2)+1)/2)*(Inputs!$J$8-Inputs!$I$8)))*12.9898+(Inputs!$C$6)*78.233+Inputs!$C$47*37.719))*43758.5453)-INT((SIN((((Inputs!$I$8+(((A2)+1)/2)*(Inputs!$J$8-Inputs!$I$8)))*12.9898+(Inputs!$C$6)*78.233+Inputs!$C$47*37.719))*43758.5453)))-1))),NA())</x:f>
        <x:v>138.02549272579066</x:v>
      </x:c>
      <x:c r="AV2" s="48" t="n">
        <x: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(0.45*SIN(2*PI()*((((Inputs!$I$9+(((A2)+1)/2)*(Inputs!$J$9-Inputs!$I$9)))/Inputs!$C$49)+Inputs!$C$47*0.137))+0.35*COS(2*PI()*(((Inputs!$C$6)/Inputs!$C$50)+Inputs!$C$47*0.173))+0.20*SIN(2*PI()*((((Inputs!$I$9+(((A2)+1)/2)*(Inputs!$J$9-Inputs!$I$9)))+(Inputs!$C$6))/(0.5*(Inputs!$C$49+Inputs!$C$50))+Inputs!$C$47*0.097)))+0.30*(2*((SIN((((Inputs!$I$9+(((A2)+1)/2)*(Inputs!$J$9-Inputs!$I$9)))*12.9898+(Inputs!$C$6)*78.233+Inputs!$C$47*37.719))*43758.5453)-INT((SIN((((Inputs!$I$9+(((A2)+1)/2)*(Inputs!$J$9-Inputs!$I$9)))*12.9898+(Inputs!$C$6)*78.233+Inputs!$C$47*37.719))*43758.5453)))-1))),NA())</x:f>
        <x:v>138.02549272579066</x:v>
      </x:c>
      <x:c r="AW2" s="49"/>
      <x:c r="AX2" s="48" t="n">
        <x:f>A2</x:f>
        <x:v>-1</x:v>
      </x:c>
      <x:c r="AY2" s="48" t="n">
        <x:f>0</x:f>
        <x:v>0</x:v>
      </x:c>
      <x:c r="AZ2" s="48" t="n">
        <x:f>IF(OR(Inputs!$F$6=TRUE,Inputs!$F$6="TRUE",Inputs!$F$6=1),(Inputs!$H$6+Inputs!$L$6*(((Inputs!$I$6+(((A2)+1)/2)*(Inputs!$J$6-Inputs!$I$6)))/Inputs!$K$6)^2),NA())</x:f>
        <x:v>404</x:v>
      </x:c>
      <x:c r="BA2" s="48" t="n">
        <x:f>IF(OR(Inputs!$F$7=TRUE,Inputs!$F$7="TRUE",Inputs!$F$7=1),(Inputs!$H$7+Inputs!$L$7*(((Inputs!$I$7+(((A2)+1)/2)*(Inputs!$J$7-Inputs!$I$7)))/Inputs!$K$7)^2),NA())</x:f>
        <x:v>400</x:v>
      </x:c>
      <x:c r="BB2" s="48" t="n">
        <x:f>IF(OR(Inputs!$F$8=TRUE,Inputs!$F$8="TRUE",Inputs!$F$8=1),(Inputs!$H$8+Inputs!$L$8*(((Inputs!$I$8+(((A2)+1)/2)*(Inputs!$J$8-Inputs!$I$8)))/Inputs!$K$8)^2),NA())</x:f>
        <x:v>1000</x:v>
      </x:c>
      <x:c r="BC2" s="48" t="n">
        <x:f>IF(OR(Inputs!$F$9=TRUE,Inputs!$F$9="TRUE",Inputs!$F$9=1),(Inputs!$H$9+Inputs!$L$9*(((Inputs!$I$9+(((A2)+1)/2)*(Inputs!$J$9-Inputs!$I$9)))/Inputs!$K$9)^2),NA())</x:f>
        <x:v>1000</x:v>
      </x:c>
      <x:c r="BD2" s="49"/>
      <x:c r="BE2" s="48" t="n">
        <x:f>A2</x:f>
        <x:v>-1</x:v>
      </x:c>
      <x:c r="BF2" s="48" t="n">
        <x:f>0</x:f>
        <x:v>0</x:v>
      </x:c>
      <x:c r="BG2" s="48"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BH2" s="48"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BI2" s="48"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BJ2" s="48"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row>
    <x:row r="3">
      <x:c r="A3" s="48" t="n">
        <x:f>ROUND(-1+1*2/240,3)</x:f>
        <x:v>-0.992</x:v>
      </x:c>
      <x:c r="B3" s="48" t="n">
        <x:f>IF(OR(Inputs!$F$6=TRUE,Inputs!$F$6="TRUE",Inputs!$F$6=1),(Inputs!$H$6+Inputs!$L$6*(((Inputs!$I$6+(((A3)+1)/2)*(Inputs!$J$6-Inputs!$I$6)))/Inputs!$K$6)^2),NA())</x:f>
        <x:v>403.936256</x:v>
      </x:c>
      <x:c r="C3" s="48" t="n">
        <x:f>IF(OR(Inputs!$F$7=TRUE,Inputs!$F$7="TRUE",Inputs!$F$7=1),(Inputs!$H$7+Inputs!$L$7*(((Inputs!$I$7+(((A3)+1)/2)*(Inputs!$J$7-Inputs!$I$7)))/Inputs!$K$7)^2),NA())</x:f>
        <x:v>394.18336</x:v>
      </x:c>
      <x:c r="D3" s="48" t="n">
        <x:f>IF(OR(Inputs!$F$8=TRUE,Inputs!$F$8="TRUE",Inputs!$F$8=1),(Inputs!$H$8+Inputs!$L$8*(((Inputs!$I$8+(((A3)+1)/2)*(Inputs!$J$8-Inputs!$I$8)))/Inputs!$K$8)^2),NA())</x:f>
        <x:v>984.62176</x:v>
      </x:c>
      <x:c r="E3" s="48" t="n">
        <x:f>IF(OR(Inputs!$F$9=TRUE,Inputs!$F$9="TRUE",Inputs!$F$9=1),(Inputs!$H$9+Inputs!$L$9*(((Inputs!$I$9+(((A3)+1)/2)*(Inputs!$J$9-Inputs!$I$9)))/Inputs!$K$9)^2),NA())</x:f>
        <x:v>984.4623999999999</x:v>
      </x:c>
      <x:c r="F3" s="49"/>
      <x:c r="G3" s="48" t="n">
        <x:f>A3</x:f>
        <x:v>-0.992</x:v>
      </x:c>
      <x:c r="H3" s="48"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I3" s="48"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J3" s="48"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K3" s="48"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c r="L3" s="49"/>
      <x:c r="M3" s="48" t="n">
        <x:f>A3</x:f>
        <x:v>-0.992</x:v>
      </x:c>
      <x:c r="N3" s="48" t="n">
        <x: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x:f>
        <x:v>501.02638349531236</x:v>
      </x:c>
      <x:c r="O3" s="48" t="n">
        <x: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x:f>
        <x:v>3494.774770569859</x:v>
      </x:c>
      <x:c r="P3" s="48" t="n">
        <x: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x:f>
        <x:v>4631.312077971795</x:v>
      </x:c>
      <x:c r="Q3" s="48" t="n">
        <x: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x:f>
        <x:v>4664.605817200641</x:v>
      </x:c>
      <x:c r="R3" s="49"/>
      <x:c r="S3" s="48" t="n">
        <x:f>A3</x:f>
        <x:v>-0.992</x:v>
      </x:c>
      <x:c r="T3" s="48" t="n">
        <x:f>(Inputs!$I$6+(((A3)+1)/2)*(Inputs!$J$6-Inputs!$I$6))</x:f>
        <x:v>-59.519999999999996</x:v>
      </x:c>
      <x:c r="U3" s="48" t="n">
        <x:f>(Inputs!$I$7+(((A3)+1)/2)*(Inputs!$J$7-Inputs!$I$7))</x:f>
        <x:v>-396.8</x:v>
      </x:c>
      <x:c r="V3" s="48" t="n">
        <x:f>(Inputs!$I$8+(((A3)+1)/2)*(Inputs!$J$8-Inputs!$I$8))</x:f>
        <x:v>-793.6</x:v>
      </x:c>
      <x:c r="W3" s="48" t="n">
        <x:f>(Inputs!$I$9+(((A3)+1)/2)*(Inputs!$J$9-Inputs!$I$9))</x:f>
        <x:v>-793.6</x:v>
      </x:c>
      <x:c r="X3" s="49"/>
      <x:c r="Y3" s="48" t="n">
        <x:f>A3</x:f>
        <x:v>-0.992</x:v>
      </x:c>
      <x:c r="Z3" s="48" t="n">
        <x:f>(Inputs!$H$6+Inputs!$L$6*(((Inputs!$I$6+(((A3)+1)/2)*(Inputs!$J$6-Inputs!$I$6)))/Inputs!$K$6)^2)</x:f>
        <x:v>403.936256</x:v>
      </x:c>
      <x:c r="AA3" s="48" t="n">
        <x:f>(Inputs!$H$7+Inputs!$L$7*(((Inputs!$I$7+(((A3)+1)/2)*(Inputs!$J$7-Inputs!$I$7)))/Inputs!$K$7)^2)</x:f>
        <x:v>394.18336</x:v>
      </x:c>
      <x:c r="AB3" s="48" t="n">
        <x:f>(Inputs!$H$8+Inputs!$L$8*(((Inputs!$I$8+(((A3)+1)/2)*(Inputs!$J$8-Inputs!$I$8)))/Inputs!$K$8)^2)</x:f>
        <x:v>984.62176</x:v>
      </x:c>
      <x:c r="AC3" s="48" t="n">
        <x:f>(Inputs!$H$9+Inputs!$L$9*(((Inputs!$I$9+(((A3)+1)/2)*(Inputs!$J$9-Inputs!$I$9)))/Inputs!$K$9)^2)</x:f>
        <x:v>984.4623999999999</x:v>
      </x:c>
      <x:c r="AD3" s="49"/>
      <x:c r="AE3" s="48" t="n">
        <x:f>A3</x:f>
        <x:v>-0.992</x:v>
      </x:c>
      <x:c r="AF3" s="48" t="n">
        <x:f>(((SQRT((Inputs!$C$52+((Inputs!$H$6+Inputs!$L$6*(((Inputs!$I$6+(((A3)+1)/2)*(Inputs!$J$6-Inputs!$I$6)))/Inputs!$K$6)^2)))^2+Inputs!$C$52^2-2*(Inputs!$C$52+((Inputs!$H$6+Inputs!$L$6*(((Inputs!$I$6+(((A3)+1)/2)*(Inputs!$J$6-Inputs!$I$6)))/Inputs!$K$6)^2)))*Inputs!$C$52*COS(SQRT(((Inputs!$I$6+(((A3)+1)/2)*(Inputs!$J$6-Inputs!$I$6)))^2+Inputs!$C$6^2)/Inputs!$C$52)))-((Inputs!$H$6+Inputs!$L$6*(((Inputs!$I$6+(((A3)+1)/2)*(Inputs!$J$6-Inputs!$I$6)))/Inputs!$K$6)^2)))*1000/Inputs!$C$12)</x:f>
        <x:v>3618.8645803163076</x:v>
      </x:c>
      <x:c r="AG3" s="48" t="n">
        <x:f>(((SQRT((Inputs!$C$52+((Inputs!$H$7+Inputs!$L$7*(((Inputs!$I$7+(((A3)+1)/2)*(Inputs!$J$7-Inputs!$I$7)))/Inputs!$K$7)^2)))^2+Inputs!$C$52^2-2*(Inputs!$C$52+((Inputs!$H$7+Inputs!$L$7*(((Inputs!$I$7+(((A3)+1)/2)*(Inputs!$J$7-Inputs!$I$7)))/Inputs!$K$7)^2)))*Inputs!$C$52*COS(SQRT(((Inputs!$I$7+(((A3)+1)/2)*(Inputs!$J$7-Inputs!$I$7)))^2+Inputs!$C$6^2)/Inputs!$C$52)))-((Inputs!$H$7+Inputs!$L$7*(((Inputs!$I$7+(((A3)+1)/2)*(Inputs!$J$7-Inputs!$I$7)))/Inputs!$K$7)^2)))*1000/Inputs!$C$12)</x:f>
        <x:v>112007.54446092203</x:v>
      </x:c>
      <x:c r="AH3" s="48" t="n">
        <x:f>(((SQRT((Inputs!$C$52+((Inputs!$H$8+Inputs!$L$8*(((Inputs!$I$8+(((A3)+1)/2)*(Inputs!$J$8-Inputs!$I$8)))/Inputs!$K$8)^2)))^2+Inputs!$C$52^2-2*(Inputs!$C$52+((Inputs!$H$8+Inputs!$L$8*(((Inputs!$I$8+(((A3)+1)/2)*(Inputs!$J$8-Inputs!$I$8)))/Inputs!$K$8)^2)))*Inputs!$C$52*COS(SQRT(((Inputs!$I$8+(((A3)+1)/2)*(Inputs!$J$8-Inputs!$I$8)))^2+Inputs!$C$6^2)/Inputs!$C$52)))-((Inputs!$H$8+Inputs!$L$8*(((Inputs!$I$8+(((A3)+1)/2)*(Inputs!$J$8-Inputs!$I$8)))/Inputs!$K$8)^2)))*1000/Inputs!$C$12)</x:f>
        <x:v>236487.36267071264</x:v>
      </x:c>
      <x:c r="AI3" s="48" t="n">
        <x:f>(((SQRT((Inputs!$C$52+((Inputs!$H$9+Inputs!$L$9*(((Inputs!$I$9+(((A3)+1)/2)*(Inputs!$J$9-Inputs!$I$9)))/Inputs!$K$9)^2)))^2+Inputs!$C$52^2-2*(Inputs!$C$52+((Inputs!$H$9+Inputs!$L$9*(((Inputs!$I$9+(((A3)+1)/2)*(Inputs!$J$9-Inputs!$I$9)))/Inputs!$K$9)^2)))*Inputs!$C$52*COS(SQRT(((Inputs!$I$9+(((A3)+1)/2)*(Inputs!$J$9-Inputs!$I$9)))^2+Inputs!$C$6^2)/Inputs!$C$52)))-((Inputs!$H$9+Inputs!$L$9*(((Inputs!$I$9+(((A3)+1)/2)*(Inputs!$J$9-Inputs!$I$9)))/Inputs!$K$9)^2)))*1000/Inputs!$C$12)</x:f>
        <x:v>236501.58790060168</x:v>
      </x:c>
      <x:c r="AJ3" s="49"/>
      <x:c r="AK3" s="48" t="n">
        <x:f>A3</x:f>
        <x:v>-0.992</x:v>
      </x:c>
      <x:c r="AL3" s="48" t="n">
        <x: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x:f>
        <x:v>501.02638349531236</x:v>
      </x:c>
      <x:c r="AM3" s="48" t="n">
        <x: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x:f>
        <x:v>3494.774770569859</x:v>
      </x:c>
      <x:c r="AN3" s="48" t="n">
        <x: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x:f>
        <x:v>4631.312077971795</x:v>
      </x:c>
      <x:c r="AO3" s="48" t="n">
        <x: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x:f>
        <x:v>4664.605817200641</x:v>
      </x:c>
      <x:c r="AP3" s="49"/>
      <x:c r="AQ3" s="48" t="n">
        <x:f>A3</x:f>
        <x:v>-0.992</x:v>
      </x:c>
      <x:c r="AR3" s="48" t="n">
        <x:f>0</x:f>
        <x:v>0</x:v>
      </x:c>
      <x:c r="AS3" s="48" t="n">
        <x: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(0.45*SIN(2*PI()*((((Inputs!$I$6+(((A3)+1)/2)*(Inputs!$J$6-Inputs!$I$6)))/Inputs!$C$49)+Inputs!$C$47*0.137))+0.35*COS(2*PI()*(((Inputs!$C$6)/Inputs!$C$50)+Inputs!$C$47*0.173))+0.20*SIN(2*PI()*((((Inputs!$I$6+(((A3)+1)/2)*(Inputs!$J$6-Inputs!$I$6)))+(Inputs!$C$6))/(0.5*(Inputs!$C$49+Inputs!$C$50))+Inputs!$C$47*0.097)))+0.30*(2*((SIN((((Inputs!$I$6+(((A3)+1)/2)*(Inputs!$J$6-Inputs!$I$6)))*12.9898+(Inputs!$C$6)*78.233+Inputs!$C$47*37.719))*43758.5453)-INT((SIN((((Inputs!$I$6+(((A3)+1)/2)*(Inputs!$J$6-Inputs!$I$6)))*12.9898+(Inputs!$C$6)*78.233+Inputs!$C$47*37.719))*43758.5453)))-1))),NA())</x:f>
        <x:v>121.3302635911948</x:v>
      </x:c>
      <x:c r="AT3" s="48" t="n">
        <x: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(0.45*SIN(2*PI()*((((Inputs!$I$7+(((A3)+1)/2)*(Inputs!$J$7-Inputs!$I$7)))/Inputs!$C$49)+Inputs!$C$47*0.137))+0.35*COS(2*PI()*(((Inputs!$C$6)/Inputs!$C$50)+Inputs!$C$47*0.173))+0.20*SIN(2*PI()*((((Inputs!$I$7+(((A3)+1)/2)*(Inputs!$J$7-Inputs!$I$7)))+(Inputs!$C$6))/(0.5*(Inputs!$C$49+Inputs!$C$50))+Inputs!$C$47*0.097)))+0.30*(2*((SIN((((Inputs!$I$7+(((A3)+1)/2)*(Inputs!$J$7-Inputs!$I$7)))*12.9898+(Inputs!$C$6)*78.233+Inputs!$C$47*37.719))*43758.5453)-INT((SIN((((Inputs!$I$7+(((A3)+1)/2)*(Inputs!$J$7-Inputs!$I$7)))*12.9898+(Inputs!$C$6)*78.233+Inputs!$C$47*37.719))*43758.5453)))-1))),NA())</x:f>
        <x:v>171.18494655332523</x:v>
      </x:c>
      <x:c r="AU3" s="48" t="n">
        <x: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(0.45*SIN(2*PI()*((((Inputs!$I$8+(((A3)+1)/2)*(Inputs!$J$8-Inputs!$I$8)))/Inputs!$C$49)+Inputs!$C$47*0.137))+0.35*COS(2*PI()*(((Inputs!$C$6)/Inputs!$C$50)+Inputs!$C$47*0.173))+0.20*SIN(2*PI()*((((Inputs!$I$8+(((A3)+1)/2)*(Inputs!$J$8-Inputs!$I$8)))+(Inputs!$C$6))/(0.5*(Inputs!$C$49+Inputs!$C$50))+Inputs!$C$47*0.097)))+0.30*(2*((SIN((((Inputs!$I$8+(((A3)+1)/2)*(Inputs!$J$8-Inputs!$I$8)))*12.9898+(Inputs!$C$6)*78.233+Inputs!$C$47*37.719))*43758.5453)-INT((SIN((((Inputs!$I$8+(((A3)+1)/2)*(Inputs!$J$8-Inputs!$I$8)))*12.9898+(Inputs!$C$6)*78.233+Inputs!$C$47*37.719))*43758.5453)))-1))),NA())</x:f>
        <x:v>85.31373629330612</x:v>
      </x:c>
      <x:c r="AV3" s="48" t="n">
        <x: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(0.45*SIN(2*PI()*((((Inputs!$I$9+(((A3)+1)/2)*(Inputs!$J$9-Inputs!$I$9)))/Inputs!$C$49)+Inputs!$C$47*0.137))+0.35*COS(2*PI()*(((Inputs!$C$6)/Inputs!$C$50)+Inputs!$C$47*0.173))+0.20*SIN(2*PI()*((((Inputs!$I$9+(((A3)+1)/2)*(Inputs!$J$9-Inputs!$I$9)))+(Inputs!$C$6))/(0.5*(Inputs!$C$49+Inputs!$C$50))+Inputs!$C$47*0.097)))+0.30*(2*((SIN((((Inputs!$I$9+(((A3)+1)/2)*(Inputs!$J$9-Inputs!$I$9)))*12.9898+(Inputs!$C$6)*78.233+Inputs!$C$47*37.719))*43758.5453)-INT((SIN((((Inputs!$I$9+(((A3)+1)/2)*(Inputs!$J$9-Inputs!$I$9)))*12.9898+(Inputs!$C$6)*78.233+Inputs!$C$47*37.719))*43758.5453)))-1))),NA())</x:f>
        <x:v>85.31373629330612</x:v>
      </x:c>
      <x:c r="AW3" s="49"/>
      <x:c r="AX3" s="48" t="n">
        <x:f>A3</x:f>
        <x:v>-0.992</x:v>
      </x:c>
      <x:c r="AY3" s="48" t="n">
        <x:f>0</x:f>
        <x:v>0</x:v>
      </x:c>
      <x:c r="AZ3" s="48" t="n">
        <x:f>IF(OR(Inputs!$F$6=TRUE,Inputs!$F$6="TRUE",Inputs!$F$6=1),(Inputs!$H$6+Inputs!$L$6*(((Inputs!$I$6+(((A3)+1)/2)*(Inputs!$J$6-Inputs!$I$6)))/Inputs!$K$6)^2),NA())</x:f>
        <x:v>403.936256</x:v>
      </x:c>
      <x:c r="BA3" s="48" t="n">
        <x:f>IF(OR(Inputs!$F$7=TRUE,Inputs!$F$7="TRUE",Inputs!$F$7=1),(Inputs!$H$7+Inputs!$L$7*(((Inputs!$I$7+(((A3)+1)/2)*(Inputs!$J$7-Inputs!$I$7)))/Inputs!$K$7)^2),NA())</x:f>
        <x:v>394.18336</x:v>
      </x:c>
      <x:c r="BB3" s="48" t="n">
        <x:f>IF(OR(Inputs!$F$8=TRUE,Inputs!$F$8="TRUE",Inputs!$F$8=1),(Inputs!$H$8+Inputs!$L$8*(((Inputs!$I$8+(((A3)+1)/2)*(Inputs!$J$8-Inputs!$I$8)))/Inputs!$K$8)^2),NA())</x:f>
        <x:v>984.62176</x:v>
      </x:c>
      <x:c r="BC3" s="48" t="n">
        <x:f>IF(OR(Inputs!$F$9=TRUE,Inputs!$F$9="TRUE",Inputs!$F$9=1),(Inputs!$H$9+Inputs!$L$9*(((Inputs!$I$9+(((A3)+1)/2)*(Inputs!$J$9-Inputs!$I$9)))/Inputs!$K$9)^2),NA())</x:f>
        <x:v>984.4623999999999</x:v>
      </x:c>
      <x:c r="BD3" s="49"/>
      <x:c r="BE3" s="48" t="n">
        <x:f>A3</x:f>
        <x:v>-0.992</x:v>
      </x:c>
      <x:c r="BF3" s="48" t="n">
        <x:f>0</x:f>
        <x:v>0</x:v>
      </x:c>
      <x:c r="BG3" s="48"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BH3" s="48"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BI3" s="48"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BJ3" s="48"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row>
    <x:row r="4">
      <x:c r="A4" s="48" t="n">
        <x:f>ROUND(-1+2*2/240,3)</x:f>
        <x:v>-0.983</x:v>
      </x:c>
      <x:c r="B4" s="48" t="n">
        <x:f>IF(OR(Inputs!$F$6=TRUE,Inputs!$F$6="TRUE",Inputs!$F$6=1),(Inputs!$H$6+Inputs!$L$6*(((Inputs!$I$6+(((A4)+1)/2)*(Inputs!$J$6-Inputs!$I$6)))/Inputs!$K$6)^2),NA())</x:f>
        <x:v>403.865156</x:v>
      </x:c>
      <x:c r="C4" s="48" t="n">
        <x:f>IF(OR(Inputs!$F$7=TRUE,Inputs!$F$7="TRUE",Inputs!$F$7=1),(Inputs!$H$7+Inputs!$L$7*(((Inputs!$I$7+(((A4)+1)/2)*(Inputs!$J$7-Inputs!$I$7)))/Inputs!$K$7)^2),NA())</x:f>
        <x:v>387.69548499999996</x:v>
      </x:c>
      <x:c r="D4" s="48" t="n">
        <x:f>IF(OR(Inputs!$F$8=TRUE,Inputs!$F$8="TRUE",Inputs!$F$8=1),(Inputs!$H$8+Inputs!$L$8*(((Inputs!$I$8+(((A4)+1)/2)*(Inputs!$J$8-Inputs!$I$8)))/Inputs!$K$8)^2),NA())</x:f>
        <x:v>967.468885</x:v>
      </x:c>
      <x:c r="E4" s="48" t="n">
        <x:f>IF(OR(Inputs!$F$9=TRUE,Inputs!$F$9="TRUE",Inputs!$F$9=1),(Inputs!$H$9+Inputs!$L$9*(((Inputs!$I$9+(((A4)+1)/2)*(Inputs!$J$9-Inputs!$I$9)))/Inputs!$K$9)^2),NA())</x:f>
        <x:v>967.131775</x:v>
      </x:c>
      <x:c r="F4" s="49"/>
      <x:c r="G4" s="48" t="n">
        <x:f>A4</x:f>
        <x:v>-0.983</x:v>
      </x:c>
      <x:c r="H4" s="48"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I4" s="48"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J4" s="48"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K4" s="48"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c r="L4" s="49"/>
      <x:c r="M4" s="48" t="n">
        <x:f>A4</x:f>
        <x:v>-0.983</x:v>
      </x:c>
      <x:c r="N4" s="48" t="n">
        <x: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x:f>
        <x:v>496.62850905803106</x:v>
      </x:c>
      <x:c r="O4" s="48" t="n">
        <x: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x:f>
        <x:v>3469.0193926231213</x:v>
      </x:c>
      <x:c r="P4" s="48" t="n">
        <x: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x:f>
        <x:v>4593.069473197384</x:v>
      </x:c>
      <x:c r="Q4" s="48" t="n">
        <x: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x:f>
        <x:v>4625.875325779001</x:v>
      </x:c>
      <x:c r="R4" s="49"/>
      <x:c r="S4" s="48" t="n">
        <x:f>A4</x:f>
        <x:v>-0.983</x:v>
      </x:c>
      <x:c r="T4" s="48" t="n">
        <x:f>(Inputs!$I$6+(((A4)+1)/2)*(Inputs!$J$6-Inputs!$I$6))</x:f>
        <x:v>-58.98</x:v>
      </x:c>
      <x:c r="U4" s="48" t="n">
        <x:f>(Inputs!$I$7+(((A4)+1)/2)*(Inputs!$J$7-Inputs!$I$7))</x:f>
        <x:v>-393.2</x:v>
      </x:c>
      <x:c r="V4" s="48" t="n">
        <x:f>(Inputs!$I$8+(((A4)+1)/2)*(Inputs!$J$8-Inputs!$I$8))</x:f>
        <x:v>-786.4</x:v>
      </x:c>
      <x:c r="W4" s="48" t="n">
        <x:f>(Inputs!$I$9+(((A4)+1)/2)*(Inputs!$J$9-Inputs!$I$9))</x:f>
        <x:v>-786.4</x:v>
      </x:c>
      <x:c r="X4" s="49"/>
      <x:c r="Y4" s="48" t="n">
        <x:f>A4</x:f>
        <x:v>-0.983</x:v>
      </x:c>
      <x:c r="Z4" s="48" t="n">
        <x:f>(Inputs!$H$6+Inputs!$L$6*(((Inputs!$I$6+(((A4)+1)/2)*(Inputs!$J$6-Inputs!$I$6)))/Inputs!$K$6)^2)</x:f>
        <x:v>403.865156</x:v>
      </x:c>
      <x:c r="AA4" s="48" t="n">
        <x:f>(Inputs!$H$7+Inputs!$L$7*(((Inputs!$I$7+(((A4)+1)/2)*(Inputs!$J$7-Inputs!$I$7)))/Inputs!$K$7)^2)</x:f>
        <x:v>387.69548499999996</x:v>
      </x:c>
      <x:c r="AB4" s="48" t="n">
        <x:f>(Inputs!$H$8+Inputs!$L$8*(((Inputs!$I$8+(((A4)+1)/2)*(Inputs!$J$8-Inputs!$I$8)))/Inputs!$K$8)^2)</x:f>
        <x:v>967.468885</x:v>
      </x:c>
      <x:c r="AC4" s="48" t="n">
        <x:f>(Inputs!$H$9+Inputs!$L$9*(((Inputs!$I$9+(((A4)+1)/2)*(Inputs!$J$9-Inputs!$I$9)))/Inputs!$K$9)^2)</x:f>
        <x:v>967.131775</x:v>
      </x:c>
      <x:c r="AD4" s="49"/>
      <x:c r="AE4" s="48" t="n">
        <x:f>A4</x:f>
        <x:v>-0.983</x:v>
      </x:c>
      <x:c r="AF4" s="48" t="n">
        <x:f>(((SQRT((Inputs!$C$52+((Inputs!$H$6+Inputs!$L$6*(((Inputs!$I$6+(((A4)+1)/2)*(Inputs!$J$6-Inputs!$I$6)))/Inputs!$K$6)^2)))^2+Inputs!$C$52^2-2*(Inputs!$C$52+((Inputs!$H$6+Inputs!$L$6*(((Inputs!$I$6+(((A4)+1)/2)*(Inputs!$J$6-Inputs!$I$6)))/Inputs!$K$6)^2)))*Inputs!$C$52*COS(SQRT(((Inputs!$I$6+(((A4)+1)/2)*(Inputs!$J$6-Inputs!$I$6)))^2+Inputs!$C$6^2)/Inputs!$C$52)))-((Inputs!$H$6+Inputs!$L$6*(((Inputs!$I$6+(((A4)+1)/2)*(Inputs!$J$6-Inputs!$I$6)))/Inputs!$K$6)^2)))*1000/Inputs!$C$12)</x:f>
        <x:v>3564.2272926162314</x:v>
      </x:c>
      <x:c r="AG4" s="48" t="n">
        <x:f>(((SQRT((Inputs!$C$52+((Inputs!$H$7+Inputs!$L$7*(((Inputs!$I$7+(((A4)+1)/2)*(Inputs!$J$7-Inputs!$I$7)))/Inputs!$K$7)^2)))^2+Inputs!$C$52^2-2*(Inputs!$C$52+((Inputs!$H$7+Inputs!$L$7*(((Inputs!$I$7+(((A4)+1)/2)*(Inputs!$J$7-Inputs!$I$7)))/Inputs!$K$7)^2)))*Inputs!$C$52*COS(SQRT(((Inputs!$I$7+(((A4)+1)/2)*(Inputs!$J$7-Inputs!$I$7)))^2+Inputs!$C$6^2)/Inputs!$C$52)))-((Inputs!$H$7+Inputs!$L$7*(((Inputs!$I$7+(((A4)+1)/2)*(Inputs!$J$7-Inputs!$I$7)))/Inputs!$K$7)^2)))*1000/Inputs!$C$12)</x:f>
        <x:v>111251.1512696815</x:v>
      </x:c>
      <x:c r="AH4" s="48" t="n">
        <x:f>(((SQRT((Inputs!$C$52+((Inputs!$H$8+Inputs!$L$8*(((Inputs!$I$8+(((A4)+1)/2)*(Inputs!$J$8-Inputs!$I$8)))/Inputs!$K$8)^2)))^2+Inputs!$C$52^2-2*(Inputs!$C$52+((Inputs!$H$8+Inputs!$L$8*(((Inputs!$I$8+(((A4)+1)/2)*(Inputs!$J$8-Inputs!$I$8)))/Inputs!$K$8)^2)))*Inputs!$C$52*COS(SQRT(((Inputs!$I$8+(((A4)+1)/2)*(Inputs!$J$8-Inputs!$I$8)))^2+Inputs!$C$6^2)/Inputs!$C$52)))-((Inputs!$H$8+Inputs!$L$8*(((Inputs!$I$8+(((A4)+1)/2)*(Inputs!$J$8-Inputs!$I$8)))/Inputs!$K$8)^2)))*1000/Inputs!$C$12)</x:f>
        <x:v>234463.78558970036</x:v>
      </x:c>
      <x:c r="AI4" s="48" t="n">
        <x:f>(((SQRT((Inputs!$C$52+((Inputs!$H$9+Inputs!$L$9*(((Inputs!$I$9+(((A4)+1)/2)*(Inputs!$J$9-Inputs!$I$9)))/Inputs!$K$9)^2)))^2+Inputs!$C$52^2-2*(Inputs!$C$52+((Inputs!$H$9+Inputs!$L$9*(((Inputs!$I$9+(((A4)+1)/2)*(Inputs!$J$9-Inputs!$I$9)))/Inputs!$K$9)^2)))*Inputs!$C$52*COS(SQRT(((Inputs!$I$9+(((A4)+1)/2)*(Inputs!$J$9-Inputs!$I$9)))^2+Inputs!$C$6^2)/Inputs!$C$52)))-((Inputs!$H$9+Inputs!$L$9*(((Inputs!$I$9+(((A4)+1)/2)*(Inputs!$J$9-Inputs!$I$9)))/Inputs!$K$9)^2)))*1000/Inputs!$C$12)</x:f>
        <x:v>234494.31703337043</x:v>
      </x:c>
      <x:c r="AJ4" s="49"/>
      <x:c r="AK4" s="48" t="n">
        <x:f>A4</x:f>
        <x:v>-0.983</x:v>
      </x:c>
      <x:c r="AL4" s="48" t="n">
        <x: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x:f>
        <x:v>496.62850905803106</x:v>
      </x:c>
      <x:c r="AM4" s="48" t="n">
        <x: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x:f>
        <x:v>3469.0193926231213</x:v>
      </x:c>
      <x:c r="AN4" s="48" t="n">
        <x: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x:f>
        <x:v>4593.069473197384</x:v>
      </x:c>
      <x:c r="AO4" s="48" t="n">
        <x: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x:f>
        <x:v>4625.875325779001</x:v>
      </x:c>
      <x:c r="AP4" s="49"/>
      <x:c r="AQ4" s="48" t="n">
        <x:f>A4</x:f>
        <x:v>-0.983</x:v>
      </x:c>
      <x:c r="AR4" s="48" t="n">
        <x:f>0</x:f>
        <x:v>0</x:v>
      </x:c>
      <x:c r="AS4" s="48" t="n">
        <x: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(0.45*SIN(2*PI()*((((Inputs!$I$6+(((A4)+1)/2)*(Inputs!$J$6-Inputs!$I$6)))/Inputs!$C$49)+Inputs!$C$47*0.137))+0.35*COS(2*PI()*(((Inputs!$C$6)/Inputs!$C$50)+Inputs!$C$47*0.173))+0.20*SIN(2*PI()*((((Inputs!$I$6+(((A4)+1)/2)*(Inputs!$J$6-Inputs!$I$6)))+(Inputs!$C$6))/(0.5*(Inputs!$C$49+Inputs!$C$50))+Inputs!$C$47*0.097)))+0.30*(2*((SIN((((Inputs!$I$6+(((A4)+1)/2)*(Inputs!$J$6-Inputs!$I$6)))*12.9898+(Inputs!$C$6)*78.233+Inputs!$C$47*37.719))*43758.5453)-INT((SIN((((Inputs!$I$6+(((A4)+1)/2)*(Inputs!$J$6-Inputs!$I$6)))*12.9898+(Inputs!$C$6)*78.233+Inputs!$C$47*37.719))*43758.5453)))-1))),NA())</x:f>
        <x:v>115.22295693608717</x:v>
      </x:c>
      <x:c r="AT4" s="48" t="n">
        <x: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(0.45*SIN(2*PI()*((((Inputs!$I$7+(((A4)+1)/2)*(Inputs!$J$7-Inputs!$I$7)))/Inputs!$C$49)+Inputs!$C$47*0.137))+0.35*COS(2*PI()*(((Inputs!$C$6)/Inputs!$C$50)+Inputs!$C$47*0.173))+0.20*SIN(2*PI()*((((Inputs!$I$7+(((A4)+1)/2)*(Inputs!$J$7-Inputs!$I$7)))+(Inputs!$C$6))/(0.5*(Inputs!$C$49+Inputs!$C$50))+Inputs!$C$47*0.097)))+0.30*(2*((SIN((((Inputs!$I$7+(((A4)+1)/2)*(Inputs!$J$7-Inputs!$I$7)))*12.9898+(Inputs!$C$6)*78.233+Inputs!$C$47*37.719))*43758.5453)-INT((SIN((((Inputs!$I$7+(((A4)+1)/2)*(Inputs!$J$7-Inputs!$I$7)))*12.9898+(Inputs!$C$6)*78.233+Inputs!$C$47*37.719))*43758.5453)))-1))),NA())</x:f>
        <x:v>223.6690547209138</x:v>
      </x:c>
      <x:c r="AU4" s="48" t="n">
        <x: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(0.45*SIN(2*PI()*((((Inputs!$I$8+(((A4)+1)/2)*(Inputs!$J$8-Inputs!$I$8)))/Inputs!$C$49)+Inputs!$C$47*0.137))+0.35*COS(2*PI()*(((Inputs!$C$6)/Inputs!$C$50)+Inputs!$C$47*0.173))+0.20*SIN(2*PI()*((((Inputs!$I$8+(((A4)+1)/2)*(Inputs!$J$8-Inputs!$I$8)))+(Inputs!$C$6))/(0.5*(Inputs!$C$49+Inputs!$C$50))+Inputs!$C$47*0.097)))+0.30*(2*((SIN((((Inputs!$I$8+(((A4)+1)/2)*(Inputs!$J$8-Inputs!$I$8)))*12.9898+(Inputs!$C$6)*78.233+Inputs!$C$47*37.719))*43758.5453)-INT((SIN((((Inputs!$I$8+(((A4)+1)/2)*(Inputs!$J$8-Inputs!$I$8)))*12.9898+(Inputs!$C$6)*78.233+Inputs!$C$47*37.719))*43758.5453)))-1))),NA())</x:f>
        <x:v>197.26633368734042</x:v>
      </x:c>
      <x:c r="AV4" s="48" t="n">
        <x: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(0.45*SIN(2*PI()*((((Inputs!$I$9+(((A4)+1)/2)*(Inputs!$J$9-Inputs!$I$9)))/Inputs!$C$49)+Inputs!$C$47*0.137))+0.35*COS(2*PI()*(((Inputs!$C$6)/Inputs!$C$50)+Inputs!$C$47*0.173))+0.20*SIN(2*PI()*((((Inputs!$I$9+(((A4)+1)/2)*(Inputs!$J$9-Inputs!$I$9)))+(Inputs!$C$6))/(0.5*(Inputs!$C$49+Inputs!$C$50))+Inputs!$C$47*0.097)))+0.30*(2*((SIN((((Inputs!$I$9+(((A4)+1)/2)*(Inputs!$J$9-Inputs!$I$9)))*12.9898+(Inputs!$C$6)*78.233+Inputs!$C$47*37.719))*43758.5453)-INT((SIN((((Inputs!$I$9+(((A4)+1)/2)*(Inputs!$J$9-Inputs!$I$9)))*12.9898+(Inputs!$C$6)*78.233+Inputs!$C$47*37.719))*43758.5453)))-1))),NA())</x:f>
        <x:v>197.26633368734042</x:v>
      </x:c>
      <x:c r="AW4" s="49"/>
      <x:c r="AX4" s="48" t="n">
        <x:f>A4</x:f>
        <x:v>-0.983</x:v>
      </x:c>
      <x:c r="AY4" s="48" t="n">
        <x:f>0</x:f>
        <x:v>0</x:v>
      </x:c>
      <x:c r="AZ4" s="48" t="n">
        <x:f>IF(OR(Inputs!$F$6=TRUE,Inputs!$F$6="TRUE",Inputs!$F$6=1),(Inputs!$H$6+Inputs!$L$6*(((Inputs!$I$6+(((A4)+1)/2)*(Inputs!$J$6-Inputs!$I$6)))/Inputs!$K$6)^2),NA())</x:f>
        <x:v>403.865156</x:v>
      </x:c>
      <x:c r="BA4" s="48" t="n">
        <x:f>IF(OR(Inputs!$F$7=TRUE,Inputs!$F$7="TRUE",Inputs!$F$7=1),(Inputs!$H$7+Inputs!$L$7*(((Inputs!$I$7+(((A4)+1)/2)*(Inputs!$J$7-Inputs!$I$7)))/Inputs!$K$7)^2),NA())</x:f>
        <x:v>387.69548499999996</x:v>
      </x:c>
      <x:c r="BB4" s="48" t="n">
        <x:f>IF(OR(Inputs!$F$8=TRUE,Inputs!$F$8="TRUE",Inputs!$F$8=1),(Inputs!$H$8+Inputs!$L$8*(((Inputs!$I$8+(((A4)+1)/2)*(Inputs!$J$8-Inputs!$I$8)))/Inputs!$K$8)^2),NA())</x:f>
        <x:v>967.468885</x:v>
      </x:c>
      <x:c r="BC4" s="48" t="n">
        <x:f>IF(OR(Inputs!$F$9=TRUE,Inputs!$F$9="TRUE",Inputs!$F$9=1),(Inputs!$H$9+Inputs!$L$9*(((Inputs!$I$9+(((A4)+1)/2)*(Inputs!$J$9-Inputs!$I$9)))/Inputs!$K$9)^2),NA())</x:f>
        <x:v>967.131775</x:v>
      </x:c>
      <x:c r="BD4" s="49"/>
      <x:c r="BE4" s="48" t="n">
        <x:f>A4</x:f>
        <x:v>-0.983</x:v>
      </x:c>
      <x:c r="BF4" s="48" t="n">
        <x:f>0</x:f>
        <x:v>0</x:v>
      </x:c>
      <x:c r="BG4" s="48"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BH4" s="48"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BI4" s="48"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BJ4" s="48"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row>
    <x:row r="5">
      <x:c r="A5" s="48" t="n">
        <x:f>ROUND(-1+3*2/240,3)</x:f>
        <x:v>-0.975</x:v>
      </x:c>
      <x:c r="B5" s="48" t="n">
        <x:f>IF(OR(Inputs!$F$6=TRUE,Inputs!$F$6="TRUE",Inputs!$F$6=1),(Inputs!$H$6+Inputs!$L$6*(((Inputs!$I$6+(((A5)+1)/2)*(Inputs!$J$6-Inputs!$I$6)))/Inputs!$K$6)^2),NA())</x:f>
        <x:v>403.8025</x:v>
      </x:c>
      <x:c r="C5" s="48" t="n">
        <x:f>IF(OR(Inputs!$F$7=TRUE,Inputs!$F$7="TRUE",Inputs!$F$7=1),(Inputs!$H$7+Inputs!$L$7*(((Inputs!$I$7+(((A5)+1)/2)*(Inputs!$J$7-Inputs!$I$7)))/Inputs!$K$7)^2),NA())</x:f>
        <x:v>381.978125</x:v>
      </x:c>
      <x:c r="D5" s="48" t="n">
        <x:f>IF(OR(Inputs!$F$8=TRUE,Inputs!$F$8="TRUE",Inputs!$F$8=1),(Inputs!$H$8+Inputs!$L$8*(((Inputs!$I$8+(((A5)+1)/2)*(Inputs!$J$8-Inputs!$I$8)))/Inputs!$K$8)^2),NA())</x:f>
        <x:v>952.353125</x:v>
      </x:c>
      <x:c r="E5" s="48" t="n">
        <x:f>IF(OR(Inputs!$F$9=TRUE,Inputs!$F$9="TRUE",Inputs!$F$9=1),(Inputs!$H$9+Inputs!$L$9*(((Inputs!$I$9+(((A5)+1)/2)*(Inputs!$J$9-Inputs!$I$9)))/Inputs!$K$9)^2),NA())</x:f>
        <x:v>951.859375</x:v>
      </x:c>
      <x:c r="F5" s="49"/>
      <x:c r="G5" s="48" t="n">
        <x:f>A5</x:f>
        <x:v>-0.975</x:v>
      </x:c>
      <x:c r="H5" s="48"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I5" s="48"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J5" s="48"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K5" s="48"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c r="L5" s="49"/>
      <x:c r="M5" s="48" t="n">
        <x:f>A5</x:f>
        <x:v>-0.975</x:v>
      </x:c>
      <x:c r="N5" s="48" t="n">
        <x: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x:f>
        <x:v>492.71604483596866</x:v>
      </x:c>
      <x:c r="O5" s="48" t="n">
        <x: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x:f>
        <x:v>3446.187006618493</x:v>
      </x:c>
      <x:c r="P5" s="48" t="n">
        <x: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x:f>
        <x:v>4559.113204347543</x:v>
      </x:c>
      <x:c r="Q5" s="48" t="n">
        <x: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x:f>
        <x:v>4591.483445852942</x:v>
      </x:c>
      <x:c r="R5" s="49"/>
      <x:c r="S5" s="48" t="n">
        <x:f>A5</x:f>
        <x:v>-0.975</x:v>
      </x:c>
      <x:c r="T5" s="48" t="n">
        <x:f>(Inputs!$I$6+(((A5)+1)/2)*(Inputs!$J$6-Inputs!$I$6))</x:f>
        <x:v>-58.5</x:v>
      </x:c>
      <x:c r="U5" s="48" t="n">
        <x:f>(Inputs!$I$7+(((A5)+1)/2)*(Inputs!$J$7-Inputs!$I$7))</x:f>
        <x:v>-390</x:v>
      </x:c>
      <x:c r="V5" s="48" t="n">
        <x:f>(Inputs!$I$8+(((A5)+1)/2)*(Inputs!$J$8-Inputs!$I$8))</x:f>
        <x:v>-780</x:v>
      </x:c>
      <x:c r="W5" s="48" t="n">
        <x:f>(Inputs!$I$9+(((A5)+1)/2)*(Inputs!$J$9-Inputs!$I$9))</x:f>
        <x:v>-780</x:v>
      </x:c>
      <x:c r="X5" s="49"/>
      <x:c r="Y5" s="48" t="n">
        <x:f>A5</x:f>
        <x:v>-0.975</x:v>
      </x:c>
      <x:c r="Z5" s="48" t="n">
        <x:f>(Inputs!$H$6+Inputs!$L$6*(((Inputs!$I$6+(((A5)+1)/2)*(Inputs!$J$6-Inputs!$I$6)))/Inputs!$K$6)^2)</x:f>
        <x:v>403.8025</x:v>
      </x:c>
      <x:c r="AA5" s="48" t="n">
        <x:f>(Inputs!$H$7+Inputs!$L$7*(((Inputs!$I$7+(((A5)+1)/2)*(Inputs!$J$7-Inputs!$I$7)))/Inputs!$K$7)^2)</x:f>
        <x:v>381.978125</x:v>
      </x:c>
      <x:c r="AB5" s="48" t="n">
        <x:f>(Inputs!$H$8+Inputs!$L$8*(((Inputs!$I$8+(((A5)+1)/2)*(Inputs!$J$8-Inputs!$I$8)))/Inputs!$K$8)^2)</x:f>
        <x:v>952.353125</x:v>
      </x:c>
      <x:c r="AC5" s="48" t="n">
        <x:f>(Inputs!$H$9+Inputs!$L$9*(((Inputs!$I$9+(((A5)+1)/2)*(Inputs!$J$9-Inputs!$I$9)))/Inputs!$K$9)^2)</x:f>
        <x:v>951.859375</x:v>
      </x:c>
      <x:c r="AD5" s="49"/>
      <x:c r="AE5" s="48" t="n">
        <x:f>A5</x:f>
        <x:v>-0.975</x:v>
      </x:c>
      <x:c r="AF5" s="48" t="n">
        <x:f>(((SQRT((Inputs!$C$52+((Inputs!$H$6+Inputs!$L$6*(((Inputs!$I$6+(((A5)+1)/2)*(Inputs!$J$6-Inputs!$I$6)))/Inputs!$K$6)^2)))^2+Inputs!$C$52^2-2*(Inputs!$C$52+((Inputs!$H$6+Inputs!$L$6*(((Inputs!$I$6+(((A5)+1)/2)*(Inputs!$J$6-Inputs!$I$6)))/Inputs!$K$6)^2)))*Inputs!$C$52*COS(SQRT(((Inputs!$I$6+(((A5)+1)/2)*(Inputs!$J$6-Inputs!$I$6)))^2+Inputs!$C$6^2)/Inputs!$C$52)))-((Inputs!$H$6+Inputs!$L$6*(((Inputs!$I$6+(((A5)+1)/2)*(Inputs!$J$6-Inputs!$I$6)))/Inputs!$K$6)^2)))*1000/Inputs!$C$12)</x:f>
        <x:v>3516.055517830855</x:v>
      </x:c>
      <x:c r="AG5" s="48" t="n">
        <x:f>(((SQRT((Inputs!$C$52+((Inputs!$H$7+Inputs!$L$7*(((Inputs!$I$7+(((A5)+1)/2)*(Inputs!$J$7-Inputs!$I$7)))/Inputs!$K$7)^2)))^2+Inputs!$C$52^2-2*(Inputs!$C$52+((Inputs!$H$7+Inputs!$L$7*(((Inputs!$I$7+(((A5)+1)/2)*(Inputs!$J$7-Inputs!$I$7)))/Inputs!$K$7)^2)))*Inputs!$C$52*COS(SQRT(((Inputs!$I$7+(((A5)+1)/2)*(Inputs!$J$7-Inputs!$I$7)))^2+Inputs!$C$6^2)/Inputs!$C$52)))-((Inputs!$H$7+Inputs!$L$7*(((Inputs!$I$7+(((A5)+1)/2)*(Inputs!$J$7-Inputs!$I$7)))/Inputs!$K$7)^2)))*1000/Inputs!$C$12)</x:f>
        <x:v>110578.20931028113</x:v>
      </x:c>
      <x:c r="AH5" s="48" t="n">
        <x:f>(((SQRT((Inputs!$C$52+((Inputs!$H$8+Inputs!$L$8*(((Inputs!$I$8+(((A5)+1)/2)*(Inputs!$J$8-Inputs!$I$8)))/Inputs!$K$8)^2)))^2+Inputs!$C$52^2-2*(Inputs!$C$52+((Inputs!$H$8+Inputs!$L$8*(((Inputs!$I$8+(((A5)+1)/2)*(Inputs!$J$8-Inputs!$I$8)))/Inputs!$K$8)^2)))*Inputs!$C$52*COS(SQRT(((Inputs!$I$8+(((A5)+1)/2)*(Inputs!$J$8-Inputs!$I$8)))^2+Inputs!$C$6^2)/Inputs!$C$52)))-((Inputs!$H$8+Inputs!$L$8*(((Inputs!$I$8+(((A5)+1)/2)*(Inputs!$J$8-Inputs!$I$8)))/Inputs!$K$8)^2)))*1000/Inputs!$C$12)</x:f>
        <x:v>232672.44094466226</x:v>
      </x:c>
      <x:c r="AI5" s="48" t="n">
        <x:f>(((SQRT((Inputs!$C$52+((Inputs!$H$9+Inputs!$L$9*(((Inputs!$I$9+(((A5)+1)/2)*(Inputs!$J$9-Inputs!$I$9)))/Inputs!$K$9)^2)))^2+Inputs!$C$52^2-2*(Inputs!$C$52+((Inputs!$H$9+Inputs!$L$9*(((Inputs!$I$9+(((A5)+1)/2)*(Inputs!$J$9-Inputs!$I$9)))/Inputs!$K$9)^2)))*Inputs!$C$52*COS(SQRT(((Inputs!$I$9+(((A5)+1)/2)*(Inputs!$J$9-Inputs!$I$9)))^2+Inputs!$C$6^2)/Inputs!$C$52)))-((Inputs!$H$9+Inputs!$L$9*(((Inputs!$I$9+(((A5)+1)/2)*(Inputs!$J$9-Inputs!$I$9)))/Inputs!$K$9)^2)))*1000/Inputs!$C$12)</x:f>
        <x:v>232717.7404785958</x:v>
      </x:c>
      <x:c r="AJ5" s="49"/>
      <x:c r="AK5" s="48" t="n">
        <x:f>A5</x:f>
        <x:v>-0.975</x:v>
      </x:c>
      <x:c r="AL5" s="48" t="n">
        <x: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x:f>
        <x:v>492.71604483596866</x:v>
      </x:c>
      <x:c r="AM5" s="48" t="n">
        <x: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x:f>
        <x:v>3446.187006618493</x:v>
      </x:c>
      <x:c r="AN5" s="48" t="n">
        <x: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x:f>
        <x:v>4559.113204347543</x:v>
      </x:c>
      <x:c r="AO5" s="48" t="n">
        <x: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x:f>
        <x:v>4591.483445852942</x:v>
      </x:c>
      <x:c r="AP5" s="49"/>
      <x:c r="AQ5" s="48" t="n">
        <x:f>A5</x:f>
        <x:v>-0.975</x:v>
      </x:c>
      <x:c r="AR5" s="48" t="n">
        <x:f>0</x:f>
        <x:v>0</x:v>
      </x:c>
      <x:c r="AS5" s="48" t="n">
        <x: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(0.45*SIN(2*PI()*((((Inputs!$I$6+(((A5)+1)/2)*(Inputs!$J$6-Inputs!$I$6)))/Inputs!$C$49)+Inputs!$C$47*0.137))+0.35*COS(2*PI()*(((Inputs!$C$6)/Inputs!$C$50)+Inputs!$C$47*0.173))+0.20*SIN(2*PI()*((((Inputs!$I$6+(((A5)+1)/2)*(Inputs!$J$6-Inputs!$I$6)))+(Inputs!$C$6))/(0.5*(Inputs!$C$49+Inputs!$C$50))+Inputs!$C$47*0.097)))+0.30*(2*((SIN((((Inputs!$I$6+(((A5)+1)/2)*(Inputs!$J$6-Inputs!$I$6)))*12.9898+(Inputs!$C$6)*78.233+Inputs!$C$47*37.719))*43758.5453)-INT((SIN((((Inputs!$I$6+(((A5)+1)/2)*(Inputs!$J$6-Inputs!$I$6)))*12.9898+(Inputs!$C$6)*78.233+Inputs!$C$47*37.719))*43758.5453)))-1))),NA())</x:f>
        <x:v>134.3858310571132</x:v>
      </x:c>
      <x:c r="AT5" s="48" t="n">
        <x: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(0.45*SIN(2*PI()*((((Inputs!$I$7+(((A5)+1)/2)*(Inputs!$J$7-Inputs!$I$7)))/Inputs!$C$49)+Inputs!$C$47*0.137))+0.35*COS(2*PI()*(((Inputs!$C$6)/Inputs!$C$50)+Inputs!$C$47*0.173))+0.20*SIN(2*PI()*((((Inputs!$I$7+(((A5)+1)/2)*(Inputs!$J$7-Inputs!$I$7)))+(Inputs!$C$6))/(0.5*(Inputs!$C$49+Inputs!$C$50))+Inputs!$C$47*0.097)))+0.30*(2*((SIN((((Inputs!$I$7+(((A5)+1)/2)*(Inputs!$J$7-Inputs!$I$7)))*12.9898+(Inputs!$C$6)*78.233+Inputs!$C$47*37.719))*43758.5453)-INT((SIN((((Inputs!$I$7+(((A5)+1)/2)*(Inputs!$J$7-Inputs!$I$7)))*12.9898+(Inputs!$C$6)*78.233+Inputs!$C$47*37.719))*43758.5453)))-1))),NA())</x:f>
        <x:v>193.71930081622654</x:v>
      </x:c>
      <x:c r="AU5" s="48" t="n">
        <x: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(0.45*SIN(2*PI()*((((Inputs!$I$8+(((A5)+1)/2)*(Inputs!$J$8-Inputs!$I$8)))/Inputs!$C$49)+Inputs!$C$47*0.137))+0.35*COS(2*PI()*(((Inputs!$C$6)/Inputs!$C$50)+Inputs!$C$47*0.173))+0.20*SIN(2*PI()*((((Inputs!$I$8+(((A5)+1)/2)*(Inputs!$J$8-Inputs!$I$8)))+(Inputs!$C$6))/(0.5*(Inputs!$C$49+Inputs!$C$50))+Inputs!$C$47*0.097)))+0.30*(2*((SIN((((Inputs!$I$8+(((A5)+1)/2)*(Inputs!$J$8-Inputs!$I$8)))*12.9898+(Inputs!$C$6)*78.233+Inputs!$C$47*37.719))*43758.5453)-INT((SIN((((Inputs!$I$8+(((A5)+1)/2)*(Inputs!$J$8-Inputs!$I$8)))*12.9898+(Inputs!$C$6)*78.233+Inputs!$C$47*37.719))*43758.5453)))-1))),NA())</x:f>
        <x:v>50.34954914201879</x:v>
      </x:c>
      <x:c r="AV5" s="48" t="n">
        <x: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(0.45*SIN(2*PI()*((((Inputs!$I$9+(((A5)+1)/2)*(Inputs!$J$9-Inputs!$I$9)))/Inputs!$C$49)+Inputs!$C$47*0.137))+0.35*COS(2*PI()*(((Inputs!$C$6)/Inputs!$C$50)+Inputs!$C$47*0.173))+0.20*SIN(2*PI()*((((Inputs!$I$9+(((A5)+1)/2)*(Inputs!$J$9-Inputs!$I$9)))+(Inputs!$C$6))/(0.5*(Inputs!$C$49+Inputs!$C$50))+Inputs!$C$47*0.097)))+0.30*(2*((SIN((((Inputs!$I$9+(((A5)+1)/2)*(Inputs!$J$9-Inputs!$I$9)))*12.9898+(Inputs!$C$6)*78.233+Inputs!$C$47*37.719))*43758.5453)-INT((SIN((((Inputs!$I$9+(((A5)+1)/2)*(Inputs!$J$9-Inputs!$I$9)))*12.9898+(Inputs!$C$6)*78.233+Inputs!$C$47*37.719))*43758.5453)))-1))),NA())</x:f>
        <x:v>50.34954914201879</x:v>
      </x:c>
      <x:c r="AW5" s="49"/>
      <x:c r="AX5" s="48" t="n">
        <x:f>A5</x:f>
        <x:v>-0.975</x:v>
      </x:c>
      <x:c r="AY5" s="48" t="n">
        <x:f>0</x:f>
        <x:v>0</x:v>
      </x:c>
      <x:c r="AZ5" s="48" t="n">
        <x:f>IF(OR(Inputs!$F$6=TRUE,Inputs!$F$6="TRUE",Inputs!$F$6=1),(Inputs!$H$6+Inputs!$L$6*(((Inputs!$I$6+(((A5)+1)/2)*(Inputs!$J$6-Inputs!$I$6)))/Inputs!$K$6)^2),NA())</x:f>
        <x:v>403.8025</x:v>
      </x:c>
      <x:c r="BA5" s="48" t="n">
        <x:f>IF(OR(Inputs!$F$7=TRUE,Inputs!$F$7="TRUE",Inputs!$F$7=1),(Inputs!$H$7+Inputs!$L$7*(((Inputs!$I$7+(((A5)+1)/2)*(Inputs!$J$7-Inputs!$I$7)))/Inputs!$K$7)^2),NA())</x:f>
        <x:v>381.978125</x:v>
      </x:c>
      <x:c r="BB5" s="48" t="n">
        <x:f>IF(OR(Inputs!$F$8=TRUE,Inputs!$F$8="TRUE",Inputs!$F$8=1),(Inputs!$H$8+Inputs!$L$8*(((Inputs!$I$8+(((A5)+1)/2)*(Inputs!$J$8-Inputs!$I$8)))/Inputs!$K$8)^2),NA())</x:f>
        <x:v>952.353125</x:v>
      </x:c>
      <x:c r="BC5" s="48" t="n">
        <x:f>IF(OR(Inputs!$F$9=TRUE,Inputs!$F$9="TRUE",Inputs!$F$9=1),(Inputs!$H$9+Inputs!$L$9*(((Inputs!$I$9+(((A5)+1)/2)*(Inputs!$J$9-Inputs!$I$9)))/Inputs!$K$9)^2),NA())</x:f>
        <x:v>951.859375</x:v>
      </x:c>
      <x:c r="BD5" s="49"/>
      <x:c r="BE5" s="48" t="n">
        <x:f>A5</x:f>
        <x:v>-0.975</x:v>
      </x:c>
      <x:c r="BF5" s="48" t="n">
        <x:f>0</x:f>
        <x:v>0</x:v>
      </x:c>
      <x:c r="BG5" s="48"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BH5" s="48"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BI5" s="48"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BJ5" s="48"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row>
    <x:row r="6">
      <x:c r="A6" s="48" t="n">
        <x:f>ROUND(-1+4*2/240,3)</x:f>
        <x:v>-0.967</x:v>
      </x:c>
      <x:c r="B6" s="48" t="n">
        <x:f>IF(OR(Inputs!$F$6=TRUE,Inputs!$F$6="TRUE",Inputs!$F$6=1),(Inputs!$H$6+Inputs!$L$6*(((Inputs!$I$6+(((A6)+1)/2)*(Inputs!$J$6-Inputs!$I$6)))/Inputs!$K$6)^2),NA())</x:f>
        <x:v>403.740356</x:v>
      </x:c>
      <x:c r="C6" s="48" t="n">
        <x:f>IF(OR(Inputs!$F$7=TRUE,Inputs!$F$7="TRUE",Inputs!$F$7=1),(Inputs!$H$7+Inputs!$L$7*(((Inputs!$I$7+(((A6)+1)/2)*(Inputs!$J$7-Inputs!$I$7)))/Inputs!$K$7)^2),NA())</x:f>
        <x:v>376.30748500000004</x:v>
      </x:c>
      <x:c r="D6" s="48" t="n">
        <x:f>IF(OR(Inputs!$F$8=TRUE,Inputs!$F$8="TRUE",Inputs!$F$8=1),(Inputs!$H$8+Inputs!$L$8*(((Inputs!$I$8+(((A6)+1)/2)*(Inputs!$J$8-Inputs!$I$8)))/Inputs!$K$8)^2),NA())</x:f>
        <x:v>937.3608850000002</x:v>
      </x:c>
      <x:c r="E6" s="48" t="n">
        <x:f>IF(OR(Inputs!$F$9=TRUE,Inputs!$F$9="TRUE",Inputs!$F$9=1),(Inputs!$H$9+Inputs!$L$9*(((Inputs!$I$9+(((A6)+1)/2)*(Inputs!$J$9-Inputs!$I$9)))/Inputs!$K$9)^2),NA())</x:f>
        <x:v>936.7117750000002</x:v>
      </x:c>
      <x:c r="F6" s="49"/>
      <x:c r="G6" s="48" t="n">
        <x:f>A6</x:f>
        <x:v>-0.967</x:v>
      </x:c>
      <x:c r="H6" s="48"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I6" s="48"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J6" s="48"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K6" s="48"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c r="L6" s="49"/>
      <x:c r="M6" s="48" t="n">
        <x:f>A6</x:f>
        <x:v>-0.967</x:v>
      </x:c>
      <x:c r="N6" s="48" t="n">
        <x: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x:f>
        <x:v>488.8005489913979</x:v>
      </x:c>
      <x:c r="O6" s="48" t="n">
        <x: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x:f>
        <x:v>3423.413441590812</x:v>
      </x:c>
      <x:c r="P6" s="48" t="n">
        <x: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x:f>
        <x:v>4525.193245072663</x:v>
      </x:c>
      <x:c r="Q6" s="48" t="n">
        <x: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x:f>
        <x:v>4557.126029936874</x:v>
      </x:c>
      <x:c r="R6" s="49"/>
      <x:c r="S6" s="48" t="n">
        <x:f>A6</x:f>
        <x:v>-0.967</x:v>
      </x:c>
      <x:c r="T6" s="48" t="n">
        <x:f>(Inputs!$I$6+(((A6)+1)/2)*(Inputs!$J$6-Inputs!$I$6))</x:f>
        <x:v>-58.019999999999996</x:v>
      </x:c>
      <x:c r="U6" s="48" t="n">
        <x:f>(Inputs!$I$7+(((A6)+1)/2)*(Inputs!$J$7-Inputs!$I$7))</x:f>
        <x:v>-386.8</x:v>
      </x:c>
      <x:c r="V6" s="48" t="n">
        <x:f>(Inputs!$I$8+(((A6)+1)/2)*(Inputs!$J$8-Inputs!$I$8))</x:f>
        <x:v>-773.6</x:v>
      </x:c>
      <x:c r="W6" s="48" t="n">
        <x:f>(Inputs!$I$9+(((A6)+1)/2)*(Inputs!$J$9-Inputs!$I$9))</x:f>
        <x:v>-773.6</x:v>
      </x:c>
      <x:c r="X6" s="49"/>
      <x:c r="Y6" s="48" t="n">
        <x:f>A6</x:f>
        <x:v>-0.967</x:v>
      </x:c>
      <x:c r="Z6" s="48" t="n">
        <x:f>(Inputs!$H$6+Inputs!$L$6*(((Inputs!$I$6+(((A6)+1)/2)*(Inputs!$J$6-Inputs!$I$6)))/Inputs!$K$6)^2)</x:f>
        <x:v>403.740356</x:v>
      </x:c>
      <x:c r="AA6" s="48" t="n">
        <x:f>(Inputs!$H$7+Inputs!$L$7*(((Inputs!$I$7+(((A6)+1)/2)*(Inputs!$J$7-Inputs!$I$7)))/Inputs!$K$7)^2)</x:f>
        <x:v>376.30748500000004</x:v>
      </x:c>
      <x:c r="AB6" s="48" t="n">
        <x:f>(Inputs!$H$8+Inputs!$L$8*(((Inputs!$I$8+(((A6)+1)/2)*(Inputs!$J$8-Inputs!$I$8)))/Inputs!$K$8)^2)</x:f>
        <x:v>937.3608850000002</x:v>
      </x:c>
      <x:c r="AC6" s="48" t="n">
        <x:f>(Inputs!$H$9+Inputs!$L$9*(((Inputs!$I$9+(((A6)+1)/2)*(Inputs!$J$9-Inputs!$I$9)))/Inputs!$K$9)^2)</x:f>
        <x:v>936.7117750000002</x:v>
      </x:c>
      <x:c r="AD6" s="49"/>
      <x:c r="AE6" s="48" t="n">
        <x:f>A6</x:f>
        <x:v>-0.967</x:v>
      </x:c>
      <x:c r="AF6" s="48" t="n">
        <x:f>(((SQRT((Inputs!$C$52+((Inputs!$H$6+Inputs!$L$6*(((Inputs!$I$6+(((A6)+1)/2)*(Inputs!$J$6-Inputs!$I$6)))/Inputs!$K$6)^2)))^2+Inputs!$C$52^2-2*(Inputs!$C$52+((Inputs!$H$6+Inputs!$L$6*(((Inputs!$I$6+(((A6)+1)/2)*(Inputs!$J$6-Inputs!$I$6)))/Inputs!$K$6)^2)))*Inputs!$C$52*COS(SQRT(((Inputs!$I$6+(((A6)+1)/2)*(Inputs!$J$6-Inputs!$I$6)))^2+Inputs!$C$6^2)/Inputs!$C$52)))-((Inputs!$H$6+Inputs!$L$6*(((Inputs!$I$6+(((A6)+1)/2)*(Inputs!$J$6-Inputs!$I$6)))/Inputs!$K$6)^2)))*1000/Inputs!$C$12)</x:f>
        <x:v>3468.2557624255983</x:v>
      </x:c>
      <x:c r="AG6" s="48" t="n">
        <x:f>(((SQRT((Inputs!$C$52+((Inputs!$H$7+Inputs!$L$7*(((Inputs!$I$7+(((A6)+1)/2)*(Inputs!$J$7-Inputs!$I$7)))/Inputs!$K$7)^2)))^2+Inputs!$C$52^2-2*(Inputs!$C$52+((Inputs!$H$7+Inputs!$L$7*(((Inputs!$I$7+(((A6)+1)/2)*(Inputs!$J$7-Inputs!$I$7)))/Inputs!$K$7)^2)))*Inputs!$C$52*COS(SQRT(((Inputs!$I$7+(((A6)+1)/2)*(Inputs!$J$7-Inputs!$I$7)))^2+Inputs!$C$6^2)/Inputs!$C$52)))-((Inputs!$H$7+Inputs!$L$7*(((Inputs!$I$7+(((A6)+1)/2)*(Inputs!$J$7-Inputs!$I$7)))/Inputs!$K$7)^2)))*1000/Inputs!$C$12)</x:f>
        <x:v>109904.6415842495</x:v>
      </x:c>
      <x:c r="AH6" s="48" t="n">
        <x:f>(((SQRT((Inputs!$C$52+((Inputs!$H$8+Inputs!$L$8*(((Inputs!$I$8+(((A6)+1)/2)*(Inputs!$J$8-Inputs!$I$8)))/Inputs!$K$8)^2)))^2+Inputs!$C$52^2-2*(Inputs!$C$52+((Inputs!$H$8+Inputs!$L$8*(((Inputs!$I$8+(((A6)+1)/2)*(Inputs!$J$8-Inputs!$I$8)))/Inputs!$K$8)^2)))*Inputs!$C$52*COS(SQRT(((Inputs!$I$8+(((A6)+1)/2)*(Inputs!$J$8-Inputs!$I$8)))^2+Inputs!$C$6^2)/Inputs!$C$52)))-((Inputs!$H$8+Inputs!$L$8*(((Inputs!$I$8+(((A6)+1)/2)*(Inputs!$J$8-Inputs!$I$8)))/Inputs!$K$8)^2)))*1000/Inputs!$C$12)</x:f>
        <x:v>230887.9687099104</x:v>
      </x:c>
      <x:c r="AI6" s="48" t="n">
        <x:f>(((SQRT((Inputs!$C$52+((Inputs!$H$9+Inputs!$L$9*(((Inputs!$I$9+(((A6)+1)/2)*(Inputs!$J$9-Inputs!$I$9)))/Inputs!$K$9)^2)))^2+Inputs!$C$52^2-2*(Inputs!$C$52+((Inputs!$H$9+Inputs!$L$9*(((Inputs!$I$9+(((A6)+1)/2)*(Inputs!$J$9-Inputs!$I$9)))/Inputs!$K$9)^2)))*Inputs!$C$52*COS(SQRT(((Inputs!$I$9+(((A6)+1)/2)*(Inputs!$J$9-Inputs!$I$9)))^2+Inputs!$C$6^2)/Inputs!$C$52)))-((Inputs!$H$9+Inputs!$L$9*(((Inputs!$I$9+(((A6)+1)/2)*(Inputs!$J$9-Inputs!$I$9)))/Inputs!$K$9)^2)))*1000/Inputs!$C$12)</x:f>
        <x:v>230948.298203423</x:v>
      </x:c>
      <x:c r="AJ6" s="49"/>
      <x:c r="AK6" s="48" t="n">
        <x:f>A6</x:f>
        <x:v>-0.967</x:v>
      </x:c>
      <x:c r="AL6" s="48" t="n">
        <x: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x:f>
        <x:v>488.8005489913979</x:v>
      </x:c>
      <x:c r="AM6" s="48" t="n">
        <x: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x:f>
        <x:v>3423.413441590812</x:v>
      </x:c>
      <x:c r="AN6" s="48" t="n">
        <x: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x:f>
        <x:v>4525.193245072663</x:v>
      </x:c>
      <x:c r="AO6" s="48" t="n">
        <x: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x:f>
        <x:v>4557.126029936874</x:v>
      </x:c>
      <x:c r="AP6" s="49"/>
      <x:c r="AQ6" s="48" t="n">
        <x:f>A6</x:f>
        <x:v>-0.967</x:v>
      </x:c>
      <x:c r="AR6" s="48" t="n">
        <x:f>0</x:f>
        <x:v>0</x:v>
      </x:c>
      <x:c r="AS6" s="48" t="n">
        <x: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(0.45*SIN(2*PI()*((((Inputs!$I$6+(((A6)+1)/2)*(Inputs!$J$6-Inputs!$I$6)))/Inputs!$C$49)+Inputs!$C$47*0.137))+0.35*COS(2*PI()*(((Inputs!$C$6)/Inputs!$C$50)+Inputs!$C$47*0.173))+0.20*SIN(2*PI()*((((Inputs!$I$6+(((A6)+1)/2)*(Inputs!$J$6-Inputs!$I$6)))+(Inputs!$C$6))/(0.5*(Inputs!$C$49+Inputs!$C$50))+Inputs!$C$47*0.097)))+0.30*(2*((SIN((((Inputs!$I$6+(((A6)+1)/2)*(Inputs!$J$6-Inputs!$I$6)))*12.9898+(Inputs!$C$6)*78.233+Inputs!$C$47*37.719))*43758.5453)-INT((SIN((((Inputs!$I$6+(((A6)+1)/2)*(Inputs!$J$6-Inputs!$I$6)))*12.9898+(Inputs!$C$6)*78.233+Inputs!$C$47*37.719))*43758.5453)))-1))),NA())</x:f>
        <x:v>119.11723027453934</x:v>
      </x:c>
      <x:c r="AT6" s="48" t="n">
        <x: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(0.45*SIN(2*PI()*((((Inputs!$I$7+(((A6)+1)/2)*(Inputs!$J$7-Inputs!$I$7)))/Inputs!$C$49)+Inputs!$C$47*0.137))+0.35*COS(2*PI()*(((Inputs!$C$6)/Inputs!$C$50)+Inputs!$C$47*0.173))+0.20*SIN(2*PI()*((((Inputs!$I$7+(((A6)+1)/2)*(Inputs!$J$7-Inputs!$I$7)))+(Inputs!$C$6))/(0.5*(Inputs!$C$49+Inputs!$C$50))+Inputs!$C$47*0.097)))+0.30*(2*((SIN((((Inputs!$I$7+(((A6)+1)/2)*(Inputs!$J$7-Inputs!$I$7)))*12.9898+(Inputs!$C$6)*78.233+Inputs!$C$47*37.719))*43758.5453)-INT((SIN((((Inputs!$I$7+(((A6)+1)/2)*(Inputs!$J$7-Inputs!$I$7)))*12.9898+(Inputs!$C$6)*78.233+Inputs!$C$47*37.719))*43758.5453)))-1))),NA())</x:f>
        <x:v>130.05484305926754</x:v>
      </x:c>
      <x:c r="AU6" s="48" t="n">
        <x: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(0.45*SIN(2*PI()*((((Inputs!$I$8+(((A6)+1)/2)*(Inputs!$J$8-Inputs!$I$8)))/Inputs!$C$49)+Inputs!$C$47*0.137))+0.35*COS(2*PI()*(((Inputs!$C$6)/Inputs!$C$50)+Inputs!$C$47*0.173))+0.20*SIN(2*PI()*((((Inputs!$I$8+(((A6)+1)/2)*(Inputs!$J$8-Inputs!$I$8)))+(Inputs!$C$6))/(0.5*(Inputs!$C$49+Inputs!$C$50))+Inputs!$C$47*0.097)))+0.30*(2*((SIN((((Inputs!$I$8+(((A6)+1)/2)*(Inputs!$J$8-Inputs!$I$8)))*12.9898+(Inputs!$C$6)*78.233+Inputs!$C$47*37.719))*43758.5453)-INT((SIN((((Inputs!$I$8+(((A6)+1)/2)*(Inputs!$J$8-Inputs!$I$8)))*12.9898+(Inputs!$C$6)*78.233+Inputs!$C$47*37.719))*43758.5453)))-1))),NA())</x:f>
        <x:v>148.96140786508633</x:v>
      </x:c>
      <x:c r="AV6" s="48" t="n">
        <x: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(0.45*SIN(2*PI()*((((Inputs!$I$9+(((A6)+1)/2)*(Inputs!$J$9-Inputs!$I$9)))/Inputs!$C$49)+Inputs!$C$47*0.137))+0.35*COS(2*PI()*(((Inputs!$C$6)/Inputs!$C$50)+Inputs!$C$47*0.173))+0.20*SIN(2*PI()*((((Inputs!$I$9+(((A6)+1)/2)*(Inputs!$J$9-Inputs!$I$9)))+(Inputs!$C$6))/(0.5*(Inputs!$C$49+Inputs!$C$50))+Inputs!$C$47*0.097)))+0.30*(2*((SIN((((Inputs!$I$9+(((A6)+1)/2)*(Inputs!$J$9-Inputs!$I$9)))*12.9898+(Inputs!$C$6)*78.233+Inputs!$C$47*37.719))*43758.5453)-INT((SIN((((Inputs!$I$9+(((A6)+1)/2)*(Inputs!$J$9-Inputs!$I$9)))*12.9898+(Inputs!$C$6)*78.233+Inputs!$C$47*37.719))*43758.5453)))-1))),NA())</x:f>
        <x:v>148.96140786508633</x:v>
      </x:c>
      <x:c r="AW6" s="49"/>
      <x:c r="AX6" s="48" t="n">
        <x:f>A6</x:f>
        <x:v>-0.967</x:v>
      </x:c>
      <x:c r="AY6" s="48" t="n">
        <x:f>0</x:f>
        <x:v>0</x:v>
      </x:c>
      <x:c r="AZ6" s="48" t="n">
        <x:f>IF(OR(Inputs!$F$6=TRUE,Inputs!$F$6="TRUE",Inputs!$F$6=1),(Inputs!$H$6+Inputs!$L$6*(((Inputs!$I$6+(((A6)+1)/2)*(Inputs!$J$6-Inputs!$I$6)))/Inputs!$K$6)^2),NA())</x:f>
        <x:v>403.740356</x:v>
      </x:c>
      <x:c r="BA6" s="48" t="n">
        <x:f>IF(OR(Inputs!$F$7=TRUE,Inputs!$F$7="TRUE",Inputs!$F$7=1),(Inputs!$H$7+Inputs!$L$7*(((Inputs!$I$7+(((A6)+1)/2)*(Inputs!$J$7-Inputs!$I$7)))/Inputs!$K$7)^2),NA())</x:f>
        <x:v>376.30748500000004</x:v>
      </x:c>
      <x:c r="BB6" s="48" t="n">
        <x:f>IF(OR(Inputs!$F$8=TRUE,Inputs!$F$8="TRUE",Inputs!$F$8=1),(Inputs!$H$8+Inputs!$L$8*(((Inputs!$I$8+(((A6)+1)/2)*(Inputs!$J$8-Inputs!$I$8)))/Inputs!$K$8)^2),NA())</x:f>
        <x:v>937.3608850000002</x:v>
      </x:c>
      <x:c r="BC6" s="48" t="n">
        <x:f>IF(OR(Inputs!$F$9=TRUE,Inputs!$F$9="TRUE",Inputs!$F$9=1),(Inputs!$H$9+Inputs!$L$9*(((Inputs!$I$9+(((A6)+1)/2)*(Inputs!$J$9-Inputs!$I$9)))/Inputs!$K$9)^2),NA())</x:f>
        <x:v>936.7117750000002</x:v>
      </x:c>
      <x:c r="BD6" s="49"/>
      <x:c r="BE6" s="48" t="n">
        <x:f>A6</x:f>
        <x:v>-0.967</x:v>
      </x:c>
      <x:c r="BF6" s="48" t="n">
        <x:f>0</x:f>
        <x:v>0</x:v>
      </x:c>
      <x:c r="BG6" s="48"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BH6" s="48"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BI6" s="48"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BJ6" s="48"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row>
    <x:row r="7">
      <x:c r="A7" s="48" t="n">
        <x:f>ROUND(-1+5*2/240,3)</x:f>
        <x:v>-0.958</x:v>
      </x:c>
      <x:c r="B7" s="48" t="n">
        <x:f>IF(OR(Inputs!$F$6=TRUE,Inputs!$F$6="TRUE",Inputs!$F$6=1),(Inputs!$H$6+Inputs!$L$6*(((Inputs!$I$6+(((A7)+1)/2)*(Inputs!$J$6-Inputs!$I$6)))/Inputs!$K$6)^2),NA())</x:f>
        <x:v>403.671056</x:v>
      </x:c>
      <x:c r="C7" s="48" t="n">
        <x:f>IF(OR(Inputs!$F$7=TRUE,Inputs!$F$7="TRUE",Inputs!$F$7=1),(Inputs!$H$7+Inputs!$L$7*(((Inputs!$I$7+(((A7)+1)/2)*(Inputs!$J$7-Inputs!$I$7)))/Inputs!$K$7)^2),NA())</x:f>
        <x:v>369.98386</x:v>
      </x:c>
      <x:c r="D7" s="48" t="n">
        <x:f>IF(OR(Inputs!$F$8=TRUE,Inputs!$F$8="TRUE",Inputs!$F$8=1),(Inputs!$H$8+Inputs!$L$8*(((Inputs!$I$8+(((A7)+1)/2)*(Inputs!$J$8-Inputs!$I$8)))/Inputs!$K$8)^2),NA())</x:f>
        <x:v>920.64226</x:v>
      </x:c>
      <x:c r="E7" s="48" t="n">
        <x:f>IF(OR(Inputs!$F$9=TRUE,Inputs!$F$9="TRUE",Inputs!$F$9=1),(Inputs!$H$9+Inputs!$L$9*(((Inputs!$I$9+(((A7)+1)/2)*(Inputs!$J$9-Inputs!$I$9)))/Inputs!$K$9)^2),NA())</x:f>
        <x:v>919.8199</x:v>
      </x:c>
      <x:c r="F7" s="49"/>
      <x:c r="G7" s="48" t="n">
        <x:f>A7</x:f>
        <x:v>-0.958</x:v>
      </x:c>
      <x:c r="H7" s="48"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I7" s="48"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J7" s="48"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K7" s="48"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c r="L7" s="49"/>
      <x:c r="M7" s="48" t="n">
        <x:f>A7</x:f>
        <x:v>-0.958</x:v>
      </x:c>
      <x:c r="N7" s="48" t="n">
        <x: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x:f>
        <x:v>484.39201666720464</x:v>
      </x:c>
      <x:c r="O7" s="48" t="n">
        <x: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x:f>
        <x:v>3397.864879341362</x:v>
      </x:c>
      <x:c r="P7" s="48" t="n">
        <x: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x:f>
        <x:v>4487.078336438279</x:v>
      </x:c>
      <x:c r="Q7" s="48" t="n">
        <x: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x:f>
        <x:v>4518.516746633753</x:v>
      </x:c>
      <x:c r="R7" s="49"/>
      <x:c r="S7" s="48" t="n">
        <x:f>A7</x:f>
        <x:v>-0.958</x:v>
      </x:c>
      <x:c r="T7" s="48" t="n">
        <x:f>(Inputs!$I$6+(((A7)+1)/2)*(Inputs!$J$6-Inputs!$I$6))</x:f>
        <x:v>-57.48</x:v>
      </x:c>
      <x:c r="U7" s="48" t="n">
        <x:f>(Inputs!$I$7+(((A7)+1)/2)*(Inputs!$J$7-Inputs!$I$7))</x:f>
        <x:v>-383.2</x:v>
      </x:c>
      <x:c r="V7" s="48" t="n">
        <x:f>(Inputs!$I$8+(((A7)+1)/2)*(Inputs!$J$8-Inputs!$I$8))</x:f>
        <x:v>-766.4</x:v>
      </x:c>
      <x:c r="W7" s="48" t="n">
        <x:f>(Inputs!$I$9+(((A7)+1)/2)*(Inputs!$J$9-Inputs!$I$9))</x:f>
        <x:v>-766.4</x:v>
      </x:c>
      <x:c r="X7" s="49"/>
      <x:c r="Y7" s="48" t="n">
        <x:f>A7</x:f>
        <x:v>-0.958</x:v>
      </x:c>
      <x:c r="Z7" s="48" t="n">
        <x:f>(Inputs!$H$6+Inputs!$L$6*(((Inputs!$I$6+(((A7)+1)/2)*(Inputs!$J$6-Inputs!$I$6)))/Inputs!$K$6)^2)</x:f>
        <x:v>403.671056</x:v>
      </x:c>
      <x:c r="AA7" s="48" t="n">
        <x:f>(Inputs!$H$7+Inputs!$L$7*(((Inputs!$I$7+(((A7)+1)/2)*(Inputs!$J$7-Inputs!$I$7)))/Inputs!$K$7)^2)</x:f>
        <x:v>369.98386</x:v>
      </x:c>
      <x:c r="AB7" s="48" t="n">
        <x:f>(Inputs!$H$8+Inputs!$L$8*(((Inputs!$I$8+(((A7)+1)/2)*(Inputs!$J$8-Inputs!$I$8)))/Inputs!$K$8)^2)</x:f>
        <x:v>920.64226</x:v>
      </x:c>
      <x:c r="AC7" s="48" t="n">
        <x:f>(Inputs!$H$9+Inputs!$L$9*(((Inputs!$I$9+(((A7)+1)/2)*(Inputs!$J$9-Inputs!$I$9)))/Inputs!$K$9)^2)</x:f>
        <x:v>919.8199</x:v>
      </x:c>
      <x:c r="AD7" s="49"/>
      <x:c r="AE7" s="48" t="n">
        <x:f>A7</x:f>
        <x:v>-0.958</x:v>
      </x:c>
      <x:c r="AF7" s="48" t="n">
        <x:f>(((SQRT((Inputs!$C$52+((Inputs!$H$6+Inputs!$L$6*(((Inputs!$I$6+(((A7)+1)/2)*(Inputs!$J$6-Inputs!$I$6)))/Inputs!$K$6)^2)))^2+Inputs!$C$52^2-2*(Inputs!$C$52+((Inputs!$H$6+Inputs!$L$6*(((Inputs!$I$6+(((A7)+1)/2)*(Inputs!$J$6-Inputs!$I$6)))/Inputs!$K$6)^2)))*Inputs!$C$52*COS(SQRT(((Inputs!$I$6+(((A7)+1)/2)*(Inputs!$J$6-Inputs!$I$6)))^2+Inputs!$C$6^2)/Inputs!$C$52)))-((Inputs!$H$6+Inputs!$L$6*(((Inputs!$I$6+(((A7)+1)/2)*(Inputs!$J$6-Inputs!$I$6)))/Inputs!$K$6)^2)))*1000/Inputs!$C$12)</x:f>
        <x:v>3414.9263510308238</x:v>
      </x:c>
      <x:c r="AG7" s="48" t="n">
        <x:f>(((SQRT((Inputs!$C$52+((Inputs!$H$7+Inputs!$L$7*(((Inputs!$I$7+(((A7)+1)/2)*(Inputs!$J$7-Inputs!$I$7)))/Inputs!$K$7)^2)))^2+Inputs!$C$52^2-2*(Inputs!$C$52+((Inputs!$H$7+Inputs!$L$7*(((Inputs!$I$7+(((A7)+1)/2)*(Inputs!$J$7-Inputs!$I$7)))/Inputs!$K$7)^2)))*Inputs!$C$52*COS(SQRT(((Inputs!$I$7+(((A7)+1)/2)*(Inputs!$J$7-Inputs!$I$7)))^2+Inputs!$C$6^2)/Inputs!$C$52)))-((Inputs!$H$7+Inputs!$L$7*(((Inputs!$I$7+(((A7)+1)/2)*(Inputs!$J$7-Inputs!$I$7)))/Inputs!$K$7)^2)))*1000/Inputs!$C$12)</x:f>
        <x:v>109146.0467878922</x:v>
      </x:c>
      <x:c r="AH7" s="48" t="n">
        <x:f>(((SQRT((Inputs!$C$52+((Inputs!$H$8+Inputs!$L$8*(((Inputs!$I$8+(((A7)+1)/2)*(Inputs!$J$8-Inputs!$I$8)))/Inputs!$K$8)^2)))^2+Inputs!$C$52^2-2*(Inputs!$C$52+((Inputs!$H$8+Inputs!$L$8*(((Inputs!$I$8+(((A7)+1)/2)*(Inputs!$J$8-Inputs!$I$8)))/Inputs!$K$8)^2)))*Inputs!$C$52*COS(SQRT(((Inputs!$I$8+(((A7)+1)/2)*(Inputs!$J$8-Inputs!$I$8)))^2+Inputs!$C$6^2)/Inputs!$C$52)))-((Inputs!$H$8+Inputs!$L$8*(((Inputs!$I$8+(((A7)+1)/2)*(Inputs!$J$8-Inputs!$I$8)))/Inputs!$K$8)^2)))*1000/Inputs!$C$12)</x:f>
        <x:v>228888.5485747369</x:v>
      </x:c>
      <x:c r="AI7" s="48" t="n">
        <x:f>(((SQRT((Inputs!$C$52+((Inputs!$H$9+Inputs!$L$9*(((Inputs!$I$9+(((A7)+1)/2)*(Inputs!$J$9-Inputs!$I$9)))/Inputs!$K$9)^2)))^2+Inputs!$C$52^2-2*(Inputs!$C$52+((Inputs!$H$9+Inputs!$L$9*(((Inputs!$I$9+(((A7)+1)/2)*(Inputs!$J$9-Inputs!$I$9)))/Inputs!$K$9)^2)))*Inputs!$C$52*COS(SQRT(((Inputs!$I$9+(((A7)+1)/2)*(Inputs!$J$9-Inputs!$I$9)))^2+Inputs!$C$6^2)/Inputs!$C$52)))-((Inputs!$H$9+Inputs!$L$9*(((Inputs!$I$9+(((A7)+1)/2)*(Inputs!$J$9-Inputs!$I$9)))/Inputs!$K$9)^2)))*1000/Inputs!$C$12)</x:f>
        <x:v>228966.10498814457</x:v>
      </x:c>
      <x:c r="AJ7" s="49"/>
      <x:c r="AK7" s="48" t="n">
        <x:f>A7</x:f>
        <x:v>-0.958</x:v>
      </x:c>
      <x:c r="AL7" s="48" t="n">
        <x: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x:f>
        <x:v>484.39201666720464</x:v>
      </x:c>
      <x:c r="AM7" s="48" t="n">
        <x: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x:f>
        <x:v>3397.864879341362</x:v>
      </x:c>
      <x:c r="AN7" s="48" t="n">
        <x: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x:f>
        <x:v>4487.078336438279</x:v>
      </x:c>
      <x:c r="AO7" s="48" t="n">
        <x: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x:f>
        <x:v>4518.516746633753</x:v>
      </x:c>
      <x:c r="AP7" s="49"/>
      <x:c r="AQ7" s="48" t="n">
        <x:f>A7</x:f>
        <x:v>-0.958</x:v>
      </x:c>
      <x:c r="AR7" s="48" t="n">
        <x:f>0</x:f>
        <x:v>0</x:v>
      </x:c>
      <x:c r="AS7" s="48" t="n">
        <x: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(0.45*SIN(2*PI()*((((Inputs!$I$6+(((A7)+1)/2)*(Inputs!$J$6-Inputs!$I$6)))/Inputs!$C$49)+Inputs!$C$47*0.137))+0.35*COS(2*PI()*(((Inputs!$C$6)/Inputs!$C$50)+Inputs!$C$47*0.173))+0.20*SIN(2*PI()*((((Inputs!$I$6+(((A7)+1)/2)*(Inputs!$J$6-Inputs!$I$6)))+(Inputs!$C$6))/(0.5*(Inputs!$C$49+Inputs!$C$50))+Inputs!$C$47*0.097)))+0.30*(2*((SIN((((Inputs!$I$6+(((A7)+1)/2)*(Inputs!$J$6-Inputs!$I$6)))*12.9898+(Inputs!$C$6)*78.233+Inputs!$C$47*37.719))*43758.5453)-INT((SIN((((Inputs!$I$6+(((A7)+1)/2)*(Inputs!$J$6-Inputs!$I$6)))*12.9898+(Inputs!$C$6)*78.233+Inputs!$C$47*37.719))*43758.5453)))-1))),NA())</x:f>
        <x:v>132.60677657897617</x:v>
      </x:c>
      <x:c r="AT7" s="48" t="n">
        <x: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(0.45*SIN(2*PI()*((((Inputs!$I$7+(((A7)+1)/2)*(Inputs!$J$7-Inputs!$I$7)))/Inputs!$C$49)+Inputs!$C$47*0.137))+0.35*COS(2*PI()*(((Inputs!$C$6)/Inputs!$C$50)+Inputs!$C$47*0.173))+0.20*SIN(2*PI()*((((Inputs!$I$7+(((A7)+1)/2)*(Inputs!$J$7-Inputs!$I$7)))+(Inputs!$C$6))/(0.5*(Inputs!$C$49+Inputs!$C$50))+Inputs!$C$47*0.097)))+0.30*(2*((SIN((((Inputs!$I$7+(((A7)+1)/2)*(Inputs!$J$7-Inputs!$I$7)))*12.9898+(Inputs!$C$6)*78.233+Inputs!$C$47*37.719))*43758.5453)-INT((SIN((((Inputs!$I$7+(((A7)+1)/2)*(Inputs!$J$7-Inputs!$I$7)))*12.9898+(Inputs!$C$6)*78.233+Inputs!$C$47*37.719))*43758.5453)))-1))),NA())</x:f>
        <x:v>94.29278060316868</x:v>
      </x:c>
      <x:c r="AU7" s="48" t="n">
        <x: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(0.45*SIN(2*PI()*((((Inputs!$I$8+(((A7)+1)/2)*(Inputs!$J$8-Inputs!$I$8)))/Inputs!$C$49)+Inputs!$C$47*0.137))+0.35*COS(2*PI()*(((Inputs!$C$6)/Inputs!$C$50)+Inputs!$C$47*0.173))+0.20*SIN(2*PI()*((((Inputs!$I$8+(((A7)+1)/2)*(Inputs!$J$8-Inputs!$I$8)))+(Inputs!$C$6))/(0.5*(Inputs!$C$49+Inputs!$C$50))+Inputs!$C$47*0.097)))+0.30*(2*((SIN((((Inputs!$I$8+(((A7)+1)/2)*(Inputs!$J$8-Inputs!$I$8)))*12.9898+(Inputs!$C$6)*78.233+Inputs!$C$47*37.719))*43758.5453)-INT((SIN((((Inputs!$I$8+(((A7)+1)/2)*(Inputs!$J$8-Inputs!$I$8)))*12.9898+(Inputs!$C$6)*78.233+Inputs!$C$47*37.719))*43758.5453)))-1))),NA())</x:f>
        <x:v>174.07668311878467</x:v>
      </x:c>
      <x:c r="AV7" s="48" t="n">
        <x: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(0.45*SIN(2*PI()*((((Inputs!$I$9+(((A7)+1)/2)*(Inputs!$J$9-Inputs!$I$9)))/Inputs!$C$49)+Inputs!$C$47*0.137))+0.35*COS(2*PI()*(((Inputs!$C$6)/Inputs!$C$50)+Inputs!$C$47*0.173))+0.20*SIN(2*PI()*((((Inputs!$I$9+(((A7)+1)/2)*(Inputs!$J$9-Inputs!$I$9)))+(Inputs!$C$6))/(0.5*(Inputs!$C$49+Inputs!$C$50))+Inputs!$C$47*0.097)))+0.30*(2*((SIN((((Inputs!$I$9+(((A7)+1)/2)*(Inputs!$J$9-Inputs!$I$9)))*12.9898+(Inputs!$C$6)*78.233+Inputs!$C$47*37.719))*43758.5453)-INT((SIN((((Inputs!$I$9+(((A7)+1)/2)*(Inputs!$J$9-Inputs!$I$9)))*12.9898+(Inputs!$C$6)*78.233+Inputs!$C$47*37.719))*43758.5453)))-1))),NA())</x:f>
        <x:v>174.07668311878467</x:v>
      </x:c>
      <x:c r="AW7" s="49"/>
      <x:c r="AX7" s="48" t="n">
        <x:f>A7</x:f>
        <x:v>-0.958</x:v>
      </x:c>
      <x:c r="AY7" s="48" t="n">
        <x:f>0</x:f>
        <x:v>0</x:v>
      </x:c>
      <x:c r="AZ7" s="48" t="n">
        <x:f>IF(OR(Inputs!$F$6=TRUE,Inputs!$F$6="TRUE",Inputs!$F$6=1),(Inputs!$H$6+Inputs!$L$6*(((Inputs!$I$6+(((A7)+1)/2)*(Inputs!$J$6-Inputs!$I$6)))/Inputs!$K$6)^2),NA())</x:f>
        <x:v>403.671056</x:v>
      </x:c>
      <x:c r="BA7" s="48" t="n">
        <x:f>IF(OR(Inputs!$F$7=TRUE,Inputs!$F$7="TRUE",Inputs!$F$7=1),(Inputs!$H$7+Inputs!$L$7*(((Inputs!$I$7+(((A7)+1)/2)*(Inputs!$J$7-Inputs!$I$7)))/Inputs!$K$7)^2),NA())</x:f>
        <x:v>369.98386</x:v>
      </x:c>
      <x:c r="BB7" s="48" t="n">
        <x:f>IF(OR(Inputs!$F$8=TRUE,Inputs!$F$8="TRUE",Inputs!$F$8=1),(Inputs!$H$8+Inputs!$L$8*(((Inputs!$I$8+(((A7)+1)/2)*(Inputs!$J$8-Inputs!$I$8)))/Inputs!$K$8)^2),NA())</x:f>
        <x:v>920.64226</x:v>
      </x:c>
      <x:c r="BC7" s="48" t="n">
        <x:f>IF(OR(Inputs!$F$9=TRUE,Inputs!$F$9="TRUE",Inputs!$F$9=1),(Inputs!$H$9+Inputs!$L$9*(((Inputs!$I$9+(((A7)+1)/2)*(Inputs!$J$9-Inputs!$I$9)))/Inputs!$K$9)^2),NA())</x:f>
        <x:v>919.8199</x:v>
      </x:c>
      <x:c r="BD7" s="49"/>
      <x:c r="BE7" s="48" t="n">
        <x:f>A7</x:f>
        <x:v>-0.958</x:v>
      </x:c>
      <x:c r="BF7" s="48" t="n">
        <x:f>0</x:f>
        <x:v>0</x:v>
      </x:c>
      <x:c r="BG7" s="48"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BH7" s="48"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BI7" s="48"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BJ7" s="48"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row>
    <x:row r="8">
      <x:c r="A8" s="48" t="n">
        <x:f>ROUND(-1+6*2/240,3)</x:f>
        <x:v>-0.95</x:v>
      </x:c>
      <x:c r="B8" s="48" t="n">
        <x:f>IF(OR(Inputs!$F$6=TRUE,Inputs!$F$6="TRUE",Inputs!$F$6=1),(Inputs!$H$6+Inputs!$L$6*(((Inputs!$I$6+(((A8)+1)/2)*(Inputs!$J$6-Inputs!$I$6)))/Inputs!$K$6)^2),NA())</x:f>
        <x:v>403.61</x:v>
      </x:c>
      <x:c r="C8" s="48" t="n">
        <x:f>IF(OR(Inputs!$F$7=TRUE,Inputs!$F$7="TRUE",Inputs!$F$7=1),(Inputs!$H$7+Inputs!$L$7*(((Inputs!$I$7+(((A8)+1)/2)*(Inputs!$J$7-Inputs!$I$7)))/Inputs!$K$7)^2),NA())</x:f>
        <x:v>364.41249999999997</x:v>
      </x:c>
      <x:c r="D8" s="48" t="n">
        <x:f>IF(OR(Inputs!$F$8=TRUE,Inputs!$F$8="TRUE",Inputs!$F$8=1),(Inputs!$H$8+Inputs!$L$8*(((Inputs!$I$8+(((A8)+1)/2)*(Inputs!$J$8-Inputs!$I$8)))/Inputs!$K$8)^2),NA())</x:f>
        <x:v>905.9125</x:v>
      </x:c>
      <x:c r="E8" s="48" t="n">
        <x:f>IF(OR(Inputs!$F$9=TRUE,Inputs!$F$9="TRUE",Inputs!$F$9=1),(Inputs!$H$9+Inputs!$L$9*(((Inputs!$I$9+(((A8)+1)/2)*(Inputs!$J$9-Inputs!$I$9)))/Inputs!$K$9)^2),NA())</x:f>
        <x:v>904.9375</x:v>
      </x:c>
      <x:c r="F8" s="49"/>
      <x:c r="G8" s="48" t="n">
        <x:f>A8</x:f>
        <x:v>-0.95</x:v>
      </x:c>
      <x:c r="H8" s="48"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I8" s="48"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J8" s="48"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K8" s="48"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c r="L8" s="49"/>
      <x:c r="M8" s="48" t="n">
        <x:f>A8</x:f>
        <x:v>-0.95</x:v>
      </x:c>
      <x:c r="N8" s="48" t="n">
        <x: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x:f>
        <x:v>480.4701433956754</x:v>
      </x:c>
      <x:c r="O8" s="48" t="n">
        <x: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x:f>
        <x:v>3375.220032880159</x:v>
      </x:c>
      <x:c r="P8" s="48" t="n">
        <x: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x:f>
        <x:v>4453.239959937166</x:v>
      </x:c>
      <x:c r="Q8" s="48" t="n">
        <x: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x:f>
        <x:v>4484.236912188276</x:v>
      </x:c>
      <x:c r="R8" s="49"/>
      <x:c r="S8" s="48" t="n">
        <x:f>A8</x:f>
        <x:v>-0.95</x:v>
      </x:c>
      <x:c r="T8" s="48" t="n">
        <x:f>(Inputs!$I$6+(((A8)+1)/2)*(Inputs!$J$6-Inputs!$I$6))</x:f>
        <x:v>-57</x:v>
      </x:c>
      <x:c r="U8" s="48" t="n">
        <x:f>(Inputs!$I$7+(((A8)+1)/2)*(Inputs!$J$7-Inputs!$I$7))</x:f>
        <x:v>-380</x:v>
      </x:c>
      <x:c r="V8" s="48" t="n">
        <x:f>(Inputs!$I$8+(((A8)+1)/2)*(Inputs!$J$8-Inputs!$I$8))</x:f>
        <x:v>-760</x:v>
      </x:c>
      <x:c r="W8" s="48" t="n">
        <x:f>(Inputs!$I$9+(((A8)+1)/2)*(Inputs!$J$9-Inputs!$I$9))</x:f>
        <x:v>-760</x:v>
      </x:c>
      <x:c r="X8" s="49"/>
      <x:c r="Y8" s="48" t="n">
        <x:f>A8</x:f>
        <x:v>-0.95</x:v>
      </x:c>
      <x:c r="Z8" s="48" t="n">
        <x:f>(Inputs!$H$6+Inputs!$L$6*(((Inputs!$I$6+(((A8)+1)/2)*(Inputs!$J$6-Inputs!$I$6)))/Inputs!$K$6)^2)</x:f>
        <x:v>403.61</x:v>
      </x:c>
      <x:c r="AA8" s="48" t="n">
        <x:f>(Inputs!$H$7+Inputs!$L$7*(((Inputs!$I$7+(((A8)+1)/2)*(Inputs!$J$7-Inputs!$I$7)))/Inputs!$K$7)^2)</x:f>
        <x:v>364.41249999999997</x:v>
      </x:c>
      <x:c r="AB8" s="48" t="n">
        <x:f>(Inputs!$H$8+Inputs!$L$8*(((Inputs!$I$8+(((A8)+1)/2)*(Inputs!$J$8-Inputs!$I$8)))/Inputs!$K$8)^2)</x:f>
        <x:v>905.9125</x:v>
      </x:c>
      <x:c r="AC8" s="48" t="n">
        <x:f>(Inputs!$H$9+Inputs!$L$9*(((Inputs!$I$9+(((A8)+1)/2)*(Inputs!$J$9-Inputs!$I$9)))/Inputs!$K$9)^2)</x:f>
        <x:v>904.9375</x:v>
      </x:c>
      <x:c r="AD8" s="49"/>
      <x:c r="AE8" s="48" t="n">
        <x:f>A8</x:f>
        <x:v>-0.95</x:v>
      </x:c>
      <x:c r="AF8" s="48" t="n">
        <x:f>(((SQRT((Inputs!$C$52+((Inputs!$H$6+Inputs!$L$6*(((Inputs!$I$6+(((A8)+1)/2)*(Inputs!$J$6-Inputs!$I$6)))/Inputs!$K$6)^2)))^2+Inputs!$C$52^2-2*(Inputs!$C$52+((Inputs!$H$6+Inputs!$L$6*(((Inputs!$I$6+(((A8)+1)/2)*(Inputs!$J$6-Inputs!$I$6)))/Inputs!$K$6)^2)))*Inputs!$C$52*COS(SQRT(((Inputs!$I$6+(((A8)+1)/2)*(Inputs!$J$6-Inputs!$I$6)))^2+Inputs!$C$6^2)/Inputs!$C$52)))-((Inputs!$H$6+Inputs!$L$6*(((Inputs!$I$6+(((A8)+1)/2)*(Inputs!$J$6-Inputs!$I$6)))/Inputs!$K$6)^2)))*1000/Inputs!$C$12)</x:f>
        <x:v>3367.918823774454</x:v>
      </x:c>
      <x:c r="AG8" s="48" t="n">
        <x:f>(((SQRT((Inputs!$C$52+((Inputs!$H$7+Inputs!$L$7*(((Inputs!$I$7+(((A8)+1)/2)*(Inputs!$J$7-Inputs!$I$7)))/Inputs!$K$7)^2)))^2+Inputs!$C$52^2-2*(Inputs!$C$52+((Inputs!$H$7+Inputs!$L$7*(((Inputs!$I$7+(((A8)+1)/2)*(Inputs!$J$7-Inputs!$I$7)))/Inputs!$K$7)^2)))*Inputs!$C$52*COS(SQRT(((Inputs!$I$7+(((A8)+1)/2)*(Inputs!$J$7-Inputs!$I$7)))^2+Inputs!$C$6^2)/Inputs!$C$52)))-((Inputs!$H$7+Inputs!$L$7*(((Inputs!$I$7+(((A8)+1)/2)*(Inputs!$J$7-Inputs!$I$7)))/Inputs!$K$7)^2)))*1000/Inputs!$C$12)</x:f>
        <x:v>108470.92621776105</x:v>
      </x:c>
      <x:c r="AH8" s="48" t="n">
        <x:f>(((SQRT((Inputs!$C$52+((Inputs!$H$8+Inputs!$L$8*(((Inputs!$I$8+(((A8)+1)/2)*(Inputs!$J$8-Inputs!$I$8)))/Inputs!$K$8)^2)))^2+Inputs!$C$52^2-2*(Inputs!$C$52+((Inputs!$H$8+Inputs!$L$8*(((Inputs!$I$8+(((A8)+1)/2)*(Inputs!$J$8-Inputs!$I$8)))/Inputs!$K$8)^2)))*Inputs!$C$52*COS(SQRT(((Inputs!$I$8+(((A8)+1)/2)*(Inputs!$J$8-Inputs!$I$8)))^2+Inputs!$C$6^2)/Inputs!$C$52)))-((Inputs!$H$8+Inputs!$L$8*(((Inputs!$I$8+(((A8)+1)/2)*(Inputs!$J$8-Inputs!$I$8)))/Inputs!$K$8)^2)))*1000/Inputs!$C$12)</x:f>
        <x:v>227118.40064745268</x:v>
      </x:c>
      <x:c r="AI8" s="48" t="n">
        <x:f>(((SQRT((Inputs!$C$52+((Inputs!$H$9+Inputs!$L$9*(((Inputs!$I$9+(((A8)+1)/2)*(Inputs!$J$9-Inputs!$I$9)))/Inputs!$K$9)^2)))^2+Inputs!$C$52^2-2*(Inputs!$C$52+((Inputs!$H$9+Inputs!$L$9*(((Inputs!$I$9+(((A8)+1)/2)*(Inputs!$J$9-Inputs!$I$9)))/Inputs!$K$9)^2)))*Inputs!$C$52*COS(SQRT(((Inputs!$I$9+(((A8)+1)/2)*(Inputs!$J$9-Inputs!$I$9)))^2+Inputs!$C$6^2)/Inputs!$C$52)))-((Inputs!$H$9+Inputs!$L$9*(((Inputs!$I$9+(((A8)+1)/2)*(Inputs!$J$9-Inputs!$I$9)))/Inputs!$K$9)^2)))*1000/Inputs!$C$12)</x:f>
        <x:v>227211.55741989255</x:v>
      </x:c>
      <x:c r="AJ8" s="49"/>
      <x:c r="AK8" s="48" t="n">
        <x:f>A8</x:f>
        <x:v>-0.95</x:v>
      </x:c>
      <x:c r="AL8" s="48" t="n">
        <x: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x:f>
        <x:v>480.4701433956754</x:v>
      </x:c>
      <x:c r="AM8" s="48" t="n">
        <x: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x:f>
        <x:v>3375.220032880159</x:v>
      </x:c>
      <x:c r="AN8" s="48" t="n">
        <x: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x:f>
        <x:v>4453.239959937166</x:v>
      </x:c>
      <x:c r="AO8" s="48" t="n">
        <x: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x:f>
        <x:v>4484.236912188276</x:v>
      </x:c>
      <x:c r="AP8" s="49"/>
      <x:c r="AQ8" s="48" t="n">
        <x:f>A8</x:f>
        <x:v>-0.95</x:v>
      </x:c>
      <x:c r="AR8" s="48" t="n">
        <x:f>0</x:f>
        <x:v>0</x:v>
      </x:c>
      <x:c r="AS8" s="48" t="n">
        <x: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(0.45*SIN(2*PI()*((((Inputs!$I$6+(((A8)+1)/2)*(Inputs!$J$6-Inputs!$I$6)))/Inputs!$C$49)+Inputs!$C$47*0.137))+0.35*COS(2*PI()*(((Inputs!$C$6)/Inputs!$C$50)+Inputs!$C$47*0.173))+0.20*SIN(2*PI()*((((Inputs!$I$6+(((A8)+1)/2)*(Inputs!$J$6-Inputs!$I$6)))+(Inputs!$C$6))/(0.5*(Inputs!$C$49+Inputs!$C$50))+Inputs!$C$47*0.097)))+0.30*(2*((SIN((((Inputs!$I$6+(((A8)+1)/2)*(Inputs!$J$6-Inputs!$I$6)))*12.9898+(Inputs!$C$6)*78.233+Inputs!$C$47*37.719))*43758.5453)-INT((SIN((((Inputs!$I$6+(((A8)+1)/2)*(Inputs!$J$6-Inputs!$I$6)))*12.9898+(Inputs!$C$6)*78.233+Inputs!$C$47*37.719))*43758.5453)))-1))),NA())</x:f>
        <x:v>137.46604725484156</x:v>
      </x:c>
      <x:c r="AT8" s="48" t="n">
        <x: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(0.45*SIN(2*PI()*((((Inputs!$I$7+(((A8)+1)/2)*(Inputs!$J$7-Inputs!$I$7)))/Inputs!$C$49)+Inputs!$C$47*0.137))+0.35*COS(2*PI()*(((Inputs!$C$6)/Inputs!$C$50)+Inputs!$C$47*0.173))+0.20*SIN(2*PI()*((((Inputs!$I$7+(((A8)+1)/2)*(Inputs!$J$7-Inputs!$I$7)))+(Inputs!$C$6))/(0.5*(Inputs!$C$49+Inputs!$C$50))+Inputs!$C$47*0.097)))+0.30*(2*((SIN((((Inputs!$I$7+(((A8)+1)/2)*(Inputs!$J$7-Inputs!$I$7)))*12.9898+(Inputs!$C$6)*78.233+Inputs!$C$47*37.719))*43758.5453)-INT((SIN((((Inputs!$I$7+(((A8)+1)/2)*(Inputs!$J$7-Inputs!$I$7)))*12.9898+(Inputs!$C$6)*78.233+Inputs!$C$47*37.719))*43758.5453)))-1))),NA())</x:f>
        <x:v>124.30714013426088</x:v>
      </x:c>
      <x:c r="AU8" s="48" t="n">
        <x: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(0.45*SIN(2*PI()*((((Inputs!$I$8+(((A8)+1)/2)*(Inputs!$J$8-Inputs!$I$8)))/Inputs!$C$49)+Inputs!$C$47*0.137))+0.35*COS(2*PI()*(((Inputs!$C$6)/Inputs!$C$50)+Inputs!$C$47*0.173))+0.20*SIN(2*PI()*((((Inputs!$I$8+(((A8)+1)/2)*(Inputs!$J$8-Inputs!$I$8)))+(Inputs!$C$6))/(0.5*(Inputs!$C$49+Inputs!$C$50))+Inputs!$C$47*0.097)))+0.30*(2*((SIN((((Inputs!$I$8+(((A8)+1)/2)*(Inputs!$J$8-Inputs!$I$8)))*12.9898+(Inputs!$C$6)*78.233+Inputs!$C$47*37.719))*43758.5453)-INT((SIN((((Inputs!$I$8+(((A8)+1)/2)*(Inputs!$J$8-Inputs!$I$8)))*12.9898+(Inputs!$C$6)*78.233+Inputs!$C$47*37.719))*43758.5453)))-1))),NA())</x:f>
        <x:v>85.69268740529942</x:v>
      </x:c>
      <x:c r="AV8" s="48" t="n">
        <x: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(0.45*SIN(2*PI()*((((Inputs!$I$9+(((A8)+1)/2)*(Inputs!$J$9-Inputs!$I$9)))/Inputs!$C$49)+Inputs!$C$47*0.137))+0.35*COS(2*PI()*(((Inputs!$C$6)/Inputs!$C$50)+Inputs!$C$47*0.173))+0.20*SIN(2*PI()*((((Inputs!$I$9+(((A8)+1)/2)*(Inputs!$J$9-Inputs!$I$9)))+(Inputs!$C$6))/(0.5*(Inputs!$C$49+Inputs!$C$50))+Inputs!$C$47*0.097)))+0.30*(2*((SIN((((Inputs!$I$9+(((A8)+1)/2)*(Inputs!$J$9-Inputs!$I$9)))*12.9898+(Inputs!$C$6)*78.233+Inputs!$C$47*37.719))*43758.5453)-INT((SIN((((Inputs!$I$9+(((A8)+1)/2)*(Inputs!$J$9-Inputs!$I$9)))*12.9898+(Inputs!$C$6)*78.233+Inputs!$C$47*37.719))*43758.5453)))-1))),NA())</x:f>
        <x:v>85.69268740529942</x:v>
      </x:c>
      <x:c r="AW8" s="49"/>
      <x:c r="AX8" s="48" t="n">
        <x:f>A8</x:f>
        <x:v>-0.95</x:v>
      </x:c>
      <x:c r="AY8" s="48" t="n">
        <x:f>0</x:f>
        <x:v>0</x:v>
      </x:c>
      <x:c r="AZ8" s="48" t="n">
        <x:f>IF(OR(Inputs!$F$6=TRUE,Inputs!$F$6="TRUE",Inputs!$F$6=1),(Inputs!$H$6+Inputs!$L$6*(((Inputs!$I$6+(((A8)+1)/2)*(Inputs!$J$6-Inputs!$I$6)))/Inputs!$K$6)^2),NA())</x:f>
        <x:v>403.61</x:v>
      </x:c>
      <x:c r="BA8" s="48" t="n">
        <x:f>IF(OR(Inputs!$F$7=TRUE,Inputs!$F$7="TRUE",Inputs!$F$7=1),(Inputs!$H$7+Inputs!$L$7*(((Inputs!$I$7+(((A8)+1)/2)*(Inputs!$J$7-Inputs!$I$7)))/Inputs!$K$7)^2),NA())</x:f>
        <x:v>364.41249999999997</x:v>
      </x:c>
      <x:c r="BB8" s="48" t="n">
        <x:f>IF(OR(Inputs!$F$8=TRUE,Inputs!$F$8="TRUE",Inputs!$F$8=1),(Inputs!$H$8+Inputs!$L$8*(((Inputs!$I$8+(((A8)+1)/2)*(Inputs!$J$8-Inputs!$I$8)))/Inputs!$K$8)^2),NA())</x:f>
        <x:v>905.9125</x:v>
      </x:c>
      <x:c r="BC8" s="48" t="n">
        <x:f>IF(OR(Inputs!$F$9=TRUE,Inputs!$F$9="TRUE",Inputs!$F$9=1),(Inputs!$H$9+Inputs!$L$9*(((Inputs!$I$9+(((A8)+1)/2)*(Inputs!$J$9-Inputs!$I$9)))/Inputs!$K$9)^2),NA())</x:f>
        <x:v>904.9375</x:v>
      </x:c>
      <x:c r="BD8" s="49"/>
      <x:c r="BE8" s="48" t="n">
        <x:f>A8</x:f>
        <x:v>-0.95</x:v>
      </x:c>
      <x:c r="BF8" s="48" t="n">
        <x:f>0</x:f>
        <x:v>0</x:v>
      </x:c>
      <x:c r="BG8" s="48"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BH8" s="48"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BI8" s="48"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BJ8" s="48"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row>
    <x:row r="9">
      <x:c r="A9" s="48" t="n">
        <x:f>ROUND(-1+7*2/240,3)</x:f>
        <x:v>-0.942</x:v>
      </x:c>
      <x:c r="B9" s="48" t="n">
        <x:f>IF(OR(Inputs!$F$6=TRUE,Inputs!$F$6="TRUE",Inputs!$F$6=1),(Inputs!$H$6+Inputs!$L$6*(((Inputs!$I$6+(((A9)+1)/2)*(Inputs!$J$6-Inputs!$I$6)))/Inputs!$K$6)^2),NA())</x:f>
        <x:v>403.549456</x:v>
      </x:c>
      <x:c r="C9" s="48" t="n">
        <x:f>IF(OR(Inputs!$F$7=TRUE,Inputs!$F$7="TRUE",Inputs!$F$7=1),(Inputs!$H$7+Inputs!$L$7*(((Inputs!$I$7+(((A9)+1)/2)*(Inputs!$J$7-Inputs!$I$7)))/Inputs!$K$7)^2),NA())</x:f>
        <x:v>358.8878599999999</x:v>
      </x:c>
      <x:c r="D9" s="48" t="n">
        <x:f>IF(OR(Inputs!$F$8=TRUE,Inputs!$F$8="TRUE",Inputs!$F$8=1),(Inputs!$H$8+Inputs!$L$8*(((Inputs!$I$8+(((A9)+1)/2)*(Inputs!$J$8-Inputs!$I$8)))/Inputs!$K$8)^2),NA())</x:f>
        <x:v>891.3062599999997</x:v>
      </x:c>
      <x:c r="E9" s="48" t="n">
        <x:f>IF(OR(Inputs!$F$9=TRUE,Inputs!$F$9="TRUE",Inputs!$F$9=1),(Inputs!$H$9+Inputs!$L$9*(((Inputs!$I$9+(((A9)+1)/2)*(Inputs!$J$9-Inputs!$I$9)))/Inputs!$K$9)^2),NA())</x:f>
        <x:v>890.1798999999997</x:v>
      </x:c>
      <x:c r="F9" s="49"/>
      <x:c r="G9" s="48" t="n">
        <x:f>A9</x:f>
        <x:v>-0.942</x:v>
      </x:c>
      <x:c r="H9" s="48"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I9" s="48"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J9" s="48"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K9" s="48"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c r="L9" s="49"/>
      <x:c r="M9" s="48" t="n">
        <x:f>A9</x:f>
        <x:v>-0.942</x:v>
      </x:c>
      <x:c r="N9" s="48" t="n">
        <x: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x:f>
        <x:v>476.54529972214686</x:v>
      </x:c>
      <x:c r="O9" s="48" t="n">
        <x: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x:f>
        <x:v>3352.6375502318347</x:v>
      </x:c>
      <x:c r="P9" s="48" t="n">
        <x: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x:f>
        <x:v>4419.442134466082</x:v>
      </x:c>
      <x:c r="Q9" s="48" t="n">
        <x: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x:f>
        <x:v>4449.995709046931</x:v>
      </x:c>
      <x:c r="R9" s="49"/>
      <x:c r="S9" s="48" t="n">
        <x:f>A9</x:f>
        <x:v>-0.942</x:v>
      </x:c>
      <x:c r="T9" s="48" t="n">
        <x:f>(Inputs!$I$6+(((A9)+1)/2)*(Inputs!$J$6-Inputs!$I$6))</x:f>
        <x:v>-56.519999999999996</x:v>
      </x:c>
      <x:c r="U9" s="48" t="n">
        <x:f>(Inputs!$I$7+(((A9)+1)/2)*(Inputs!$J$7-Inputs!$I$7))</x:f>
        <x:v>-376.79999999999995</x:v>
      </x:c>
      <x:c r="V9" s="48" t="n">
        <x:f>(Inputs!$I$8+(((A9)+1)/2)*(Inputs!$J$8-Inputs!$I$8))</x:f>
        <x:v>-753.5999999999999</x:v>
      </x:c>
      <x:c r="W9" s="48" t="n">
        <x:f>(Inputs!$I$9+(((A9)+1)/2)*(Inputs!$J$9-Inputs!$I$9))</x:f>
        <x:v>-753.5999999999999</x:v>
      </x:c>
      <x:c r="X9" s="49"/>
      <x:c r="Y9" s="48" t="n">
        <x:f>A9</x:f>
        <x:v>-0.942</x:v>
      </x:c>
      <x:c r="Z9" s="48" t="n">
        <x:f>(Inputs!$H$6+Inputs!$L$6*(((Inputs!$I$6+(((A9)+1)/2)*(Inputs!$J$6-Inputs!$I$6)))/Inputs!$K$6)^2)</x:f>
        <x:v>403.549456</x:v>
      </x:c>
      <x:c r="AA9" s="48" t="n">
        <x:f>(Inputs!$H$7+Inputs!$L$7*(((Inputs!$I$7+(((A9)+1)/2)*(Inputs!$J$7-Inputs!$I$7)))/Inputs!$K$7)^2)</x:f>
        <x:v>358.8878599999999</x:v>
      </x:c>
      <x:c r="AB9" s="48" t="n">
        <x:f>(Inputs!$H$8+Inputs!$L$8*(((Inputs!$I$8+(((A9)+1)/2)*(Inputs!$J$8-Inputs!$I$8)))/Inputs!$K$8)^2)</x:f>
        <x:v>891.3062599999997</x:v>
      </x:c>
      <x:c r="AC9" s="48" t="n">
        <x:f>(Inputs!$H$9+Inputs!$L$9*(((Inputs!$I$9+(((A9)+1)/2)*(Inputs!$J$9-Inputs!$I$9)))/Inputs!$K$9)^2)</x:f>
        <x:v>890.1798999999997</x:v>
      </x:c>
      <x:c r="AD9" s="49"/>
      <x:c r="AE9" s="48" t="n">
        <x:f>A9</x:f>
        <x:v>-0.942</x:v>
      </x:c>
      <x:c r="AF9" s="48" t="n">
        <x:f>(((SQRT((Inputs!$C$52+((Inputs!$H$6+Inputs!$L$6*(((Inputs!$I$6+(((A9)+1)/2)*(Inputs!$J$6-Inputs!$I$6)))/Inputs!$K$6)^2)))^2+Inputs!$C$52^2-2*(Inputs!$C$52+((Inputs!$H$6+Inputs!$L$6*(((Inputs!$I$6+(((A9)+1)/2)*(Inputs!$J$6-Inputs!$I$6)))/Inputs!$K$6)^2)))*Inputs!$C$52*COS(SQRT(((Inputs!$I$6+(((A9)+1)/2)*(Inputs!$J$6-Inputs!$I$6)))^2+Inputs!$C$6^2)/Inputs!$C$52)))-((Inputs!$H$6+Inputs!$L$6*(((Inputs!$I$6+(((A9)+1)/2)*(Inputs!$J$6-Inputs!$I$6)))/Inputs!$K$6)^2)))*1000/Inputs!$C$12)</x:f>
        <x:v>3321.28489653817</x:v>
      </x:c>
      <x:c r="AG9" s="48" t="n">
        <x:f>(((SQRT((Inputs!$C$52+((Inputs!$H$7+Inputs!$L$7*(((Inputs!$I$7+(((A9)+1)/2)*(Inputs!$J$7-Inputs!$I$7)))/Inputs!$K$7)^2)))^2+Inputs!$C$52^2-2*(Inputs!$C$52+((Inputs!$H$7+Inputs!$L$7*(((Inputs!$I$7+(((A9)+1)/2)*(Inputs!$J$7-Inputs!$I$7)))/Inputs!$K$7)^2)))*Inputs!$C$52*COS(SQRT(((Inputs!$I$7+(((A9)+1)/2)*(Inputs!$J$7-Inputs!$I$7)))^2+Inputs!$C$6^2)/Inputs!$C$52)))-((Inputs!$H$7+Inputs!$L$7*(((Inputs!$I$7+(((A9)+1)/2)*(Inputs!$J$7-Inputs!$I$7)))/Inputs!$K$7)^2)))*1000/Inputs!$C$12)</x:f>
        <x:v>107794.96717721704</x:v>
      </x:c>
      <x:c r="AH9" s="48" t="n">
        <x:f>(((SQRT((Inputs!$C$52+((Inputs!$H$8+Inputs!$L$8*(((Inputs!$I$8+(((A9)+1)/2)*(Inputs!$J$8-Inputs!$I$8)))/Inputs!$K$8)^2)))^2+Inputs!$C$52^2-2*(Inputs!$C$52+((Inputs!$H$8+Inputs!$L$8*(((Inputs!$I$8+(((A9)+1)/2)*(Inputs!$J$8-Inputs!$I$8)))/Inputs!$K$8)^2)))*Inputs!$C$52*COS(SQRT(((Inputs!$I$8+(((A9)+1)/2)*(Inputs!$J$8-Inputs!$I$8)))^2+Inputs!$C$6^2)/Inputs!$C$52)))-((Inputs!$H$8+Inputs!$L$8*(((Inputs!$I$8+(((A9)+1)/2)*(Inputs!$J$8-Inputs!$I$8)))/Inputs!$K$8)^2)))*1000/Inputs!$C$12)</x:f>
        <x:v>225354.85545907478</x:v>
      </x:c>
      <x:c r="AI9" s="48" t="n">
        <x:f>(((SQRT((Inputs!$C$52+((Inputs!$H$9+Inputs!$L$9*(((Inputs!$I$9+(((A9)+1)/2)*(Inputs!$J$9-Inputs!$I$9)))/Inputs!$K$9)^2)))^2+Inputs!$C$52^2-2*(Inputs!$C$52+((Inputs!$H$9+Inputs!$L$9*(((Inputs!$I$9+(((A9)+1)/2)*(Inputs!$J$9-Inputs!$I$9)))/Inputs!$K$9)^2)))*Inputs!$C$52*COS(SQRT(((Inputs!$I$9+(((A9)+1)/2)*(Inputs!$J$9-Inputs!$I$9)))^2+Inputs!$C$6^2)/Inputs!$C$52)))-((Inputs!$H$9+Inputs!$L$9*(((Inputs!$I$9+(((A9)+1)/2)*(Inputs!$J$9-Inputs!$I$9)))/Inputs!$K$9)^2)))*1000/Inputs!$C$12)</x:f>
        <x:v>225463.88768239436</x:v>
      </x:c>
      <x:c r="AJ9" s="49"/>
      <x:c r="AK9" s="48" t="n">
        <x:f>A9</x:f>
        <x:v>-0.942</x:v>
      </x:c>
      <x:c r="AL9" s="48" t="n">
        <x: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x:f>
        <x:v>476.54529972214686</x:v>
      </x:c>
      <x:c r="AM9" s="48" t="n">
        <x: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x:f>
        <x:v>3352.6375502318347</x:v>
      </x:c>
      <x:c r="AN9" s="48" t="n">
        <x: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x:f>
        <x:v>4419.442134466082</x:v>
      </x:c>
      <x:c r="AO9" s="48" t="n">
        <x: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x:f>
        <x:v>4449.995709046931</x:v>
      </x:c>
      <x:c r="AP9" s="49"/>
      <x:c r="AQ9" s="48" t="n">
        <x:f>A9</x:f>
        <x:v>-0.942</x:v>
      </x:c>
      <x:c r="AR9" s="48" t="n">
        <x:f>0</x:f>
        <x:v>0</x:v>
      </x:c>
      <x:c r="AS9" s="48" t="n">
        <x: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(0.45*SIN(2*PI()*((((Inputs!$I$6+(((A9)+1)/2)*(Inputs!$J$6-Inputs!$I$6)))/Inputs!$C$49)+Inputs!$C$47*0.137))+0.35*COS(2*PI()*(((Inputs!$C$6)/Inputs!$C$50)+Inputs!$C$47*0.173))+0.20*SIN(2*PI()*((((Inputs!$I$6+(((A9)+1)/2)*(Inputs!$J$6-Inputs!$I$6)))+(Inputs!$C$6))/(0.5*(Inputs!$C$49+Inputs!$C$50))+Inputs!$C$47*0.097)))+0.30*(2*((SIN((((Inputs!$I$6+(((A9)+1)/2)*(Inputs!$J$6-Inputs!$I$6)))*12.9898+(Inputs!$C$6)*78.233+Inputs!$C$47*37.719))*43758.5453)-INT((SIN((((Inputs!$I$6+(((A9)+1)/2)*(Inputs!$J$6-Inputs!$I$6)))*12.9898+(Inputs!$C$6)*78.233+Inputs!$C$47*37.719))*43758.5453)))-1))),NA())</x:f>
        <x:v>140.9527367401792</x:v>
      </x:c>
      <x:c r="AT9" s="48" t="n">
        <x: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(0.45*SIN(2*PI()*((((Inputs!$I$7+(((A9)+1)/2)*(Inputs!$J$7-Inputs!$I$7)))/Inputs!$C$49)+Inputs!$C$47*0.137))+0.35*COS(2*PI()*(((Inputs!$C$6)/Inputs!$C$50)+Inputs!$C$47*0.173))+0.20*SIN(2*PI()*((((Inputs!$I$7+(((A9)+1)/2)*(Inputs!$J$7-Inputs!$I$7)))+(Inputs!$C$6))/(0.5*(Inputs!$C$49+Inputs!$C$50))+Inputs!$C$47*0.097)))+0.30*(2*((SIN((((Inputs!$I$7+(((A9)+1)/2)*(Inputs!$J$7-Inputs!$I$7)))*12.9898+(Inputs!$C$6)*78.233+Inputs!$C$47*37.719))*43758.5453)-INT((SIN((((Inputs!$I$7+(((A9)+1)/2)*(Inputs!$J$7-Inputs!$I$7)))*12.9898+(Inputs!$C$6)*78.233+Inputs!$C$47*37.719))*43758.5453)))-1))),NA())</x:f>
        <x:v>157.2456749770218</x:v>
      </x:c>
      <x:c r="AU9" s="48" t="n">
        <x: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(0.45*SIN(2*PI()*((((Inputs!$I$8+(((A9)+1)/2)*(Inputs!$J$8-Inputs!$I$8)))/Inputs!$C$49)+Inputs!$C$47*0.137))+0.35*COS(2*PI()*(((Inputs!$C$6)/Inputs!$C$50)+Inputs!$C$47*0.173))+0.20*SIN(2*PI()*((((Inputs!$I$8+(((A9)+1)/2)*(Inputs!$J$8-Inputs!$I$8)))+(Inputs!$C$6))/(0.5*(Inputs!$C$49+Inputs!$C$50))+Inputs!$C$47*0.097)))+0.30*(2*((SIN((((Inputs!$I$8+(((A9)+1)/2)*(Inputs!$J$8-Inputs!$I$8)))*12.9898+(Inputs!$C$6)*78.233+Inputs!$C$47*37.719))*43758.5453)-INT((SIN((((Inputs!$I$8+(((A9)+1)/2)*(Inputs!$J$8-Inputs!$I$8)))*12.9898+(Inputs!$C$6)*78.233+Inputs!$C$47*37.719))*43758.5453)))-1))),NA())</x:f>
        <x:v>217.91719518190024</x:v>
      </x:c>
      <x:c r="AV9" s="48" t="n">
        <x: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(0.45*SIN(2*PI()*((((Inputs!$I$9+(((A9)+1)/2)*(Inputs!$J$9-Inputs!$I$9)))/Inputs!$C$49)+Inputs!$C$47*0.137))+0.35*COS(2*PI()*(((Inputs!$C$6)/Inputs!$C$50)+Inputs!$C$47*0.173))+0.20*SIN(2*PI()*((((Inputs!$I$9+(((A9)+1)/2)*(Inputs!$J$9-Inputs!$I$9)))+(Inputs!$C$6))/(0.5*(Inputs!$C$49+Inputs!$C$50))+Inputs!$C$47*0.097)))+0.30*(2*((SIN((((Inputs!$I$9+(((A9)+1)/2)*(Inputs!$J$9-Inputs!$I$9)))*12.9898+(Inputs!$C$6)*78.233+Inputs!$C$47*37.719))*43758.5453)-INT((SIN((((Inputs!$I$9+(((A9)+1)/2)*(Inputs!$J$9-Inputs!$I$9)))*12.9898+(Inputs!$C$6)*78.233+Inputs!$C$47*37.719))*43758.5453)))-1))),NA())</x:f>
        <x:v>217.91719518190024</x:v>
      </x:c>
      <x:c r="AW9" s="49"/>
      <x:c r="AX9" s="48" t="n">
        <x:f>A9</x:f>
        <x:v>-0.942</x:v>
      </x:c>
      <x:c r="AY9" s="48" t="n">
        <x:f>0</x:f>
        <x:v>0</x:v>
      </x:c>
      <x:c r="AZ9" s="48" t="n">
        <x:f>IF(OR(Inputs!$F$6=TRUE,Inputs!$F$6="TRUE",Inputs!$F$6=1),(Inputs!$H$6+Inputs!$L$6*(((Inputs!$I$6+(((A9)+1)/2)*(Inputs!$J$6-Inputs!$I$6)))/Inputs!$K$6)^2),NA())</x:f>
        <x:v>403.549456</x:v>
      </x:c>
      <x:c r="BA9" s="48" t="n">
        <x:f>IF(OR(Inputs!$F$7=TRUE,Inputs!$F$7="TRUE",Inputs!$F$7=1),(Inputs!$H$7+Inputs!$L$7*(((Inputs!$I$7+(((A9)+1)/2)*(Inputs!$J$7-Inputs!$I$7)))/Inputs!$K$7)^2),NA())</x:f>
        <x:v>358.8878599999999</x:v>
      </x:c>
      <x:c r="BB9" s="48" t="n">
        <x:f>IF(OR(Inputs!$F$8=TRUE,Inputs!$F$8="TRUE",Inputs!$F$8=1),(Inputs!$H$8+Inputs!$L$8*(((Inputs!$I$8+(((A9)+1)/2)*(Inputs!$J$8-Inputs!$I$8)))/Inputs!$K$8)^2),NA())</x:f>
        <x:v>891.3062599999997</x:v>
      </x:c>
      <x:c r="BC9" s="48" t="n">
        <x:f>IF(OR(Inputs!$F$9=TRUE,Inputs!$F$9="TRUE",Inputs!$F$9=1),(Inputs!$H$9+Inputs!$L$9*(((Inputs!$I$9+(((A9)+1)/2)*(Inputs!$J$9-Inputs!$I$9)))/Inputs!$K$9)^2),NA())</x:f>
        <x:v>890.1798999999997</x:v>
      </x:c>
      <x:c r="BD9" s="49"/>
      <x:c r="BE9" s="48" t="n">
        <x:f>A9</x:f>
        <x:v>-0.942</x:v>
      </x:c>
      <x:c r="BF9" s="48" t="n">
        <x:f>0</x:f>
        <x:v>0</x:v>
      </x:c>
      <x:c r="BG9" s="48"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BH9" s="48"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BI9" s="48"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BJ9" s="48"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row>
    <x:row r="10">
      <x:c r="A10" s="48" t="n">
        <x:f>ROUND(-1+8*2/240,3)</x:f>
        <x:v>-0.933</x:v>
      </x:c>
      <x:c r="B10" s="48" t="n">
        <x:f>IF(OR(Inputs!$F$6=TRUE,Inputs!$F$6="TRUE",Inputs!$F$6=1),(Inputs!$H$6+Inputs!$L$6*(((Inputs!$I$6+(((A10)+1)/2)*(Inputs!$J$6-Inputs!$I$6)))/Inputs!$K$6)^2),NA())</x:f>
        <x:v>403.481956</x:v>
      </x:c>
      <x:c r="C10" s="48" t="n">
        <x:f>IF(OR(Inputs!$F$7=TRUE,Inputs!$F$7="TRUE",Inputs!$F$7=1),(Inputs!$H$7+Inputs!$L$7*(((Inputs!$I$7+(((A10)+1)/2)*(Inputs!$J$7-Inputs!$I$7)))/Inputs!$K$7)^2),NA())</x:f>
        <x:v>352.7284850000001</x:v>
      </x:c>
      <x:c r="D10" s="48" t="n">
        <x:f>IF(OR(Inputs!$F$8=TRUE,Inputs!$F$8="TRUE",Inputs!$F$8=1),(Inputs!$H$8+Inputs!$L$8*(((Inputs!$I$8+(((A10)+1)/2)*(Inputs!$J$8-Inputs!$I$8)))/Inputs!$K$8)^2),NA())</x:f>
        <x:v>875.0218850000002</x:v>
      </x:c>
      <x:c r="E10" s="48" t="n">
        <x:f>IF(OR(Inputs!$F$9=TRUE,Inputs!$F$9="TRUE",Inputs!$F$9=1),(Inputs!$H$9+Inputs!$L$9*(((Inputs!$I$9+(((A10)+1)/2)*(Inputs!$J$9-Inputs!$I$9)))/Inputs!$K$9)^2),NA())</x:f>
        <x:v>873.7267750000003</x:v>
      </x:c>
      <x:c r="F10" s="49"/>
      <x:c r="G10" s="48" t="n">
        <x:f>A10</x:f>
        <x:v>-0.933</x:v>
      </x:c>
      <x:c r="H10" s="48"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I10" s="48"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J10" s="48"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K10" s="48"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c r="L10" s="49"/>
      <x:c r="M10" s="48" t="n">
        <x:f>A10</x:f>
        <x:v>-0.933</x:v>
      </x:c>
      <x:c r="N10" s="48" t="n">
        <x: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x:f>
        <x:v>472.126324737249</x:v>
      </x:c>
      <x:c r="O10" s="48" t="n">
        <x: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x:f>
        <x:v>3327.308259194152</x:v>
      </x:c>
      <x:c r="P10" s="48" t="n">
        <x: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x:f>
        <x:v>4381.469837427133</x:v>
      </x:c>
      <x:c r="Q10" s="48" t="n">
        <x: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x:f>
        <x:v>4411.522288810605</x:v>
      </x:c>
      <x:c r="R10" s="49"/>
      <x:c r="S10" s="48" t="n">
        <x:f>A10</x:f>
        <x:v>-0.933</x:v>
      </x:c>
      <x:c r="T10" s="48" t="n">
        <x:f>(Inputs!$I$6+(((A10)+1)/2)*(Inputs!$J$6-Inputs!$I$6))</x:f>
        <x:v>-55.980000000000004</x:v>
      </x:c>
      <x:c r="U10" s="48" t="n">
        <x:f>(Inputs!$I$7+(((A10)+1)/2)*(Inputs!$J$7-Inputs!$I$7))</x:f>
        <x:v>-373.20000000000005</x:v>
      </x:c>
      <x:c r="V10" s="48" t="n">
        <x:f>(Inputs!$I$8+(((A10)+1)/2)*(Inputs!$J$8-Inputs!$I$8))</x:f>
        <x:v>-746.4000000000001</x:v>
      </x:c>
      <x:c r="W10" s="48" t="n">
        <x:f>(Inputs!$I$9+(((A10)+1)/2)*(Inputs!$J$9-Inputs!$I$9))</x:f>
        <x:v>-746.4000000000001</x:v>
      </x:c>
      <x:c r="X10" s="49"/>
      <x:c r="Y10" s="48" t="n">
        <x:f>A10</x:f>
        <x:v>-0.933</x:v>
      </x:c>
      <x:c r="Z10" s="48" t="n">
        <x:f>(Inputs!$H$6+Inputs!$L$6*(((Inputs!$I$6+(((A10)+1)/2)*(Inputs!$J$6-Inputs!$I$6)))/Inputs!$K$6)^2)</x:f>
        <x:v>403.481956</x:v>
      </x:c>
      <x:c r="AA10" s="48" t="n">
        <x:f>(Inputs!$H$7+Inputs!$L$7*(((Inputs!$I$7+(((A10)+1)/2)*(Inputs!$J$7-Inputs!$I$7)))/Inputs!$K$7)^2)</x:f>
        <x:v>352.7284850000001</x:v>
      </x:c>
      <x:c r="AB10" s="48" t="n">
        <x:f>(Inputs!$H$8+Inputs!$L$8*(((Inputs!$I$8+(((A10)+1)/2)*(Inputs!$J$8-Inputs!$I$8)))/Inputs!$K$8)^2)</x:f>
        <x:v>875.0218850000002</x:v>
      </x:c>
      <x:c r="AC10" s="48" t="n">
        <x:f>(Inputs!$H$9+Inputs!$L$9*(((Inputs!$I$9+(((A10)+1)/2)*(Inputs!$J$9-Inputs!$I$9)))/Inputs!$K$9)^2)</x:f>
        <x:v>873.7267750000003</x:v>
      </x:c>
      <x:c r="AD10" s="49"/>
      <x:c r="AE10" s="48" t="n">
        <x:f>A10</x:f>
        <x:v>-0.933</x:v>
      </x:c>
      <x:c r="AF10" s="48" t="n">
        <x:f>(((SQRT((Inputs!$C$52+((Inputs!$H$6+Inputs!$L$6*(((Inputs!$I$6+(((A10)+1)/2)*(Inputs!$J$6-Inputs!$I$6)))/Inputs!$K$6)^2)))^2+Inputs!$C$52^2-2*(Inputs!$C$52+((Inputs!$H$6+Inputs!$L$6*(((Inputs!$I$6+(((A10)+1)/2)*(Inputs!$J$6-Inputs!$I$6)))/Inputs!$K$6)^2)))*Inputs!$C$52*COS(SQRT(((Inputs!$I$6+(((A10)+1)/2)*(Inputs!$J$6-Inputs!$I$6)))^2+Inputs!$C$6^2)/Inputs!$C$52)))-((Inputs!$H$6+Inputs!$L$6*(((Inputs!$I$6+(((A10)+1)/2)*(Inputs!$J$6-Inputs!$I$6)))/Inputs!$K$6)^2)))*1000/Inputs!$C$12)</x:f>
        <x:v>3269.2689183040475</x:v>
      </x:c>
      <x:c r="AG10" s="48" t="n">
        <x:f>(((SQRT((Inputs!$C$52+((Inputs!$H$7+Inputs!$L$7*(((Inputs!$I$7+(((A10)+1)/2)*(Inputs!$J$7-Inputs!$I$7)))/Inputs!$K$7)^2)))^2+Inputs!$C$52^2-2*(Inputs!$C$52+((Inputs!$H$7+Inputs!$L$7*(((Inputs!$I$7+(((A10)+1)/2)*(Inputs!$J$7-Inputs!$I$7)))/Inputs!$K$7)^2)))*Inputs!$C$52*COS(SQRT(((Inputs!$I$7+(((A10)+1)/2)*(Inputs!$J$7-Inputs!$I$7)))^2+Inputs!$C$6^2)/Inputs!$C$52)))-((Inputs!$H$7+Inputs!$L$7*(((Inputs!$I$7+(((A10)+1)/2)*(Inputs!$J$7-Inputs!$I$7)))/Inputs!$K$7)^2)))*1000/Inputs!$C$12)</x:f>
        <x:v>107033.4229070712</x:v>
      </x:c>
      <x:c r="AH10" s="48" t="n">
        <x:f>(((SQRT((Inputs!$C$52+((Inputs!$H$8+Inputs!$L$8*(((Inputs!$I$8+(((A10)+1)/2)*(Inputs!$J$8-Inputs!$I$8)))/Inputs!$K$8)^2)))^2+Inputs!$C$52^2-2*(Inputs!$C$52+((Inputs!$H$8+Inputs!$L$8*(((Inputs!$I$8+(((A10)+1)/2)*(Inputs!$J$8-Inputs!$I$8)))/Inputs!$K$8)^2)))*Inputs!$C$52*COS(SQRT(((Inputs!$I$8+(((A10)+1)/2)*(Inputs!$J$8-Inputs!$I$8)))^2+Inputs!$C$6^2)/Inputs!$C$52)))-((Inputs!$H$8+Inputs!$L$8*(((Inputs!$I$8+(((A10)+1)/2)*(Inputs!$J$8-Inputs!$I$8)))/Inputs!$K$8)^2)))*1000/Inputs!$C$12)</x:f>
        <x:v>223378.64387405742</x:v>
      </x:c>
      <x:c r="AI10" s="48" t="n">
        <x:f>(((SQRT((Inputs!$C$52+((Inputs!$H$9+Inputs!$L$9*(((Inputs!$I$9+(((A10)+1)/2)*(Inputs!$J$9-Inputs!$I$9)))/Inputs!$K$9)^2)))^2+Inputs!$C$52^2-2*(Inputs!$C$52+((Inputs!$H$9+Inputs!$L$9*(((Inputs!$I$9+(((A10)+1)/2)*(Inputs!$J$9-Inputs!$I$9)))/Inputs!$K$9)^2)))*Inputs!$C$52*COS(SQRT(((Inputs!$I$9+(((A10)+1)/2)*(Inputs!$J$9-Inputs!$I$9)))^2+Inputs!$C$6^2)/Inputs!$C$52)))-((Inputs!$H$9+Inputs!$L$9*(((Inputs!$I$9+(((A10)+1)/2)*(Inputs!$J$9-Inputs!$I$9)))/Inputs!$K$9)^2)))*1000/Inputs!$C$12)</x:f>
        <x:v>223505.87020606681</x:v>
      </x:c>
      <x:c r="AJ10" s="49"/>
      <x:c r="AK10" s="48" t="n">
        <x:f>A10</x:f>
        <x:v>-0.933</x:v>
      </x:c>
      <x:c r="AL10" s="48" t="n">
        <x: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x:f>
        <x:v>472.126324737249</x:v>
      </x:c>
      <x:c r="AM10" s="48" t="n">
        <x: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x:f>
        <x:v>3327.308259194152</x:v>
      </x:c>
      <x:c r="AN10" s="48" t="n">
        <x: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x:f>
        <x:v>4381.469837427133</x:v>
      </x:c>
      <x:c r="AO10" s="48" t="n">
        <x: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x:f>
        <x:v>4411.522288810605</x:v>
      </x:c>
      <x:c r="AP10" s="49"/>
      <x:c r="AQ10" s="48" t="n">
        <x:f>A10</x:f>
        <x:v>-0.933</x:v>
      </x:c>
      <x:c r="AR10" s="48" t="n">
        <x:f>0</x:f>
        <x:v>0</x:v>
      </x:c>
      <x:c r="AS10" s="48" t="n">
        <x: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(0.45*SIN(2*PI()*((((Inputs!$I$6+(((A10)+1)/2)*(Inputs!$J$6-Inputs!$I$6)))/Inputs!$C$49)+Inputs!$C$47*0.137))+0.35*COS(2*PI()*(((Inputs!$C$6)/Inputs!$C$50)+Inputs!$C$47*0.173))+0.20*SIN(2*PI()*((((Inputs!$I$6+(((A10)+1)/2)*(Inputs!$J$6-Inputs!$I$6)))+(Inputs!$C$6))/(0.5*(Inputs!$C$49+Inputs!$C$50))+Inputs!$C$47*0.097)))+0.30*(2*((SIN((((Inputs!$I$6+(((A10)+1)/2)*(Inputs!$J$6-Inputs!$I$6)))*12.9898+(Inputs!$C$6)*78.233+Inputs!$C$47*37.719))*43758.5453)-INT((SIN((((Inputs!$I$6+(((A10)+1)/2)*(Inputs!$J$6-Inputs!$I$6)))*12.9898+(Inputs!$C$6)*78.233+Inputs!$C$47*37.719))*43758.5453)))-1))),NA())</x:f>
        <x:v>158.71734786163717</x:v>
      </x:c>
      <x:c r="AT10" s="48" t="n">
        <x: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(0.45*SIN(2*PI()*((((Inputs!$I$7+(((A10)+1)/2)*(Inputs!$J$7-Inputs!$I$7)))/Inputs!$C$49)+Inputs!$C$47*0.137))+0.35*COS(2*PI()*(((Inputs!$C$6)/Inputs!$C$50)+Inputs!$C$47*0.173))+0.20*SIN(2*PI()*((((Inputs!$I$7+(((A10)+1)/2)*(Inputs!$J$7-Inputs!$I$7)))+(Inputs!$C$6))/(0.5*(Inputs!$C$49+Inputs!$C$50))+Inputs!$C$47*0.097)))+0.30*(2*((SIN((((Inputs!$I$7+(((A10)+1)/2)*(Inputs!$J$7-Inputs!$I$7)))*12.9898+(Inputs!$C$6)*78.233+Inputs!$C$47*37.719))*43758.5453)-INT((SIN((((Inputs!$I$7+(((A10)+1)/2)*(Inputs!$J$7-Inputs!$I$7)))*12.9898+(Inputs!$C$6)*78.233+Inputs!$C$47*37.719))*43758.5453)))-1))),NA())</x:f>
        <x:v>159.02725882386267</x:v>
      </x:c>
      <x:c r="AU10" s="48" t="n">
        <x: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(0.45*SIN(2*PI()*((((Inputs!$I$8+(((A10)+1)/2)*(Inputs!$J$8-Inputs!$I$8)))/Inputs!$C$49)+Inputs!$C$47*0.137))+0.35*COS(2*PI()*(((Inputs!$C$6)/Inputs!$C$50)+Inputs!$C$47*0.173))+0.20*SIN(2*PI()*((((Inputs!$I$8+(((A10)+1)/2)*(Inputs!$J$8-Inputs!$I$8)))+(Inputs!$C$6))/(0.5*(Inputs!$C$49+Inputs!$C$50))+Inputs!$C$47*0.097)))+0.30*(2*((SIN((((Inputs!$I$8+(((A10)+1)/2)*(Inputs!$J$8-Inputs!$I$8)))*12.9898+(Inputs!$C$6)*78.233+Inputs!$C$47*37.719))*43758.5453)-INT((SIN((((Inputs!$I$8+(((A10)+1)/2)*(Inputs!$J$8-Inputs!$I$8)))*12.9898+(Inputs!$C$6)*78.233+Inputs!$C$47*37.719))*43758.5453)))-1))),NA())</x:f>
        <x:v>118.83044536264866</x:v>
      </x:c>
      <x:c r="AV10" s="48" t="n">
        <x: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(0.45*SIN(2*PI()*((((Inputs!$I$9+(((A10)+1)/2)*(Inputs!$J$9-Inputs!$I$9)))/Inputs!$C$49)+Inputs!$C$47*0.137))+0.35*COS(2*PI()*(((Inputs!$C$6)/Inputs!$C$50)+Inputs!$C$47*0.173))+0.20*SIN(2*PI()*((((Inputs!$I$9+(((A10)+1)/2)*(Inputs!$J$9-Inputs!$I$9)))+(Inputs!$C$6))/(0.5*(Inputs!$C$49+Inputs!$C$50))+Inputs!$C$47*0.097)))+0.30*(2*((SIN((((Inputs!$I$9+(((A10)+1)/2)*(Inputs!$J$9-Inputs!$I$9)))*12.9898+(Inputs!$C$6)*78.233+Inputs!$C$47*37.719))*43758.5453)-INT((SIN((((Inputs!$I$9+(((A10)+1)/2)*(Inputs!$J$9-Inputs!$I$9)))*12.9898+(Inputs!$C$6)*78.233+Inputs!$C$47*37.719))*43758.5453)))-1))),NA())</x:f>
        <x:v>118.83044536264866</x:v>
      </x:c>
      <x:c r="AW10" s="49"/>
      <x:c r="AX10" s="48" t="n">
        <x:f>A10</x:f>
        <x:v>-0.933</x:v>
      </x:c>
      <x:c r="AY10" s="48" t="n">
        <x:f>0</x:f>
        <x:v>0</x:v>
      </x:c>
      <x:c r="AZ10" s="48" t="n">
        <x:f>IF(OR(Inputs!$F$6=TRUE,Inputs!$F$6="TRUE",Inputs!$F$6=1),(Inputs!$H$6+Inputs!$L$6*(((Inputs!$I$6+(((A10)+1)/2)*(Inputs!$J$6-Inputs!$I$6)))/Inputs!$K$6)^2),NA())</x:f>
        <x:v>403.481956</x:v>
      </x:c>
      <x:c r="BA10" s="48" t="n">
        <x:f>IF(OR(Inputs!$F$7=TRUE,Inputs!$F$7="TRUE",Inputs!$F$7=1),(Inputs!$H$7+Inputs!$L$7*(((Inputs!$I$7+(((A10)+1)/2)*(Inputs!$J$7-Inputs!$I$7)))/Inputs!$K$7)^2),NA())</x:f>
        <x:v>352.7284850000001</x:v>
      </x:c>
      <x:c r="BB10" s="48" t="n">
        <x:f>IF(OR(Inputs!$F$8=TRUE,Inputs!$F$8="TRUE",Inputs!$F$8=1),(Inputs!$H$8+Inputs!$L$8*(((Inputs!$I$8+(((A10)+1)/2)*(Inputs!$J$8-Inputs!$I$8)))/Inputs!$K$8)^2),NA())</x:f>
        <x:v>875.0218850000002</x:v>
      </x:c>
      <x:c r="BC10" s="48" t="n">
        <x:f>IF(OR(Inputs!$F$9=TRUE,Inputs!$F$9="TRUE",Inputs!$F$9=1),(Inputs!$H$9+Inputs!$L$9*(((Inputs!$I$9+(((A10)+1)/2)*(Inputs!$J$9-Inputs!$I$9)))/Inputs!$K$9)^2),NA())</x:f>
        <x:v>873.7267750000003</x:v>
      </x:c>
      <x:c r="BD10" s="49"/>
      <x:c r="BE10" s="48" t="n">
        <x:f>A10</x:f>
        <x:v>-0.933</x:v>
      </x:c>
      <x:c r="BF10" s="48" t="n">
        <x:f>0</x:f>
        <x:v>0</x:v>
      </x:c>
      <x:c r="BG10" s="48"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BH10" s="48"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BI10" s="48"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BJ10" s="48"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row>
    <x:row r="11">
      <x:c r="A11" s="48" t="n">
        <x:f>ROUND(-1+9*2/240,3)</x:f>
        <x:v>-0.925</x:v>
      </x:c>
      <x:c r="B11" s="48" t="n">
        <x:f>IF(OR(Inputs!$F$6=TRUE,Inputs!$F$6="TRUE",Inputs!$F$6=1),(Inputs!$H$6+Inputs!$L$6*(((Inputs!$I$6+(((A11)+1)/2)*(Inputs!$J$6-Inputs!$I$6)))/Inputs!$K$6)^2),NA())</x:f>
        <x:v>403.4225</x:v>
      </x:c>
      <x:c r="C11" s="48" t="n">
        <x:f>IF(OR(Inputs!$F$7=TRUE,Inputs!$F$7="TRUE",Inputs!$F$7=1),(Inputs!$H$7+Inputs!$L$7*(((Inputs!$I$7+(((A11)+1)/2)*(Inputs!$J$7-Inputs!$I$7)))/Inputs!$K$7)^2),NA())</x:f>
        <x:v>347.303125</x:v>
      </x:c>
      <x:c r="D11" s="48" t="n">
        <x:f>IF(OR(Inputs!$F$8=TRUE,Inputs!$F$8="TRUE",Inputs!$F$8=1),(Inputs!$H$8+Inputs!$L$8*(((Inputs!$I$8+(((A11)+1)/2)*(Inputs!$J$8-Inputs!$I$8)))/Inputs!$K$8)^2),NA())</x:f>
        <x:v>860.678125</x:v>
      </x:c>
      <x:c r="E11" s="48" t="n">
        <x:f>IF(OR(Inputs!$F$9=TRUE,Inputs!$F$9="TRUE",Inputs!$F$9=1),(Inputs!$H$9+Inputs!$L$9*(((Inputs!$I$9+(((A11)+1)/2)*(Inputs!$J$9-Inputs!$I$9)))/Inputs!$K$9)^2),NA())</x:f>
        <x:v>859.2343750000001</x:v>
      </x:c>
      <x:c r="F11" s="49"/>
      <x:c r="G11" s="48" t="n">
        <x:f>A11</x:f>
        <x:v>-0.925</x:v>
      </x:c>
      <x:c r="H11" s="48"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I11" s="48"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J11" s="48"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K11" s="48"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c r="L11" s="49"/>
      <x:c r="M11" s="48" t="n">
        <x:f>A11</x:f>
        <x:v>-0.925</x:v>
      </x:c>
      <x:c r="N11" s="48" t="n">
        <x: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x:f>
        <x:v>468.1952349797457</x:v>
      </x:c>
      <x:c r="O11" s="48" t="n">
        <x: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x:f>
        <x:v>3304.86220707818</x:v>
      </x:c>
      <x:c r="P11" s="48" t="n">
        <x: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x:f>
        <x:v>4347.762987975836</x:v>
      </x:c>
      <x:c r="Q11" s="48" t="n">
        <x: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x:f>
        <x:v>4377.367906392089</x:v>
      </x:c>
      <x:c r="R11" s="49"/>
      <x:c r="S11" s="48" t="n">
        <x:f>A11</x:f>
        <x:v>-0.925</x:v>
      </x:c>
      <x:c r="T11" s="48" t="n">
        <x:f>(Inputs!$I$6+(((A11)+1)/2)*(Inputs!$J$6-Inputs!$I$6))</x:f>
        <x:v>-55.5</x:v>
      </x:c>
      <x:c r="U11" s="48" t="n">
        <x:f>(Inputs!$I$7+(((A11)+1)/2)*(Inputs!$J$7-Inputs!$I$7))</x:f>
        <x:v>-370</x:v>
      </x:c>
      <x:c r="V11" s="48" t="n">
        <x:f>(Inputs!$I$8+(((A11)+1)/2)*(Inputs!$J$8-Inputs!$I$8))</x:f>
        <x:v>-740</x:v>
      </x:c>
      <x:c r="W11" s="48" t="n">
        <x:f>(Inputs!$I$9+(((A11)+1)/2)*(Inputs!$J$9-Inputs!$I$9))</x:f>
        <x:v>-740</x:v>
      </x:c>
      <x:c r="X11" s="49"/>
      <x:c r="Y11" s="48" t="n">
        <x:f>A11</x:f>
        <x:v>-0.925</x:v>
      </x:c>
      <x:c r="Z11" s="48" t="n">
        <x:f>(Inputs!$H$6+Inputs!$L$6*(((Inputs!$I$6+(((A11)+1)/2)*(Inputs!$J$6-Inputs!$I$6)))/Inputs!$K$6)^2)</x:f>
        <x:v>403.4225</x:v>
      </x:c>
      <x:c r="AA11" s="48" t="n">
        <x:f>(Inputs!$H$7+Inputs!$L$7*(((Inputs!$I$7+(((A11)+1)/2)*(Inputs!$J$7-Inputs!$I$7)))/Inputs!$K$7)^2)</x:f>
        <x:v>347.303125</x:v>
      </x:c>
      <x:c r="AB11" s="48" t="n">
        <x:f>(Inputs!$H$8+Inputs!$L$8*(((Inputs!$I$8+(((A11)+1)/2)*(Inputs!$J$8-Inputs!$I$8)))/Inputs!$K$8)^2)</x:f>
        <x:v>860.678125</x:v>
      </x:c>
      <x:c r="AC11" s="48" t="n">
        <x:f>(Inputs!$H$9+Inputs!$L$9*(((Inputs!$I$9+(((A11)+1)/2)*(Inputs!$J$9-Inputs!$I$9)))/Inputs!$K$9)^2)</x:f>
        <x:v>859.2343750000001</x:v>
      </x:c>
      <x:c r="AD11" s="49"/>
      <x:c r="AE11" s="48" t="n">
        <x:f>A11</x:f>
        <x:v>-0.925</x:v>
      </x:c>
      <x:c r="AF11" s="48" t="n">
        <x:f>(((SQRT((Inputs!$C$52+((Inputs!$H$6+Inputs!$L$6*(((Inputs!$I$6+(((A11)+1)/2)*(Inputs!$J$6-Inputs!$I$6)))/Inputs!$K$6)^2)))^2+Inputs!$C$52^2-2*(Inputs!$C$52+((Inputs!$H$6+Inputs!$L$6*(((Inputs!$I$6+(((A11)+1)/2)*(Inputs!$J$6-Inputs!$I$6)))/Inputs!$K$6)^2)))*Inputs!$C$52*COS(SQRT(((Inputs!$I$6+(((A11)+1)/2)*(Inputs!$J$6-Inputs!$I$6)))^2+Inputs!$C$6^2)/Inputs!$C$52)))-((Inputs!$H$6+Inputs!$L$6*(((Inputs!$I$6+(((A11)+1)/2)*(Inputs!$J$6-Inputs!$I$6)))/Inputs!$K$6)^2)))*1000/Inputs!$C$12)</x:f>
        <x:v>3223.4305436364602</x:v>
      </x:c>
      <x:c r="AG11" s="48" t="n">
        <x:f>(((SQRT((Inputs!$C$52+((Inputs!$H$7+Inputs!$L$7*(((Inputs!$I$7+(((A11)+1)/2)*(Inputs!$J$7-Inputs!$I$7)))/Inputs!$K$7)^2)))^2+Inputs!$C$52^2-2*(Inputs!$C$52+((Inputs!$H$7+Inputs!$L$7*(((Inputs!$I$7+(((A11)+1)/2)*(Inputs!$J$7-Inputs!$I$7)))/Inputs!$K$7)^2)))*Inputs!$C$52*COS(SQRT(((Inputs!$I$7+(((A11)+1)/2)*(Inputs!$J$7-Inputs!$I$7)))^2+Inputs!$C$6^2)/Inputs!$C$52)))-((Inputs!$H$7+Inputs!$L$7*(((Inputs!$I$7+(((A11)+1)/2)*(Inputs!$J$7-Inputs!$I$7)))/Inputs!$K$7)^2)))*1000/Inputs!$C$12)</x:f>
        <x:v>106355.44562941928</x:v>
      </x:c>
      <x:c r="AH11" s="48" t="n">
        <x:f>(((SQRT((Inputs!$C$52+((Inputs!$H$8+Inputs!$L$8*(((Inputs!$I$8+(((A11)+1)/2)*(Inputs!$J$8-Inputs!$I$8)))/Inputs!$K$8)^2)))^2+Inputs!$C$52^2-2*(Inputs!$C$52+((Inputs!$H$8+Inputs!$L$8*(((Inputs!$I$8+(((A11)+1)/2)*(Inputs!$J$8-Inputs!$I$8)))/Inputs!$K$8)^2)))*Inputs!$C$52*COS(SQRT(((Inputs!$I$8+(((A11)+1)/2)*(Inputs!$J$8-Inputs!$I$8)))^2+Inputs!$C$6^2)/Inputs!$C$52)))-((Inputs!$H$8+Inputs!$L$8*(((Inputs!$I$8+(((A11)+1)/2)*(Inputs!$J$8-Inputs!$I$8)))/Inputs!$K$8)^2)))*1000/Inputs!$C$12)</x:f>
        <x:v>221628.81755188678</x:v>
      </x:c>
      <x:c r="AI11" s="48" t="n">
        <x:f>(((SQRT((Inputs!$C$52+((Inputs!$H$9+Inputs!$L$9*(((Inputs!$I$9+(((A11)+1)/2)*(Inputs!$J$9-Inputs!$I$9)))/Inputs!$K$9)^2)))^2+Inputs!$C$52^2-2*(Inputs!$C$52+((Inputs!$H$9+Inputs!$L$9*(((Inputs!$I$9+(((A11)+1)/2)*(Inputs!$J$9-Inputs!$I$9)))/Inputs!$K$9)^2)))*Inputs!$C$52*COS(SQRT(((Inputs!$I$9+(((A11)+1)/2)*(Inputs!$J$9-Inputs!$I$9)))^2+Inputs!$C$6^2)/Inputs!$C$52)))-((Inputs!$H$9+Inputs!$L$9*(((Inputs!$I$9+(((A11)+1)/2)*(Inputs!$J$9-Inputs!$I$9)))/Inputs!$K$9)^2)))*1000/Inputs!$C$12)</x:f>
        <x:v>221772.51837865092</x:v>
      </x:c>
      <x:c r="AJ11" s="49"/>
      <x:c r="AK11" s="48" t="n">
        <x:f>A11</x:f>
        <x:v>-0.925</x:v>
      </x:c>
      <x:c r="AL11" s="48" t="n">
        <x: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x:f>
        <x:v>468.1952349797457</x:v>
      </x:c>
      <x:c r="AM11" s="48" t="n">
        <x: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x:f>
        <x:v>3304.86220707818</x:v>
      </x:c>
      <x:c r="AN11" s="48" t="n">
        <x: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x:f>
        <x:v>4347.762987975836</x:v>
      </x:c>
      <x:c r="AO11" s="48" t="n">
        <x: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x:f>
        <x:v>4377.367906392089</x:v>
      </x:c>
      <x:c r="AP11" s="49"/>
      <x:c r="AQ11" s="48" t="n">
        <x:f>A11</x:f>
        <x:v>-0.925</x:v>
      </x:c>
      <x:c r="AR11" s="48" t="n">
        <x:f>0</x:f>
        <x:v>0</x:v>
      </x:c>
      <x:c r="AS11" s="48" t="n">
        <x: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(0.45*SIN(2*PI()*((((Inputs!$I$6+(((A11)+1)/2)*(Inputs!$J$6-Inputs!$I$6)))/Inputs!$C$49)+Inputs!$C$47*0.137))+0.35*COS(2*PI()*(((Inputs!$C$6)/Inputs!$C$50)+Inputs!$C$47*0.173))+0.20*SIN(2*PI()*((((Inputs!$I$6+(((A11)+1)/2)*(Inputs!$J$6-Inputs!$I$6)))+(Inputs!$C$6))/(0.5*(Inputs!$C$49+Inputs!$C$50))+Inputs!$C$47*0.097)))+0.30*(2*((SIN((((Inputs!$I$6+(((A11)+1)/2)*(Inputs!$J$6-Inputs!$I$6)))*12.9898+(Inputs!$C$6)*78.233+Inputs!$C$47*37.719))*43758.5453)-INT((SIN((((Inputs!$I$6+(((A11)+1)/2)*(Inputs!$J$6-Inputs!$I$6)))*12.9898+(Inputs!$C$6)*78.233+Inputs!$C$47*37.719))*43758.5453)))-1))),NA())</x:f>
        <x:v>160.57943103446084</x:v>
      </x:c>
      <x:c r="AT11" s="48" t="n">
        <x: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(0.45*SIN(2*PI()*((((Inputs!$I$7+(((A11)+1)/2)*(Inputs!$J$7-Inputs!$I$7)))/Inputs!$C$49)+Inputs!$C$47*0.137))+0.35*COS(2*PI()*(((Inputs!$C$6)/Inputs!$C$50)+Inputs!$C$47*0.173))+0.20*SIN(2*PI()*((((Inputs!$I$7+(((A11)+1)/2)*(Inputs!$J$7-Inputs!$I$7)))+(Inputs!$C$6))/(0.5*(Inputs!$C$49+Inputs!$C$50))+Inputs!$C$47*0.097)))+0.30*(2*((SIN((((Inputs!$I$7+(((A11)+1)/2)*(Inputs!$J$7-Inputs!$I$7)))*12.9898+(Inputs!$C$6)*78.233+Inputs!$C$47*37.719))*43758.5453)-INT((SIN((((Inputs!$I$7+(((A11)+1)/2)*(Inputs!$J$7-Inputs!$I$7)))*12.9898+(Inputs!$C$6)*78.233+Inputs!$C$47*37.719))*43758.5453)))-1))),NA())</x:f>
        <x:v>162.55768607297833</x:v>
      </x:c>
      <x:c r="AU11" s="48" t="n">
        <x: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(0.45*SIN(2*PI()*((((Inputs!$I$8+(((A11)+1)/2)*(Inputs!$J$8-Inputs!$I$8)))/Inputs!$C$49)+Inputs!$C$47*0.137))+0.35*COS(2*PI()*(((Inputs!$C$6)/Inputs!$C$50)+Inputs!$C$47*0.173))+0.20*SIN(2*PI()*((((Inputs!$I$8+(((A11)+1)/2)*(Inputs!$J$8-Inputs!$I$8)))+(Inputs!$C$6))/(0.5*(Inputs!$C$49+Inputs!$C$50))+Inputs!$C$47*0.097)))+0.30*(2*((SIN((((Inputs!$I$8+(((A11)+1)/2)*(Inputs!$J$8-Inputs!$I$8)))*12.9898+(Inputs!$C$6)*78.233+Inputs!$C$47*37.719))*43758.5453)-INT((SIN((((Inputs!$I$8+(((A11)+1)/2)*(Inputs!$J$8-Inputs!$I$8)))*12.9898+(Inputs!$C$6)*78.233+Inputs!$C$47*37.719))*43758.5453)))-1))),NA())</x:f>
        <x:v>152.39288583943994</x:v>
      </x:c>
      <x:c r="AV11" s="48" t="n">
        <x: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(0.45*SIN(2*PI()*((((Inputs!$I$9+(((A11)+1)/2)*(Inputs!$J$9-Inputs!$I$9)))/Inputs!$C$49)+Inputs!$C$47*0.137))+0.35*COS(2*PI()*(((Inputs!$C$6)/Inputs!$C$50)+Inputs!$C$47*0.173))+0.20*SIN(2*PI()*((((Inputs!$I$9+(((A11)+1)/2)*(Inputs!$J$9-Inputs!$I$9)))+(Inputs!$C$6))/(0.5*(Inputs!$C$49+Inputs!$C$50))+Inputs!$C$47*0.097)))+0.30*(2*((SIN((((Inputs!$I$9+(((A11)+1)/2)*(Inputs!$J$9-Inputs!$I$9)))*12.9898+(Inputs!$C$6)*78.233+Inputs!$C$47*37.719))*43758.5453)-INT((SIN((((Inputs!$I$9+(((A11)+1)/2)*(Inputs!$J$9-Inputs!$I$9)))*12.9898+(Inputs!$C$6)*78.233+Inputs!$C$47*37.719))*43758.5453)))-1))),NA())</x:f>
        <x:v>152.39288583943994</x:v>
      </x:c>
      <x:c r="AW11" s="49"/>
      <x:c r="AX11" s="48" t="n">
        <x:f>A11</x:f>
        <x:v>-0.925</x:v>
      </x:c>
      <x:c r="AY11" s="48" t="n">
        <x:f>0</x:f>
        <x:v>0</x:v>
      </x:c>
      <x:c r="AZ11" s="48" t="n">
        <x:f>IF(OR(Inputs!$F$6=TRUE,Inputs!$F$6="TRUE",Inputs!$F$6=1),(Inputs!$H$6+Inputs!$L$6*(((Inputs!$I$6+(((A11)+1)/2)*(Inputs!$J$6-Inputs!$I$6)))/Inputs!$K$6)^2),NA())</x:f>
        <x:v>403.4225</x:v>
      </x:c>
      <x:c r="BA11" s="48" t="n">
        <x:f>IF(OR(Inputs!$F$7=TRUE,Inputs!$F$7="TRUE",Inputs!$F$7=1),(Inputs!$H$7+Inputs!$L$7*(((Inputs!$I$7+(((A11)+1)/2)*(Inputs!$J$7-Inputs!$I$7)))/Inputs!$K$7)^2),NA())</x:f>
        <x:v>347.303125</x:v>
      </x:c>
      <x:c r="BB11" s="48" t="n">
        <x:f>IF(OR(Inputs!$F$8=TRUE,Inputs!$F$8="TRUE",Inputs!$F$8=1),(Inputs!$H$8+Inputs!$L$8*(((Inputs!$I$8+(((A11)+1)/2)*(Inputs!$J$8-Inputs!$I$8)))/Inputs!$K$8)^2),NA())</x:f>
        <x:v>860.678125</x:v>
      </x:c>
      <x:c r="BC11" s="48" t="n">
        <x:f>IF(OR(Inputs!$F$9=TRUE,Inputs!$F$9="TRUE",Inputs!$F$9=1),(Inputs!$H$9+Inputs!$L$9*(((Inputs!$I$9+(((A11)+1)/2)*(Inputs!$J$9-Inputs!$I$9)))/Inputs!$K$9)^2),NA())</x:f>
        <x:v>859.2343750000001</x:v>
      </x:c>
      <x:c r="BD11" s="49"/>
      <x:c r="BE11" s="48" t="n">
        <x:f>A11</x:f>
        <x:v>-0.925</x:v>
      </x:c>
      <x:c r="BF11" s="48" t="n">
        <x:f>0</x:f>
        <x:v>0</x:v>
      </x:c>
      <x:c r="BG11" s="48"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BH11" s="48"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BI11" s="48"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BJ11" s="48"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row>
    <x:row r="12">
      <x:c r="A12" s="48" t="n">
        <x:f>ROUND(-1+10*2/240,3)</x:f>
        <x:v>-0.917</x:v>
      </x:c>
      <x:c r="B12" s="48" t="n">
        <x:f>IF(OR(Inputs!$F$6=TRUE,Inputs!$F$6="TRUE",Inputs!$F$6=1),(Inputs!$H$6+Inputs!$L$6*(((Inputs!$I$6+(((A12)+1)/2)*(Inputs!$J$6-Inputs!$I$6)))/Inputs!$K$6)^2),NA())</x:f>
        <x:v>403.363556</x:v>
      </x:c>
      <x:c r="C12" s="48" t="n">
        <x:f>IF(OR(Inputs!$F$7=TRUE,Inputs!$F$7="TRUE",Inputs!$F$7=1),(Inputs!$H$7+Inputs!$L$7*(((Inputs!$I$7+(((A12)+1)/2)*(Inputs!$J$7-Inputs!$I$7)))/Inputs!$K$7)^2),NA())</x:f>
        <x:v>341.92448500000006</x:v>
      </x:c>
      <x:c r="D12" s="48" t="n">
        <x:f>IF(OR(Inputs!$F$8=TRUE,Inputs!$F$8="TRUE",Inputs!$F$8=1),(Inputs!$H$8+Inputs!$L$8*(((Inputs!$I$8+(((A12)+1)/2)*(Inputs!$J$8-Inputs!$I$8)))/Inputs!$K$8)^2),NA())</x:f>
        <x:v>846.4578850000001</x:v>
      </x:c>
      <x:c r="E12" s="48" t="n">
        <x:f>IF(OR(Inputs!$F$9=TRUE,Inputs!$F$9="TRUE",Inputs!$F$9=1),(Inputs!$H$9+Inputs!$L$9*(((Inputs!$I$9+(((A12)+1)/2)*(Inputs!$J$9-Inputs!$I$9)))/Inputs!$K$9)^2),NA())</x:f>
        <x:v>844.8667750000001</x:v>
      </x:c>
      <x:c r="F12" s="49"/>
      <x:c r="G12" s="48" t="n">
        <x:f>A12</x:f>
        <x:v>-0.917</x:v>
      </x:c>
      <x:c r="H12" s="48"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I12" s="48"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J12" s="48"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K12" s="48"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c r="L12" s="49"/>
      <x:c r="M12" s="48" t="n">
        <x:f>A12</x:f>
        <x:v>-0.917</x:v>
      </x:c>
      <x:c r="N12" s="48" t="n">
        <x: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x:f>
        <x:v>464.26123721308306</x:v>
      </x:c>
      <x:c r="O12" s="48" t="n">
        <x: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x:f>
        <x:v>3282.4822344515364</x:v>
      </x:c>
      <x:c r="P12" s="48" t="n">
        <x: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x:f>
        <x:v>4314.1012956877585</x:v>
      </x:c>
      <x:c r="Q12" s="48" t="n">
        <x: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x:f>
        <x:v>4343.256691025417</x:v>
      </x:c>
      <x:c r="R12" s="49"/>
      <x:c r="S12" s="48" t="n">
        <x:f>A12</x:f>
        <x:v>-0.917</x:v>
      </x:c>
      <x:c r="T12" s="48" t="n">
        <x:f>(Inputs!$I$6+(((A12)+1)/2)*(Inputs!$J$6-Inputs!$I$6))</x:f>
        <x:v>-55.02</x:v>
      </x:c>
      <x:c r="U12" s="48" t="n">
        <x:f>(Inputs!$I$7+(((A12)+1)/2)*(Inputs!$J$7-Inputs!$I$7))</x:f>
        <x:v>-366.8</x:v>
      </x:c>
      <x:c r="V12" s="48" t="n">
        <x:f>(Inputs!$I$8+(((A12)+1)/2)*(Inputs!$J$8-Inputs!$I$8))</x:f>
        <x:v>-733.6</x:v>
      </x:c>
      <x:c r="W12" s="48" t="n">
        <x:f>(Inputs!$I$9+(((A12)+1)/2)*(Inputs!$J$9-Inputs!$I$9))</x:f>
        <x:v>-733.6</x:v>
      </x:c>
      <x:c r="X12" s="49"/>
      <x:c r="Y12" s="48" t="n">
        <x:f>A12</x:f>
        <x:v>-0.917</x:v>
      </x:c>
      <x:c r="Z12" s="48" t="n">
        <x:f>(Inputs!$H$6+Inputs!$L$6*(((Inputs!$I$6+(((A12)+1)/2)*(Inputs!$J$6-Inputs!$I$6)))/Inputs!$K$6)^2)</x:f>
        <x:v>403.363556</x:v>
      </x:c>
      <x:c r="AA12" s="48" t="n">
        <x:f>(Inputs!$H$7+Inputs!$L$7*(((Inputs!$I$7+(((A12)+1)/2)*(Inputs!$J$7-Inputs!$I$7)))/Inputs!$K$7)^2)</x:f>
        <x:v>341.92448500000006</x:v>
      </x:c>
      <x:c r="AB12" s="48" t="n">
        <x:f>(Inputs!$H$8+Inputs!$L$8*(((Inputs!$I$8+(((A12)+1)/2)*(Inputs!$J$8-Inputs!$I$8)))/Inputs!$K$8)^2)</x:f>
        <x:v>846.4578850000001</x:v>
      </x:c>
      <x:c r="AC12" s="48" t="n">
        <x:f>(Inputs!$H$9+Inputs!$L$9*(((Inputs!$I$9+(((A12)+1)/2)*(Inputs!$J$9-Inputs!$I$9)))/Inputs!$K$9)^2)</x:f>
        <x:v>844.8667750000001</x:v>
      </x:c>
      <x:c r="AD12" s="49"/>
      <x:c r="AE12" s="48" t="n">
        <x:f>A12</x:f>
        <x:v>-0.917</x:v>
      </x:c>
      <x:c r="AF12" s="48" t="n">
        <x:f>(((SQRT((Inputs!$C$52+((Inputs!$H$6+Inputs!$L$6*(((Inputs!$I$6+(((A12)+1)/2)*(Inputs!$J$6-Inputs!$I$6)))/Inputs!$K$6)^2)))^2+Inputs!$C$52^2-2*(Inputs!$C$52+((Inputs!$H$6+Inputs!$L$6*(((Inputs!$I$6+(((A12)+1)/2)*(Inputs!$J$6-Inputs!$I$6)))/Inputs!$K$6)^2)))*Inputs!$C$52*COS(SQRT(((Inputs!$I$6+(((A12)+1)/2)*(Inputs!$J$6-Inputs!$I$6)))^2+Inputs!$C$6^2)/Inputs!$C$52)))-((Inputs!$H$6+Inputs!$L$6*(((Inputs!$I$6+(((A12)+1)/2)*(Inputs!$J$6-Inputs!$I$6)))/Inputs!$K$6)^2)))*1000/Inputs!$C$12)</x:f>
        <x:v>3177.9673170762962</x:v>
      </x:c>
      <x:c r="AG12" s="48" t="n">
        <x:f>(((SQRT((Inputs!$C$52+((Inputs!$H$7+Inputs!$L$7*(((Inputs!$I$7+(((A12)+1)/2)*(Inputs!$J$7-Inputs!$I$7)))/Inputs!$K$7)^2)))^2+Inputs!$C$52^2-2*(Inputs!$C$52+((Inputs!$H$7+Inputs!$L$7*(((Inputs!$I$7+(((A12)+1)/2)*(Inputs!$J$7-Inputs!$I$7)))/Inputs!$K$7)^2)))*Inputs!$C$52*COS(SQRT(((Inputs!$I$7+(((A12)+1)/2)*(Inputs!$J$7-Inputs!$I$7)))^2+Inputs!$C$6^2)/Inputs!$C$52)))-((Inputs!$H$7+Inputs!$L$7*(((Inputs!$I$7+(((A12)+1)/2)*(Inputs!$J$7-Inputs!$I$7)))/Inputs!$K$7)^2)))*1000/Inputs!$C$12)</x:f>
        <x:v>105676.40443464833</x:v>
      </x:c>
      <x:c r="AH12" s="48" t="n">
        <x:f>(((SQRT((Inputs!$C$52+((Inputs!$H$8+Inputs!$L$8*(((Inputs!$I$8+(((A12)+1)/2)*(Inputs!$J$8-Inputs!$I$8)))/Inputs!$K$8)^2)))^2+Inputs!$C$52^2-2*(Inputs!$C$52+((Inputs!$H$8+Inputs!$L$8*(((Inputs!$I$8+(((A12)+1)/2)*(Inputs!$J$8-Inputs!$I$8)))/Inputs!$K$8)^2)))*Inputs!$C$52*COS(SQRT(((Inputs!$I$8+(((A12)+1)/2)*(Inputs!$J$8-Inputs!$I$8)))^2+Inputs!$C$6^2)/Inputs!$C$52)))-((Inputs!$H$8+Inputs!$L$8*(((Inputs!$I$8+(((A12)+1)/2)*(Inputs!$J$8-Inputs!$I$8)))/Inputs!$K$8)^2)))*1000/Inputs!$C$12)</x:f>
        <x:v>219885.2932495902</x:v>
      </x:c>
      <x:c r="AI12" s="48" t="n">
        <x:f>(((SQRT((Inputs!$C$52+((Inputs!$H$9+Inputs!$L$9*(((Inputs!$I$9+(((A12)+1)/2)*(Inputs!$J$9-Inputs!$I$9)))/Inputs!$K$9)^2)))^2+Inputs!$C$52^2-2*(Inputs!$C$52+((Inputs!$H$9+Inputs!$L$9*(((Inputs!$I$9+(((A12)+1)/2)*(Inputs!$J$9-Inputs!$I$9)))/Inputs!$K$9)^2)))*Inputs!$C$52*COS(SQRT(((Inputs!$I$9+(((A12)+1)/2)*(Inputs!$J$9-Inputs!$I$9)))^2+Inputs!$C$6^2)/Inputs!$C$52)))-((Inputs!$H$9+Inputs!$L$9*(((Inputs!$I$9+(((A12)+1)/2)*(Inputs!$J$9-Inputs!$I$9)))/Inputs!$K$9)^2)))*1000/Inputs!$C$12)</x:f>
        <x:v>220045.7573940595</x:v>
      </x:c>
      <x:c r="AJ12" s="49"/>
      <x:c r="AK12" s="48" t="n">
        <x:f>A12</x:f>
        <x:v>-0.917</x:v>
      </x:c>
      <x:c r="AL12" s="48" t="n">
        <x: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x:f>
        <x:v>464.26123721308306</x:v>
      </x:c>
      <x:c r="AM12" s="48" t="n">
        <x: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x:f>
        <x:v>3282.4822344515364</x:v>
      </x:c>
      <x:c r="AN12" s="48" t="n">
        <x: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x:f>
        <x:v>4314.1012956877585</x:v>
      </x:c>
      <x:c r="AO12" s="48" t="n">
        <x: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x:f>
        <x:v>4343.256691025417</x:v>
      </x:c>
      <x:c r="AP12" s="49"/>
      <x:c r="AQ12" s="48" t="n">
        <x:f>A12</x:f>
        <x:v>-0.917</x:v>
      </x:c>
      <x:c r="AR12" s="48" t="n">
        <x:f>0</x:f>
        <x:v>0</x:v>
      </x:c>
      <x:c r="AS12" s="48" t="n">
        <x: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(0.45*SIN(2*PI()*((((Inputs!$I$6+(((A12)+1)/2)*(Inputs!$J$6-Inputs!$I$6)))/Inputs!$C$49)+Inputs!$C$47*0.137))+0.35*COS(2*PI()*(((Inputs!$C$6)/Inputs!$C$50)+Inputs!$C$47*0.173))+0.20*SIN(2*PI()*((((Inputs!$I$6+(((A12)+1)/2)*(Inputs!$J$6-Inputs!$I$6)))+(Inputs!$C$6))/(0.5*(Inputs!$C$49+Inputs!$C$50))+Inputs!$C$47*0.097)))+0.30*(2*((SIN((((Inputs!$I$6+(((A12)+1)/2)*(Inputs!$J$6-Inputs!$I$6)))*12.9898+(Inputs!$C$6)*78.233+Inputs!$C$47*37.719))*43758.5453)-INT((SIN((((Inputs!$I$6+(((A12)+1)/2)*(Inputs!$J$6-Inputs!$I$6)))*12.9898+(Inputs!$C$6)*78.233+Inputs!$C$47*37.719))*43758.5453)))-1))),NA())</x:f>
        <x:v>188.12617506665845</x:v>
      </x:c>
      <x:c r="AT12" s="48" t="n">
        <x: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(0.45*SIN(2*PI()*((((Inputs!$I$7+(((A12)+1)/2)*(Inputs!$J$7-Inputs!$I$7)))/Inputs!$C$49)+Inputs!$C$47*0.137))+0.35*COS(2*PI()*(((Inputs!$C$6)/Inputs!$C$50)+Inputs!$C$47*0.173))+0.20*SIN(2*PI()*((((Inputs!$I$7+(((A12)+1)/2)*(Inputs!$J$7-Inputs!$I$7)))+(Inputs!$C$6))/(0.5*(Inputs!$C$49+Inputs!$C$50))+Inputs!$C$47*0.097)))+0.30*(2*((SIN((((Inputs!$I$7+(((A12)+1)/2)*(Inputs!$J$7-Inputs!$I$7)))*12.9898+(Inputs!$C$6)*78.233+Inputs!$C$47*37.719))*43758.5453)-INT((SIN((((Inputs!$I$7+(((A12)+1)/2)*(Inputs!$J$7-Inputs!$I$7)))*12.9898+(Inputs!$C$6)*78.233+Inputs!$C$47*37.719))*43758.5453)))-1))),NA())</x:f>
        <x:v>117.99053564072898</x:v>
      </x:c>
      <x:c r="AU12" s="48" t="n">
        <x: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(0.45*SIN(2*PI()*((((Inputs!$I$8+(((A12)+1)/2)*(Inputs!$J$8-Inputs!$I$8)))/Inputs!$C$49)+Inputs!$C$47*0.137))+0.35*COS(2*PI()*(((Inputs!$C$6)/Inputs!$C$50)+Inputs!$C$47*0.173))+0.20*SIN(2*PI()*((((Inputs!$I$8+(((A12)+1)/2)*(Inputs!$J$8-Inputs!$I$8)))+(Inputs!$C$6))/(0.5*(Inputs!$C$49+Inputs!$C$50))+Inputs!$C$47*0.097)))+0.30*(2*((SIN((((Inputs!$I$8+(((A12)+1)/2)*(Inputs!$J$8-Inputs!$I$8)))*12.9898+(Inputs!$C$6)*78.233+Inputs!$C$47*37.719))*43758.5453)-INT((SIN((((Inputs!$I$8+(((A12)+1)/2)*(Inputs!$J$8-Inputs!$I$8)))*12.9898+(Inputs!$C$6)*78.233+Inputs!$C$47*37.719))*43758.5453)))-1))),NA())</x:f>
        <x:v>182.22132501545047</x:v>
      </x:c>
      <x:c r="AV12" s="48" t="n">
        <x: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(0.45*SIN(2*PI()*((((Inputs!$I$9+(((A12)+1)/2)*(Inputs!$J$9-Inputs!$I$9)))/Inputs!$C$49)+Inputs!$C$47*0.137))+0.35*COS(2*PI()*(((Inputs!$C$6)/Inputs!$C$50)+Inputs!$C$47*0.173))+0.20*SIN(2*PI()*((((Inputs!$I$9+(((A12)+1)/2)*(Inputs!$J$9-Inputs!$I$9)))+(Inputs!$C$6))/(0.5*(Inputs!$C$49+Inputs!$C$50))+Inputs!$C$47*0.097)))+0.30*(2*((SIN((((Inputs!$I$9+(((A12)+1)/2)*(Inputs!$J$9-Inputs!$I$9)))*12.9898+(Inputs!$C$6)*78.233+Inputs!$C$47*37.719))*43758.5453)-INT((SIN((((Inputs!$I$9+(((A12)+1)/2)*(Inputs!$J$9-Inputs!$I$9)))*12.9898+(Inputs!$C$6)*78.233+Inputs!$C$47*37.719))*43758.5453)))-1))),NA())</x:f>
        <x:v>182.22132501545047</x:v>
      </x:c>
      <x:c r="AW12" s="49"/>
      <x:c r="AX12" s="48" t="n">
        <x:f>A12</x:f>
        <x:v>-0.917</x:v>
      </x:c>
      <x:c r="AY12" s="48" t="n">
        <x:f>0</x:f>
        <x:v>0</x:v>
      </x:c>
      <x:c r="AZ12" s="48" t="n">
        <x:f>IF(OR(Inputs!$F$6=TRUE,Inputs!$F$6="TRUE",Inputs!$F$6=1),(Inputs!$H$6+Inputs!$L$6*(((Inputs!$I$6+(((A12)+1)/2)*(Inputs!$J$6-Inputs!$I$6)))/Inputs!$K$6)^2),NA())</x:f>
        <x:v>403.363556</x:v>
      </x:c>
      <x:c r="BA12" s="48" t="n">
        <x:f>IF(OR(Inputs!$F$7=TRUE,Inputs!$F$7="TRUE",Inputs!$F$7=1),(Inputs!$H$7+Inputs!$L$7*(((Inputs!$I$7+(((A12)+1)/2)*(Inputs!$J$7-Inputs!$I$7)))/Inputs!$K$7)^2),NA())</x:f>
        <x:v>341.92448500000006</x:v>
      </x:c>
      <x:c r="BB12" s="48" t="n">
        <x:f>IF(OR(Inputs!$F$8=TRUE,Inputs!$F$8="TRUE",Inputs!$F$8=1),(Inputs!$H$8+Inputs!$L$8*(((Inputs!$I$8+(((A12)+1)/2)*(Inputs!$J$8-Inputs!$I$8)))/Inputs!$K$8)^2),NA())</x:f>
        <x:v>846.4578850000001</x:v>
      </x:c>
      <x:c r="BC12" s="48" t="n">
        <x:f>IF(OR(Inputs!$F$9=TRUE,Inputs!$F$9="TRUE",Inputs!$F$9=1),(Inputs!$H$9+Inputs!$L$9*(((Inputs!$I$9+(((A12)+1)/2)*(Inputs!$J$9-Inputs!$I$9)))/Inputs!$K$9)^2),NA())</x:f>
        <x:v>844.8667750000001</x:v>
      </x:c>
      <x:c r="BD12" s="49"/>
      <x:c r="BE12" s="48" t="n">
        <x:f>A12</x:f>
        <x:v>-0.917</x:v>
      </x:c>
      <x:c r="BF12" s="48" t="n">
        <x:f>0</x:f>
        <x:v>0</x:v>
      </x:c>
      <x:c r="BG12" s="48"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BH12" s="48"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BI12" s="48"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BJ12" s="48"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row>
    <x:row r="13">
      <x:c r="A13" s="48" t="n">
        <x:f>ROUND(-1+11*2/240,3)</x:f>
        <x:v>-0.908</x:v>
      </x:c>
      <x:c r="B13" s="48" t="n">
        <x:f>IF(OR(Inputs!$F$6=TRUE,Inputs!$F$6="TRUE",Inputs!$F$6=1),(Inputs!$H$6+Inputs!$L$6*(((Inputs!$I$6+(((A13)+1)/2)*(Inputs!$J$6-Inputs!$I$6)))/Inputs!$K$6)^2),NA())</x:f>
        <x:v>403.297856</x:v>
      </x:c>
      <x:c r="C13" s="48" t="n">
        <x:f>IF(OR(Inputs!$F$7=TRUE,Inputs!$F$7="TRUE",Inputs!$F$7=1),(Inputs!$H$7+Inputs!$L$7*(((Inputs!$I$7+(((A13)+1)/2)*(Inputs!$J$7-Inputs!$I$7)))/Inputs!$K$7)^2),NA())</x:f>
        <x:v>335.92936</x:v>
      </x:c>
      <x:c r="D13" s="48" t="n">
        <x:f>IF(OR(Inputs!$F$8=TRUE,Inputs!$F$8="TRUE",Inputs!$F$8=1),(Inputs!$H$8+Inputs!$L$8*(((Inputs!$I$8+(((A13)+1)/2)*(Inputs!$J$8-Inputs!$I$8)))/Inputs!$K$8)^2),NA())</x:f>
        <x:v>830.6077599999999</x:v>
      </x:c>
      <x:c r="E13" s="48" t="n">
        <x:f>IF(OR(Inputs!$F$9=TRUE,Inputs!$F$9="TRUE",Inputs!$F$9=1),(Inputs!$H$9+Inputs!$L$9*(((Inputs!$I$9+(((A13)+1)/2)*(Inputs!$J$9-Inputs!$I$9)))/Inputs!$K$9)^2),NA())</x:f>
        <x:v>828.8523999999999</x:v>
      </x:c>
      <x:c r="F13" s="49"/>
      <x:c r="G13" s="48" t="n">
        <x:f>A13</x:f>
        <x:v>-0.908</x:v>
      </x:c>
      <x:c r="H13" s="48"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I13" s="48"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J13" s="48"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K13" s="48"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c r="L13" s="49"/>
      <x:c r="M13" s="48" t="n">
        <x:f>A13</x:f>
        <x:v>-0.908</x:v>
      </x:c>
      <x:c r="N13" s="48" t="n">
        <x: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x:f>
        <x:v>459.8320389150317</x:v>
      </x:c>
      <x:c r="O13" s="48" t="n">
        <x: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x:f>
        <x:v>3257.385277541294</x:v>
      </x:c>
      <x:c r="P13" s="48" t="n">
        <x: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x:f>
        <x:v>4276.287808072189</x:v>
      </x:c>
      <x:c r="Q13" s="48" t="n">
        <x: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x:f>
        <x:v>4304.935084500997</x:v>
      </x:c>
      <x:c r="R13" s="49"/>
      <x:c r="S13" s="48" t="n">
        <x:f>A13</x:f>
        <x:v>-0.908</x:v>
      </x:c>
      <x:c r="T13" s="48" t="n">
        <x:f>(Inputs!$I$6+(((A13)+1)/2)*(Inputs!$J$6-Inputs!$I$6))</x:f>
        <x:v>-54.480000000000004</x:v>
      </x:c>
      <x:c r="U13" s="48" t="n">
        <x:f>(Inputs!$I$7+(((A13)+1)/2)*(Inputs!$J$7-Inputs!$I$7))</x:f>
        <x:v>-363.2</x:v>
      </x:c>
      <x:c r="V13" s="48" t="n">
        <x:f>(Inputs!$I$8+(((A13)+1)/2)*(Inputs!$J$8-Inputs!$I$8))</x:f>
        <x:v>-726.4</x:v>
      </x:c>
      <x:c r="W13" s="48" t="n">
        <x:f>(Inputs!$I$9+(((A13)+1)/2)*(Inputs!$J$9-Inputs!$I$9))</x:f>
        <x:v>-726.4</x:v>
      </x:c>
      <x:c r="X13" s="49"/>
      <x:c r="Y13" s="48" t="n">
        <x:f>A13</x:f>
        <x:v>-0.908</x:v>
      </x:c>
      <x:c r="Z13" s="48" t="n">
        <x:f>(Inputs!$H$6+Inputs!$L$6*(((Inputs!$I$6+(((A13)+1)/2)*(Inputs!$J$6-Inputs!$I$6)))/Inputs!$K$6)^2)</x:f>
        <x:v>403.297856</x:v>
      </x:c>
      <x:c r="AA13" s="48" t="n">
        <x:f>(Inputs!$H$7+Inputs!$L$7*(((Inputs!$I$7+(((A13)+1)/2)*(Inputs!$J$7-Inputs!$I$7)))/Inputs!$K$7)^2)</x:f>
        <x:v>335.92936</x:v>
      </x:c>
      <x:c r="AB13" s="48" t="n">
        <x:f>(Inputs!$H$8+Inputs!$L$8*(((Inputs!$I$8+(((A13)+1)/2)*(Inputs!$J$8-Inputs!$I$8)))/Inputs!$K$8)^2)</x:f>
        <x:v>830.6077599999999</x:v>
      </x:c>
      <x:c r="AC13" s="48" t="n">
        <x:f>(Inputs!$H$9+Inputs!$L$9*(((Inputs!$I$9+(((A13)+1)/2)*(Inputs!$J$9-Inputs!$I$9)))/Inputs!$K$9)^2)</x:f>
        <x:v>828.8523999999999</x:v>
      </x:c>
      <x:c r="AD13" s="49"/>
      <x:c r="AE13" s="48" t="n">
        <x:f>A13</x:f>
        <x:v>-0.908</x:v>
      </x:c>
      <x:c r="AF13" s="48" t="n">
        <x:f>(((SQRT((Inputs!$C$52+((Inputs!$H$6+Inputs!$L$6*(((Inputs!$I$6+(((A13)+1)/2)*(Inputs!$J$6-Inputs!$I$6)))/Inputs!$K$6)^2)))^2+Inputs!$C$52^2-2*(Inputs!$C$52+((Inputs!$H$6+Inputs!$L$6*(((Inputs!$I$6+(((A13)+1)/2)*(Inputs!$J$6-Inputs!$I$6)))/Inputs!$K$6)^2)))*Inputs!$C$52*COS(SQRT(((Inputs!$I$6+(((A13)+1)/2)*(Inputs!$J$6-Inputs!$I$6)))^2+Inputs!$C$6^2)/Inputs!$C$52)))-((Inputs!$H$6+Inputs!$L$6*(((Inputs!$I$6+(((A13)+1)/2)*(Inputs!$J$6-Inputs!$I$6)))/Inputs!$K$6)^2)))*1000/Inputs!$C$12)</x:f>
        <x:v>3127.2702144169825</x:v>
      </x:c>
      <x:c r="AG13" s="48" t="n">
        <x:f>(((SQRT((Inputs!$C$52+((Inputs!$H$7+Inputs!$L$7*(((Inputs!$I$7+(((A13)+1)/2)*(Inputs!$J$7-Inputs!$I$7)))/Inputs!$K$7)^2)))^2+Inputs!$C$52^2-2*(Inputs!$C$52+((Inputs!$H$7+Inputs!$L$7*(((Inputs!$I$7+(((A13)+1)/2)*(Inputs!$J$7-Inputs!$I$7)))/Inputs!$K$7)^2)))*Inputs!$C$52*COS(SQRT(((Inputs!$I$7+(((A13)+1)/2)*(Inputs!$J$7-Inputs!$I$7)))^2+Inputs!$C$6^2)/Inputs!$C$52)))-((Inputs!$H$7+Inputs!$L$7*(((Inputs!$I$7+(((A13)+1)/2)*(Inputs!$J$7-Inputs!$I$7)))/Inputs!$K$7)^2)))*1000/Inputs!$C$12)</x:f>
        <x:v>104911.11802230598</x:v>
      </x:c>
      <x:c r="AH13" s="48" t="n">
        <x:f>(((SQRT((Inputs!$C$52+((Inputs!$H$8+Inputs!$L$8*(((Inputs!$I$8+(((A13)+1)/2)*(Inputs!$J$8-Inputs!$I$8)))/Inputs!$K$8)^2)))^2+Inputs!$C$52^2-2*(Inputs!$C$52+((Inputs!$H$8+Inputs!$L$8*(((Inputs!$I$8+(((A13)+1)/2)*(Inputs!$J$8-Inputs!$I$8)))/Inputs!$K$8)^2)))*Inputs!$C$52*COS(SQRT(((Inputs!$I$8+(((A13)+1)/2)*(Inputs!$J$8-Inputs!$I$8)))^2+Inputs!$C$6^2)/Inputs!$C$52)))-((Inputs!$H$8+Inputs!$L$8*(((Inputs!$I$8+(((A13)+1)/2)*(Inputs!$J$8-Inputs!$I$8)))/Inputs!$K$8)^2)))*1000/Inputs!$C$12)</x:f>
        <x:v>217931.23263736616</x:v>
      </x:c>
      <x:c r="AI13" s="48" t="n">
        <x:f>(((SQRT((Inputs!$C$52+((Inputs!$H$9+Inputs!$L$9*(((Inputs!$I$9+(((A13)+1)/2)*(Inputs!$J$9-Inputs!$I$9)))/Inputs!$K$9)^2)))^2+Inputs!$C$52^2-2*(Inputs!$C$52+((Inputs!$H$9+Inputs!$L$9*(((Inputs!$I$9+(((A13)+1)/2)*(Inputs!$J$9-Inputs!$I$9)))/Inputs!$K$9)^2)))*Inputs!$C$52*COS(SQRT(((Inputs!$I$9+(((A13)+1)/2)*(Inputs!$J$9-Inputs!$I$9)))^2+Inputs!$C$6^2)/Inputs!$C$52)))-((Inputs!$H$9+Inputs!$L$9*(((Inputs!$I$9+(((A13)+1)/2)*(Inputs!$J$9-Inputs!$I$9)))/Inputs!$K$9)^2)))*1000/Inputs!$C$12)</x:f>
        <x:v>218110.90634826018</x:v>
      </x:c>
      <x:c r="AJ13" s="49"/>
      <x:c r="AK13" s="48" t="n">
        <x:f>A13</x:f>
        <x:v>-0.908</x:v>
      </x:c>
      <x:c r="AL13" s="48" t="n">
        <x: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x:f>
        <x:v>459.8320389150317</x:v>
      </x:c>
      <x:c r="AM13" s="48" t="n">
        <x: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x:f>
        <x:v>3257.385277541294</x:v>
      </x:c>
      <x:c r="AN13" s="48" t="n">
        <x: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x:f>
        <x:v>4276.287808072189</x:v>
      </x:c>
      <x:c r="AO13" s="48" t="n">
        <x: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x:f>
        <x:v>4304.935084500997</x:v>
      </x:c>
      <x:c r="AP13" s="49"/>
      <x:c r="AQ13" s="48" t="n">
        <x:f>A13</x:f>
        <x:v>-0.908</x:v>
      </x:c>
      <x:c r="AR13" s="48" t="n">
        <x:f>0</x:f>
        <x:v>0</x:v>
      </x:c>
      <x:c r="AS13" s="48" t="n">
        <x: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(0.45*SIN(2*PI()*((((Inputs!$I$6+(((A13)+1)/2)*(Inputs!$J$6-Inputs!$I$6)))/Inputs!$C$49)+Inputs!$C$47*0.137))+0.35*COS(2*PI()*(((Inputs!$C$6)/Inputs!$C$50)+Inputs!$C$47*0.173))+0.20*SIN(2*PI()*((((Inputs!$I$6+(((A13)+1)/2)*(Inputs!$J$6-Inputs!$I$6)))+(Inputs!$C$6))/(0.5*(Inputs!$C$49+Inputs!$C$50))+Inputs!$C$47*0.097)))+0.30*(2*((SIN((((Inputs!$I$6+(((A13)+1)/2)*(Inputs!$J$6-Inputs!$I$6)))*12.9898+(Inputs!$C$6)*78.233+Inputs!$C$47*37.719))*43758.5453)-INT((SIN((((Inputs!$I$6+(((A13)+1)/2)*(Inputs!$J$6-Inputs!$I$6)))*12.9898+(Inputs!$C$6)*78.233+Inputs!$C$47*37.719))*43758.5453)))-1))),NA())</x:f>
        <x:v>200.43223979041218</x:v>
      </x:c>
      <x:c r="AT13" s="48" t="n">
        <x: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(0.45*SIN(2*PI()*((((Inputs!$I$7+(((A13)+1)/2)*(Inputs!$J$7-Inputs!$I$7)))/Inputs!$C$49)+Inputs!$C$47*0.137))+0.35*COS(2*PI()*(((Inputs!$C$6)/Inputs!$C$50)+Inputs!$C$47*0.173))+0.20*SIN(2*PI()*((((Inputs!$I$7+(((A13)+1)/2)*(Inputs!$J$7-Inputs!$I$7)))+(Inputs!$C$6))/(0.5*(Inputs!$C$49+Inputs!$C$50))+Inputs!$C$47*0.097)))+0.30*(2*((SIN((((Inputs!$I$7+(((A13)+1)/2)*(Inputs!$J$7-Inputs!$I$7)))*12.9898+(Inputs!$C$6)*78.233+Inputs!$C$47*37.719))*43758.5453)-INT((SIN((((Inputs!$I$7+(((A13)+1)/2)*(Inputs!$J$7-Inputs!$I$7)))*12.9898+(Inputs!$C$6)*78.233+Inputs!$C$47*37.719))*43758.5453)))-1))),NA())</x:f>
        <x:v>70.34462616622157</x:v>
      </x:c>
      <x:c r="AU13" s="48" t="n">
        <x: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(0.45*SIN(2*PI()*((((Inputs!$I$8+(((A13)+1)/2)*(Inputs!$J$8-Inputs!$I$8)))/Inputs!$C$49)+Inputs!$C$47*0.137))+0.35*COS(2*PI()*(((Inputs!$C$6)/Inputs!$C$50)+Inputs!$C$47*0.173))+0.20*SIN(2*PI()*((((Inputs!$I$8+(((A13)+1)/2)*(Inputs!$J$8-Inputs!$I$8)))+(Inputs!$C$6))/(0.5*(Inputs!$C$49+Inputs!$C$50))+Inputs!$C$47*0.097)))+0.30*(2*((SIN((((Inputs!$I$8+(((A13)+1)/2)*(Inputs!$J$8-Inputs!$I$8)))*12.9898+(Inputs!$C$6)*78.233+Inputs!$C$47*37.719))*43758.5453)-INT((SIN((((Inputs!$I$8+(((A13)+1)/2)*(Inputs!$J$8-Inputs!$I$8)))*12.9898+(Inputs!$C$6)*78.233+Inputs!$C$47*37.719))*43758.5453)))-1))),NA())</x:f>
        <x:v>104.97982188854878</x:v>
      </x:c>
      <x:c r="AV13" s="48" t="n">
        <x: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(0.45*SIN(2*PI()*((((Inputs!$I$9+(((A13)+1)/2)*(Inputs!$J$9-Inputs!$I$9)))/Inputs!$C$49)+Inputs!$C$47*0.137))+0.35*COS(2*PI()*(((Inputs!$C$6)/Inputs!$C$50)+Inputs!$C$47*0.173))+0.20*SIN(2*PI()*((((Inputs!$I$9+(((A13)+1)/2)*(Inputs!$J$9-Inputs!$I$9)))+(Inputs!$C$6))/(0.5*(Inputs!$C$49+Inputs!$C$50))+Inputs!$C$47*0.097)))+0.30*(2*((SIN((((Inputs!$I$9+(((A13)+1)/2)*(Inputs!$J$9-Inputs!$I$9)))*12.9898+(Inputs!$C$6)*78.233+Inputs!$C$47*37.719))*43758.5453)-INT((SIN((((Inputs!$I$9+(((A13)+1)/2)*(Inputs!$J$9-Inputs!$I$9)))*12.9898+(Inputs!$C$6)*78.233+Inputs!$C$47*37.719))*43758.5453)))-1))),NA())</x:f>
        <x:v>104.97982188854878</x:v>
      </x:c>
      <x:c r="AW13" s="49"/>
      <x:c r="AX13" s="48" t="n">
        <x:f>A13</x:f>
        <x:v>-0.908</x:v>
      </x:c>
      <x:c r="AY13" s="48" t="n">
        <x:f>0</x:f>
        <x:v>0</x:v>
      </x:c>
      <x:c r="AZ13" s="48" t="n">
        <x:f>IF(OR(Inputs!$F$6=TRUE,Inputs!$F$6="TRUE",Inputs!$F$6=1),(Inputs!$H$6+Inputs!$L$6*(((Inputs!$I$6+(((A13)+1)/2)*(Inputs!$J$6-Inputs!$I$6)))/Inputs!$K$6)^2),NA())</x:f>
        <x:v>403.297856</x:v>
      </x:c>
      <x:c r="BA13" s="48" t="n">
        <x:f>IF(OR(Inputs!$F$7=TRUE,Inputs!$F$7="TRUE",Inputs!$F$7=1),(Inputs!$H$7+Inputs!$L$7*(((Inputs!$I$7+(((A13)+1)/2)*(Inputs!$J$7-Inputs!$I$7)))/Inputs!$K$7)^2),NA())</x:f>
        <x:v>335.92936</x:v>
      </x:c>
      <x:c r="BB13" s="48" t="n">
        <x:f>IF(OR(Inputs!$F$8=TRUE,Inputs!$F$8="TRUE",Inputs!$F$8=1),(Inputs!$H$8+Inputs!$L$8*(((Inputs!$I$8+(((A13)+1)/2)*(Inputs!$J$8-Inputs!$I$8)))/Inputs!$K$8)^2),NA())</x:f>
        <x:v>830.6077599999999</x:v>
      </x:c>
      <x:c r="BC13" s="48" t="n">
        <x:f>IF(OR(Inputs!$F$9=TRUE,Inputs!$F$9="TRUE",Inputs!$F$9=1),(Inputs!$H$9+Inputs!$L$9*(((Inputs!$I$9+(((A13)+1)/2)*(Inputs!$J$9-Inputs!$I$9)))/Inputs!$K$9)^2),NA())</x:f>
        <x:v>828.8523999999999</x:v>
      </x:c>
      <x:c r="BD13" s="49"/>
      <x:c r="BE13" s="48" t="n">
        <x:f>A13</x:f>
        <x:v>-0.908</x:v>
      </x:c>
      <x:c r="BF13" s="48" t="n">
        <x:f>0</x:f>
        <x:v>0</x:v>
      </x:c>
      <x:c r="BG13" s="48"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BH13" s="48"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BI13" s="48"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BJ13" s="48"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row>
    <x:row r="14">
      <x:c r="A14" s="48" t="n">
        <x:f>ROUND(-1+12*2/240,3)</x:f>
        <x:v>-0.9</x:v>
      </x:c>
      <x:c r="B14" s="48" t="n">
        <x:f>IF(OR(Inputs!$F$6=TRUE,Inputs!$F$6="TRUE",Inputs!$F$6=1),(Inputs!$H$6+Inputs!$L$6*(((Inputs!$I$6+(((A14)+1)/2)*(Inputs!$J$6-Inputs!$I$6)))/Inputs!$K$6)^2),NA())</x:f>
        <x:v>403.24</x:v>
      </x:c>
      <x:c r="C14" s="48" t="n">
        <x:f>IF(OR(Inputs!$F$7=TRUE,Inputs!$F$7="TRUE",Inputs!$F$7=1),(Inputs!$H$7+Inputs!$L$7*(((Inputs!$I$7+(((A14)+1)/2)*(Inputs!$J$7-Inputs!$I$7)))/Inputs!$K$7)^2),NA())</x:f>
        <x:v>330.65000000000003</x:v>
      </x:c>
      <x:c r="D14" s="48" t="n">
        <x:f>IF(OR(Inputs!$F$8=TRUE,Inputs!$F$8="TRUE",Inputs!$F$8=1),(Inputs!$H$8+Inputs!$L$8*(((Inputs!$I$8+(((A14)+1)/2)*(Inputs!$J$8-Inputs!$I$8)))/Inputs!$K$8)^2),NA())</x:f>
        <x:v>816.6500000000001</x:v>
      </x:c>
      <x:c r="E14" s="48" t="n">
        <x:f>IF(OR(Inputs!$F$9=TRUE,Inputs!$F$9="TRUE",Inputs!$F$9=1),(Inputs!$H$9+Inputs!$L$9*(((Inputs!$I$9+(((A14)+1)/2)*(Inputs!$J$9-Inputs!$I$9)))/Inputs!$K$9)^2),NA())</x:f>
        <x:v>814.75</x:v>
      </x:c>
      <x:c r="F14" s="49"/>
      <x:c r="G14" s="48" t="n">
        <x:f>A14</x:f>
        <x:v>-0.9</x:v>
      </x:c>
      <x:c r="H14" s="48"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I14" s="48"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J14" s="48"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K14" s="48"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c r="L14" s="49"/>
      <x:c r="M14" s="48" t="n">
        <x:f>A14</x:f>
        <x:v>-0.9</x:v>
      </x:c>
      <x:c r="N14" s="48" t="n">
        <x: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x:f>
        <x:v>455.8919288810024</x:v>
      </x:c>
      <x:c r="O14" s="48" t="n">
        <x: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x:f>
        <x:v>3235.1498150588423</x:v>
      </x:c>
      <x:c r="P14" s="48" t="n">
        <x: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x:f>
        <x:v>4242.727293909547</x:v>
      </x:c>
      <x:c r="Q14" s="48" t="n">
        <x: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x:f>
        <x:v>4270.920747988047</x:v>
      </x:c>
      <x:c r="R14" s="49"/>
      <x:c r="S14" s="48" t="n">
        <x:f>A14</x:f>
        <x:v>-0.9</x:v>
      </x:c>
      <x:c r="T14" s="48" t="n">
        <x:f>(Inputs!$I$6+(((A14)+1)/2)*(Inputs!$J$6-Inputs!$I$6))</x:f>
        <x:v>-54</x:v>
      </x:c>
      <x:c r="U14" s="48" t="n">
        <x:f>(Inputs!$I$7+(((A14)+1)/2)*(Inputs!$J$7-Inputs!$I$7))</x:f>
        <x:v>-360</x:v>
      </x:c>
      <x:c r="V14" s="48" t="n">
        <x:f>(Inputs!$I$8+(((A14)+1)/2)*(Inputs!$J$8-Inputs!$I$8))</x:f>
        <x:v>-720</x:v>
      </x:c>
      <x:c r="W14" s="48" t="n">
        <x:f>(Inputs!$I$9+(((A14)+1)/2)*(Inputs!$J$9-Inputs!$I$9))</x:f>
        <x:v>-720</x:v>
      </x:c>
      <x:c r="X14" s="49"/>
      <x:c r="Y14" s="48" t="n">
        <x:f>A14</x:f>
        <x:v>-0.9</x:v>
      </x:c>
      <x:c r="Z14" s="48" t="n">
        <x:f>(Inputs!$H$6+Inputs!$L$6*(((Inputs!$I$6+(((A14)+1)/2)*(Inputs!$J$6-Inputs!$I$6)))/Inputs!$K$6)^2)</x:f>
        <x:v>403.24</x:v>
      </x:c>
      <x:c r="AA14" s="48" t="n">
        <x:f>(Inputs!$H$7+Inputs!$L$7*(((Inputs!$I$7+(((A14)+1)/2)*(Inputs!$J$7-Inputs!$I$7)))/Inputs!$K$7)^2)</x:f>
        <x:v>330.65000000000003</x:v>
      </x:c>
      <x:c r="AB14" s="48" t="n">
        <x:f>(Inputs!$H$8+Inputs!$L$8*(((Inputs!$I$8+(((A14)+1)/2)*(Inputs!$J$8-Inputs!$I$8)))/Inputs!$K$8)^2)</x:f>
        <x:v>816.6500000000001</x:v>
      </x:c>
      <x:c r="AC14" s="48" t="n">
        <x:f>(Inputs!$H$9+Inputs!$L$9*(((Inputs!$I$9+(((A14)+1)/2)*(Inputs!$J$9-Inputs!$I$9)))/Inputs!$K$9)^2)</x:f>
        <x:v>814.75</x:v>
      </x:c>
      <x:c r="AD14" s="49"/>
      <x:c r="AE14" s="48" t="n">
        <x:f>A14</x:f>
        <x:v>-0.9</x:v>
      </x:c>
      <x:c r="AF14" s="48" t="n">
        <x:f>(((SQRT((Inputs!$C$52+((Inputs!$H$6+Inputs!$L$6*(((Inputs!$I$6+(((A14)+1)/2)*(Inputs!$J$6-Inputs!$I$6)))/Inputs!$K$6)^2)))^2+Inputs!$C$52^2-2*(Inputs!$C$52+((Inputs!$H$6+Inputs!$L$6*(((Inputs!$I$6+(((A14)+1)/2)*(Inputs!$J$6-Inputs!$I$6)))/Inputs!$K$6)^2)))*Inputs!$C$52*COS(SQRT(((Inputs!$I$6+(((A14)+1)/2)*(Inputs!$J$6-Inputs!$I$6)))^2+Inputs!$C$6^2)/Inputs!$C$52)))-((Inputs!$H$6+Inputs!$L$6*(((Inputs!$I$6+(((A14)+1)/2)*(Inputs!$J$6-Inputs!$I$6)))/Inputs!$K$6)^2)))*1000/Inputs!$C$12)</x:f>
        <x:v>3082.60579501392</x:v>
      </x:c>
      <x:c r="AG14" s="48" t="n">
        <x:f>(((SQRT((Inputs!$C$52+((Inputs!$H$7+Inputs!$L$7*(((Inputs!$I$7+(((A14)+1)/2)*(Inputs!$J$7-Inputs!$I$7)))/Inputs!$K$7)^2)))^2+Inputs!$C$52^2-2*(Inputs!$C$52+((Inputs!$H$7+Inputs!$L$7*(((Inputs!$I$7+(((A14)+1)/2)*(Inputs!$J$7-Inputs!$I$7)))/Inputs!$K$7)^2)))*Inputs!$C$52*COS(SQRT(((Inputs!$I$7+(((A14)+1)/2)*(Inputs!$J$7-Inputs!$I$7)))^2+Inputs!$C$6^2)/Inputs!$C$52)))-((Inputs!$H$7+Inputs!$L$7*(((Inputs!$I$7+(((A14)+1)/2)*(Inputs!$J$7-Inputs!$I$7)))/Inputs!$K$7)^2)))*1000/Inputs!$C$12)</x:f>
        <x:v>104229.56547339146</x:v>
      </x:c>
      <x:c r="AH14" s="48" t="n">
        <x:f>(((SQRT((Inputs!$C$52+((Inputs!$H$8+Inputs!$L$8*(((Inputs!$I$8+(((A14)+1)/2)*(Inputs!$J$8-Inputs!$I$8)))/Inputs!$K$8)^2)))^2+Inputs!$C$52^2-2*(Inputs!$C$52+((Inputs!$H$8+Inputs!$L$8*(((Inputs!$I$8+(((A14)+1)/2)*(Inputs!$J$8-Inputs!$I$8)))/Inputs!$K$8)^2)))*Inputs!$C$52*COS(SQRT(((Inputs!$I$8+(((A14)+1)/2)*(Inputs!$J$8-Inputs!$I$8)))^2+Inputs!$C$6^2)/Inputs!$C$52)))-((Inputs!$H$8+Inputs!$L$8*(((Inputs!$I$8+(((A14)+1)/2)*(Inputs!$J$8-Inputs!$I$8)))/Inputs!$K$8)^2)))*1000/Inputs!$C$12)</x:f>
        <x:v>216200.7529964208</x:v>
      </x:c>
      <x:c r="AI14" s="48" t="n">
        <x:f>(((SQRT((Inputs!$C$52+((Inputs!$H$9+Inputs!$L$9*(((Inputs!$I$9+(((A14)+1)/2)*(Inputs!$J$9-Inputs!$I$9)))/Inputs!$K$9)^2)))^2+Inputs!$C$52^2-2*(Inputs!$C$52+((Inputs!$H$9+Inputs!$L$9*(((Inputs!$I$9+(((A14)+1)/2)*(Inputs!$J$9-Inputs!$I$9)))/Inputs!$K$9)^2)))*Inputs!$C$52*COS(SQRT(((Inputs!$I$9+(((A14)+1)/2)*(Inputs!$J$9-Inputs!$I$9)))^2+Inputs!$C$6^2)/Inputs!$C$52)))-((Inputs!$H$9+Inputs!$L$9*(((Inputs!$I$9+(((A14)+1)/2)*(Inputs!$J$9-Inputs!$I$9)))/Inputs!$K$9)^2)))*1000/Inputs!$C$12)</x:f>
        <x:v>216397.8187620005</x:v>
      </x:c>
      <x:c r="AJ14" s="49"/>
      <x:c r="AK14" s="48" t="n">
        <x:f>A14</x:f>
        <x:v>-0.9</x:v>
      </x:c>
      <x:c r="AL14" s="48" t="n">
        <x: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x:f>
        <x:v>455.8919288810024</x:v>
      </x:c>
      <x:c r="AM14" s="48" t="n">
        <x: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x:f>
        <x:v>3235.1498150588423</x:v>
      </x:c>
      <x:c r="AN14" s="48" t="n">
        <x: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x:f>
        <x:v>4242.727293909547</x:v>
      </x:c>
      <x:c r="AO14" s="48" t="n">
        <x: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x:f>
        <x:v>4270.920747988047</x:v>
      </x:c>
      <x:c r="AP14" s="49"/>
      <x:c r="AQ14" s="48" t="n">
        <x:f>A14</x:f>
        <x:v>-0.9</x:v>
      </x:c>
      <x:c r="AR14" s="48" t="n">
        <x:f>0</x:f>
        <x:v>0</x:v>
      </x:c>
      <x:c r="AS14" s="48" t="n">
        <x: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(0.45*SIN(2*PI()*((((Inputs!$I$6+(((A14)+1)/2)*(Inputs!$J$6-Inputs!$I$6)))/Inputs!$C$49)+Inputs!$C$47*0.137))+0.35*COS(2*PI()*(((Inputs!$C$6)/Inputs!$C$50)+Inputs!$C$47*0.173))+0.20*SIN(2*PI()*((((Inputs!$I$6+(((A14)+1)/2)*(Inputs!$J$6-Inputs!$I$6)))+(Inputs!$C$6))/(0.5*(Inputs!$C$49+Inputs!$C$50))+Inputs!$C$47*0.097)))+0.30*(2*((SIN((((Inputs!$I$6+(((A14)+1)/2)*(Inputs!$J$6-Inputs!$I$6)))*12.9898+(Inputs!$C$6)*78.233+Inputs!$C$47*37.719))*43758.5453)-INT((SIN((((Inputs!$I$6+(((A14)+1)/2)*(Inputs!$J$6-Inputs!$I$6)))*12.9898+(Inputs!$C$6)*78.233+Inputs!$C$47*37.719))*43758.5453)))-1))),NA())</x:f>
        <x:v>196.39629745562698</x:v>
      </x:c>
      <x:c r="AT14" s="48" t="n">
        <x: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(0.45*SIN(2*PI()*((((Inputs!$I$7+(((A14)+1)/2)*(Inputs!$J$7-Inputs!$I$7)))/Inputs!$C$49)+Inputs!$C$47*0.137))+0.35*COS(2*PI()*(((Inputs!$C$6)/Inputs!$C$50)+Inputs!$C$47*0.173))+0.20*SIN(2*PI()*((((Inputs!$I$7+(((A14)+1)/2)*(Inputs!$J$7-Inputs!$I$7)))+(Inputs!$C$6))/(0.5*(Inputs!$C$49+Inputs!$C$50))+Inputs!$C$47*0.097)))+0.30*(2*((SIN((((Inputs!$I$7+(((A14)+1)/2)*(Inputs!$J$7-Inputs!$I$7)))*12.9898+(Inputs!$C$6)*78.233+Inputs!$C$47*37.719))*43758.5453)-INT((SIN((((Inputs!$I$7+(((A14)+1)/2)*(Inputs!$J$7-Inputs!$I$7)))*12.9898+(Inputs!$C$6)*78.233+Inputs!$C$47*37.719))*43758.5453)))-1))),NA())</x:f>
        <x:v>99.30495865310719</x:v>
      </x:c>
      <x:c r="AU14" s="48" t="n">
        <x: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(0.45*SIN(2*PI()*((((Inputs!$I$8+(((A14)+1)/2)*(Inputs!$J$8-Inputs!$I$8)))/Inputs!$C$49)+Inputs!$C$47*0.137))+0.35*COS(2*PI()*(((Inputs!$C$6)/Inputs!$C$50)+Inputs!$C$47*0.173))+0.20*SIN(2*PI()*((((Inputs!$I$8+(((A14)+1)/2)*(Inputs!$J$8-Inputs!$I$8)))+(Inputs!$C$6))/(0.5*(Inputs!$C$49+Inputs!$C$50))+Inputs!$C$47*0.097)))+0.30*(2*((SIN((((Inputs!$I$8+(((A14)+1)/2)*(Inputs!$J$8-Inputs!$I$8)))*12.9898+(Inputs!$C$6)*78.233+Inputs!$C$47*37.719))*43758.5453)-INT((SIN((((Inputs!$I$8+(((A14)+1)/2)*(Inputs!$J$8-Inputs!$I$8)))*12.9898+(Inputs!$C$6)*78.233+Inputs!$C$47*37.719))*43758.5453)))-1))),NA())</x:f>
        <x:v>114.68773835895462</x:v>
      </x:c>
      <x:c r="AV14" s="48" t="n">
        <x: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(0.45*SIN(2*PI()*((((Inputs!$I$9+(((A14)+1)/2)*(Inputs!$J$9-Inputs!$I$9)))/Inputs!$C$49)+Inputs!$C$47*0.137))+0.35*COS(2*PI()*(((Inputs!$C$6)/Inputs!$C$50)+Inputs!$C$47*0.173))+0.20*SIN(2*PI()*((((Inputs!$I$9+(((A14)+1)/2)*(Inputs!$J$9-Inputs!$I$9)))+(Inputs!$C$6))/(0.5*(Inputs!$C$49+Inputs!$C$50))+Inputs!$C$47*0.097)))+0.30*(2*((SIN((((Inputs!$I$9+(((A14)+1)/2)*(Inputs!$J$9-Inputs!$I$9)))*12.9898+(Inputs!$C$6)*78.233+Inputs!$C$47*37.719))*43758.5453)-INT((SIN((((Inputs!$I$9+(((A14)+1)/2)*(Inputs!$J$9-Inputs!$I$9)))*12.9898+(Inputs!$C$6)*78.233+Inputs!$C$47*37.719))*43758.5453)))-1))),NA())</x:f>
        <x:v>114.68773835895462</x:v>
      </x:c>
      <x:c r="AW14" s="49"/>
      <x:c r="AX14" s="48" t="n">
        <x:f>A14</x:f>
        <x:v>-0.9</x:v>
      </x:c>
      <x:c r="AY14" s="48" t="n">
        <x:f>0</x:f>
        <x:v>0</x:v>
      </x:c>
      <x:c r="AZ14" s="48" t="n">
        <x:f>IF(OR(Inputs!$F$6=TRUE,Inputs!$F$6="TRUE",Inputs!$F$6=1),(Inputs!$H$6+Inputs!$L$6*(((Inputs!$I$6+(((A14)+1)/2)*(Inputs!$J$6-Inputs!$I$6)))/Inputs!$K$6)^2),NA())</x:f>
        <x:v>403.24</x:v>
      </x:c>
      <x:c r="BA14" s="48" t="n">
        <x:f>IF(OR(Inputs!$F$7=TRUE,Inputs!$F$7="TRUE",Inputs!$F$7=1),(Inputs!$H$7+Inputs!$L$7*(((Inputs!$I$7+(((A14)+1)/2)*(Inputs!$J$7-Inputs!$I$7)))/Inputs!$K$7)^2),NA())</x:f>
        <x:v>330.65000000000003</x:v>
      </x:c>
      <x:c r="BB14" s="48" t="n">
        <x:f>IF(OR(Inputs!$F$8=TRUE,Inputs!$F$8="TRUE",Inputs!$F$8=1),(Inputs!$H$8+Inputs!$L$8*(((Inputs!$I$8+(((A14)+1)/2)*(Inputs!$J$8-Inputs!$I$8)))/Inputs!$K$8)^2),NA())</x:f>
        <x:v>816.6500000000001</x:v>
      </x:c>
      <x:c r="BC14" s="48" t="n">
        <x:f>IF(OR(Inputs!$F$9=TRUE,Inputs!$F$9="TRUE",Inputs!$F$9=1),(Inputs!$H$9+Inputs!$L$9*(((Inputs!$I$9+(((A14)+1)/2)*(Inputs!$J$9-Inputs!$I$9)))/Inputs!$K$9)^2),NA())</x:f>
        <x:v>814.75</x:v>
      </x:c>
      <x:c r="BD14" s="49"/>
      <x:c r="BE14" s="48" t="n">
        <x:f>A14</x:f>
        <x:v>-0.9</x:v>
      </x:c>
      <x:c r="BF14" s="48" t="n">
        <x:f>0</x:f>
        <x:v>0</x:v>
      </x:c>
      <x:c r="BG14" s="48"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BH14" s="48"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BI14" s="48"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BJ14" s="48"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row>
    <x:row r="15">
      <x:c r="A15" s="48" t="n">
        <x:f>ROUND(-1+13*2/240,3)</x:f>
        <x:v>-0.892</x:v>
      </x:c>
      <x:c r="B15" s="48" t="n">
        <x:f>IF(OR(Inputs!$F$6=TRUE,Inputs!$F$6="TRUE",Inputs!$F$6=1),(Inputs!$H$6+Inputs!$L$6*(((Inputs!$I$6+(((A15)+1)/2)*(Inputs!$J$6-Inputs!$I$6)))/Inputs!$K$6)^2),NA())</x:f>
        <x:v>403.182656</x:v>
      </x:c>
      <x:c r="C15" s="48" t="n">
        <x:f>IF(OR(Inputs!$F$7=TRUE,Inputs!$F$7="TRUE",Inputs!$F$7=1),(Inputs!$H$7+Inputs!$L$7*(((Inputs!$I$7+(((A15)+1)/2)*(Inputs!$J$7-Inputs!$I$7)))/Inputs!$K$7)^2),NA())</x:f>
        <x:v>325.41736000000003</x:v>
      </x:c>
      <x:c r="D15" s="48" t="n">
        <x:f>IF(OR(Inputs!$F$8=TRUE,Inputs!$F$8="TRUE",Inputs!$F$8=1),(Inputs!$H$8+Inputs!$L$8*(((Inputs!$I$8+(((A15)+1)/2)*(Inputs!$J$8-Inputs!$I$8)))/Inputs!$K$8)^2),NA())</x:f>
        <x:v>802.8157600000001</x:v>
      </x:c>
      <x:c r="E15" s="48" t="n">
        <x:f>IF(OR(Inputs!$F$9=TRUE,Inputs!$F$9="TRUE",Inputs!$F$9=1),(Inputs!$H$9+Inputs!$L$9*(((Inputs!$I$9+(((A15)+1)/2)*(Inputs!$J$9-Inputs!$I$9)))/Inputs!$K$9)^2),NA())</x:f>
        <x:v>800.7724000000001</x:v>
      </x:c>
      <x:c r="F15" s="49"/>
      <x:c r="G15" s="48" t="n">
        <x:f>A15</x:f>
        <x:v>-0.892</x:v>
      </x:c>
      <x:c r="H15" s="48"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I15" s="48"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J15" s="48"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K15" s="48"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c r="L15" s="49"/>
      <x:c r="M15" s="48" t="n">
        <x:f>A15</x:f>
        <x:v>-0.892</x:v>
      </x:c>
      <x:c r="N15" s="48" t="n">
        <x: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x:f>
        <x:v>451.94897438622047</x:v>
      </x:c>
      <x:c r="O15" s="48" t="n">
        <x: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x:f>
        <x:v>3212.9843204784943</x:v>
      </x:c>
      <x:c r="P15" s="48" t="n">
        <x: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x:f>
        <x:v>4209.216940133514</x:v>
      </x:c>
      <x:c r="Q15" s="48" t="n">
        <x: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x:f>
        <x:v>4236.954517109988</x:v>
      </x:c>
      <x:c r="R15" s="49"/>
      <x:c r="S15" s="48" t="n">
        <x:f>A15</x:f>
        <x:v>-0.892</x:v>
      </x:c>
      <x:c r="T15" s="48" t="n">
        <x:f>(Inputs!$I$6+(((A15)+1)/2)*(Inputs!$J$6-Inputs!$I$6))</x:f>
        <x:v>-53.52</x:v>
      </x:c>
      <x:c r="U15" s="48" t="n">
        <x:f>(Inputs!$I$7+(((A15)+1)/2)*(Inputs!$J$7-Inputs!$I$7))</x:f>
        <x:v>-356.8</x:v>
      </x:c>
      <x:c r="V15" s="48" t="n">
        <x:f>(Inputs!$I$8+(((A15)+1)/2)*(Inputs!$J$8-Inputs!$I$8))</x:f>
        <x:v>-713.6</x:v>
      </x:c>
      <x:c r="W15" s="48" t="n">
        <x:f>(Inputs!$I$9+(((A15)+1)/2)*(Inputs!$J$9-Inputs!$I$9))</x:f>
        <x:v>-713.6</x:v>
      </x:c>
      <x:c r="X15" s="49"/>
      <x:c r="Y15" s="48" t="n">
        <x:f>A15</x:f>
        <x:v>-0.892</x:v>
      </x:c>
      <x:c r="Z15" s="48" t="n">
        <x:f>(Inputs!$H$6+Inputs!$L$6*(((Inputs!$I$6+(((A15)+1)/2)*(Inputs!$J$6-Inputs!$I$6)))/Inputs!$K$6)^2)</x:f>
        <x:v>403.182656</x:v>
      </x:c>
      <x:c r="AA15" s="48" t="n">
        <x:f>(Inputs!$H$7+Inputs!$L$7*(((Inputs!$I$7+(((A15)+1)/2)*(Inputs!$J$7-Inputs!$I$7)))/Inputs!$K$7)^2)</x:f>
        <x:v>325.41736000000003</x:v>
      </x:c>
      <x:c r="AB15" s="48" t="n">
        <x:f>(Inputs!$H$8+Inputs!$L$8*(((Inputs!$I$8+(((A15)+1)/2)*(Inputs!$J$8-Inputs!$I$8)))/Inputs!$K$8)^2)</x:f>
        <x:v>802.8157600000001</x:v>
      </x:c>
      <x:c r="AC15" s="48" t="n">
        <x:f>(Inputs!$H$9+Inputs!$L$9*(((Inputs!$I$9+(((A15)+1)/2)*(Inputs!$J$9-Inputs!$I$9)))/Inputs!$K$9)^2)</x:f>
        <x:v>800.7724000000001</x:v>
      </x:c>
      <x:c r="AD15" s="49"/>
      <x:c r="AE15" s="48" t="n">
        <x:f>A15</x:f>
        <x:v>-0.892</x:v>
      </x:c>
      <x:c r="AF15" s="48" t="n">
        <x:f>(((SQRT((Inputs!$C$52+((Inputs!$H$6+Inputs!$L$6*(((Inputs!$I$6+(((A15)+1)/2)*(Inputs!$J$6-Inputs!$I$6)))/Inputs!$K$6)^2)))^2+Inputs!$C$52^2-2*(Inputs!$C$52+((Inputs!$H$6+Inputs!$L$6*(((Inputs!$I$6+(((A15)+1)/2)*(Inputs!$J$6-Inputs!$I$6)))/Inputs!$K$6)^2)))*Inputs!$C$52*COS(SQRT(((Inputs!$I$6+(((A15)+1)/2)*(Inputs!$J$6-Inputs!$I$6)))^2+Inputs!$C$6^2)/Inputs!$C$52)))-((Inputs!$H$6+Inputs!$L$6*(((Inputs!$I$6+(((A15)+1)/2)*(Inputs!$J$6-Inputs!$I$6)))/Inputs!$K$6)^2)))*1000/Inputs!$C$12)</x:f>
        <x:v>3038.3180386405807</x:v>
      </x:c>
      <x:c r="AG15" s="48" t="n">
        <x:f>(((SQRT((Inputs!$C$52+((Inputs!$H$7+Inputs!$L$7*(((Inputs!$I$7+(((A15)+1)/2)*(Inputs!$J$7-Inputs!$I$7)))/Inputs!$K$7)^2)))^2+Inputs!$C$52^2-2*(Inputs!$C$52+((Inputs!$H$7+Inputs!$L$7*(((Inputs!$I$7+(((A15)+1)/2)*(Inputs!$J$7-Inputs!$I$7)))/Inputs!$K$7)^2)))*Inputs!$C$52*COS(SQRT(((Inputs!$I$7+(((A15)+1)/2)*(Inputs!$J$7-Inputs!$I$7)))^2+Inputs!$C$6^2)/Inputs!$C$52)))-((Inputs!$H$7+Inputs!$L$7*(((Inputs!$I$7+(((A15)+1)/2)*(Inputs!$J$7-Inputs!$I$7)))/Inputs!$K$7)^2)))*1000/Inputs!$C$12)</x:f>
        <x:v>103546.71021044368</x:v>
      </x:c>
      <x:c r="AH15" s="48" t="n">
        <x:f>(((SQRT((Inputs!$C$52+((Inputs!$H$8+Inputs!$L$8*(((Inputs!$I$8+(((A15)+1)/2)*(Inputs!$J$8-Inputs!$I$8)))/Inputs!$K$8)^2)))^2+Inputs!$C$52^2-2*(Inputs!$C$52+((Inputs!$H$8+Inputs!$L$8*(((Inputs!$I$8+(((A15)+1)/2)*(Inputs!$J$8-Inputs!$I$8)))/Inputs!$K$8)^2)))*Inputs!$C$52*COS(SQRT(((Inputs!$I$8+(((A15)+1)/2)*(Inputs!$J$8-Inputs!$I$8)))^2+Inputs!$C$6^2)/Inputs!$C$52)))-((Inputs!$H$8+Inputs!$L$8*(((Inputs!$I$8+(((A15)+1)/2)*(Inputs!$J$8-Inputs!$I$8)))/Inputs!$K$8)^2)))*1000/Inputs!$C$12)</x:f>
        <x:v>214476.24093521538</x:v>
      </x:c>
      <x:c r="AI15" s="48" t="n">
        <x:f>(((SQRT((Inputs!$C$52+((Inputs!$H$9+Inputs!$L$9*(((Inputs!$I$9+(((A15)+1)/2)*(Inputs!$J$9-Inputs!$I$9)))/Inputs!$K$9)^2)))^2+Inputs!$C$52^2-2*(Inputs!$C$52+((Inputs!$H$9+Inputs!$L$9*(((Inputs!$I$9+(((A15)+1)/2)*(Inputs!$J$9-Inputs!$I$9)))/Inputs!$K$9)^2)))*Inputs!$C$52*COS(SQRT(((Inputs!$I$9+(((A15)+1)/2)*(Inputs!$J$9-Inputs!$I$9)))^2+Inputs!$C$6^2)/Inputs!$C$52)))-((Inputs!$H$9+Inputs!$L$9*(((Inputs!$I$9+(((A15)+1)/2)*(Inputs!$J$9-Inputs!$I$9)))/Inputs!$K$9)^2)))*1000/Inputs!$C$12)</x:f>
        <x:v>214691.00178491714</x:v>
      </x:c>
      <x:c r="AJ15" s="49"/>
      <x:c r="AK15" s="48" t="n">
        <x:f>A15</x:f>
        <x:v>-0.892</x:v>
      </x:c>
      <x:c r="AL15" s="48" t="n">
        <x: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x:f>
        <x:v>451.94897438622047</x:v>
      </x:c>
      <x:c r="AM15" s="48" t="n">
        <x: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x:f>
        <x:v>3212.9843204784943</x:v>
      </x:c>
      <x:c r="AN15" s="48" t="n">
        <x: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x:f>
        <x:v>4209.216940133514</x:v>
      </x:c>
      <x:c r="AO15" s="48" t="n">
        <x: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x:f>
        <x:v>4236.954517109988</x:v>
      </x:c>
      <x:c r="AP15" s="49"/>
      <x:c r="AQ15" s="48" t="n">
        <x:f>A15</x:f>
        <x:v>-0.892</x:v>
      </x:c>
      <x:c r="AR15" s="48" t="n">
        <x:f>0</x:f>
        <x:v>0</x:v>
      </x:c>
      <x:c r="AS15" s="48" t="n">
        <x: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(0.45*SIN(2*PI()*((((Inputs!$I$6+(((A15)+1)/2)*(Inputs!$J$6-Inputs!$I$6)))/Inputs!$C$49)+Inputs!$C$47*0.137))+0.35*COS(2*PI()*(((Inputs!$C$6)/Inputs!$C$50)+Inputs!$C$47*0.173))+0.20*SIN(2*PI()*((((Inputs!$I$6+(((A15)+1)/2)*(Inputs!$J$6-Inputs!$I$6)))+(Inputs!$C$6))/(0.5*(Inputs!$C$49+Inputs!$C$50))+Inputs!$C$47*0.097)))+0.30*(2*((SIN((((Inputs!$I$6+(((A15)+1)/2)*(Inputs!$J$6-Inputs!$I$6)))*12.9898+(Inputs!$C$6)*78.233+Inputs!$C$47*37.719))*43758.5453)-INT((SIN((((Inputs!$I$6+(((A15)+1)/2)*(Inputs!$J$6-Inputs!$I$6)))*12.9898+(Inputs!$C$6)*78.233+Inputs!$C$47*37.719))*43758.5453)))-1))),NA())</x:f>
        <x:v>223.50770882500376</x:v>
      </x:c>
      <x:c r="AT15" s="48" t="n">
        <x: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(0.45*SIN(2*PI()*((((Inputs!$I$7+(((A15)+1)/2)*(Inputs!$J$7-Inputs!$I$7)))/Inputs!$C$49)+Inputs!$C$47*0.137))+0.35*COS(2*PI()*(((Inputs!$C$6)/Inputs!$C$50)+Inputs!$C$47*0.173))+0.20*SIN(2*PI()*((((Inputs!$I$7+(((A15)+1)/2)*(Inputs!$J$7-Inputs!$I$7)))+(Inputs!$C$6))/(0.5*(Inputs!$C$49+Inputs!$C$50))+Inputs!$C$47*0.097)))+0.30*(2*((SIN((((Inputs!$I$7+(((A15)+1)/2)*(Inputs!$J$7-Inputs!$I$7)))*12.9898+(Inputs!$C$6)*78.233+Inputs!$C$47*37.719))*43758.5453)-INT((SIN((((Inputs!$I$7+(((A15)+1)/2)*(Inputs!$J$7-Inputs!$I$7)))*12.9898+(Inputs!$C$6)*78.233+Inputs!$C$47*37.719))*43758.5453)))-1))),NA())</x:f>
        <x:v>182.78083498257146</x:v>
      </x:c>
      <x:c r="AU15" s="48" t="n">
        <x: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(0.45*SIN(2*PI()*((((Inputs!$I$8+(((A15)+1)/2)*(Inputs!$J$8-Inputs!$I$8)))/Inputs!$C$49)+Inputs!$C$47*0.137))+0.35*COS(2*PI()*(((Inputs!$C$6)/Inputs!$C$50)+Inputs!$C$47*0.173))+0.20*SIN(2*PI()*((((Inputs!$I$8+(((A15)+1)/2)*(Inputs!$J$8-Inputs!$I$8)))+(Inputs!$C$6))/(0.5*(Inputs!$C$49+Inputs!$C$50))+Inputs!$C$47*0.097)))+0.30*(2*((SIN((((Inputs!$I$8+(((A15)+1)/2)*(Inputs!$J$8-Inputs!$I$8)))*12.9898+(Inputs!$C$6)*78.233+Inputs!$C$47*37.719))*43758.5453)-INT((SIN((((Inputs!$I$8+(((A15)+1)/2)*(Inputs!$J$8-Inputs!$I$8)))*12.9898+(Inputs!$C$6)*78.233+Inputs!$C$47*37.719))*43758.5453)))-1))),NA())</x:f>
        <x:v>177.618518747164</x:v>
      </x:c>
      <x:c r="AV15" s="48" t="n">
        <x: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(0.45*SIN(2*PI()*((((Inputs!$I$9+(((A15)+1)/2)*(Inputs!$J$9-Inputs!$I$9)))/Inputs!$C$49)+Inputs!$C$47*0.137))+0.35*COS(2*PI()*(((Inputs!$C$6)/Inputs!$C$50)+Inputs!$C$47*0.173))+0.20*SIN(2*PI()*((((Inputs!$I$9+(((A15)+1)/2)*(Inputs!$J$9-Inputs!$I$9)))+(Inputs!$C$6))/(0.5*(Inputs!$C$49+Inputs!$C$50))+Inputs!$C$47*0.097)))+0.30*(2*((SIN((((Inputs!$I$9+(((A15)+1)/2)*(Inputs!$J$9-Inputs!$I$9)))*12.9898+(Inputs!$C$6)*78.233+Inputs!$C$47*37.719))*43758.5453)-INT((SIN((((Inputs!$I$9+(((A15)+1)/2)*(Inputs!$J$9-Inputs!$I$9)))*12.9898+(Inputs!$C$6)*78.233+Inputs!$C$47*37.719))*43758.5453)))-1))),NA())</x:f>
        <x:v>177.618518747164</x:v>
      </x:c>
      <x:c r="AW15" s="49"/>
      <x:c r="AX15" s="48" t="n">
        <x:f>A15</x:f>
        <x:v>-0.892</x:v>
      </x:c>
      <x:c r="AY15" s="48" t="n">
        <x:f>0</x:f>
        <x:v>0</x:v>
      </x:c>
      <x:c r="AZ15" s="48" t="n">
        <x:f>IF(OR(Inputs!$F$6=TRUE,Inputs!$F$6="TRUE",Inputs!$F$6=1),(Inputs!$H$6+Inputs!$L$6*(((Inputs!$I$6+(((A15)+1)/2)*(Inputs!$J$6-Inputs!$I$6)))/Inputs!$K$6)^2),NA())</x:f>
        <x:v>403.182656</x:v>
      </x:c>
      <x:c r="BA15" s="48" t="n">
        <x:f>IF(OR(Inputs!$F$7=TRUE,Inputs!$F$7="TRUE",Inputs!$F$7=1),(Inputs!$H$7+Inputs!$L$7*(((Inputs!$I$7+(((A15)+1)/2)*(Inputs!$J$7-Inputs!$I$7)))/Inputs!$K$7)^2),NA())</x:f>
        <x:v>325.41736000000003</x:v>
      </x:c>
      <x:c r="BB15" s="48" t="n">
        <x:f>IF(OR(Inputs!$F$8=TRUE,Inputs!$F$8="TRUE",Inputs!$F$8=1),(Inputs!$H$8+Inputs!$L$8*(((Inputs!$I$8+(((A15)+1)/2)*(Inputs!$J$8-Inputs!$I$8)))/Inputs!$K$8)^2),NA())</x:f>
        <x:v>802.8157600000001</x:v>
      </x:c>
      <x:c r="BC15" s="48" t="n">
        <x:f>IF(OR(Inputs!$F$9=TRUE,Inputs!$F$9="TRUE",Inputs!$F$9=1),(Inputs!$H$9+Inputs!$L$9*(((Inputs!$I$9+(((A15)+1)/2)*(Inputs!$J$9-Inputs!$I$9)))/Inputs!$K$9)^2),NA())</x:f>
        <x:v>800.7724000000001</x:v>
      </x:c>
      <x:c r="BD15" s="49"/>
      <x:c r="BE15" s="48" t="n">
        <x:f>A15</x:f>
        <x:v>-0.892</x:v>
      </x:c>
      <x:c r="BF15" s="48" t="n">
        <x:f>0</x:f>
        <x:v>0</x:v>
      </x:c>
      <x:c r="BG15" s="48"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BH15" s="48"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BI15" s="48"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BJ15" s="48"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row>
    <x:row r="16">
      <x:c r="A16" s="48" t="n">
        <x:f>ROUND(-1+14*2/240,3)</x:f>
        <x:v>-0.883</x:v>
      </x:c>
      <x:c r="B16" s="48" t="n">
        <x:f>IF(OR(Inputs!$F$6=TRUE,Inputs!$F$6="TRUE",Inputs!$F$6=1),(Inputs!$H$6+Inputs!$L$6*(((Inputs!$I$6+(((A16)+1)/2)*(Inputs!$J$6-Inputs!$I$6)))/Inputs!$K$6)^2),NA())</x:f>
        <x:v>403.118756</x:v>
      </x:c>
      <x:c r="C16" s="48" t="n">
        <x:f>IF(OR(Inputs!$F$7=TRUE,Inputs!$F$7="TRUE",Inputs!$F$7=1),(Inputs!$H$7+Inputs!$L$7*(((Inputs!$I$7+(((A16)+1)/2)*(Inputs!$J$7-Inputs!$I$7)))/Inputs!$K$7)^2),NA())</x:f>
        <x:v>319.586485</x:v>
      </x:c>
      <x:c r="D16" s="48" t="n">
        <x:f>IF(OR(Inputs!$F$8=TRUE,Inputs!$F$8="TRUE",Inputs!$F$8=1),(Inputs!$H$8+Inputs!$L$8*(((Inputs!$I$8+(((A16)+1)/2)*(Inputs!$J$8-Inputs!$I$8)))/Inputs!$K$8)^2),NA())</x:f>
        <x:v>787.3998849999999</x:v>
      </x:c>
      <x:c r="E16" s="48" t="n">
        <x:f>IF(OR(Inputs!$F$9=TRUE,Inputs!$F$9="TRUE",Inputs!$F$9=1),(Inputs!$H$9+Inputs!$L$9*(((Inputs!$I$9+(((A16)+1)/2)*(Inputs!$J$9-Inputs!$I$9)))/Inputs!$K$9)^2),NA())</x:f>
        <x:v>785.196775</x:v>
      </x:c>
      <x:c r="F16" s="49"/>
      <x:c r="G16" s="48" t="n">
        <x:f>A16</x:f>
        <x:v>-0.883</x:v>
      </x:c>
      <x:c r="H16" s="48"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I16" s="48"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J16" s="48"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K16" s="48"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c r="L16" s="49"/>
      <x:c r="M16" s="48" t="n">
        <x:f>A16</x:f>
        <x:v>-0.883</x:v>
      </x:c>
      <x:c r="N16" s="48" t="n">
        <x: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x:f>
        <x:v>447.5097761849919</x:v>
      </x:c>
      <x:c r="O16" s="48" t="n">
        <x: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x:f>
        <x:v>3188.1333675801284</x:v>
      </x:c>
      <x:c r="P16" s="48" t="n">
        <x: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x:f>
        <x:v>4171.579856088529</x:v>
      </x:c>
      <x:c r="Q16" s="48" t="n">
        <x: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x:f>
        <x:v>4198.802091520726</x:v>
      </x:c>
      <x:c r="R16" s="49"/>
      <x:c r="S16" s="48" t="n">
        <x:f>A16</x:f>
        <x:v>-0.883</x:v>
      </x:c>
      <x:c r="T16" s="48" t="n">
        <x:f>(Inputs!$I$6+(((A16)+1)/2)*(Inputs!$J$6-Inputs!$I$6))</x:f>
        <x:v>-52.980000000000004</x:v>
      </x:c>
      <x:c r="U16" s="48" t="n">
        <x:f>(Inputs!$I$7+(((A16)+1)/2)*(Inputs!$J$7-Inputs!$I$7))</x:f>
        <x:v>-353.2</x:v>
      </x:c>
      <x:c r="V16" s="48" t="n">
        <x:f>(Inputs!$I$8+(((A16)+1)/2)*(Inputs!$J$8-Inputs!$I$8))</x:f>
        <x:v>-706.4</x:v>
      </x:c>
      <x:c r="W16" s="48" t="n">
        <x:f>(Inputs!$I$9+(((A16)+1)/2)*(Inputs!$J$9-Inputs!$I$9))</x:f>
        <x:v>-706.4</x:v>
      </x:c>
      <x:c r="X16" s="49"/>
      <x:c r="Y16" s="48" t="n">
        <x:f>A16</x:f>
        <x:v>-0.883</x:v>
      </x:c>
      <x:c r="Z16" s="48" t="n">
        <x:f>(Inputs!$H$6+Inputs!$L$6*(((Inputs!$I$6+(((A16)+1)/2)*(Inputs!$J$6-Inputs!$I$6)))/Inputs!$K$6)^2)</x:f>
        <x:v>403.118756</x:v>
      </x:c>
      <x:c r="AA16" s="48" t="n">
        <x:f>(Inputs!$H$7+Inputs!$L$7*(((Inputs!$I$7+(((A16)+1)/2)*(Inputs!$J$7-Inputs!$I$7)))/Inputs!$K$7)^2)</x:f>
        <x:v>319.586485</x:v>
      </x:c>
      <x:c r="AB16" s="48" t="n">
        <x:f>(Inputs!$H$8+Inputs!$L$8*(((Inputs!$I$8+(((A16)+1)/2)*(Inputs!$J$8-Inputs!$I$8)))/Inputs!$K$8)^2)</x:f>
        <x:v>787.3998849999999</x:v>
      </x:c>
      <x:c r="AC16" s="48" t="n">
        <x:f>(Inputs!$H$9+Inputs!$L$9*(((Inputs!$I$9+(((A16)+1)/2)*(Inputs!$J$9-Inputs!$I$9)))/Inputs!$K$9)^2)</x:f>
        <x:v>785.196775</x:v>
      </x:c>
      <x:c r="AD16" s="49"/>
      <x:c r="AE16" s="48" t="n">
        <x:f>A16</x:f>
        <x:v>-0.883</x:v>
      </x:c>
      <x:c r="AF16" s="48" t="n">
        <x:f>(((SQRT((Inputs!$C$52+((Inputs!$H$6+Inputs!$L$6*(((Inputs!$I$6+(((A16)+1)/2)*(Inputs!$J$6-Inputs!$I$6)))/Inputs!$K$6)^2)))^2+Inputs!$C$52^2-2*(Inputs!$C$52+((Inputs!$H$6+Inputs!$L$6*(((Inputs!$I$6+(((A16)+1)/2)*(Inputs!$J$6-Inputs!$I$6)))/Inputs!$K$6)^2)))*Inputs!$C$52*COS(SQRT(((Inputs!$I$6+(((A16)+1)/2)*(Inputs!$J$6-Inputs!$I$6)))^2+Inputs!$C$6^2)/Inputs!$C$52)))-((Inputs!$H$6+Inputs!$L$6*(((Inputs!$I$6+(((A16)+1)/2)*(Inputs!$J$6-Inputs!$I$6)))/Inputs!$K$6)^2)))*1000/Inputs!$C$12)</x:f>
        <x:v>2988.9451373688594</x:v>
      </x:c>
      <x:c r="AG16" s="48" t="n">
        <x:f>(((SQRT((Inputs!$C$52+((Inputs!$H$7+Inputs!$L$7*(((Inputs!$I$7+(((A16)+1)/2)*(Inputs!$J$7-Inputs!$I$7)))/Inputs!$K$7)^2)))^2+Inputs!$C$52^2-2*(Inputs!$C$52+((Inputs!$H$7+Inputs!$L$7*(((Inputs!$I$7+(((A16)+1)/2)*(Inputs!$J$7-Inputs!$I$7)))/Inputs!$K$7)^2)))*Inputs!$C$52*COS(SQRT(((Inputs!$I$7+(((A16)+1)/2)*(Inputs!$J$7-Inputs!$I$7)))^2+Inputs!$C$6^2)/Inputs!$C$52)))-((Inputs!$H$7+Inputs!$L$7*(((Inputs!$I$7+(((A16)+1)/2)*(Inputs!$J$7-Inputs!$I$7)))/Inputs!$K$7)^2)))*1000/Inputs!$C$12)</x:f>
        <x:v>102776.84205371492</x:v>
      </x:c>
      <x:c r="AH16" s="48" t="n">
        <x:f>(((SQRT((Inputs!$C$52+((Inputs!$H$8+Inputs!$L$8*(((Inputs!$I$8+(((A16)+1)/2)*(Inputs!$J$8-Inputs!$I$8)))/Inputs!$K$8)^2)))^2+Inputs!$C$52^2-2*(Inputs!$C$52+((Inputs!$H$8+Inputs!$L$8*(((Inputs!$I$8+(((A16)+1)/2)*(Inputs!$J$8-Inputs!$I$8)))/Inputs!$K$8)^2)))*Inputs!$C$52*COS(SQRT(((Inputs!$I$8+(((A16)+1)/2)*(Inputs!$J$8-Inputs!$I$8)))^2+Inputs!$C$6^2)/Inputs!$C$52)))-((Inputs!$H$8+Inputs!$L$8*(((Inputs!$I$8+(((A16)+1)/2)*(Inputs!$J$8-Inputs!$I$8)))/Inputs!$K$8)^2)))*1000/Inputs!$C$12)</x:f>
        <x:v>212543.15513578642</x:v>
      </x:c>
      <x:c r="AI16" s="48" t="n">
        <x:f>(((SQRT((Inputs!$C$52+((Inputs!$H$9+Inputs!$L$9*(((Inputs!$I$9+(((A16)+1)/2)*(Inputs!$J$9-Inputs!$I$9)))/Inputs!$K$9)^2)))^2+Inputs!$C$52^2-2*(Inputs!$C$52+((Inputs!$H$9+Inputs!$L$9*(((Inputs!$I$9+(((A16)+1)/2)*(Inputs!$J$9-Inputs!$I$9)))/Inputs!$K$9)^2)))*Inputs!$C$52*COS(SQRT(((Inputs!$I$9+(((A16)+1)/2)*(Inputs!$J$9-Inputs!$I$9)))^2+Inputs!$C$6^2)/Inputs!$C$52)))-((Inputs!$H$9+Inputs!$L$9*(((Inputs!$I$9+(((A16)+1)/2)*(Inputs!$J$9-Inputs!$I$9)))/Inputs!$K$9)^2)))*1000/Inputs!$C$12)</x:f>
        <x:v>212778.190947783</x:v>
      </x:c>
      <x:c r="AJ16" s="49"/>
      <x:c r="AK16" s="48" t="n">
        <x:f>A16</x:f>
        <x:v>-0.883</x:v>
      </x:c>
      <x:c r="AL16" s="48" t="n">
        <x: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x:f>
        <x:v>447.5097761849919</x:v>
      </x:c>
      <x:c r="AM16" s="48" t="n">
        <x: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x:f>
        <x:v>3188.1333675801284</x:v>
      </x:c>
      <x:c r="AN16" s="48" t="n">
        <x: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x:f>
        <x:v>4171.579856088529</x:v>
      </x:c>
      <x:c r="AO16" s="48" t="n">
        <x: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x:f>
        <x:v>4198.802091520726</x:v>
      </x:c>
      <x:c r="AP16" s="49"/>
      <x:c r="AQ16" s="48" t="n">
        <x:f>A16</x:f>
        <x:v>-0.883</x:v>
      </x:c>
      <x:c r="AR16" s="48" t="n">
        <x:f>0</x:f>
        <x:v>0</x:v>
      </x:c>
      <x:c r="AS16" s="48" t="n">
        <x: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(0.45*SIN(2*PI()*((((Inputs!$I$6+(((A16)+1)/2)*(Inputs!$J$6-Inputs!$I$6)))/Inputs!$C$49)+Inputs!$C$47*0.137))+0.35*COS(2*PI()*(((Inputs!$C$6)/Inputs!$C$50)+Inputs!$C$47*0.173))+0.20*SIN(2*PI()*((((Inputs!$I$6+(((A16)+1)/2)*(Inputs!$J$6-Inputs!$I$6)))+(Inputs!$C$6))/(0.5*(Inputs!$C$49+Inputs!$C$50))+Inputs!$C$47*0.097)))+0.30*(2*((SIN((((Inputs!$I$6+(((A16)+1)/2)*(Inputs!$J$6-Inputs!$I$6)))*12.9898+(Inputs!$C$6)*78.233+Inputs!$C$47*37.719))*43758.5453)-INT((SIN((((Inputs!$I$6+(((A16)+1)/2)*(Inputs!$J$6-Inputs!$I$6)))*12.9898+(Inputs!$C$6)*78.233+Inputs!$C$47*37.719))*43758.5453)))-1))),NA())</x:f>
        <x:v>236.14608519318855</x:v>
      </x:c>
      <x:c r="AT16" s="48" t="n">
        <x: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(0.45*SIN(2*PI()*((((Inputs!$I$7+(((A16)+1)/2)*(Inputs!$J$7-Inputs!$I$7)))/Inputs!$C$49)+Inputs!$C$47*0.137))+0.35*COS(2*PI()*(((Inputs!$C$6)/Inputs!$C$50)+Inputs!$C$47*0.173))+0.20*SIN(2*PI()*((((Inputs!$I$7+(((A16)+1)/2)*(Inputs!$J$7-Inputs!$I$7)))+(Inputs!$C$6))/(0.5*(Inputs!$C$49+Inputs!$C$50))+Inputs!$C$47*0.097)))+0.30*(2*((SIN((((Inputs!$I$7+(((A16)+1)/2)*(Inputs!$J$7-Inputs!$I$7)))*12.9898+(Inputs!$C$6)*78.233+Inputs!$C$47*37.719))*43758.5453)-INT((SIN((((Inputs!$I$7+(((A16)+1)/2)*(Inputs!$J$7-Inputs!$I$7)))*12.9898+(Inputs!$C$6)*78.233+Inputs!$C$47*37.719))*43758.5453)))-1))),NA())</x:f>
        <x:v>188.81151651277608</x:v>
      </x:c>
      <x:c r="AU16" s="48" t="n">
        <x: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(0.45*SIN(2*PI()*((((Inputs!$I$8+(((A16)+1)/2)*(Inputs!$J$8-Inputs!$I$8)))/Inputs!$C$49)+Inputs!$C$47*0.137))+0.35*COS(2*PI()*(((Inputs!$C$6)/Inputs!$C$50)+Inputs!$C$47*0.173))+0.20*SIN(2*PI()*((((Inputs!$I$8+(((A16)+1)/2)*(Inputs!$J$8-Inputs!$I$8)))+(Inputs!$C$6))/(0.5*(Inputs!$C$49+Inputs!$C$50))+Inputs!$C$47*0.097)))+0.30*(2*((SIN((((Inputs!$I$8+(((A16)+1)/2)*(Inputs!$J$8-Inputs!$I$8)))*12.9898+(Inputs!$C$6)*78.233+Inputs!$C$47*37.719))*43758.5453)-INT((SIN((((Inputs!$I$8+(((A16)+1)/2)*(Inputs!$J$8-Inputs!$I$8)))*12.9898+(Inputs!$C$6)*78.233+Inputs!$C$47*37.719))*43758.5453)))-1))),NA())</x:f>
        <x:v>79.15837759213171</x:v>
      </x:c>
      <x:c r="AV16" s="48" t="n">
        <x: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(0.45*SIN(2*PI()*((((Inputs!$I$9+(((A16)+1)/2)*(Inputs!$J$9-Inputs!$I$9)))/Inputs!$C$49)+Inputs!$C$47*0.137))+0.35*COS(2*PI()*(((Inputs!$C$6)/Inputs!$C$50)+Inputs!$C$47*0.173))+0.20*SIN(2*PI()*((((Inputs!$I$9+(((A16)+1)/2)*(Inputs!$J$9-Inputs!$I$9)))+(Inputs!$C$6))/(0.5*(Inputs!$C$49+Inputs!$C$50))+Inputs!$C$47*0.097)))+0.30*(2*((SIN((((Inputs!$I$9+(((A16)+1)/2)*(Inputs!$J$9-Inputs!$I$9)))*12.9898+(Inputs!$C$6)*78.233+Inputs!$C$47*37.719))*43758.5453)-INT((SIN((((Inputs!$I$9+(((A16)+1)/2)*(Inputs!$J$9-Inputs!$I$9)))*12.9898+(Inputs!$C$6)*78.233+Inputs!$C$47*37.719))*43758.5453)))-1))),NA())</x:f>
        <x:v>79.15837759213171</x:v>
      </x:c>
      <x:c r="AW16" s="49"/>
      <x:c r="AX16" s="48" t="n">
        <x:f>A16</x:f>
        <x:v>-0.883</x:v>
      </x:c>
      <x:c r="AY16" s="48" t="n">
        <x:f>0</x:f>
        <x:v>0</x:v>
      </x:c>
      <x:c r="AZ16" s="48" t="n">
        <x:f>IF(OR(Inputs!$F$6=TRUE,Inputs!$F$6="TRUE",Inputs!$F$6=1),(Inputs!$H$6+Inputs!$L$6*(((Inputs!$I$6+(((A16)+1)/2)*(Inputs!$J$6-Inputs!$I$6)))/Inputs!$K$6)^2),NA())</x:f>
        <x:v>403.118756</x:v>
      </x:c>
      <x:c r="BA16" s="48" t="n">
        <x:f>IF(OR(Inputs!$F$7=TRUE,Inputs!$F$7="TRUE",Inputs!$F$7=1),(Inputs!$H$7+Inputs!$L$7*(((Inputs!$I$7+(((A16)+1)/2)*(Inputs!$J$7-Inputs!$I$7)))/Inputs!$K$7)^2),NA())</x:f>
        <x:v>319.586485</x:v>
      </x:c>
      <x:c r="BB16" s="48" t="n">
        <x:f>IF(OR(Inputs!$F$8=TRUE,Inputs!$F$8="TRUE",Inputs!$F$8=1),(Inputs!$H$8+Inputs!$L$8*(((Inputs!$I$8+(((A16)+1)/2)*(Inputs!$J$8-Inputs!$I$8)))/Inputs!$K$8)^2),NA())</x:f>
        <x:v>787.3998849999999</x:v>
      </x:c>
      <x:c r="BC16" s="48" t="n">
        <x:f>IF(OR(Inputs!$F$9=TRUE,Inputs!$F$9="TRUE",Inputs!$F$9=1),(Inputs!$H$9+Inputs!$L$9*(((Inputs!$I$9+(((A16)+1)/2)*(Inputs!$J$9-Inputs!$I$9)))/Inputs!$K$9)^2),NA())</x:f>
        <x:v>785.196775</x:v>
      </x:c>
      <x:c r="BD16" s="49"/>
      <x:c r="BE16" s="48" t="n">
        <x:f>A16</x:f>
        <x:v>-0.883</x:v>
      </x:c>
      <x:c r="BF16" s="48" t="n">
        <x:f>0</x:f>
        <x:v>0</x:v>
      </x:c>
      <x:c r="BG16" s="48"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BH16" s="48"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BI16" s="48"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BJ16" s="48"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row>
    <x:row r="17">
      <x:c r="A17" s="48" t="n">
        <x:f>ROUND(-1+15*2/240,3)</x:f>
        <x:v>-0.875</x:v>
      </x:c>
      <x:c r="B17" s="48" t="n">
        <x:f>IF(OR(Inputs!$F$6=TRUE,Inputs!$F$6="TRUE",Inputs!$F$6=1),(Inputs!$H$6+Inputs!$L$6*(((Inputs!$I$6+(((A17)+1)/2)*(Inputs!$J$6-Inputs!$I$6)))/Inputs!$K$6)^2),NA())</x:f>
        <x:v>403.0625</x:v>
      </x:c>
      <x:c r="C17" s="48" t="n">
        <x:f>IF(OR(Inputs!$F$7=TRUE,Inputs!$F$7="TRUE",Inputs!$F$7=1),(Inputs!$H$7+Inputs!$L$7*(((Inputs!$I$7+(((A17)+1)/2)*(Inputs!$J$7-Inputs!$I$7)))/Inputs!$K$7)^2),NA())</x:f>
        <x:v>314.453125</x:v>
      </x:c>
      <x:c r="D17" s="48" t="n">
        <x:f>IF(OR(Inputs!$F$8=TRUE,Inputs!$F$8="TRUE",Inputs!$F$8=1),(Inputs!$H$8+Inputs!$L$8*(((Inputs!$I$8+(((A17)+1)/2)*(Inputs!$J$8-Inputs!$I$8)))/Inputs!$K$8)^2),NA())</x:f>
        <x:v>773.828125</x:v>
      </x:c>
      <x:c r="E17" s="48" t="n">
        <x:f>IF(OR(Inputs!$F$9=TRUE,Inputs!$F$9="TRUE",Inputs!$F$9=1),(Inputs!$H$9+Inputs!$L$9*(((Inputs!$I$9+(((A17)+1)/2)*(Inputs!$J$9-Inputs!$I$9)))/Inputs!$K$9)^2),NA())</x:f>
        <x:v>771.484375</x:v>
      </x:c>
      <x:c r="F17" s="49"/>
      <x:c r="G17" s="48" t="n">
        <x:f>A17</x:f>
        <x:v>-0.875</x:v>
      </x:c>
      <x:c r="H17" s="48"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I17" s="48"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J17" s="48"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K17" s="48"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c r="L17" s="49"/>
      <x:c r="M17" s="48" t="n">
        <x:f>A17</x:f>
        <x:v>-0.875</x:v>
      </x:c>
      <x:c r="N17" s="48" t="n">
        <x: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x:f>
        <x:v>443.5608456764333</x:v>
      </x:c>
      <x:c r="O17" s="48" t="n">
        <x: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x:f>
        <x:v>3166.120827887401</x:v>
      </x:c>
      <x:c r="P17" s="48" t="n">
        <x: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x:f>
        <x:v>4138.181762629819</x:v>
      </x:c>
      <x:c r="Q17" s="48" t="n">
        <x: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x:f>
        <x:v>4164.943692380019</x:v>
      </x:c>
      <x:c r="R17" s="49"/>
      <x:c r="S17" s="48" t="n">
        <x:f>A17</x:f>
        <x:v>-0.875</x:v>
      </x:c>
      <x:c r="T17" s="48" t="n">
        <x:f>(Inputs!$I$6+(((A17)+1)/2)*(Inputs!$J$6-Inputs!$I$6))</x:f>
        <x:v>-52.5</x:v>
      </x:c>
      <x:c r="U17" s="48" t="n">
        <x:f>(Inputs!$I$7+(((A17)+1)/2)*(Inputs!$J$7-Inputs!$I$7))</x:f>
        <x:v>-350</x:v>
      </x:c>
      <x:c r="V17" s="48" t="n">
        <x:f>(Inputs!$I$8+(((A17)+1)/2)*(Inputs!$J$8-Inputs!$I$8))</x:f>
        <x:v>-700</x:v>
      </x:c>
      <x:c r="W17" s="48" t="n">
        <x:f>(Inputs!$I$9+(((A17)+1)/2)*(Inputs!$J$9-Inputs!$I$9))</x:f>
        <x:v>-700</x:v>
      </x:c>
      <x:c r="X17" s="49"/>
      <x:c r="Y17" s="48" t="n">
        <x:f>A17</x:f>
        <x:v>-0.875</x:v>
      </x:c>
      <x:c r="Z17" s="48" t="n">
        <x:f>(Inputs!$H$6+Inputs!$L$6*(((Inputs!$I$6+(((A17)+1)/2)*(Inputs!$J$6-Inputs!$I$6)))/Inputs!$K$6)^2)</x:f>
        <x:v>403.0625</x:v>
      </x:c>
      <x:c r="AA17" s="48" t="n">
        <x:f>(Inputs!$H$7+Inputs!$L$7*(((Inputs!$I$7+(((A17)+1)/2)*(Inputs!$J$7-Inputs!$I$7)))/Inputs!$K$7)^2)</x:f>
        <x:v>314.453125</x:v>
      </x:c>
      <x:c r="AB17" s="48" t="n">
        <x:f>(Inputs!$H$8+Inputs!$L$8*(((Inputs!$I$8+(((A17)+1)/2)*(Inputs!$J$8-Inputs!$I$8)))/Inputs!$K$8)^2)</x:f>
        <x:v>773.828125</x:v>
      </x:c>
      <x:c r="AC17" s="48" t="n">
        <x:f>(Inputs!$H$9+Inputs!$L$9*(((Inputs!$I$9+(((A17)+1)/2)*(Inputs!$J$9-Inputs!$I$9)))/Inputs!$K$9)^2)</x:f>
        <x:v>771.484375</x:v>
      </x:c>
      <x:c r="AD17" s="49"/>
      <x:c r="AE17" s="48" t="n">
        <x:f>A17</x:f>
        <x:v>-0.875</x:v>
      </x:c>
      <x:c r="AF17" s="48" t="n">
        <x:f>(((SQRT((Inputs!$C$52+((Inputs!$H$6+Inputs!$L$6*(((Inputs!$I$6+(((A17)+1)/2)*(Inputs!$J$6-Inputs!$I$6)))/Inputs!$K$6)^2)))^2+Inputs!$C$52^2-2*(Inputs!$C$52+((Inputs!$H$6+Inputs!$L$6*(((Inputs!$I$6+(((A17)+1)/2)*(Inputs!$J$6-Inputs!$I$6)))/Inputs!$K$6)^2)))*Inputs!$C$52*COS(SQRT(((Inputs!$I$6+(((A17)+1)/2)*(Inputs!$J$6-Inputs!$I$6)))^2+Inputs!$C$6^2)/Inputs!$C$52)))-((Inputs!$H$6+Inputs!$L$6*(((Inputs!$I$6+(((A17)+1)/2)*(Inputs!$J$6-Inputs!$I$6)))/Inputs!$K$6)^2)))*1000/Inputs!$C$12)</x:f>
        <x:v>2945.459371619116</x:v>
      </x:c>
      <x:c r="AG17" s="48" t="n">
        <x:f>(((SQRT((Inputs!$C$52+((Inputs!$H$7+Inputs!$L$7*(((Inputs!$I$7+(((A17)+1)/2)*(Inputs!$J$7-Inputs!$I$7)))/Inputs!$K$7)^2)))^2+Inputs!$C$52^2-2*(Inputs!$C$52+((Inputs!$H$7+Inputs!$L$7*(((Inputs!$I$7+(((A17)+1)/2)*(Inputs!$J$7-Inputs!$I$7)))/Inputs!$K$7)^2)))*Inputs!$C$52*COS(SQRT(((Inputs!$I$7+(((A17)+1)/2)*(Inputs!$J$7-Inputs!$I$7)))^2+Inputs!$C$6^2)/Inputs!$C$52)))-((Inputs!$H$7+Inputs!$L$7*(((Inputs!$I$7+(((A17)+1)/2)*(Inputs!$J$7-Inputs!$I$7)))/Inputs!$K$7)^2)))*1000/Inputs!$C$12)</x:f>
        <x:v>102090.95330766609</x:v>
      </x:c>
      <x:c r="AH17" s="48" t="n">
        <x:f>(((SQRT((Inputs!$C$52+((Inputs!$H$8+Inputs!$L$8*(((Inputs!$I$8+(((A17)+1)/2)*(Inputs!$J$8-Inputs!$I$8)))/Inputs!$K$8)^2)))^2+Inputs!$C$52^2-2*(Inputs!$C$52+((Inputs!$H$8+Inputs!$L$8*(((Inputs!$I$8+(((A17)+1)/2)*(Inputs!$J$8-Inputs!$I$8)))/Inputs!$K$8)^2)))*Inputs!$C$52*COS(SQRT(((Inputs!$I$8+(((A17)+1)/2)*(Inputs!$J$8-Inputs!$I$8)))^2+Inputs!$C$6^2)/Inputs!$C$52)))-((Inputs!$H$8+Inputs!$L$8*(((Inputs!$I$8+(((A17)+1)/2)*(Inputs!$J$8-Inputs!$I$8)))/Inputs!$K$8)^2)))*1000/Inputs!$C$12)</x:f>
        <x:v>210830.93883993546</x:v>
      </x:c>
      <x:c r="AI17" s="48" t="n">
        <x:f>(((SQRT((Inputs!$C$52+((Inputs!$H$9+Inputs!$L$9*(((Inputs!$I$9+(((A17)+1)/2)*(Inputs!$J$9-Inputs!$I$9)))/Inputs!$K$9)^2)))^2+Inputs!$C$52^2-2*(Inputs!$C$52+((Inputs!$H$9+Inputs!$L$9*(((Inputs!$I$9+(((A17)+1)/2)*(Inputs!$J$9-Inputs!$I$9)))/Inputs!$K$9)^2)))*Inputs!$C$52*COS(SQRT(((Inputs!$I$9+(((A17)+1)/2)*(Inputs!$J$9-Inputs!$I$9)))^2+Inputs!$C$6^2)/Inputs!$C$52)))-((Inputs!$H$9+Inputs!$L$9*(((Inputs!$I$9+(((A17)+1)/2)*(Inputs!$J$9-Inputs!$I$9)))/Inputs!$K$9)^2)))*1000/Inputs!$C$12)</x:f>
        <x:v>211084.32912870904</x:v>
      </x:c>
      <x:c r="AJ17" s="49"/>
      <x:c r="AK17" s="48" t="n">
        <x:f>A17</x:f>
        <x:v>-0.875</x:v>
      </x:c>
      <x:c r="AL17" s="48" t="n">
        <x: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x:f>
        <x:v>443.5608456764333</x:v>
      </x:c>
      <x:c r="AM17" s="48" t="n">
        <x: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x:f>
        <x:v>3166.120827887401</x:v>
      </x:c>
      <x:c r="AN17" s="48" t="n">
        <x: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x:f>
        <x:v>4138.181762629819</x:v>
      </x:c>
      <x:c r="AO17" s="48" t="n">
        <x: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x:f>
        <x:v>4164.943692380019</x:v>
      </x:c>
      <x:c r="AP17" s="49"/>
      <x:c r="AQ17" s="48" t="n">
        <x:f>A17</x:f>
        <x:v>-0.875</x:v>
      </x:c>
      <x:c r="AR17" s="48" t="n">
        <x:f>0</x:f>
        <x:v>0</x:v>
      </x:c>
      <x:c r="AS17" s="48" t="n">
        <x: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(0.45*SIN(2*PI()*((((Inputs!$I$6+(((A17)+1)/2)*(Inputs!$J$6-Inputs!$I$6)))/Inputs!$C$49)+Inputs!$C$47*0.137))+0.35*COS(2*PI()*(((Inputs!$C$6)/Inputs!$C$50)+Inputs!$C$47*0.173))+0.20*SIN(2*PI()*((((Inputs!$I$6+(((A17)+1)/2)*(Inputs!$J$6-Inputs!$I$6)))+(Inputs!$C$6))/(0.5*(Inputs!$C$49+Inputs!$C$50))+Inputs!$C$47*0.097)))+0.30*(2*((SIN((((Inputs!$I$6+(((A17)+1)/2)*(Inputs!$J$6-Inputs!$I$6)))*12.9898+(Inputs!$C$6)*78.233+Inputs!$C$47*37.719))*43758.5453)-INT((SIN((((Inputs!$I$6+(((A17)+1)/2)*(Inputs!$J$6-Inputs!$I$6)))*12.9898+(Inputs!$C$6)*78.233+Inputs!$C$47*37.719))*43758.5453)))-1))),NA())</x:f>
        <x:v>228.48571186718385</x:v>
      </x:c>
      <x:c r="AT17" s="48" t="n">
        <x: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(0.45*SIN(2*PI()*((((Inputs!$I$7+(((A17)+1)/2)*(Inputs!$J$7-Inputs!$I$7)))/Inputs!$C$49)+Inputs!$C$47*0.137))+0.35*COS(2*PI()*(((Inputs!$C$6)/Inputs!$C$50)+Inputs!$C$47*0.173))+0.20*SIN(2*PI()*((((Inputs!$I$7+(((A17)+1)/2)*(Inputs!$J$7-Inputs!$I$7)))+(Inputs!$C$6))/(0.5*(Inputs!$C$49+Inputs!$C$50))+Inputs!$C$47*0.097)))+0.30*(2*((SIN((((Inputs!$I$7+(((A17)+1)/2)*(Inputs!$J$7-Inputs!$I$7)))*12.9898+(Inputs!$C$6)*78.233+Inputs!$C$47*37.719))*43758.5453)-INT((SIN((((Inputs!$I$7+(((A17)+1)/2)*(Inputs!$J$7-Inputs!$I$7)))*12.9898+(Inputs!$C$6)*78.233+Inputs!$C$47*37.719))*43758.5453)))-1))),NA())</x:f>
        <x:v>115.60367392194259</x:v>
      </x:c>
      <x:c r="AU17" s="48" t="n">
        <x: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(0.45*SIN(2*PI()*((((Inputs!$I$8+(((A17)+1)/2)*(Inputs!$J$8-Inputs!$I$8)))/Inputs!$C$49)+Inputs!$C$47*0.137))+0.35*COS(2*PI()*(((Inputs!$C$6)/Inputs!$C$50)+Inputs!$C$47*0.173))+0.20*SIN(2*PI()*((((Inputs!$I$8+(((A17)+1)/2)*(Inputs!$J$8-Inputs!$I$8)))+(Inputs!$C$6))/(0.5*(Inputs!$C$49+Inputs!$C$50))+Inputs!$C$47*0.097)))+0.30*(2*((SIN((((Inputs!$I$8+(((A17)+1)/2)*(Inputs!$J$8-Inputs!$I$8)))*12.9898+(Inputs!$C$6)*78.233+Inputs!$C$47*37.719))*43758.5453)-INT((SIN((((Inputs!$I$8+(((A17)+1)/2)*(Inputs!$J$8-Inputs!$I$8)))*12.9898+(Inputs!$C$6)*78.233+Inputs!$C$47*37.719))*43758.5453)))-1))),NA())</x:f>
        <x:v>170.48684029931871</x:v>
      </x:c>
      <x:c r="AV17" s="48" t="n">
        <x: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(0.45*SIN(2*PI()*((((Inputs!$I$9+(((A17)+1)/2)*(Inputs!$J$9-Inputs!$I$9)))/Inputs!$C$49)+Inputs!$C$47*0.137))+0.35*COS(2*PI()*(((Inputs!$C$6)/Inputs!$C$50)+Inputs!$C$47*0.173))+0.20*SIN(2*PI()*((((Inputs!$I$9+(((A17)+1)/2)*(Inputs!$J$9-Inputs!$I$9)))+(Inputs!$C$6))/(0.5*(Inputs!$C$49+Inputs!$C$50))+Inputs!$C$47*0.097)))+0.30*(2*((SIN((((Inputs!$I$9+(((A17)+1)/2)*(Inputs!$J$9-Inputs!$I$9)))*12.9898+(Inputs!$C$6)*78.233+Inputs!$C$47*37.719))*43758.5453)-INT((SIN((((Inputs!$I$9+(((A17)+1)/2)*(Inputs!$J$9-Inputs!$I$9)))*12.9898+(Inputs!$C$6)*78.233+Inputs!$C$47*37.719))*43758.5453)))-1))),NA())</x:f>
        <x:v>170.48684029931871</x:v>
      </x:c>
      <x:c r="AW17" s="49"/>
      <x:c r="AX17" s="48" t="n">
        <x:f>A17</x:f>
        <x:v>-0.875</x:v>
      </x:c>
      <x:c r="AY17" s="48" t="n">
        <x:f>0</x:f>
        <x:v>0</x:v>
      </x:c>
      <x:c r="AZ17" s="48" t="n">
        <x:f>IF(OR(Inputs!$F$6=TRUE,Inputs!$F$6="TRUE",Inputs!$F$6=1),(Inputs!$H$6+Inputs!$L$6*(((Inputs!$I$6+(((A17)+1)/2)*(Inputs!$J$6-Inputs!$I$6)))/Inputs!$K$6)^2),NA())</x:f>
        <x:v>403.0625</x:v>
      </x:c>
      <x:c r="BA17" s="48" t="n">
        <x:f>IF(OR(Inputs!$F$7=TRUE,Inputs!$F$7="TRUE",Inputs!$F$7=1),(Inputs!$H$7+Inputs!$L$7*(((Inputs!$I$7+(((A17)+1)/2)*(Inputs!$J$7-Inputs!$I$7)))/Inputs!$K$7)^2),NA())</x:f>
        <x:v>314.453125</x:v>
      </x:c>
      <x:c r="BB17" s="48" t="n">
        <x:f>IF(OR(Inputs!$F$8=TRUE,Inputs!$F$8="TRUE",Inputs!$F$8=1),(Inputs!$H$8+Inputs!$L$8*(((Inputs!$I$8+(((A17)+1)/2)*(Inputs!$J$8-Inputs!$I$8)))/Inputs!$K$8)^2),NA())</x:f>
        <x:v>773.828125</x:v>
      </x:c>
      <x:c r="BC17" s="48" t="n">
        <x:f>IF(OR(Inputs!$F$9=TRUE,Inputs!$F$9="TRUE",Inputs!$F$9=1),(Inputs!$H$9+Inputs!$L$9*(((Inputs!$I$9+(((A17)+1)/2)*(Inputs!$J$9-Inputs!$I$9)))/Inputs!$K$9)^2),NA())</x:f>
        <x:v>771.484375</x:v>
      </x:c>
      <x:c r="BD17" s="49"/>
      <x:c r="BE17" s="48" t="n">
        <x:f>A17</x:f>
        <x:v>-0.875</x:v>
      </x:c>
      <x:c r="BF17" s="48" t="n">
        <x:f>0</x:f>
        <x:v>0</x:v>
      </x:c>
      <x:c r="BG17" s="48"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BH17" s="48"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BI17" s="48"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BJ17" s="48"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row>
    <x:row r="18">
      <x:c r="A18" s="48" t="n">
        <x:f>ROUND(-1+16*2/240,3)</x:f>
        <x:v>-0.867</x:v>
      </x:c>
      <x:c r="B18" s="48" t="n">
        <x:f>IF(OR(Inputs!$F$6=TRUE,Inputs!$F$6="TRUE",Inputs!$F$6=1),(Inputs!$H$6+Inputs!$L$6*(((Inputs!$I$6+(((A18)+1)/2)*(Inputs!$J$6-Inputs!$I$6)))/Inputs!$K$6)^2),NA())</x:f>
        <x:v>403.006756</x:v>
      </x:c>
      <x:c r="C18" s="48" t="n">
        <x:f>IF(OR(Inputs!$F$7=TRUE,Inputs!$F$7="TRUE",Inputs!$F$7=1),(Inputs!$H$7+Inputs!$L$7*(((Inputs!$I$7+(((A18)+1)/2)*(Inputs!$J$7-Inputs!$I$7)))/Inputs!$K$7)^2),NA())</x:f>
        <x:v>309.36648499999995</x:v>
      </x:c>
      <x:c r="D18" s="48" t="n">
        <x:f>IF(OR(Inputs!$F$8=TRUE,Inputs!$F$8="TRUE",Inputs!$F$8=1),(Inputs!$H$8+Inputs!$L$8*(((Inputs!$I$8+(((A18)+1)/2)*(Inputs!$J$8-Inputs!$I$8)))/Inputs!$K$8)^2),NA())</x:f>
        <x:v>760.379885</x:v>
      </x:c>
      <x:c r="E18" s="48" t="n">
        <x:f>IF(OR(Inputs!$F$9=TRUE,Inputs!$F$9="TRUE",Inputs!$F$9=1),(Inputs!$H$9+Inputs!$L$9*(((Inputs!$I$9+(((A18)+1)/2)*(Inputs!$J$9-Inputs!$I$9)))/Inputs!$K$9)^2),NA())</x:f>
        <x:v>757.8967749999999</x:v>
      </x:c>
      <x:c r="F18" s="49"/>
      <x:c r="G18" s="48" t="n">
        <x:f>A18</x:f>
        <x:v>-0.867</x:v>
      </x:c>
      <x:c r="H18" s="48"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I18" s="48"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J18" s="48"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K18" s="48"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c r="L18" s="49"/>
      <x:c r="M18" s="48" t="n">
        <x:f>A18</x:f>
        <x:v>-0.867</x:v>
      </x:c>
      <x:c r="N18" s="48" t="n">
        <x: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x:f>
        <x:v>439.6091353933836</x:v>
      </x:c>
      <x:c r="O18" s="48" t="n">
        <x: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x:f>
        <x:v>3144.1823148638846</x:v>
      </x:c>
      <x:c r="P18" s="48" t="n">
        <x: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x:f>
        <x:v>4104.839264486004</x:v>
      </x:c>
      <x:c r="Q18" s="48" t="n">
        <x: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x:f>
        <x:v>4131.138777329213</x:v>
      </x:c>
      <x:c r="R18" s="49"/>
      <x:c r="S18" s="48" t="n">
        <x:f>A18</x:f>
        <x:v>-0.867</x:v>
      </x:c>
      <x:c r="T18" s="48" t="n">
        <x:f>(Inputs!$I$6+(((A18)+1)/2)*(Inputs!$J$6-Inputs!$I$6))</x:f>
        <x:v>-52.019999999999996</x:v>
      </x:c>
      <x:c r="U18" s="48" t="n">
        <x:f>(Inputs!$I$7+(((A18)+1)/2)*(Inputs!$J$7-Inputs!$I$7))</x:f>
        <x:v>-346.8</x:v>
      </x:c>
      <x:c r="V18" s="48" t="n">
        <x:f>(Inputs!$I$8+(((A18)+1)/2)*(Inputs!$J$8-Inputs!$I$8))</x:f>
        <x:v>-693.6</x:v>
      </x:c>
      <x:c r="W18" s="48" t="n">
        <x:f>(Inputs!$I$9+(((A18)+1)/2)*(Inputs!$J$9-Inputs!$I$9))</x:f>
        <x:v>-693.6</x:v>
      </x:c>
      <x:c r="X18" s="49"/>
      <x:c r="Y18" s="48" t="n">
        <x:f>A18</x:f>
        <x:v>-0.867</x:v>
      </x:c>
      <x:c r="Z18" s="48" t="n">
        <x:f>(Inputs!$H$6+Inputs!$L$6*(((Inputs!$I$6+(((A18)+1)/2)*(Inputs!$J$6-Inputs!$I$6)))/Inputs!$K$6)^2)</x:f>
        <x:v>403.006756</x:v>
      </x:c>
      <x:c r="AA18" s="48" t="n">
        <x:f>(Inputs!$H$7+Inputs!$L$7*(((Inputs!$I$7+(((A18)+1)/2)*(Inputs!$J$7-Inputs!$I$7)))/Inputs!$K$7)^2)</x:f>
        <x:v>309.36648499999995</x:v>
      </x:c>
      <x:c r="AB18" s="48" t="n">
        <x:f>(Inputs!$H$8+Inputs!$L$8*(((Inputs!$I$8+(((A18)+1)/2)*(Inputs!$J$8-Inputs!$I$8)))/Inputs!$K$8)^2)</x:f>
        <x:v>760.379885</x:v>
      </x:c>
      <x:c r="AC18" s="48" t="n">
        <x:f>(Inputs!$H$9+Inputs!$L$9*(((Inputs!$I$9+(((A18)+1)/2)*(Inputs!$J$9-Inputs!$I$9)))/Inputs!$K$9)^2)</x:f>
        <x:v>757.8967749999999</x:v>
      </x:c>
      <x:c r="AD18" s="49"/>
      <x:c r="AE18" s="48" t="n">
        <x:f>A18</x:f>
        <x:v>-0.867</x:v>
      </x:c>
      <x:c r="AF18" s="48" t="n">
        <x:f>(((SQRT((Inputs!$C$52+((Inputs!$H$6+Inputs!$L$6*(((Inputs!$I$6+(((A18)+1)/2)*(Inputs!$J$6-Inputs!$I$6)))/Inputs!$K$6)^2)))^2+Inputs!$C$52^2-2*(Inputs!$C$52+((Inputs!$H$6+Inputs!$L$6*(((Inputs!$I$6+(((A18)+1)/2)*(Inputs!$J$6-Inputs!$I$6)))/Inputs!$K$6)^2)))*Inputs!$C$52*COS(SQRT(((Inputs!$I$6+(((A18)+1)/2)*(Inputs!$J$6-Inputs!$I$6)))^2+Inputs!$C$6^2)/Inputs!$C$52)))-((Inputs!$H$6+Inputs!$L$6*(((Inputs!$I$6+(((A18)+1)/2)*(Inputs!$J$6-Inputs!$I$6)))/Inputs!$K$6)^2)))*1000/Inputs!$C$12)</x:f>
        <x:v>2902.351750049444</x:v>
      </x:c>
      <x:c r="AG18" s="48" t="n">
        <x:f>(((SQRT((Inputs!$C$52+((Inputs!$H$7+Inputs!$L$7*(((Inputs!$I$7+(((A18)+1)/2)*(Inputs!$J$7-Inputs!$I$7)))/Inputs!$K$7)^2)))^2+Inputs!$C$52^2-2*(Inputs!$C$52+((Inputs!$H$7+Inputs!$L$7*(((Inputs!$I$7+(((A18)+1)/2)*(Inputs!$J$7-Inputs!$I$7)))/Inputs!$K$7)^2)))*Inputs!$C$52*COS(SQRT(((Inputs!$I$7+(((A18)+1)/2)*(Inputs!$J$7-Inputs!$I$7)))^2+Inputs!$C$6^2)/Inputs!$C$52)))-((Inputs!$H$7+Inputs!$L$7*(((Inputs!$I$7+(((A18)+1)/2)*(Inputs!$J$7-Inputs!$I$7)))/Inputs!$K$7)^2)))*1000/Inputs!$C$12)</x:f>
        <x:v>101403.50909737479</x:v>
      </x:c>
      <x:c r="AH18" s="48" t="n">
        <x:f>(((SQRT((Inputs!$C$52+((Inputs!$H$8+Inputs!$L$8*(((Inputs!$I$8+(((A18)+1)/2)*(Inputs!$J$8-Inputs!$I$8)))/Inputs!$K$8)^2)))^2+Inputs!$C$52^2-2*(Inputs!$C$52+((Inputs!$H$8+Inputs!$L$8*(((Inputs!$I$8+(((A18)+1)/2)*(Inputs!$J$8-Inputs!$I$8)))/Inputs!$K$8)^2)))*Inputs!$C$52*COS(SQRT(((Inputs!$I$8+(((A18)+1)/2)*(Inputs!$J$8-Inputs!$I$8)))^2+Inputs!$C$6^2)/Inputs!$C$52)))-((Inputs!$H$8+Inputs!$L$8*(((Inputs!$I$8+(((A18)+1)/2)*(Inputs!$J$8-Inputs!$I$8)))/Inputs!$K$8)^2)))*1000/Inputs!$C$12)</x:f>
        <x:v>209124.31905376745</x:v>
      </x:c>
      <x:c r="AI18" s="48" t="n">
        <x:f>(((SQRT((Inputs!$C$52+((Inputs!$H$9+Inputs!$L$9*(((Inputs!$I$9+(((A18)+1)/2)*(Inputs!$J$9-Inputs!$I$9)))/Inputs!$K$9)^2)))^2+Inputs!$C$52^2-2*(Inputs!$C$52+((Inputs!$H$9+Inputs!$L$9*(((Inputs!$I$9+(((A18)+1)/2)*(Inputs!$J$9-Inputs!$I$9)))/Inputs!$K$9)^2)))*Inputs!$C$52*COS(SQRT(((Inputs!$I$9+(((A18)+1)/2)*(Inputs!$J$9-Inputs!$I$9)))^2+Inputs!$C$6^2)/Inputs!$C$52)))-((Inputs!$H$9+Inputs!$L$9*(((Inputs!$I$9+(((A18)+1)/2)*(Inputs!$J$9-Inputs!$I$9)))/Inputs!$K$9)^2)))*1000/Inputs!$C$12)</x:f>
        <x:v>209396.38148206475</x:v>
      </x:c>
      <x:c r="AJ18" s="49"/>
      <x:c r="AK18" s="48" t="n">
        <x:f>A18</x:f>
        <x:v>-0.867</x:v>
      </x:c>
      <x:c r="AL18" s="48" t="n">
        <x: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x:f>
        <x:v>439.6091353933836</x:v>
      </x:c>
      <x:c r="AM18" s="48" t="n">
        <x: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x:f>
        <x:v>3144.1823148638846</x:v>
      </x:c>
      <x:c r="AN18" s="48" t="n">
        <x: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x:f>
        <x:v>4104.839264486004</x:v>
      </x:c>
      <x:c r="AO18" s="48" t="n">
        <x: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x:f>
        <x:v>4131.138777329213</x:v>
      </x:c>
      <x:c r="AP18" s="49"/>
      <x:c r="AQ18" s="48" t="n">
        <x:f>A18</x:f>
        <x:v>-0.867</x:v>
      </x:c>
      <x:c r="AR18" s="48" t="n">
        <x:f>0</x:f>
        <x:v>0</x:v>
      </x:c>
      <x:c r="AS18" s="48" t="n">
        <x: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(0.45*SIN(2*PI()*((((Inputs!$I$6+(((A18)+1)/2)*(Inputs!$J$6-Inputs!$I$6)))/Inputs!$C$49)+Inputs!$C$47*0.137))+0.35*COS(2*PI()*(((Inputs!$C$6)/Inputs!$C$50)+Inputs!$C$47*0.173))+0.20*SIN(2*PI()*((((Inputs!$I$6+(((A18)+1)/2)*(Inputs!$J$6-Inputs!$I$6)))+(Inputs!$C$6))/(0.5*(Inputs!$C$49+Inputs!$C$50))+Inputs!$C$47*0.097)))+0.30*(2*((SIN((((Inputs!$I$6+(((A18)+1)/2)*(Inputs!$J$6-Inputs!$I$6)))*12.9898+(Inputs!$C$6)*78.233+Inputs!$C$47*37.719))*43758.5453)-INT((SIN((((Inputs!$I$6+(((A18)+1)/2)*(Inputs!$J$6-Inputs!$I$6)))*12.9898+(Inputs!$C$6)*78.233+Inputs!$C$47*37.719))*43758.5453)))-1))),NA())</x:f>
        <x:v>241.12752156253367</x:v>
      </x:c>
      <x:c r="AT18" s="48" t="n">
        <x: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(0.45*SIN(2*PI()*((((Inputs!$I$7+(((A18)+1)/2)*(Inputs!$J$7-Inputs!$I$7)))/Inputs!$C$49)+Inputs!$C$47*0.137))+0.35*COS(2*PI()*(((Inputs!$C$6)/Inputs!$C$50)+Inputs!$C$47*0.173))+0.20*SIN(2*PI()*((((Inputs!$I$7+(((A18)+1)/2)*(Inputs!$J$7-Inputs!$I$7)))+(Inputs!$C$6))/(0.5*(Inputs!$C$49+Inputs!$C$50))+Inputs!$C$47*0.097)))+0.30*(2*((SIN((((Inputs!$I$7+(((A18)+1)/2)*(Inputs!$J$7-Inputs!$I$7)))*12.9898+(Inputs!$C$6)*78.233+Inputs!$C$47*37.719))*43758.5453)-INT((SIN((((Inputs!$I$7+(((A18)+1)/2)*(Inputs!$J$7-Inputs!$I$7)))*12.9898+(Inputs!$C$6)*78.233+Inputs!$C$47*37.719))*43758.5453)))-1))),NA())</x:f>
        <x:v>88.3507717138881</x:v>
      </x:c>
      <x:c r="AU18" s="48" t="n">
        <x: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(0.45*SIN(2*PI()*((((Inputs!$I$8+(((A18)+1)/2)*(Inputs!$J$8-Inputs!$I$8)))/Inputs!$C$49)+Inputs!$C$47*0.137))+0.35*COS(2*PI()*(((Inputs!$C$6)/Inputs!$C$50)+Inputs!$C$47*0.173))+0.20*SIN(2*PI()*((((Inputs!$I$8+(((A18)+1)/2)*(Inputs!$J$8-Inputs!$I$8)))+(Inputs!$C$6))/(0.5*(Inputs!$C$49+Inputs!$C$50))+Inputs!$C$47*0.097)))+0.30*(2*((SIN((((Inputs!$I$8+(((A18)+1)/2)*(Inputs!$J$8-Inputs!$I$8)))*12.9898+(Inputs!$C$6)*78.233+Inputs!$C$47*37.719))*43758.5453)-INT((SIN((((Inputs!$I$8+(((A18)+1)/2)*(Inputs!$J$8-Inputs!$I$8)))*12.9898+(Inputs!$C$6)*78.233+Inputs!$C$47*37.719))*43758.5453)))-1))),NA())</x:f>
        <x:v>189.11252638529652</x:v>
      </x:c>
      <x:c r="AV18" s="48" t="n">
        <x: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(0.45*SIN(2*PI()*((((Inputs!$I$9+(((A18)+1)/2)*(Inputs!$J$9-Inputs!$I$9)))/Inputs!$C$49)+Inputs!$C$47*0.137))+0.35*COS(2*PI()*(((Inputs!$C$6)/Inputs!$C$50)+Inputs!$C$47*0.173))+0.20*SIN(2*PI()*((((Inputs!$I$9+(((A18)+1)/2)*(Inputs!$J$9-Inputs!$I$9)))+(Inputs!$C$6))/(0.5*(Inputs!$C$49+Inputs!$C$50))+Inputs!$C$47*0.097)))+0.30*(2*((SIN((((Inputs!$I$9+(((A18)+1)/2)*(Inputs!$J$9-Inputs!$I$9)))*12.9898+(Inputs!$C$6)*78.233+Inputs!$C$47*37.719))*43758.5453)-INT((SIN((((Inputs!$I$9+(((A18)+1)/2)*(Inputs!$J$9-Inputs!$I$9)))*12.9898+(Inputs!$C$6)*78.233+Inputs!$C$47*37.719))*43758.5453)))-1))),NA())</x:f>
        <x:v>189.11252638529652</x:v>
      </x:c>
      <x:c r="AW18" s="49"/>
      <x:c r="AX18" s="48" t="n">
        <x:f>A18</x:f>
        <x:v>-0.867</x:v>
      </x:c>
      <x:c r="AY18" s="48" t="n">
        <x:f>0</x:f>
        <x:v>0</x:v>
      </x:c>
      <x:c r="AZ18" s="48" t="n">
        <x:f>IF(OR(Inputs!$F$6=TRUE,Inputs!$F$6="TRUE",Inputs!$F$6=1),(Inputs!$H$6+Inputs!$L$6*(((Inputs!$I$6+(((A18)+1)/2)*(Inputs!$J$6-Inputs!$I$6)))/Inputs!$K$6)^2),NA())</x:f>
        <x:v>403.006756</x:v>
      </x:c>
      <x:c r="BA18" s="48" t="n">
        <x:f>IF(OR(Inputs!$F$7=TRUE,Inputs!$F$7="TRUE",Inputs!$F$7=1),(Inputs!$H$7+Inputs!$L$7*(((Inputs!$I$7+(((A18)+1)/2)*(Inputs!$J$7-Inputs!$I$7)))/Inputs!$K$7)^2),NA())</x:f>
        <x:v>309.36648499999995</x:v>
      </x:c>
      <x:c r="BB18" s="48" t="n">
        <x:f>IF(OR(Inputs!$F$8=TRUE,Inputs!$F$8="TRUE",Inputs!$F$8=1),(Inputs!$H$8+Inputs!$L$8*(((Inputs!$I$8+(((A18)+1)/2)*(Inputs!$J$8-Inputs!$I$8)))/Inputs!$K$8)^2),NA())</x:f>
        <x:v>760.379885</x:v>
      </x:c>
      <x:c r="BC18" s="48" t="n">
        <x:f>IF(OR(Inputs!$F$9=TRUE,Inputs!$F$9="TRUE",Inputs!$F$9=1),(Inputs!$H$9+Inputs!$L$9*(((Inputs!$I$9+(((A18)+1)/2)*(Inputs!$J$9-Inputs!$I$9)))/Inputs!$K$9)^2),NA())</x:f>
        <x:v>757.8967749999999</x:v>
      </x:c>
      <x:c r="BD18" s="49"/>
      <x:c r="BE18" s="48" t="n">
        <x:f>A18</x:f>
        <x:v>-0.867</x:v>
      </x:c>
      <x:c r="BF18" s="48" t="n">
        <x:f>0</x:f>
        <x:v>0</x:v>
      </x:c>
      <x:c r="BG18" s="48"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BH18" s="48"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BI18" s="48"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BJ18" s="48"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row>
    <x:row r="19">
      <x:c r="A19" s="48" t="n">
        <x:f>ROUND(-1+17*2/240,3)</x:f>
        <x:v>-0.858</x:v>
      </x:c>
      <x:c r="B19" s="48" t="n">
        <x:f>IF(OR(Inputs!$F$6=TRUE,Inputs!$F$6="TRUE",Inputs!$F$6=1),(Inputs!$H$6+Inputs!$L$6*(((Inputs!$I$6+(((A19)+1)/2)*(Inputs!$J$6-Inputs!$I$6)))/Inputs!$K$6)^2),NA())</x:f>
        <x:v>402.944656</x:v>
      </x:c>
      <x:c r="C19" s="48" t="n">
        <x:f>IF(OR(Inputs!$F$7=TRUE,Inputs!$F$7="TRUE",Inputs!$F$7=1),(Inputs!$H$7+Inputs!$L$7*(((Inputs!$I$7+(((A19)+1)/2)*(Inputs!$J$7-Inputs!$I$7)))/Inputs!$K$7)^2),NA())</x:f>
        <x:v>303.69986</x:v>
      </x:c>
      <x:c r="D19" s="48" t="n">
        <x:f>IF(OR(Inputs!$F$8=TRUE,Inputs!$F$8="TRUE",Inputs!$F$8=1),(Inputs!$H$8+Inputs!$L$8*(((Inputs!$I$8+(((A19)+1)/2)*(Inputs!$J$8-Inputs!$I$8)))/Inputs!$K$8)^2),NA())</x:f>
        <x:v>745.3982599999999</x:v>
      </x:c>
      <x:c r="E19" s="48" t="n">
        <x:f>IF(OR(Inputs!$F$9=TRUE,Inputs!$F$9="TRUE",Inputs!$F$9=1),(Inputs!$H$9+Inputs!$L$9*(((Inputs!$I$9+(((A19)+1)/2)*(Inputs!$J$9-Inputs!$I$9)))/Inputs!$K$9)^2),NA())</x:f>
        <x:v>742.7598999999999</x:v>
      </x:c>
      <x:c r="F19" s="49"/>
      <x:c r="G19" s="48" t="n">
        <x:f>A19</x:f>
        <x:v>-0.858</x:v>
      </x:c>
      <x:c r="H19" s="48"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I19" s="48"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J19" s="48"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K19" s="48"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c r="L19" s="49"/>
      <x:c r="M19" s="48" t="n">
        <x:f>A19</x:f>
        <x:v>-0.858</x:v>
      </x:c>
      <x:c r="N19" s="48" t="n">
        <x: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x:f>
        <x:v>435.1601646990822</x:v>
      </x:c>
      <x:c r="O19" s="48" t="n">
        <x: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x:f>
        <x:v>3119.5916343745644</x:v>
      </x:c>
      <x:c r="P19" s="48" t="n">
        <x: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x:f>
        <x:v>4067.397696159519</x:v>
      </x:c>
      <x:c r="Q19" s="48" t="n">
        <x: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x:f>
        <x:v>4093.174446684205</x:v>
      </x:c>
      <x:c r="R19" s="49"/>
      <x:c r="S19" s="48" t="n">
        <x:f>A19</x:f>
        <x:v>-0.858</x:v>
      </x:c>
      <x:c r="T19" s="48" t="n">
        <x:f>(Inputs!$I$6+(((A19)+1)/2)*(Inputs!$J$6-Inputs!$I$6))</x:f>
        <x:v>-51.48</x:v>
      </x:c>
      <x:c r="U19" s="48" t="n">
        <x:f>(Inputs!$I$7+(((A19)+1)/2)*(Inputs!$J$7-Inputs!$I$7))</x:f>
        <x:v>-343.2</x:v>
      </x:c>
      <x:c r="V19" s="48" t="n">
        <x:f>(Inputs!$I$8+(((A19)+1)/2)*(Inputs!$J$8-Inputs!$I$8))</x:f>
        <x:v>-686.4</x:v>
      </x:c>
      <x:c r="W19" s="48" t="n">
        <x:f>(Inputs!$I$9+(((A19)+1)/2)*(Inputs!$J$9-Inputs!$I$9))</x:f>
        <x:v>-686.4</x:v>
      </x:c>
      <x:c r="X19" s="49"/>
      <x:c r="Y19" s="48" t="n">
        <x:f>A19</x:f>
        <x:v>-0.858</x:v>
      </x:c>
      <x:c r="Z19" s="48" t="n">
        <x:f>(Inputs!$H$6+Inputs!$L$6*(((Inputs!$I$6+(((A19)+1)/2)*(Inputs!$J$6-Inputs!$I$6)))/Inputs!$K$6)^2)</x:f>
        <x:v>402.944656</x:v>
      </x:c>
      <x:c r="AA19" s="48" t="n">
        <x:f>(Inputs!$H$7+Inputs!$L$7*(((Inputs!$I$7+(((A19)+1)/2)*(Inputs!$J$7-Inputs!$I$7)))/Inputs!$K$7)^2)</x:f>
        <x:v>303.69986</x:v>
      </x:c>
      <x:c r="AB19" s="48" t="n">
        <x:f>(Inputs!$H$8+Inputs!$L$8*(((Inputs!$I$8+(((A19)+1)/2)*(Inputs!$J$8-Inputs!$I$8)))/Inputs!$K$8)^2)</x:f>
        <x:v>745.3982599999999</x:v>
      </x:c>
      <x:c r="AC19" s="48" t="n">
        <x:f>(Inputs!$H$9+Inputs!$L$9*(((Inputs!$I$9+(((A19)+1)/2)*(Inputs!$J$9-Inputs!$I$9)))/Inputs!$K$9)^2)</x:f>
        <x:v>742.7598999999999</x:v>
      </x:c>
      <x:c r="AD19" s="49"/>
      <x:c r="AE19" s="48" t="n">
        <x:f>A19</x:f>
        <x:v>-0.858</x:v>
      </x:c>
      <x:c r="AF19" s="48" t="n">
        <x:f>(((SQRT((Inputs!$C$52+((Inputs!$H$6+Inputs!$L$6*(((Inputs!$I$6+(((A19)+1)/2)*(Inputs!$J$6-Inputs!$I$6)))/Inputs!$K$6)^2)))^2+Inputs!$C$52^2-2*(Inputs!$C$52+((Inputs!$H$6+Inputs!$L$6*(((Inputs!$I$6+(((A19)+1)/2)*(Inputs!$J$6-Inputs!$I$6)))/Inputs!$K$6)^2)))*Inputs!$C$52*COS(SQRT(((Inputs!$I$6+(((A19)+1)/2)*(Inputs!$J$6-Inputs!$I$6)))^2+Inputs!$C$6^2)/Inputs!$C$52)))-((Inputs!$H$6+Inputs!$L$6*(((Inputs!$I$6+(((A19)+1)/2)*(Inputs!$J$6-Inputs!$I$6)))/Inputs!$K$6)^2)))*1000/Inputs!$C$12)</x:f>
        <x:v>2854.3082572559856</x:v>
      </x:c>
      <x:c r="AG19" s="48" t="n">
        <x:f>(((SQRT((Inputs!$C$52+((Inputs!$H$7+Inputs!$L$7*(((Inputs!$I$7+(((A19)+1)/2)*(Inputs!$J$7-Inputs!$I$7)))/Inputs!$K$7)^2)))^2+Inputs!$C$52^2-2*(Inputs!$C$52+((Inputs!$H$7+Inputs!$L$7*(((Inputs!$I$7+(((A19)+1)/2)*(Inputs!$J$7-Inputs!$I$7)))/Inputs!$K$7)^2)))*Inputs!$C$52*COS(SQRT(((Inputs!$I$7+(((A19)+1)/2)*(Inputs!$J$7-Inputs!$I$7)))^2+Inputs!$C$6^2)/Inputs!$C$52)))-((Inputs!$H$7+Inputs!$L$7*(((Inputs!$I$7+(((A19)+1)/2)*(Inputs!$J$7-Inputs!$I$7)))/Inputs!$K$7)^2)))*1000/Inputs!$C$12)</x:f>
        <x:v>100628.17054128625</x:v>
      </x:c>
      <x:c r="AH19" s="48" t="n">
        <x:f>(((SQRT((Inputs!$C$52+((Inputs!$H$8+Inputs!$L$8*(((Inputs!$I$8+(((A19)+1)/2)*(Inputs!$J$8-Inputs!$I$8)))/Inputs!$K$8)^2)))^2+Inputs!$C$52^2-2*(Inputs!$C$52+((Inputs!$H$8+Inputs!$L$8*(((Inputs!$I$8+(((A19)+1)/2)*(Inputs!$J$8-Inputs!$I$8)))/Inputs!$K$8)^2)))*Inputs!$C$52*COS(SQRT(((Inputs!$I$8+(((A19)+1)/2)*(Inputs!$J$8-Inputs!$I$8)))^2+Inputs!$C$6^2)/Inputs!$C$52)))-((Inputs!$H$8+Inputs!$L$8*(((Inputs!$I$8+(((A19)+1)/2)*(Inputs!$J$8-Inputs!$I$8)))/Inputs!$K$8)^2)))*1000/Inputs!$C$12)</x:f>
        <x:v>207210.9030961045</x:v>
      </x:c>
      <x:c r="AI19" s="48" t="n">
        <x:f>(((SQRT((Inputs!$C$52+((Inputs!$H$9+Inputs!$L$9*(((Inputs!$I$9+(((A19)+1)/2)*(Inputs!$J$9-Inputs!$I$9)))/Inputs!$K$9)^2)))^2+Inputs!$C$52^2-2*(Inputs!$C$52+((Inputs!$H$9+Inputs!$L$9*(((Inputs!$I$9+(((A19)+1)/2)*(Inputs!$J$9-Inputs!$I$9)))/Inputs!$K$9)^2)))*Inputs!$C$52*COS(SQRT(((Inputs!$I$9+(((A19)+1)/2)*(Inputs!$J$9-Inputs!$I$9)))^2+Inputs!$C$6^2)/Inputs!$C$52)))-((Inputs!$H$9+Inputs!$L$9*(((Inputs!$I$9+(((A19)+1)/2)*(Inputs!$J$9-Inputs!$I$9)))/Inputs!$K$9)^2)))*1000/Inputs!$C$12)</x:f>
        <x:v>207504.35731870699</x:v>
      </x:c>
      <x:c r="AJ19" s="49"/>
      <x:c r="AK19" s="48" t="n">
        <x:f>A19</x:f>
        <x:v>-0.858</x:v>
      </x:c>
      <x:c r="AL19" s="48" t="n">
        <x: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x:f>
        <x:v>435.1601646990822</x:v>
      </x:c>
      <x:c r="AM19" s="48" t="n">
        <x: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x:f>
        <x:v>3119.5916343745644</x:v>
      </x:c>
      <x:c r="AN19" s="48" t="n">
        <x: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x:f>
        <x:v>4067.397696159519</x:v>
      </x:c>
      <x:c r="AO19" s="48" t="n">
        <x: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x:f>
        <x:v>4093.174446684205</x:v>
      </x:c>
      <x:c r="AP19" s="49"/>
      <x:c r="AQ19" s="48" t="n">
        <x:f>A19</x:f>
        <x:v>-0.858</x:v>
      </x:c>
      <x:c r="AR19" s="48" t="n">
        <x:f>0</x:f>
        <x:v>0</x:v>
      </x:c>
      <x:c r="AS19" s="48" t="n">
        <x: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(0.45*SIN(2*PI()*((((Inputs!$I$6+(((A19)+1)/2)*(Inputs!$J$6-Inputs!$I$6)))/Inputs!$C$49)+Inputs!$C$47*0.137))+0.35*COS(2*PI()*(((Inputs!$C$6)/Inputs!$C$50)+Inputs!$C$47*0.173))+0.20*SIN(2*PI()*((((Inputs!$I$6+(((A19)+1)/2)*(Inputs!$J$6-Inputs!$I$6)))+(Inputs!$C$6))/(0.5*(Inputs!$C$49+Inputs!$C$50))+Inputs!$C$47*0.097)))+0.30*(2*((SIN((((Inputs!$I$6+(((A19)+1)/2)*(Inputs!$J$6-Inputs!$I$6)))*12.9898+(Inputs!$C$6)*78.233+Inputs!$C$47*37.719))*43758.5453)-INT((SIN((((Inputs!$I$6+(((A19)+1)/2)*(Inputs!$J$6-Inputs!$I$6)))*12.9898+(Inputs!$C$6)*78.233+Inputs!$C$47*37.719))*43758.5453)))-1))),NA())</x:f>
        <x:v>254.77868261554545</x:v>
      </x:c>
      <x:c r="AT19" s="48" t="n">
        <x: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(0.45*SIN(2*PI()*((((Inputs!$I$7+(((A19)+1)/2)*(Inputs!$J$7-Inputs!$I$7)))/Inputs!$C$49)+Inputs!$C$47*0.137))+0.35*COS(2*PI()*(((Inputs!$C$6)/Inputs!$C$50)+Inputs!$C$47*0.173))+0.20*SIN(2*PI()*((((Inputs!$I$7+(((A19)+1)/2)*(Inputs!$J$7-Inputs!$I$7)))+(Inputs!$C$6))/(0.5*(Inputs!$C$49+Inputs!$C$50))+Inputs!$C$47*0.097)))+0.30*(2*((SIN((((Inputs!$I$7+(((A19)+1)/2)*(Inputs!$J$7-Inputs!$I$7)))*12.9898+(Inputs!$C$6)*78.233+Inputs!$C$47*37.719))*43758.5453)-INT((SIN((((Inputs!$I$7+(((A19)+1)/2)*(Inputs!$J$7-Inputs!$I$7)))*12.9898+(Inputs!$C$6)*78.233+Inputs!$C$47*37.719))*43758.5453)))-1))),NA())</x:f>
        <x:v>137.0803135521305</x:v>
      </x:c>
      <x:c r="AU19" s="48" t="n">
        <x: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(0.45*SIN(2*PI()*((((Inputs!$I$8+(((A19)+1)/2)*(Inputs!$J$8-Inputs!$I$8)))/Inputs!$C$49)+Inputs!$C$47*0.137))+0.35*COS(2*PI()*(((Inputs!$C$6)/Inputs!$C$50)+Inputs!$C$47*0.173))+0.20*SIN(2*PI()*((((Inputs!$I$8+(((A19)+1)/2)*(Inputs!$J$8-Inputs!$I$8)))+(Inputs!$C$6))/(0.5*(Inputs!$C$49+Inputs!$C$50))+Inputs!$C$47*0.097)))+0.30*(2*((SIN((((Inputs!$I$8+(((A19)+1)/2)*(Inputs!$J$8-Inputs!$I$8)))*12.9898+(Inputs!$C$6)*78.233+Inputs!$C$47*37.719))*43758.5453)-INT((SIN((((Inputs!$I$8+(((A19)+1)/2)*(Inputs!$J$8-Inputs!$I$8)))*12.9898+(Inputs!$C$6)*78.233+Inputs!$C$47*37.719))*43758.5453)))-1))),NA())</x:f>
        <x:v>84.84501726244247</x:v>
      </x:c>
      <x:c r="AV19" s="48" t="n">
        <x: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(0.45*SIN(2*PI()*((((Inputs!$I$9+(((A19)+1)/2)*(Inputs!$J$9-Inputs!$I$9)))/Inputs!$C$49)+Inputs!$C$47*0.137))+0.35*COS(2*PI()*(((Inputs!$C$6)/Inputs!$C$50)+Inputs!$C$47*0.173))+0.20*SIN(2*PI()*((((Inputs!$I$9+(((A19)+1)/2)*(Inputs!$J$9-Inputs!$I$9)))+(Inputs!$C$6))/(0.5*(Inputs!$C$49+Inputs!$C$50))+Inputs!$C$47*0.097)))+0.30*(2*((SIN((((Inputs!$I$9+(((A19)+1)/2)*(Inputs!$J$9-Inputs!$I$9)))*12.9898+(Inputs!$C$6)*78.233+Inputs!$C$47*37.719))*43758.5453)-INT((SIN((((Inputs!$I$9+(((A19)+1)/2)*(Inputs!$J$9-Inputs!$I$9)))*12.9898+(Inputs!$C$6)*78.233+Inputs!$C$47*37.719))*43758.5453)))-1))),NA())</x:f>
        <x:v>84.84501726244247</x:v>
      </x:c>
      <x:c r="AW19" s="49"/>
      <x:c r="AX19" s="48" t="n">
        <x:f>A19</x:f>
        <x:v>-0.858</x:v>
      </x:c>
      <x:c r="AY19" s="48" t="n">
        <x:f>0</x:f>
        <x:v>0</x:v>
      </x:c>
      <x:c r="AZ19" s="48" t="n">
        <x:f>IF(OR(Inputs!$F$6=TRUE,Inputs!$F$6="TRUE",Inputs!$F$6=1),(Inputs!$H$6+Inputs!$L$6*(((Inputs!$I$6+(((A19)+1)/2)*(Inputs!$J$6-Inputs!$I$6)))/Inputs!$K$6)^2),NA())</x:f>
        <x:v>402.944656</x:v>
      </x:c>
      <x:c r="BA19" s="48" t="n">
        <x:f>IF(OR(Inputs!$F$7=TRUE,Inputs!$F$7="TRUE",Inputs!$F$7=1),(Inputs!$H$7+Inputs!$L$7*(((Inputs!$I$7+(((A19)+1)/2)*(Inputs!$J$7-Inputs!$I$7)))/Inputs!$K$7)^2),NA())</x:f>
        <x:v>303.69986</x:v>
      </x:c>
      <x:c r="BB19" s="48" t="n">
        <x:f>IF(OR(Inputs!$F$8=TRUE,Inputs!$F$8="TRUE",Inputs!$F$8=1),(Inputs!$H$8+Inputs!$L$8*(((Inputs!$I$8+(((A19)+1)/2)*(Inputs!$J$8-Inputs!$I$8)))/Inputs!$K$8)^2),NA())</x:f>
        <x:v>745.3982599999999</x:v>
      </x:c>
      <x:c r="BC19" s="48" t="n">
        <x:f>IF(OR(Inputs!$F$9=TRUE,Inputs!$F$9="TRUE",Inputs!$F$9=1),(Inputs!$H$9+Inputs!$L$9*(((Inputs!$I$9+(((A19)+1)/2)*(Inputs!$J$9-Inputs!$I$9)))/Inputs!$K$9)^2),NA())</x:f>
        <x:v>742.7598999999999</x:v>
      </x:c>
      <x:c r="BD19" s="49"/>
      <x:c r="BE19" s="48" t="n">
        <x:f>A19</x:f>
        <x:v>-0.858</x:v>
      </x:c>
      <x:c r="BF19" s="48" t="n">
        <x:f>0</x:f>
        <x:v>0</x:v>
      </x:c>
      <x:c r="BG19" s="48"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BH19" s="48"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BI19" s="48"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BJ19" s="48"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row>
    <x:row r="20">
      <x:c r="A20" s="48" t="n">
        <x:f>ROUND(-1+18*2/240,3)</x:f>
        <x:v>-0.85</x:v>
      </x:c>
      <x:c r="B20" s="48" t="n">
        <x:f>IF(OR(Inputs!$F$6=TRUE,Inputs!$F$6="TRUE",Inputs!$F$6=1),(Inputs!$H$6+Inputs!$L$6*(((Inputs!$I$6+(((A20)+1)/2)*(Inputs!$J$6-Inputs!$I$6)))/Inputs!$K$6)^2),NA())</x:f>
        <x:v>402.89</x:v>
      </x:c>
      <x:c r="C20" s="48" t="n">
        <x:f>IF(OR(Inputs!$F$7=TRUE,Inputs!$F$7="TRUE",Inputs!$F$7=1),(Inputs!$H$7+Inputs!$L$7*(((Inputs!$I$7+(((A20)+1)/2)*(Inputs!$J$7-Inputs!$I$7)))/Inputs!$K$7)^2),NA())</x:f>
        <x:v>298.7125</x:v>
      </x:c>
      <x:c r="D20" s="48" t="n">
        <x:f>IF(OR(Inputs!$F$8=TRUE,Inputs!$F$8="TRUE",Inputs!$F$8=1),(Inputs!$H$8+Inputs!$L$8*(((Inputs!$I$8+(((A20)+1)/2)*(Inputs!$J$8-Inputs!$I$8)))/Inputs!$K$8)^2),NA())</x:f>
        <x:v>732.2125</x:v>
      </x:c>
      <x:c r="E20" s="48" t="n">
        <x:f>IF(OR(Inputs!$F$9=TRUE,Inputs!$F$9="TRUE",Inputs!$F$9=1),(Inputs!$H$9+Inputs!$L$9*(((Inputs!$I$9+(((A20)+1)/2)*(Inputs!$J$9-Inputs!$I$9)))/Inputs!$K$9)^2),NA())</x:f>
        <x:v>729.4374999999999</x:v>
      </x:c>
      <x:c r="F20" s="49"/>
      <x:c r="G20" s="48" t="n">
        <x:f>A20</x:f>
        <x:v>-0.85</x:v>
      </x:c>
      <x:c r="H20" s="48"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I20" s="48"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J20" s="48"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K20" s="48"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c r="L20" s="49"/>
      <x:c r="M20" s="48" t="n">
        <x:f>A20</x:f>
        <x:v>-0.85</x:v>
      </x:c>
      <x:c r="N20" s="48" t="n">
        <x: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x:f>
        <x:v>431.20261705416385</x:v>
      </x:c>
      <x:c r="O20" s="48" t="n">
        <x: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x:f>
        <x:v>3097.814878145157</x:v>
      </x:c>
      <x:c r="P20" s="48" t="n">
        <x: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x:f>
        <x:v>4034.179496448994</x:v>
      </x:c>
      <x:c r="Q20" s="48" t="n">
        <x: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x:f>
        <x:v>4059.4892925419713</x:v>
      </x:c>
      <x:c r="R20" s="49"/>
      <x:c r="S20" s="48" t="n">
        <x:f>A20</x:f>
        <x:v>-0.85</x:v>
      </x:c>
      <x:c r="T20" s="48" t="n">
        <x:f>(Inputs!$I$6+(((A20)+1)/2)*(Inputs!$J$6-Inputs!$I$6))</x:f>
        <x:v>-51</x:v>
      </x:c>
      <x:c r="U20" s="48" t="n">
        <x:f>(Inputs!$I$7+(((A20)+1)/2)*(Inputs!$J$7-Inputs!$I$7))</x:f>
        <x:v>-340</x:v>
      </x:c>
      <x:c r="V20" s="48" t="n">
        <x:f>(Inputs!$I$8+(((A20)+1)/2)*(Inputs!$J$8-Inputs!$I$8))</x:f>
        <x:v>-680</x:v>
      </x:c>
      <x:c r="W20" s="48" t="n">
        <x:f>(Inputs!$I$9+(((A20)+1)/2)*(Inputs!$J$9-Inputs!$I$9))</x:f>
        <x:v>-680</x:v>
      </x:c>
      <x:c r="X20" s="49"/>
      <x:c r="Y20" s="48" t="n">
        <x:f>A20</x:f>
        <x:v>-0.85</x:v>
      </x:c>
      <x:c r="Z20" s="48" t="n">
        <x:f>(Inputs!$H$6+Inputs!$L$6*(((Inputs!$I$6+(((A20)+1)/2)*(Inputs!$J$6-Inputs!$I$6)))/Inputs!$K$6)^2)</x:f>
        <x:v>402.89</x:v>
      </x:c>
      <x:c r="AA20" s="48" t="n">
        <x:f>(Inputs!$H$7+Inputs!$L$7*(((Inputs!$I$7+(((A20)+1)/2)*(Inputs!$J$7-Inputs!$I$7)))/Inputs!$K$7)^2)</x:f>
        <x:v>298.7125</x:v>
      </x:c>
      <x:c r="AB20" s="48" t="n">
        <x:f>(Inputs!$H$8+Inputs!$L$8*(((Inputs!$I$8+(((A20)+1)/2)*(Inputs!$J$8-Inputs!$I$8)))/Inputs!$K$8)^2)</x:f>
        <x:v>732.2125</x:v>
      </x:c>
      <x:c r="AC20" s="48" t="n">
        <x:f>(Inputs!$H$9+Inputs!$L$9*(((Inputs!$I$9+(((A20)+1)/2)*(Inputs!$J$9-Inputs!$I$9)))/Inputs!$K$9)^2)</x:f>
        <x:v>729.4374999999999</x:v>
      </x:c>
      <x:c r="AD20" s="49"/>
      <x:c r="AE20" s="48" t="n">
        <x:f>A20</x:f>
        <x:v>-0.85</x:v>
      </x:c>
      <x:c r="AF20" s="48" t="n">
        <x:f>(((SQRT((Inputs!$C$52+((Inputs!$H$6+Inputs!$L$6*(((Inputs!$I$6+(((A20)+1)/2)*(Inputs!$J$6-Inputs!$I$6)))/Inputs!$K$6)^2)))^2+Inputs!$C$52^2-2*(Inputs!$C$52+((Inputs!$H$6+Inputs!$L$6*(((Inputs!$I$6+(((A20)+1)/2)*(Inputs!$J$6-Inputs!$I$6)))/Inputs!$K$6)^2)))*Inputs!$C$52*COS(SQRT(((Inputs!$I$6+(((A20)+1)/2)*(Inputs!$J$6-Inputs!$I$6)))^2+Inputs!$C$6^2)/Inputs!$C$52)))-((Inputs!$H$6+Inputs!$L$6*(((Inputs!$I$6+(((A20)+1)/2)*(Inputs!$J$6-Inputs!$I$6)))/Inputs!$K$6)^2)))*1000/Inputs!$C$12)</x:f>
        <x:v>2812.005737381264</x:v>
      </x:c>
      <x:c r="AG20" s="48" t="n">
        <x:f>(((SQRT((Inputs!$C$52+((Inputs!$H$7+Inputs!$L$7*(((Inputs!$I$7+(((A20)+1)/2)*(Inputs!$J$7-Inputs!$I$7)))/Inputs!$K$7)^2)))^2+Inputs!$C$52^2-2*(Inputs!$C$52+((Inputs!$H$7+Inputs!$L$7*(((Inputs!$I$7+(((A20)+1)/2)*(Inputs!$J$7-Inputs!$I$7)))/Inputs!$K$7)^2)))*Inputs!$C$52*COS(SQRT(((Inputs!$I$7+(((A20)+1)/2)*(Inputs!$J$7-Inputs!$I$7)))^2+Inputs!$C$6^2)/Inputs!$C$52)))-((Inputs!$H$7+Inputs!$L$7*(((Inputs!$I$7+(((A20)+1)/2)*(Inputs!$J$7-Inputs!$I$7)))/Inputs!$K$7)^2)))*1000/Inputs!$C$12)</x:f>
        <x:v>99937.1404371543</x:v>
      </x:c>
      <x:c r="AH20" s="48" t="n">
        <x:f>(((SQRT((Inputs!$C$52+((Inputs!$H$8+Inputs!$L$8*(((Inputs!$I$8+(((A20)+1)/2)*(Inputs!$J$8-Inputs!$I$8)))/Inputs!$K$8)^2)))^2+Inputs!$C$52^2-2*(Inputs!$C$52+((Inputs!$H$8+Inputs!$L$8*(((Inputs!$I$8+(((A20)+1)/2)*(Inputs!$J$8-Inputs!$I$8)))/Inputs!$K$8)^2)))*Inputs!$C$52*COS(SQRT(((Inputs!$I$8+(((A20)+1)/2)*(Inputs!$J$8-Inputs!$I$8)))^2+Inputs!$C$6^2)/Inputs!$C$52)))-((Inputs!$H$8+Inputs!$L$8*(((Inputs!$I$8+(((A20)+1)/2)*(Inputs!$J$8-Inputs!$I$8)))/Inputs!$K$8)^2)))*1000/Inputs!$C$12)</x:f>
        <x:v>205515.74904412893</x:v>
      </x:c>
      <x:c r="AI20" s="48" t="n">
        <x:f>(((SQRT((Inputs!$C$52+((Inputs!$H$9+Inputs!$L$9*(((Inputs!$I$9+(((A20)+1)/2)*(Inputs!$J$9-Inputs!$I$9)))/Inputs!$K$9)^2)))^2+Inputs!$C$52^2-2*(Inputs!$C$52+((Inputs!$H$9+Inputs!$L$9*(((Inputs!$I$9+(((A20)+1)/2)*(Inputs!$J$9-Inputs!$I$9)))/Inputs!$K$9)^2)))*Inputs!$C$52*COS(SQRT(((Inputs!$I$9+(((A20)+1)/2)*(Inputs!$J$9-Inputs!$I$9)))^2+Inputs!$C$6^2)/Inputs!$C$52)))-((Inputs!$H$9+Inputs!$L$9*(((Inputs!$I$9+(((A20)+1)/2)*(Inputs!$J$9-Inputs!$I$9)))/Inputs!$K$9)^2)))*1000/Inputs!$C$12)</x:f>
        <x:v>205828.56629482246</x:v>
      </x:c>
      <x:c r="AJ20" s="49"/>
      <x:c r="AK20" s="48" t="n">
        <x:f>A20</x:f>
        <x:v>-0.85</x:v>
      </x:c>
      <x:c r="AL20" s="48" t="n">
        <x: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x:f>
        <x:v>431.20261705416385</x:v>
      </x:c>
      <x:c r="AM20" s="48" t="n">
        <x: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x:f>
        <x:v>3097.814878145157</x:v>
      </x:c>
      <x:c r="AN20" s="48" t="n">
        <x: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x:f>
        <x:v>4034.179496448994</x:v>
      </x:c>
      <x:c r="AO20" s="48" t="n">
        <x: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x:f>
        <x:v>4059.4892925419713</x:v>
      </x:c>
      <x:c r="AP20" s="49"/>
      <x:c r="AQ20" s="48" t="n">
        <x:f>A20</x:f>
        <x:v>-0.85</x:v>
      </x:c>
      <x:c r="AR20" s="48" t="n">
        <x:f>0</x:f>
        <x:v>0</x:v>
      </x:c>
      <x:c r="AS20" s="48" t="n">
        <x: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(0.45*SIN(2*PI()*((((Inputs!$I$6+(((A20)+1)/2)*(Inputs!$J$6-Inputs!$I$6)))/Inputs!$C$49)+Inputs!$C$47*0.137))+0.35*COS(2*PI()*(((Inputs!$C$6)/Inputs!$C$50)+Inputs!$C$47*0.173))+0.20*SIN(2*PI()*((((Inputs!$I$6+(((A20)+1)/2)*(Inputs!$J$6-Inputs!$I$6)))+(Inputs!$C$6))/(0.5*(Inputs!$C$49+Inputs!$C$50))+Inputs!$C$47*0.097)))+0.30*(2*((SIN((((Inputs!$I$6+(((A20)+1)/2)*(Inputs!$J$6-Inputs!$I$6)))*12.9898+(Inputs!$C$6)*78.233+Inputs!$C$47*37.719))*43758.5453)-INT((SIN((((Inputs!$I$6+(((A20)+1)/2)*(Inputs!$J$6-Inputs!$I$6)))*12.9898+(Inputs!$C$6)*78.233+Inputs!$C$47*37.719))*43758.5453)))-1))),NA())</x:f>
        <x:v>251.96732827517536</x:v>
      </x:c>
      <x:c r="AT20" s="48" t="n">
        <x: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(0.45*SIN(2*PI()*((((Inputs!$I$7+(((A20)+1)/2)*(Inputs!$J$7-Inputs!$I$7)))/Inputs!$C$49)+Inputs!$C$47*0.137))+0.35*COS(2*PI()*(((Inputs!$C$6)/Inputs!$C$50)+Inputs!$C$47*0.173))+0.20*SIN(2*PI()*((((Inputs!$I$7+(((A20)+1)/2)*(Inputs!$J$7-Inputs!$I$7)))+(Inputs!$C$6))/(0.5*(Inputs!$C$49+Inputs!$C$50))+Inputs!$C$47*0.097)))+0.30*(2*((SIN((((Inputs!$I$7+(((A20)+1)/2)*(Inputs!$J$7-Inputs!$I$7)))*12.9898+(Inputs!$C$6)*78.233+Inputs!$C$47*37.719))*43758.5453)-INT((SIN((((Inputs!$I$7+(((A20)+1)/2)*(Inputs!$J$7-Inputs!$I$7)))*12.9898+(Inputs!$C$6)*78.233+Inputs!$C$47*37.719))*43758.5453)))-1))),NA())</x:f>
        <x:v>177.9290517673453</x:v>
      </x:c>
      <x:c r="AU20" s="48" t="n">
        <x: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(0.45*SIN(2*PI()*((((Inputs!$I$8+(((A20)+1)/2)*(Inputs!$J$8-Inputs!$I$8)))/Inputs!$C$49)+Inputs!$C$47*0.137))+0.35*COS(2*PI()*(((Inputs!$C$6)/Inputs!$C$50)+Inputs!$C$47*0.173))+0.20*SIN(2*PI()*((((Inputs!$I$8+(((A20)+1)/2)*(Inputs!$J$8-Inputs!$I$8)))+(Inputs!$C$6))/(0.5*(Inputs!$C$49+Inputs!$C$50))+Inputs!$C$47*0.097)))+0.30*(2*((SIN((((Inputs!$I$8+(((A20)+1)/2)*(Inputs!$J$8-Inputs!$I$8)))*12.9898+(Inputs!$C$6)*78.233+Inputs!$C$47*37.719))*43758.5453)-INT((SIN((((Inputs!$I$8+(((A20)+1)/2)*(Inputs!$J$8-Inputs!$I$8)))*12.9898+(Inputs!$C$6)*78.233+Inputs!$C$47*37.719))*43758.5453)))-1))),NA())</x:f>
        <x:v>230.54302496831588</x:v>
      </x:c>
      <x:c r="AV20" s="48" t="n">
        <x: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(0.45*SIN(2*PI()*((((Inputs!$I$9+(((A20)+1)/2)*(Inputs!$J$9-Inputs!$I$9)))/Inputs!$C$49)+Inputs!$C$47*0.137))+0.35*COS(2*PI()*(((Inputs!$C$6)/Inputs!$C$50)+Inputs!$C$47*0.173))+0.20*SIN(2*PI()*((((Inputs!$I$9+(((A20)+1)/2)*(Inputs!$J$9-Inputs!$I$9)))+(Inputs!$C$6))/(0.5*(Inputs!$C$49+Inputs!$C$50))+Inputs!$C$47*0.097)))+0.30*(2*((SIN((((Inputs!$I$9+(((A20)+1)/2)*(Inputs!$J$9-Inputs!$I$9)))*12.9898+(Inputs!$C$6)*78.233+Inputs!$C$47*37.719))*43758.5453)-INT((SIN((((Inputs!$I$9+(((A20)+1)/2)*(Inputs!$J$9-Inputs!$I$9)))*12.9898+(Inputs!$C$6)*78.233+Inputs!$C$47*37.719))*43758.5453)))-1))),NA())</x:f>
        <x:v>230.54302496831588</x:v>
      </x:c>
      <x:c r="AW20" s="49"/>
      <x:c r="AX20" s="48" t="n">
        <x:f>A20</x:f>
        <x:v>-0.85</x:v>
      </x:c>
      <x:c r="AY20" s="48" t="n">
        <x:f>0</x:f>
        <x:v>0</x:v>
      </x:c>
      <x:c r="AZ20" s="48" t="n">
        <x:f>IF(OR(Inputs!$F$6=TRUE,Inputs!$F$6="TRUE",Inputs!$F$6=1),(Inputs!$H$6+Inputs!$L$6*(((Inputs!$I$6+(((A20)+1)/2)*(Inputs!$J$6-Inputs!$I$6)))/Inputs!$K$6)^2),NA())</x:f>
        <x:v>402.89</x:v>
      </x:c>
      <x:c r="BA20" s="48" t="n">
        <x:f>IF(OR(Inputs!$F$7=TRUE,Inputs!$F$7="TRUE",Inputs!$F$7=1),(Inputs!$H$7+Inputs!$L$7*(((Inputs!$I$7+(((A20)+1)/2)*(Inputs!$J$7-Inputs!$I$7)))/Inputs!$K$7)^2),NA())</x:f>
        <x:v>298.7125</x:v>
      </x:c>
      <x:c r="BB20" s="48" t="n">
        <x:f>IF(OR(Inputs!$F$8=TRUE,Inputs!$F$8="TRUE",Inputs!$F$8=1),(Inputs!$H$8+Inputs!$L$8*(((Inputs!$I$8+(((A20)+1)/2)*(Inputs!$J$8-Inputs!$I$8)))/Inputs!$K$8)^2),NA())</x:f>
        <x:v>732.2125</x:v>
      </x:c>
      <x:c r="BC20" s="48" t="n">
        <x:f>IF(OR(Inputs!$F$9=TRUE,Inputs!$F$9="TRUE",Inputs!$F$9=1),(Inputs!$H$9+Inputs!$L$9*(((Inputs!$I$9+(((A20)+1)/2)*(Inputs!$J$9-Inputs!$I$9)))/Inputs!$K$9)^2),NA())</x:f>
        <x:v>729.4374999999999</x:v>
      </x:c>
      <x:c r="BD20" s="49"/>
      <x:c r="BE20" s="48" t="n">
        <x:f>A20</x:f>
        <x:v>-0.85</x:v>
      </x:c>
      <x:c r="BF20" s="48" t="n">
        <x:f>0</x:f>
        <x:v>0</x:v>
      </x:c>
      <x:c r="BG20" s="48"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BH20" s="48"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BI20" s="48"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BJ20" s="48"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row>
    <x:row r="21">
      <x:c r="A21" s="48" t="n">
        <x:f>ROUND(-1+19*2/240,3)</x:f>
        <x:v>-0.842</x:v>
      </x:c>
      <x:c r="B21" s="48" t="n">
        <x:f>IF(OR(Inputs!$F$6=TRUE,Inputs!$F$6="TRUE",Inputs!$F$6=1),(Inputs!$H$6+Inputs!$L$6*(((Inputs!$I$6+(((A21)+1)/2)*(Inputs!$J$6-Inputs!$I$6)))/Inputs!$K$6)^2),NA())</x:f>
        <x:v>402.835856</x:v>
      </x:c>
      <x:c r="C21" s="48" t="n">
        <x:f>IF(OR(Inputs!$F$7=TRUE,Inputs!$F$7="TRUE",Inputs!$F$7=1),(Inputs!$H$7+Inputs!$L$7*(((Inputs!$I$7+(((A21)+1)/2)*(Inputs!$J$7-Inputs!$I$7)))/Inputs!$K$7)^2),NA())</x:f>
        <x:v>293.77186000000006</x:v>
      </x:c>
      <x:c r="D21" s="48" t="n">
        <x:f>IF(OR(Inputs!$F$8=TRUE,Inputs!$F$8="TRUE",Inputs!$F$8=1),(Inputs!$H$8+Inputs!$L$8*(((Inputs!$I$8+(((A21)+1)/2)*(Inputs!$J$8-Inputs!$I$8)))/Inputs!$K$8)^2),NA())</x:f>
        <x:v>719.1502600000001</x:v>
      </x:c>
      <x:c r="E21" s="48" t="n">
        <x:f>IF(OR(Inputs!$F$9=TRUE,Inputs!$F$9="TRUE",Inputs!$F$9=1),(Inputs!$H$9+Inputs!$L$9*(((Inputs!$I$9+(((A21)+1)/2)*(Inputs!$J$9-Inputs!$I$9)))/Inputs!$K$9)^2),NA())</x:f>
        <x:v>716.2399000000001</x:v>
      </x:c>
      <x:c r="F21" s="49"/>
      <x:c r="G21" s="48" t="n">
        <x:f>A21</x:f>
        <x:v>-0.842</x:v>
      </x:c>
      <x:c r="H21" s="48"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I21" s="48"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J21" s="48"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K21" s="48"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c r="L21" s="49"/>
      <x:c r="M21" s="48" t="n">
        <x:f>A21</x:f>
        <x:v>-0.842</x:v>
      </x:c>
      <x:c r="N21" s="48" t="n">
        <x: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x:f>
        <x:v>427.2423554401979</x:v>
      </x:c>
      <x:c r="O21" s="48" t="n">
        <x: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x:f>
        <x:v>3076.116372441087</x:v>
      </x:c>
      <x:c r="P21" s="48" t="n">
        <x: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x:f>
        <x:v>4001.0227954219677</x:v>
      </x:c>
      <x:c r="Q21" s="48" t="n">
        <x: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x:f>
        <x:v>4025.8634805125453</x:v>
      </x:c>
      <x:c r="R21" s="49"/>
      <x:c r="S21" s="48" t="n">
        <x:f>A21</x:f>
        <x:v>-0.842</x:v>
      </x:c>
      <x:c r="T21" s="48" t="n">
        <x:f>(Inputs!$I$6+(((A21)+1)/2)*(Inputs!$J$6-Inputs!$I$6))</x:f>
        <x:v>-50.519999999999996</x:v>
      </x:c>
      <x:c r="U21" s="48" t="n">
        <x:f>(Inputs!$I$7+(((A21)+1)/2)*(Inputs!$J$7-Inputs!$I$7))</x:f>
        <x:v>-336.8</x:v>
      </x:c>
      <x:c r="V21" s="48" t="n">
        <x:f>(Inputs!$I$8+(((A21)+1)/2)*(Inputs!$J$8-Inputs!$I$8))</x:f>
        <x:v>-673.6</x:v>
      </x:c>
      <x:c r="W21" s="48" t="n">
        <x:f>(Inputs!$I$9+(((A21)+1)/2)*(Inputs!$J$9-Inputs!$I$9))</x:f>
        <x:v>-673.6</x:v>
      </x:c>
      <x:c r="X21" s="49"/>
      <x:c r="Y21" s="48" t="n">
        <x:f>A21</x:f>
        <x:v>-0.842</x:v>
      </x:c>
      <x:c r="Z21" s="48" t="n">
        <x:f>(Inputs!$H$6+Inputs!$L$6*(((Inputs!$I$6+(((A21)+1)/2)*(Inputs!$J$6-Inputs!$I$6)))/Inputs!$K$6)^2)</x:f>
        <x:v>402.835856</x:v>
      </x:c>
      <x:c r="AA21" s="48" t="n">
        <x:f>(Inputs!$H$7+Inputs!$L$7*(((Inputs!$I$7+(((A21)+1)/2)*(Inputs!$J$7-Inputs!$I$7)))/Inputs!$K$7)^2)</x:f>
        <x:v>293.77186000000006</x:v>
      </x:c>
      <x:c r="AB21" s="48" t="n">
        <x:f>(Inputs!$H$8+Inputs!$L$8*(((Inputs!$I$8+(((A21)+1)/2)*(Inputs!$J$8-Inputs!$I$8)))/Inputs!$K$8)^2)</x:f>
        <x:v>719.1502600000001</x:v>
      </x:c>
      <x:c r="AC21" s="48" t="n">
        <x:f>(Inputs!$H$9+Inputs!$L$9*(((Inputs!$I$9+(((A21)+1)/2)*(Inputs!$J$9-Inputs!$I$9)))/Inputs!$K$9)^2)</x:f>
        <x:v>716.2399000000001</x:v>
      </x:c>
      <x:c r="AD21" s="49"/>
      <x:c r="AE21" s="48" t="n">
        <x:f>A21</x:f>
        <x:v>-0.842</x:v>
      </x:c>
      <x:c r="AF21" s="48" t="n">
        <x:f>(((SQRT((Inputs!$C$52+((Inputs!$H$6+Inputs!$L$6*(((Inputs!$I$6+(((A21)+1)/2)*(Inputs!$J$6-Inputs!$I$6)))/Inputs!$K$6)^2)))^2+Inputs!$C$52^2-2*(Inputs!$C$52+((Inputs!$H$6+Inputs!$L$6*(((Inputs!$I$6+(((A21)+1)/2)*(Inputs!$J$6-Inputs!$I$6)))/Inputs!$K$6)^2)))*Inputs!$C$52*COS(SQRT(((Inputs!$I$6+(((A21)+1)/2)*(Inputs!$J$6-Inputs!$I$6)))^2+Inputs!$C$6^2)/Inputs!$C$52)))-((Inputs!$H$6+Inputs!$L$6*(((Inputs!$I$6+(((A21)+1)/2)*(Inputs!$J$6-Inputs!$I$6)))/Inputs!$K$6)^2)))*1000/Inputs!$C$12)</x:f>
        <x:v>2770.0828084719847</x:v>
      </x:c>
      <x:c r="AG21" s="48" t="n">
        <x:f>(((SQRT((Inputs!$C$52+((Inputs!$H$7+Inputs!$L$7*(((Inputs!$I$7+(((A21)+1)/2)*(Inputs!$J$7-Inputs!$I$7)))/Inputs!$K$7)^2)))^2+Inputs!$C$52^2-2*(Inputs!$C$52+((Inputs!$H$7+Inputs!$L$7*(((Inputs!$I$7+(((A21)+1)/2)*(Inputs!$J$7-Inputs!$I$7)))/Inputs!$K$7)^2)))*Inputs!$C$52*COS(SQRT(((Inputs!$I$7+(((A21)+1)/2)*(Inputs!$J$7-Inputs!$I$7)))^2+Inputs!$C$6^2)/Inputs!$C$52)))-((Inputs!$H$7+Inputs!$L$7*(((Inputs!$I$7+(((A21)+1)/2)*(Inputs!$J$7-Inputs!$I$7)))/Inputs!$K$7)^2)))*1000/Inputs!$C$12)</x:f>
        <x:v>99244.28757542011</x:v>
      </x:c>
      <x:c r="AH21" s="48" t="n">
        <x:f>(((SQRT((Inputs!$C$52+((Inputs!$H$8+Inputs!$L$8*(((Inputs!$I$8+(((A21)+1)/2)*(Inputs!$J$8-Inputs!$I$8)))/Inputs!$K$8)^2)))^2+Inputs!$C$52^2-2*(Inputs!$C$52+((Inputs!$H$8+Inputs!$L$8*(((Inputs!$I$8+(((A21)+1)/2)*(Inputs!$J$8-Inputs!$I$8)))/Inputs!$K$8)^2)))*Inputs!$C$52*COS(SQRT(((Inputs!$I$8+(((A21)+1)/2)*(Inputs!$J$8-Inputs!$I$8)))^2+Inputs!$C$6^2)/Inputs!$C$52)))-((Inputs!$H$8+Inputs!$L$8*(((Inputs!$I$8+(((A21)+1)/2)*(Inputs!$J$8-Inputs!$I$8)))/Inputs!$K$8)^2)))*1000/Inputs!$C$12)</x:f>
        <x:v>203825.78064243644</x:v>
      </x:c>
      <x:c r="AI21" s="48" t="n">
        <x:f>(((SQRT((Inputs!$C$52+((Inputs!$H$9+Inputs!$L$9*(((Inputs!$I$9+(((A21)+1)/2)*(Inputs!$J$9-Inputs!$I$9)))/Inputs!$K$9)^2)))^2+Inputs!$C$52^2-2*(Inputs!$C$52+((Inputs!$H$9+Inputs!$L$9*(((Inputs!$I$9+(((A21)+1)/2)*(Inputs!$J$9-Inputs!$I$9)))/Inputs!$K$9)^2)))*Inputs!$C$52*COS(SQRT(((Inputs!$I$9+(((A21)+1)/2)*(Inputs!$J$9-Inputs!$I$9)))^2+Inputs!$C$6^2)/Inputs!$C$52)))-((Inputs!$H$9+Inputs!$L$9*(((Inputs!$I$9+(((A21)+1)/2)*(Inputs!$J$9-Inputs!$I$9)))/Inputs!$K$9)^2)))*1000/Inputs!$C$12)</x:f>
        <x:v>204158.2935766965</x:v>
      </x:c>
      <x:c r="AJ21" s="49"/>
      <x:c r="AK21" s="48" t="n">
        <x:f>A21</x:f>
        <x:v>-0.842</x:v>
      </x:c>
      <x:c r="AL21" s="48" t="n">
        <x: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x:f>
        <x:v>427.2423554401979</x:v>
      </x:c>
      <x:c r="AM21" s="48" t="n">
        <x: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x:f>
        <x:v>3076.116372441087</x:v>
      </x:c>
      <x:c r="AN21" s="48" t="n">
        <x: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x:f>
        <x:v>4001.0227954219677</x:v>
      </x:c>
      <x:c r="AO21" s="48" t="n">
        <x: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x:f>
        <x:v>4025.8634805125453</x:v>
      </x:c>
      <x:c r="AP21" s="49"/>
      <x:c r="AQ21" s="48" t="n">
        <x:f>A21</x:f>
        <x:v>-0.842</x:v>
      </x:c>
      <x:c r="AR21" s="48" t="n">
        <x:f>0</x:f>
        <x:v>0</x:v>
      </x:c>
      <x:c r="AS21" s="48" t="n">
        <x: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(0.45*SIN(2*PI()*((((Inputs!$I$6+(((A21)+1)/2)*(Inputs!$J$6-Inputs!$I$6)))/Inputs!$C$49)+Inputs!$C$47*0.137))+0.35*COS(2*PI()*(((Inputs!$C$6)/Inputs!$C$50)+Inputs!$C$47*0.173))+0.20*SIN(2*PI()*((((Inputs!$I$6+(((A21)+1)/2)*(Inputs!$J$6-Inputs!$I$6)))+(Inputs!$C$6))/(0.5*(Inputs!$C$49+Inputs!$C$50))+Inputs!$C$47*0.097)))+0.30*(2*((SIN((((Inputs!$I$6+(((A21)+1)/2)*(Inputs!$J$6-Inputs!$I$6)))*12.9898+(Inputs!$C$6)*78.233+Inputs!$C$47*37.719))*43758.5453)-INT((SIN((((Inputs!$I$6+(((A21)+1)/2)*(Inputs!$J$6-Inputs!$I$6)))*12.9898+(Inputs!$C$6)*78.233+Inputs!$C$47*37.719))*43758.5453)))-1))),NA())</x:f>
        <x:v>250.5118977920592</x:v>
      </x:c>
      <x:c r="AT21" s="48" t="n">
        <x: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(0.45*SIN(2*PI()*((((Inputs!$I$7+(((A21)+1)/2)*(Inputs!$J$7-Inputs!$I$7)))/Inputs!$C$49)+Inputs!$C$47*0.137))+0.35*COS(2*PI()*(((Inputs!$C$6)/Inputs!$C$50)+Inputs!$C$47*0.173))+0.20*SIN(2*PI()*((((Inputs!$I$7+(((A21)+1)/2)*(Inputs!$J$7-Inputs!$I$7)))+(Inputs!$C$6))/(0.5*(Inputs!$C$49+Inputs!$C$50))+Inputs!$C$47*0.097)))+0.30*(2*((SIN((((Inputs!$I$7+(((A21)+1)/2)*(Inputs!$J$7-Inputs!$I$7)))*12.9898+(Inputs!$C$6)*78.233+Inputs!$C$47*37.719))*43758.5453)-INT((SIN((((Inputs!$I$7+(((A21)+1)/2)*(Inputs!$J$7-Inputs!$I$7)))*12.9898+(Inputs!$C$6)*78.233+Inputs!$C$47*37.719))*43758.5453)))-1))),NA())</x:f>
        <x:v>203.10743818058066</x:v>
      </x:c>
      <x:c r="AU21" s="48" t="n">
        <x: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(0.45*SIN(2*PI()*((((Inputs!$I$8+(((A21)+1)/2)*(Inputs!$J$8-Inputs!$I$8)))/Inputs!$C$49)+Inputs!$C$47*0.137))+0.35*COS(2*PI()*(((Inputs!$C$6)/Inputs!$C$50)+Inputs!$C$47*0.173))+0.20*SIN(2*PI()*((((Inputs!$I$8+(((A21)+1)/2)*(Inputs!$J$8-Inputs!$I$8)))+(Inputs!$C$6))/(0.5*(Inputs!$C$49+Inputs!$C$50))+Inputs!$C$47*0.097)))+0.30*(2*((SIN((((Inputs!$I$8+(((A21)+1)/2)*(Inputs!$J$8-Inputs!$I$8)))*12.9898+(Inputs!$C$6)*78.233+Inputs!$C$47*37.719))*43758.5453)-INT((SIN((((Inputs!$I$8+(((A21)+1)/2)*(Inputs!$J$8-Inputs!$I$8)))*12.9898+(Inputs!$C$6)*78.233+Inputs!$C$47*37.719))*43758.5453)))-1))),NA())</x:f>
        <x:v>111.3639822035904</x:v>
      </x:c>
      <x:c r="AV21" s="48" t="n">
        <x: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(0.45*SIN(2*PI()*((((Inputs!$I$9+(((A21)+1)/2)*(Inputs!$J$9-Inputs!$I$9)))/Inputs!$C$49)+Inputs!$C$47*0.137))+0.35*COS(2*PI()*(((Inputs!$C$6)/Inputs!$C$50)+Inputs!$C$47*0.173))+0.20*SIN(2*PI()*((((Inputs!$I$9+(((A21)+1)/2)*(Inputs!$J$9-Inputs!$I$9)))+(Inputs!$C$6))/(0.5*(Inputs!$C$49+Inputs!$C$50))+Inputs!$C$47*0.097)))+0.30*(2*((SIN((((Inputs!$I$9+(((A21)+1)/2)*(Inputs!$J$9-Inputs!$I$9)))*12.9898+(Inputs!$C$6)*78.233+Inputs!$C$47*37.719))*43758.5453)-INT((SIN((((Inputs!$I$9+(((A21)+1)/2)*(Inputs!$J$9-Inputs!$I$9)))*12.9898+(Inputs!$C$6)*78.233+Inputs!$C$47*37.719))*43758.5453)))-1))),NA())</x:f>
        <x:v>111.3639822035904</x:v>
      </x:c>
      <x:c r="AW21" s="49"/>
      <x:c r="AX21" s="48" t="n">
        <x:f>A21</x:f>
        <x:v>-0.842</x:v>
      </x:c>
      <x:c r="AY21" s="48" t="n">
        <x:f>0</x:f>
        <x:v>0</x:v>
      </x:c>
      <x:c r="AZ21" s="48" t="n">
        <x:f>IF(OR(Inputs!$F$6=TRUE,Inputs!$F$6="TRUE",Inputs!$F$6=1),(Inputs!$H$6+Inputs!$L$6*(((Inputs!$I$6+(((A21)+1)/2)*(Inputs!$J$6-Inputs!$I$6)))/Inputs!$K$6)^2),NA())</x:f>
        <x:v>402.835856</x:v>
      </x:c>
      <x:c r="BA21" s="48" t="n">
        <x:f>IF(OR(Inputs!$F$7=TRUE,Inputs!$F$7="TRUE",Inputs!$F$7=1),(Inputs!$H$7+Inputs!$L$7*(((Inputs!$I$7+(((A21)+1)/2)*(Inputs!$J$7-Inputs!$I$7)))/Inputs!$K$7)^2),NA())</x:f>
        <x:v>293.77186000000006</x:v>
      </x:c>
      <x:c r="BB21" s="48" t="n">
        <x:f>IF(OR(Inputs!$F$8=TRUE,Inputs!$F$8="TRUE",Inputs!$F$8=1),(Inputs!$H$8+Inputs!$L$8*(((Inputs!$I$8+(((A21)+1)/2)*(Inputs!$J$8-Inputs!$I$8)))/Inputs!$K$8)^2),NA())</x:f>
        <x:v>719.1502600000001</x:v>
      </x:c>
      <x:c r="BC21" s="48" t="n">
        <x:f>IF(OR(Inputs!$F$9=TRUE,Inputs!$F$9="TRUE",Inputs!$F$9=1),(Inputs!$H$9+Inputs!$L$9*(((Inputs!$I$9+(((A21)+1)/2)*(Inputs!$J$9-Inputs!$I$9)))/Inputs!$K$9)^2),NA())</x:f>
        <x:v>716.2399000000001</x:v>
      </x:c>
      <x:c r="BD21" s="49"/>
      <x:c r="BE21" s="48" t="n">
        <x:f>A21</x:f>
        <x:v>-0.842</x:v>
      </x:c>
      <x:c r="BF21" s="48" t="n">
        <x:f>0</x:f>
        <x:v>0</x:v>
      </x:c>
      <x:c r="BG21" s="48"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BH21" s="48"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BI21" s="48"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BJ21" s="48"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row>
    <x:row r="22">
      <x:c r="A22" s="48" t="n">
        <x:f>ROUND(-1+20*2/240,3)</x:f>
        <x:v>-0.833</x:v>
      </x:c>
      <x:c r="B22" s="48" t="n">
        <x:f>IF(OR(Inputs!$F$6=TRUE,Inputs!$F$6="TRUE",Inputs!$F$6=1),(Inputs!$H$6+Inputs!$L$6*(((Inputs!$I$6+(((A22)+1)/2)*(Inputs!$J$6-Inputs!$I$6)))/Inputs!$K$6)^2),NA())</x:f>
        <x:v>402.775556</x:v>
      </x:c>
      <x:c r="C22" s="48" t="n">
        <x:f>IF(OR(Inputs!$F$7=TRUE,Inputs!$F$7="TRUE",Inputs!$F$7=1),(Inputs!$H$7+Inputs!$L$7*(((Inputs!$I$7+(((A22)+1)/2)*(Inputs!$J$7-Inputs!$I$7)))/Inputs!$K$7)^2),NA())</x:f>
        <x:v>288.26948500000003</x:v>
      </x:c>
      <x:c r="D22" s="48" t="n">
        <x:f>IF(OR(Inputs!$F$8=TRUE,Inputs!$F$8="TRUE",Inputs!$F$8=1),(Inputs!$H$8+Inputs!$L$8*(((Inputs!$I$8+(((A22)+1)/2)*(Inputs!$J$8-Inputs!$I$8)))/Inputs!$K$8)^2),NA())</x:f>
        <x:v>704.602885</x:v>
      </x:c>
      <x:c r="E22" s="48" t="n">
        <x:f>IF(OR(Inputs!$F$9=TRUE,Inputs!$F$9="TRUE",Inputs!$F$9=1),(Inputs!$H$9+Inputs!$L$9*(((Inputs!$I$9+(((A22)+1)/2)*(Inputs!$J$9-Inputs!$I$9)))/Inputs!$K$9)^2),NA())</x:f>
        <x:v>701.541775</x:v>
      </x:c>
      <x:c r="F22" s="49"/>
      <x:c r="G22" s="48" t="n">
        <x:f>A22</x:f>
        <x:v>-0.833</x:v>
      </x:c>
      <x:c r="H22" s="48"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I22" s="48"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J22" s="48"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K22" s="48"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c r="L22" s="49"/>
      <x:c r="M22" s="48" t="n">
        <x:f>A22</x:f>
        <x:v>-0.833</x:v>
      </x:c>
      <x:c r="N22" s="48" t="n">
        <x: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x:f>
        <x:v>422.783843597426</x:v>
      </x:c>
      <x:c r="O22" s="48" t="n">
        <x: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x:f>
        <x:v>3051.8008126588597</x:v>
      </x:c>
      <x:c r="P22" s="48" t="n">
        <x: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x:f>
        <x:v>3963.7975020877893</x:v>
      </x:c>
      <x:c r="Q22" s="48" t="n">
        <x: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x:f>
        <x:v>3988.1078451537455</x:v>
      </x:c>
      <x:c r="R22" s="49"/>
      <x:c r="S22" s="48" t="n">
        <x:f>A22</x:f>
        <x:v>-0.833</x:v>
      </x:c>
      <x:c r="T22" s="48" t="n">
        <x:f>(Inputs!$I$6+(((A22)+1)/2)*(Inputs!$J$6-Inputs!$I$6))</x:f>
        <x:v>-49.98</x:v>
      </x:c>
      <x:c r="U22" s="48" t="n">
        <x:f>(Inputs!$I$7+(((A22)+1)/2)*(Inputs!$J$7-Inputs!$I$7))</x:f>
        <x:v>-333.2</x:v>
      </x:c>
      <x:c r="V22" s="48" t="n">
        <x:f>(Inputs!$I$8+(((A22)+1)/2)*(Inputs!$J$8-Inputs!$I$8))</x:f>
        <x:v>-666.4</x:v>
      </x:c>
      <x:c r="W22" s="48" t="n">
        <x:f>(Inputs!$I$9+(((A22)+1)/2)*(Inputs!$J$9-Inputs!$I$9))</x:f>
        <x:v>-666.4</x:v>
      </x:c>
      <x:c r="X22" s="49"/>
      <x:c r="Y22" s="48" t="n">
        <x:f>A22</x:f>
        <x:v>-0.833</x:v>
      </x:c>
      <x:c r="Z22" s="48" t="n">
        <x:f>(Inputs!$H$6+Inputs!$L$6*(((Inputs!$I$6+(((A22)+1)/2)*(Inputs!$J$6-Inputs!$I$6)))/Inputs!$K$6)^2)</x:f>
        <x:v>402.775556</x:v>
      </x:c>
      <x:c r="AA22" s="48" t="n">
        <x:f>(Inputs!$H$7+Inputs!$L$7*(((Inputs!$I$7+(((A22)+1)/2)*(Inputs!$J$7-Inputs!$I$7)))/Inputs!$K$7)^2)</x:f>
        <x:v>288.26948500000003</x:v>
      </x:c>
      <x:c r="AB22" s="48" t="n">
        <x:f>(Inputs!$H$8+Inputs!$L$8*(((Inputs!$I$8+(((A22)+1)/2)*(Inputs!$J$8-Inputs!$I$8)))/Inputs!$K$8)^2)</x:f>
        <x:v>704.602885</x:v>
      </x:c>
      <x:c r="AC22" s="48" t="n">
        <x:f>(Inputs!$H$9+Inputs!$L$9*(((Inputs!$I$9+(((A22)+1)/2)*(Inputs!$J$9-Inputs!$I$9)))/Inputs!$K$9)^2)</x:f>
        <x:v>701.541775</x:v>
      </x:c>
      <x:c r="AD22" s="49"/>
      <x:c r="AE22" s="48" t="n">
        <x:f>A22</x:f>
        <x:v>-0.833</x:v>
      </x:c>
      <x:c r="AF22" s="48" t="n">
        <x:f>(((SQRT((Inputs!$C$52+((Inputs!$H$6+Inputs!$L$6*(((Inputs!$I$6+(((A22)+1)/2)*(Inputs!$J$6-Inputs!$I$6)))/Inputs!$K$6)^2)))^2+Inputs!$C$52^2-2*(Inputs!$C$52+((Inputs!$H$6+Inputs!$L$6*(((Inputs!$I$6+(((A22)+1)/2)*(Inputs!$J$6-Inputs!$I$6)))/Inputs!$K$6)^2)))*Inputs!$C$52*COS(SQRT(((Inputs!$I$6+(((A22)+1)/2)*(Inputs!$J$6-Inputs!$I$6)))^2+Inputs!$C$6^2)/Inputs!$C$52)))-((Inputs!$H$6+Inputs!$L$6*(((Inputs!$I$6+(((A22)+1)/2)*(Inputs!$J$6-Inputs!$I$6)))/Inputs!$K$6)^2)))*1000/Inputs!$C$12)</x:f>
        <x:v>2723.3738104346016</x:v>
      </x:c>
      <x:c r="AG22" s="48" t="n">
        <x:f>(((SQRT((Inputs!$C$52+((Inputs!$H$7+Inputs!$L$7*(((Inputs!$I$7+(((A22)+1)/2)*(Inputs!$J$7-Inputs!$I$7)))/Inputs!$K$7)^2)))^2+Inputs!$C$52^2-2*(Inputs!$C$52+((Inputs!$H$7+Inputs!$L$7*(((Inputs!$I$7+(((A22)+1)/2)*(Inputs!$J$7-Inputs!$I$7)))/Inputs!$K$7)^2)))*Inputs!$C$52*COS(SQRT(((Inputs!$I$7+(((A22)+1)/2)*(Inputs!$J$7-Inputs!$I$7)))^2+Inputs!$C$6^2)/Inputs!$C$52)))-((Inputs!$H$7+Inputs!$L$7*(((Inputs!$I$7+(((A22)+1)/2)*(Inputs!$J$7-Inputs!$I$7)))/Inputs!$K$7)^2)))*1000/Inputs!$C$12)</x:f>
        <x:v>98462.53884004419</x:v>
      </x:c>
      <x:c r="AH22" s="48" t="n">
        <x:f>(((SQRT((Inputs!$C$52+((Inputs!$H$8+Inputs!$L$8*(((Inputs!$I$8+(((A22)+1)/2)*(Inputs!$J$8-Inputs!$I$8)))/Inputs!$K$8)^2)))^2+Inputs!$C$52^2-2*(Inputs!$C$52+((Inputs!$H$8+Inputs!$L$8*(((Inputs!$I$8+(((A22)+1)/2)*(Inputs!$J$8-Inputs!$I$8)))/Inputs!$K$8)^2)))*Inputs!$C$52*COS(SQRT(((Inputs!$I$8+(((A22)+1)/2)*(Inputs!$J$8-Inputs!$I$8)))^2+Inputs!$C$6^2)/Inputs!$C$52)))-((Inputs!$H$8+Inputs!$L$8*(((Inputs!$I$8+(((A22)+1)/2)*(Inputs!$J$8-Inputs!$I$8)))/Inputs!$K$8)^2)))*1000/Inputs!$C$12)</x:f>
        <x:v>201930.58963519227</x:v>
      </x:c>
      <x:c r="AI22" s="48" t="n">
        <x:f>(((SQRT((Inputs!$C$52+((Inputs!$H$9+Inputs!$L$9*(((Inputs!$I$9+(((A22)+1)/2)*(Inputs!$J$9-Inputs!$I$9)))/Inputs!$K$9)^2)))^2+Inputs!$C$52^2-2*(Inputs!$C$52+((Inputs!$H$9+Inputs!$L$9*(((Inputs!$I$9+(((A22)+1)/2)*(Inputs!$J$9-Inputs!$I$9)))/Inputs!$K$9)^2)))*Inputs!$C$52*COS(SQRT(((Inputs!$I$9+(((A22)+1)/2)*(Inputs!$J$9-Inputs!$I$9)))^2+Inputs!$C$6^2)/Inputs!$C$52)))-((Inputs!$H$9+Inputs!$L$9*(((Inputs!$I$9+(((A22)+1)/2)*(Inputs!$J$9-Inputs!$I$9)))/Inputs!$K$9)^2)))*1000/Inputs!$C$12)</x:f>
        <x:v>202285.6638923831</x:v>
      </x:c>
      <x:c r="AJ22" s="49"/>
      <x:c r="AK22" s="48" t="n">
        <x:f>A22</x:f>
        <x:v>-0.833</x:v>
      </x:c>
      <x:c r="AL22" s="48" t="n">
        <x: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x:f>
        <x:v>422.783843597426</x:v>
      </x:c>
      <x:c r="AM22" s="48" t="n">
        <x: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x:f>
        <x:v>3051.8008126588597</x:v>
      </x:c>
      <x:c r="AN22" s="48" t="n">
        <x: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x:f>
        <x:v>3963.7975020877893</x:v>
      </x:c>
      <x:c r="AO22" s="48" t="n">
        <x: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x:f>
        <x:v>3988.1078451537455</x:v>
      </x:c>
      <x:c r="AP22" s="49"/>
      <x:c r="AQ22" s="48" t="n">
        <x:f>A22</x:f>
        <x:v>-0.833</x:v>
      </x:c>
      <x:c r="AR22" s="48" t="n">
        <x:f>0</x:f>
        <x:v>0</x:v>
      </x:c>
      <x:c r="AS22" s="48" t="n">
        <x: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(0.45*SIN(2*PI()*((((Inputs!$I$6+(((A22)+1)/2)*(Inputs!$J$6-Inputs!$I$6)))/Inputs!$C$49)+Inputs!$C$47*0.137))+0.35*COS(2*PI()*(((Inputs!$C$6)/Inputs!$C$50)+Inputs!$C$47*0.173))+0.20*SIN(2*PI()*((((Inputs!$I$6+(((A22)+1)/2)*(Inputs!$J$6-Inputs!$I$6)))+(Inputs!$C$6))/(0.5*(Inputs!$C$49+Inputs!$C$50))+Inputs!$C$47*0.097)))+0.30*(2*((SIN((((Inputs!$I$6+(((A22)+1)/2)*(Inputs!$J$6-Inputs!$I$6)))*12.9898+(Inputs!$C$6)*78.233+Inputs!$C$47*37.719))*43758.5453)-INT((SIN((((Inputs!$I$6+(((A22)+1)/2)*(Inputs!$J$6-Inputs!$I$6)))*12.9898+(Inputs!$C$6)*78.233+Inputs!$C$47*37.719))*43758.5453)))-1))),NA())</x:f>
        <x:v>254.3772486098363</x:v>
      </x:c>
      <x:c r="AT22" s="48" t="n">
        <x: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(0.45*SIN(2*PI()*((((Inputs!$I$7+(((A22)+1)/2)*(Inputs!$J$7-Inputs!$I$7)))/Inputs!$C$49)+Inputs!$C$47*0.137))+0.35*COS(2*PI()*(((Inputs!$C$6)/Inputs!$C$50)+Inputs!$C$47*0.173))+0.20*SIN(2*PI()*((((Inputs!$I$7+(((A22)+1)/2)*(Inputs!$J$7-Inputs!$I$7)))+(Inputs!$C$6))/(0.5*(Inputs!$C$49+Inputs!$C$50))+Inputs!$C$47*0.097)))+0.30*(2*((SIN((((Inputs!$I$7+(((A22)+1)/2)*(Inputs!$J$7-Inputs!$I$7)))*12.9898+(Inputs!$C$6)*78.233+Inputs!$C$47*37.719))*43758.5453)-INT((SIN((((Inputs!$I$7+(((A22)+1)/2)*(Inputs!$J$7-Inputs!$I$7)))*12.9898+(Inputs!$C$6)*78.233+Inputs!$C$47*37.719))*43758.5453)))-1))),NA())</x:f>
        <x:v>190.11343712392477</x:v>
      </x:c>
      <x:c r="AU22" s="48" t="n">
        <x: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(0.45*SIN(2*PI()*((((Inputs!$I$8+(((A22)+1)/2)*(Inputs!$J$8-Inputs!$I$8)))/Inputs!$C$49)+Inputs!$C$47*0.137))+0.35*COS(2*PI()*(((Inputs!$C$6)/Inputs!$C$50)+Inputs!$C$47*0.173))+0.20*SIN(2*PI()*((((Inputs!$I$8+(((A22)+1)/2)*(Inputs!$J$8-Inputs!$I$8)))+(Inputs!$C$6))/(0.5*(Inputs!$C$49+Inputs!$C$50))+Inputs!$C$47*0.097)))+0.30*(2*((SIN((((Inputs!$I$8+(((A22)+1)/2)*(Inputs!$J$8-Inputs!$I$8)))*12.9898+(Inputs!$C$6)*78.233+Inputs!$C$47*37.719))*43758.5453)-INT((SIN((((Inputs!$I$8+(((A22)+1)/2)*(Inputs!$J$8-Inputs!$I$8)))*12.9898+(Inputs!$C$6)*78.233+Inputs!$C$47*37.719))*43758.5453)))-1))),NA())</x:f>
        <x:v>155.03024510710588</x:v>
      </x:c>
      <x:c r="AV22" s="48" t="n">
        <x: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(0.45*SIN(2*PI()*((((Inputs!$I$9+(((A22)+1)/2)*(Inputs!$J$9-Inputs!$I$9)))/Inputs!$C$49)+Inputs!$C$47*0.137))+0.35*COS(2*PI()*(((Inputs!$C$6)/Inputs!$C$50)+Inputs!$C$47*0.173))+0.20*SIN(2*PI()*((((Inputs!$I$9+(((A22)+1)/2)*(Inputs!$J$9-Inputs!$I$9)))+(Inputs!$C$6))/(0.5*(Inputs!$C$49+Inputs!$C$50))+Inputs!$C$47*0.097)))+0.30*(2*((SIN((((Inputs!$I$9+(((A22)+1)/2)*(Inputs!$J$9-Inputs!$I$9)))*12.9898+(Inputs!$C$6)*78.233+Inputs!$C$47*37.719))*43758.5453)-INT((SIN((((Inputs!$I$9+(((A22)+1)/2)*(Inputs!$J$9-Inputs!$I$9)))*12.9898+(Inputs!$C$6)*78.233+Inputs!$C$47*37.719))*43758.5453)))-1))),NA())</x:f>
        <x:v>155.03024510710588</x:v>
      </x:c>
      <x:c r="AW22" s="49"/>
      <x:c r="AX22" s="48" t="n">
        <x:f>A22</x:f>
        <x:v>-0.833</x:v>
      </x:c>
      <x:c r="AY22" s="48" t="n">
        <x:f>0</x:f>
        <x:v>0</x:v>
      </x:c>
      <x:c r="AZ22" s="48" t="n">
        <x:f>IF(OR(Inputs!$F$6=TRUE,Inputs!$F$6="TRUE",Inputs!$F$6=1),(Inputs!$H$6+Inputs!$L$6*(((Inputs!$I$6+(((A22)+1)/2)*(Inputs!$J$6-Inputs!$I$6)))/Inputs!$K$6)^2),NA())</x:f>
        <x:v>402.775556</x:v>
      </x:c>
      <x:c r="BA22" s="48" t="n">
        <x:f>IF(OR(Inputs!$F$7=TRUE,Inputs!$F$7="TRUE",Inputs!$F$7=1),(Inputs!$H$7+Inputs!$L$7*(((Inputs!$I$7+(((A22)+1)/2)*(Inputs!$J$7-Inputs!$I$7)))/Inputs!$K$7)^2),NA())</x:f>
        <x:v>288.26948500000003</x:v>
      </x:c>
      <x:c r="BB22" s="48" t="n">
        <x:f>IF(OR(Inputs!$F$8=TRUE,Inputs!$F$8="TRUE",Inputs!$F$8=1),(Inputs!$H$8+Inputs!$L$8*(((Inputs!$I$8+(((A22)+1)/2)*(Inputs!$J$8-Inputs!$I$8)))/Inputs!$K$8)^2),NA())</x:f>
        <x:v>704.602885</x:v>
      </x:c>
      <x:c r="BC22" s="48" t="n">
        <x:f>IF(OR(Inputs!$F$9=TRUE,Inputs!$F$9="TRUE",Inputs!$F$9=1),(Inputs!$H$9+Inputs!$L$9*(((Inputs!$I$9+(((A22)+1)/2)*(Inputs!$J$9-Inputs!$I$9)))/Inputs!$K$9)^2),NA())</x:f>
        <x:v>701.541775</x:v>
      </x:c>
      <x:c r="BD22" s="49"/>
      <x:c r="BE22" s="48" t="n">
        <x:f>A22</x:f>
        <x:v>-0.833</x:v>
      </x:c>
      <x:c r="BF22" s="48" t="n">
        <x:f>0</x:f>
        <x:v>0</x:v>
      </x:c>
      <x:c r="BG22" s="48"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BH22" s="48"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BI22" s="48"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BJ22" s="48"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row>
    <x:row r="23">
      <x:c r="A23" s="48" t="n">
        <x:f>ROUND(-1+21*2/240,3)</x:f>
        <x:v>-0.825</x:v>
      </x:c>
      <x:c r="B23" s="48" t="n">
        <x:f>IF(OR(Inputs!$F$6=TRUE,Inputs!$F$6="TRUE",Inputs!$F$6=1),(Inputs!$H$6+Inputs!$L$6*(((Inputs!$I$6+(((A23)+1)/2)*(Inputs!$J$6-Inputs!$I$6)))/Inputs!$K$6)^2),NA())</x:f>
        <x:v>402.7225</x:v>
      </x:c>
      <x:c r="C23" s="48" t="n">
        <x:f>IF(OR(Inputs!$F$7=TRUE,Inputs!$F$7="TRUE",Inputs!$F$7=1),(Inputs!$H$7+Inputs!$L$7*(((Inputs!$I$7+(((A23)+1)/2)*(Inputs!$J$7-Inputs!$I$7)))/Inputs!$K$7)^2),NA())</x:f>
        <x:v>283.42812499999997</x:v>
      </x:c>
      <x:c r="D23" s="48" t="n">
        <x:f>IF(OR(Inputs!$F$8=TRUE,Inputs!$F$8="TRUE",Inputs!$F$8=1),(Inputs!$H$8+Inputs!$L$8*(((Inputs!$I$8+(((A23)+1)/2)*(Inputs!$J$8-Inputs!$I$8)))/Inputs!$K$8)^2),NA())</x:f>
        <x:v>691.8031249999999</x:v>
      </x:c>
      <x:c r="E23" s="48" t="n">
        <x:f>IF(OR(Inputs!$F$9=TRUE,Inputs!$F$9="TRUE",Inputs!$F$9=1),(Inputs!$H$9+Inputs!$L$9*(((Inputs!$I$9+(((A23)+1)/2)*(Inputs!$J$9-Inputs!$I$9)))/Inputs!$K$9)^2),NA())</x:f>
        <x:v>688.6093749999999</x:v>
      </x:c>
      <x:c r="F23" s="49"/>
      <x:c r="G23" s="48" t="n">
        <x:f>A23</x:f>
        <x:v>-0.825</x:v>
      </x:c>
      <x:c r="H23" s="48"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I23" s="48"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J23" s="48"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K23" s="48"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c r="L23" s="49"/>
      <x:c r="M23" s="48" t="n">
        <x:f>A23</x:f>
        <x:v>-0.825</x:v>
      </x:c>
      <x:c r="N23" s="48" t="n">
        <x: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x:f>
        <x:v>418.8178856311436</x:v>
      </x:c>
      <x:c r="O23" s="48" t="n">
        <x: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x:f>
        <x:v>3030.2732079652687</x:v>
      </x:c>
      <x:c r="P23" s="48" t="n">
        <x: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x:f>
        <x:v>3930.778173721541</x:v>
      </x:c>
      <x:c r="Q23" s="48" t="n">
        <x: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x:f>
        <x:v>3954.614786624699</x:v>
      </x:c>
      <x:c r="R23" s="49"/>
      <x:c r="S23" s="48" t="n">
        <x:f>A23</x:f>
        <x:v>-0.825</x:v>
      </x:c>
      <x:c r="T23" s="48" t="n">
        <x:f>(Inputs!$I$6+(((A23)+1)/2)*(Inputs!$J$6-Inputs!$I$6))</x:f>
        <x:v>-49.5</x:v>
      </x:c>
      <x:c r="U23" s="48" t="n">
        <x:f>(Inputs!$I$7+(((A23)+1)/2)*(Inputs!$J$7-Inputs!$I$7))</x:f>
        <x:v>-330</x:v>
      </x:c>
      <x:c r="V23" s="48" t="n">
        <x:f>(Inputs!$I$8+(((A23)+1)/2)*(Inputs!$J$8-Inputs!$I$8))</x:f>
        <x:v>-660</x:v>
      </x:c>
      <x:c r="W23" s="48" t="n">
        <x:f>(Inputs!$I$9+(((A23)+1)/2)*(Inputs!$J$9-Inputs!$I$9))</x:f>
        <x:v>-660</x:v>
      </x:c>
      <x:c r="X23" s="49"/>
      <x:c r="Y23" s="48" t="n">
        <x:f>A23</x:f>
        <x:v>-0.825</x:v>
      </x:c>
      <x:c r="Z23" s="48" t="n">
        <x:f>(Inputs!$H$6+Inputs!$L$6*(((Inputs!$I$6+(((A23)+1)/2)*(Inputs!$J$6-Inputs!$I$6)))/Inputs!$K$6)^2)</x:f>
        <x:v>402.7225</x:v>
      </x:c>
      <x:c r="AA23" s="48" t="n">
        <x:f>(Inputs!$H$7+Inputs!$L$7*(((Inputs!$I$7+(((A23)+1)/2)*(Inputs!$J$7-Inputs!$I$7)))/Inputs!$K$7)^2)</x:f>
        <x:v>283.42812499999997</x:v>
      </x:c>
      <x:c r="AB23" s="48" t="n">
        <x:f>(Inputs!$H$8+Inputs!$L$8*(((Inputs!$I$8+(((A23)+1)/2)*(Inputs!$J$8-Inputs!$I$8)))/Inputs!$K$8)^2)</x:f>
        <x:v>691.8031249999999</x:v>
      </x:c>
      <x:c r="AC23" s="48" t="n">
        <x:f>(Inputs!$H$9+Inputs!$L$9*(((Inputs!$I$9+(((A23)+1)/2)*(Inputs!$J$9-Inputs!$I$9)))/Inputs!$K$9)^2)</x:f>
        <x:v>688.6093749999999</x:v>
      </x:c>
      <x:c r="AD23" s="49"/>
      <x:c r="AE23" s="48" t="n">
        <x:f>A23</x:f>
        <x:v>-0.825</x:v>
      </x:c>
      <x:c r="AF23" s="48" t="n">
        <x:f>(((SQRT((Inputs!$C$52+((Inputs!$H$6+Inputs!$L$6*(((Inputs!$I$6+(((A23)+1)/2)*(Inputs!$J$6-Inputs!$I$6)))/Inputs!$K$6)^2)))^2+Inputs!$C$52^2-2*(Inputs!$C$52+((Inputs!$H$6+Inputs!$L$6*(((Inputs!$I$6+(((A23)+1)/2)*(Inputs!$J$6-Inputs!$I$6)))/Inputs!$K$6)^2)))*Inputs!$C$52*COS(SQRT(((Inputs!$I$6+(((A23)+1)/2)*(Inputs!$J$6-Inputs!$I$6)))^2+Inputs!$C$6^2)/Inputs!$C$52)))-((Inputs!$H$6+Inputs!$L$6*(((Inputs!$I$6+(((A23)+1)/2)*(Inputs!$J$6-Inputs!$I$6)))/Inputs!$K$6)^2)))*1000/Inputs!$C$12)</x:f>
        <x:v>2682.2590206416526</x:v>
      </x:c>
      <x:c r="AG23" s="48" t="n">
        <x:f>(((SQRT((Inputs!$C$52+((Inputs!$H$7+Inputs!$L$7*(((Inputs!$I$7+(((A23)+1)/2)*(Inputs!$J$7-Inputs!$I$7)))/Inputs!$K$7)^2)))^2+Inputs!$C$52^2-2*(Inputs!$C$52+((Inputs!$H$7+Inputs!$L$7*(((Inputs!$I$7+(((A23)+1)/2)*(Inputs!$J$7-Inputs!$I$7)))/Inputs!$K$7)^2)))*Inputs!$C$52*COS(SQRT(((Inputs!$I$7+(((A23)+1)/2)*(Inputs!$J$7-Inputs!$I$7)))^2+Inputs!$C$6^2)/Inputs!$C$52)))-((Inputs!$H$7+Inputs!$L$7*(((Inputs!$I$7+(((A23)+1)/2)*(Inputs!$J$7-Inputs!$I$7)))/Inputs!$K$7)^2)))*1000/Inputs!$C$12)</x:f>
        <x:v>97765.51616168725</x:v>
      </x:c>
      <x:c r="AH23" s="48" t="n">
        <x:f>(((SQRT((Inputs!$C$52+((Inputs!$H$8+Inputs!$L$8*(((Inputs!$I$8+(((A23)+1)/2)*(Inputs!$J$8-Inputs!$I$8)))/Inputs!$K$8)^2)))^2+Inputs!$C$52^2-2*(Inputs!$C$52+((Inputs!$H$8+Inputs!$L$8*(((Inputs!$I$8+(((A23)+1)/2)*(Inputs!$J$8-Inputs!$I$8)))/Inputs!$K$8)^2)))*Inputs!$C$52*COS(SQRT(((Inputs!$I$8+(((A23)+1)/2)*(Inputs!$J$8-Inputs!$I$8)))^2+Inputs!$C$6^2)/Inputs!$C$52)))-((Inputs!$H$8+Inputs!$L$8*(((Inputs!$I$8+(((A23)+1)/2)*(Inputs!$J$8-Inputs!$I$8)))/Inputs!$K$8)^2)))*1000/Inputs!$C$12)</x:f>
        <x:v>200251.16880929066</x:v>
      </x:c>
      <x:c r="AI23" s="48" t="n">
        <x:f>(((SQRT((Inputs!$C$52+((Inputs!$H$9+Inputs!$L$9*(((Inputs!$I$9+(((A23)+1)/2)*(Inputs!$J$9-Inputs!$I$9)))/Inputs!$K$9)^2)))^2+Inputs!$C$52^2-2*(Inputs!$C$52+((Inputs!$H$9+Inputs!$L$9*(((Inputs!$I$9+(((A23)+1)/2)*(Inputs!$J$9-Inputs!$I$9)))/Inputs!$K$9)^2)))*Inputs!$C$52*COS(SQRT(((Inputs!$I$9+(((A23)+1)/2)*(Inputs!$J$9-Inputs!$I$9)))^2+Inputs!$C$6^2)/Inputs!$C$52)))-((Inputs!$H$9+Inputs!$L$9*(((Inputs!$I$9+(((A23)+1)/2)*(Inputs!$J$9-Inputs!$I$9)))/Inputs!$K$9)^2)))*1000/Inputs!$C$12)</x:f>
        <x:v>200626.6618081727</x:v>
      </x:c>
      <x:c r="AJ23" s="49"/>
      <x:c r="AK23" s="48" t="n">
        <x:f>A23</x:f>
        <x:v>-0.825</x:v>
      </x:c>
      <x:c r="AL23" s="48" t="n">
        <x: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x:f>
        <x:v>418.8178856311436</x:v>
      </x:c>
      <x:c r="AM23" s="48" t="n">
        <x: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x:f>
        <x:v>3030.2732079652687</x:v>
      </x:c>
      <x:c r="AN23" s="48" t="n">
        <x: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x:f>
        <x:v>3930.778173721541</x:v>
      </x:c>
      <x:c r="AO23" s="48" t="n">
        <x: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x:f>
        <x:v>3954.614786624699</x:v>
      </x:c>
      <x:c r="AP23" s="49"/>
      <x:c r="AQ23" s="48" t="n">
        <x:f>A23</x:f>
        <x:v>-0.825</x:v>
      </x:c>
      <x:c r="AR23" s="48" t="n">
        <x:f>0</x:f>
        <x:v>0</x:v>
      </x:c>
      <x:c r="AS23" s="48" t="n">
        <x: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(0.45*SIN(2*PI()*((((Inputs!$I$6+(((A23)+1)/2)*(Inputs!$J$6-Inputs!$I$6)))/Inputs!$C$49)+Inputs!$C$47*0.137))+0.35*COS(2*PI()*(((Inputs!$C$6)/Inputs!$C$50)+Inputs!$C$47*0.173))+0.20*SIN(2*PI()*((((Inputs!$I$6+(((A23)+1)/2)*(Inputs!$J$6-Inputs!$I$6)))+(Inputs!$C$6))/(0.5*(Inputs!$C$49+Inputs!$C$50))+Inputs!$C$47*0.097)))+0.30*(2*((SIN((((Inputs!$I$6+(((A23)+1)/2)*(Inputs!$J$6-Inputs!$I$6)))*12.9898+(Inputs!$C$6)*78.233+Inputs!$C$47*37.719))*43758.5453)-INT((SIN((((Inputs!$I$6+(((A23)+1)/2)*(Inputs!$J$6-Inputs!$I$6)))*12.9898+(Inputs!$C$6)*78.233+Inputs!$C$47*37.719))*43758.5453)))-1))),NA())</x:f>
        <x:v>258.91748425644914</x:v>
      </x:c>
      <x:c r="AT23" s="48" t="n">
        <x: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(0.45*SIN(2*PI()*((((Inputs!$I$7+(((A23)+1)/2)*(Inputs!$J$7-Inputs!$I$7)))/Inputs!$C$49)+Inputs!$C$47*0.137))+0.35*COS(2*PI()*(((Inputs!$C$6)/Inputs!$C$50)+Inputs!$C$47*0.173))+0.20*SIN(2*PI()*((((Inputs!$I$7+(((A23)+1)/2)*(Inputs!$J$7-Inputs!$I$7)))+(Inputs!$C$6))/(0.5*(Inputs!$C$49+Inputs!$C$50))+Inputs!$C$47*0.097)))+0.30*(2*((SIN((((Inputs!$I$7+(((A23)+1)/2)*(Inputs!$J$7-Inputs!$I$7)))*12.9898+(Inputs!$C$6)*78.233+Inputs!$C$47*37.719))*43758.5453)-INT((SIN((((Inputs!$I$7+(((A23)+1)/2)*(Inputs!$J$7-Inputs!$I$7)))*12.9898+(Inputs!$C$6)*78.233+Inputs!$C$47*37.719))*43758.5453)))-1))),NA())</x:f>
        <x:v>89.3271777741551</x:v>
      </x:c>
      <x:c r="AU23" s="48" t="n">
        <x: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(0.45*SIN(2*PI()*((((Inputs!$I$8+(((A23)+1)/2)*(Inputs!$J$8-Inputs!$I$8)))/Inputs!$C$49)+Inputs!$C$47*0.137))+0.35*COS(2*PI()*(((Inputs!$C$6)/Inputs!$C$50)+Inputs!$C$47*0.173))+0.20*SIN(2*PI()*((((Inputs!$I$8+(((A23)+1)/2)*(Inputs!$J$8-Inputs!$I$8)))+(Inputs!$C$6))/(0.5*(Inputs!$C$49+Inputs!$C$50))+Inputs!$C$47*0.097)))+0.30*(2*((SIN((((Inputs!$I$8+(((A23)+1)/2)*(Inputs!$J$8-Inputs!$I$8)))*12.9898+(Inputs!$C$6)*78.233+Inputs!$C$47*37.719))*43758.5453)-INT((SIN((((Inputs!$I$8+(((A23)+1)/2)*(Inputs!$J$8-Inputs!$I$8)))*12.9898+(Inputs!$C$6)*78.233+Inputs!$C$47*37.719))*43758.5453)))-1))),NA())</x:f>
        <x:v>167.2055085196115</x:v>
      </x:c>
      <x:c r="AV23" s="48" t="n">
        <x: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(0.45*SIN(2*PI()*((((Inputs!$I$9+(((A23)+1)/2)*(Inputs!$J$9-Inputs!$I$9)))/Inputs!$C$49)+Inputs!$C$47*0.137))+0.35*COS(2*PI()*(((Inputs!$C$6)/Inputs!$C$50)+Inputs!$C$47*0.173))+0.20*SIN(2*PI()*((((Inputs!$I$9+(((A23)+1)/2)*(Inputs!$J$9-Inputs!$I$9)))+(Inputs!$C$6))/(0.5*(Inputs!$C$49+Inputs!$C$50))+Inputs!$C$47*0.097)))+0.30*(2*((SIN((((Inputs!$I$9+(((A23)+1)/2)*(Inputs!$J$9-Inputs!$I$9)))*12.9898+(Inputs!$C$6)*78.233+Inputs!$C$47*37.719))*43758.5453)-INT((SIN((((Inputs!$I$9+(((A23)+1)/2)*(Inputs!$J$9-Inputs!$I$9)))*12.9898+(Inputs!$C$6)*78.233+Inputs!$C$47*37.719))*43758.5453)))-1))),NA())</x:f>
        <x:v>167.2055085196115</x:v>
      </x:c>
      <x:c r="AW23" s="49"/>
      <x:c r="AX23" s="48" t="n">
        <x:f>A23</x:f>
        <x:v>-0.825</x:v>
      </x:c>
      <x:c r="AY23" s="48" t="n">
        <x:f>0</x:f>
        <x:v>0</x:v>
      </x:c>
      <x:c r="AZ23" s="48" t="n">
        <x:f>IF(OR(Inputs!$F$6=TRUE,Inputs!$F$6="TRUE",Inputs!$F$6=1),(Inputs!$H$6+Inputs!$L$6*(((Inputs!$I$6+(((A23)+1)/2)*(Inputs!$J$6-Inputs!$I$6)))/Inputs!$K$6)^2),NA())</x:f>
        <x:v>402.7225</x:v>
      </x:c>
      <x:c r="BA23" s="48" t="n">
        <x:f>IF(OR(Inputs!$F$7=TRUE,Inputs!$F$7="TRUE",Inputs!$F$7=1),(Inputs!$H$7+Inputs!$L$7*(((Inputs!$I$7+(((A23)+1)/2)*(Inputs!$J$7-Inputs!$I$7)))/Inputs!$K$7)^2),NA())</x:f>
        <x:v>283.42812499999997</x:v>
      </x:c>
      <x:c r="BB23" s="48" t="n">
        <x:f>IF(OR(Inputs!$F$8=TRUE,Inputs!$F$8="TRUE",Inputs!$F$8=1),(Inputs!$H$8+Inputs!$L$8*(((Inputs!$I$8+(((A23)+1)/2)*(Inputs!$J$8-Inputs!$I$8)))/Inputs!$K$8)^2),NA())</x:f>
        <x:v>691.8031249999999</x:v>
      </x:c>
      <x:c r="BC23" s="48" t="n">
        <x:f>IF(OR(Inputs!$F$9=TRUE,Inputs!$F$9="TRUE",Inputs!$F$9=1),(Inputs!$H$9+Inputs!$L$9*(((Inputs!$I$9+(((A23)+1)/2)*(Inputs!$J$9-Inputs!$I$9)))/Inputs!$K$9)^2),NA())</x:f>
        <x:v>688.6093749999999</x:v>
      </x:c>
      <x:c r="BD23" s="49"/>
      <x:c r="BE23" s="48" t="n">
        <x:f>A23</x:f>
        <x:v>-0.825</x:v>
      </x:c>
      <x:c r="BF23" s="48" t="n">
        <x:f>0</x:f>
        <x:v>0</x:v>
      </x:c>
      <x:c r="BG23" s="48"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BH23" s="48"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BI23" s="48"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BJ23" s="48"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row>
    <x:row r="24">
      <x:c r="A24" s="48" t="n">
        <x:f>ROUND(-1+22*2/240,3)</x:f>
        <x:v>-0.817</x:v>
      </x:c>
      <x:c r="B24" s="48" t="n">
        <x:f>IF(OR(Inputs!$F$6=TRUE,Inputs!$F$6="TRUE",Inputs!$F$6=1),(Inputs!$H$6+Inputs!$L$6*(((Inputs!$I$6+(((A24)+1)/2)*(Inputs!$J$6-Inputs!$I$6)))/Inputs!$K$6)^2),NA())</x:f>
        <x:v>402.669956</x:v>
      </x:c>
      <x:c r="C24" s="48" t="n">
        <x:f>IF(OR(Inputs!$F$7=TRUE,Inputs!$F$7="TRUE",Inputs!$F$7=1),(Inputs!$H$7+Inputs!$L$7*(((Inputs!$I$7+(((A24)+1)/2)*(Inputs!$J$7-Inputs!$I$7)))/Inputs!$K$7)^2),NA())</x:f>
        <x:v>278.63348499999995</x:v>
      </x:c>
      <x:c r="D24" s="48" t="n">
        <x:f>IF(OR(Inputs!$F$8=TRUE,Inputs!$F$8="TRUE",Inputs!$F$8=1),(Inputs!$H$8+Inputs!$L$8*(((Inputs!$I$8+(((A24)+1)/2)*(Inputs!$J$8-Inputs!$I$8)))/Inputs!$K$8)^2),NA())</x:f>
        <x:v>679.1268849999998</x:v>
      </x:c>
      <x:c r="E24" s="48" t="n">
        <x:f>IF(OR(Inputs!$F$9=TRUE,Inputs!$F$9="TRUE",Inputs!$F$9=1),(Inputs!$H$9+Inputs!$L$9*(((Inputs!$I$9+(((A24)+1)/2)*(Inputs!$J$9-Inputs!$I$9)))/Inputs!$K$9)^2),NA())</x:f>
        <x:v>675.8017749999998</x:v>
      </x:c>
      <x:c r="F24" s="49"/>
      <x:c r="G24" s="48" t="n">
        <x:f>A24</x:f>
        <x:v>-0.817</x:v>
      </x:c>
      <x:c r="H24" s="48"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I24" s="48"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J24" s="48"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K24" s="48"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c r="L24" s="49"/>
      <x:c r="M24" s="48" t="n">
        <x:f>A24</x:f>
        <x:v>-0.817</x:v>
      </x:c>
      <x:c r="N24" s="48" t="n">
        <x: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x:f>
        <x:v>414.8492806008206</x:v>
      </x:c>
      <x:c r="O24" s="48" t="n">
        <x: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x:f>
        <x:v>3008.828233845172</x:v>
      </x:c>
      <x:c r="P24" s="48" t="n">
        <x: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x:f>
        <x:v>3897.826754533973</x:v>
      </x:c>
      <x:c r="Q24" s="48" t="n">
        <x: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x:f>
        <x:v>3921.1874500861995</x:v>
      </x:c>
      <x:c r="R24" s="49"/>
      <x:c r="S24" s="48" t="n">
        <x:f>A24</x:f>
        <x:v>-0.817</x:v>
      </x:c>
      <x:c r="T24" s="48" t="n">
        <x:f>(Inputs!$I$6+(((A24)+1)/2)*(Inputs!$J$6-Inputs!$I$6))</x:f>
        <x:v>-49.019999999999996</x:v>
      </x:c>
      <x:c r="U24" s="48" t="n">
        <x:f>(Inputs!$I$7+(((A24)+1)/2)*(Inputs!$J$7-Inputs!$I$7))</x:f>
        <x:v>-326.79999999999995</x:v>
      </x:c>
      <x:c r="V24" s="48" t="n">
        <x:f>(Inputs!$I$8+(((A24)+1)/2)*(Inputs!$J$8-Inputs!$I$8))</x:f>
        <x:v>-653.5999999999999</x:v>
      </x:c>
      <x:c r="W24" s="48" t="n">
        <x:f>(Inputs!$I$9+(((A24)+1)/2)*(Inputs!$J$9-Inputs!$I$9))</x:f>
        <x:v>-653.5999999999999</x:v>
      </x:c>
      <x:c r="X24" s="49"/>
      <x:c r="Y24" s="48" t="n">
        <x:f>A24</x:f>
        <x:v>-0.817</x:v>
      </x:c>
      <x:c r="Z24" s="48" t="n">
        <x:f>(Inputs!$H$6+Inputs!$L$6*(((Inputs!$I$6+(((A24)+1)/2)*(Inputs!$J$6-Inputs!$I$6)))/Inputs!$K$6)^2)</x:f>
        <x:v>402.669956</x:v>
      </x:c>
      <x:c r="AA24" s="48" t="n">
        <x:f>(Inputs!$H$7+Inputs!$L$7*(((Inputs!$I$7+(((A24)+1)/2)*(Inputs!$J$7-Inputs!$I$7)))/Inputs!$K$7)^2)</x:f>
        <x:v>278.63348499999995</x:v>
      </x:c>
      <x:c r="AB24" s="48" t="n">
        <x:f>(Inputs!$H$8+Inputs!$L$8*(((Inputs!$I$8+(((A24)+1)/2)*(Inputs!$J$8-Inputs!$I$8)))/Inputs!$K$8)^2)</x:f>
        <x:v>679.1268849999998</x:v>
      </x:c>
      <x:c r="AC24" s="48" t="n">
        <x:f>(Inputs!$H$9+Inputs!$L$9*(((Inputs!$I$9+(((A24)+1)/2)*(Inputs!$J$9-Inputs!$I$9)))/Inputs!$K$9)^2)</x:f>
        <x:v>675.8017749999998</x:v>
      </x:c>
      <x:c r="AD24" s="49"/>
      <x:c r="AE24" s="48" t="n">
        <x:f>A24</x:f>
        <x:v>-0.817</x:v>
      </x:c>
      <x:c r="AF24" s="48" t="n">
        <x:f>(((SQRT((Inputs!$C$52+((Inputs!$H$6+Inputs!$L$6*(((Inputs!$I$6+(((A24)+1)/2)*(Inputs!$J$6-Inputs!$I$6)))/Inputs!$K$6)^2)))^2+Inputs!$C$52^2-2*(Inputs!$C$52+((Inputs!$H$6+Inputs!$L$6*(((Inputs!$I$6+(((A24)+1)/2)*(Inputs!$J$6-Inputs!$I$6)))/Inputs!$K$6)^2)))*Inputs!$C$52*COS(SQRT(((Inputs!$I$6+(((A24)+1)/2)*(Inputs!$J$6-Inputs!$I$6)))^2+Inputs!$C$6^2)/Inputs!$C$52)))-((Inputs!$H$6+Inputs!$L$6*(((Inputs!$I$6+(((A24)+1)/2)*(Inputs!$J$6-Inputs!$I$6)))/Inputs!$K$6)^2)))*1000/Inputs!$C$12)</x:f>
        <x:v>2641.525233652918</x:v>
      </x:c>
      <x:c r="AG24" s="48" t="n">
        <x:f>(((SQRT((Inputs!$C$52+((Inputs!$H$7+Inputs!$L$7*(((Inputs!$I$7+(((A24)+1)/2)*(Inputs!$J$7-Inputs!$I$7)))/Inputs!$K$7)^2)))^2+Inputs!$C$52^2-2*(Inputs!$C$52+((Inputs!$H$7+Inputs!$L$7*(((Inputs!$I$7+(((A24)+1)/2)*(Inputs!$J$7-Inputs!$I$7)))/Inputs!$K$7)^2)))*Inputs!$C$52*COS(SQRT(((Inputs!$I$7+(((A24)+1)/2)*(Inputs!$J$7-Inputs!$I$7)))^2+Inputs!$C$6^2)/Inputs!$C$52)))-((Inputs!$H$7+Inputs!$L$7*(((Inputs!$I$7+(((A24)+1)/2)*(Inputs!$J$7-Inputs!$I$7)))/Inputs!$K$7)^2)))*1000/Inputs!$C$12)</x:f>
        <x:v>97066.38832398615</x:v>
      </x:c>
      <x:c r="AH24" s="48" t="n">
        <x:f>(((SQRT((Inputs!$C$52+((Inputs!$H$8+Inputs!$L$8*(((Inputs!$I$8+(((A24)+1)/2)*(Inputs!$J$8-Inputs!$I$8)))/Inputs!$K$8)^2)))^2+Inputs!$C$52^2-2*(Inputs!$C$52+((Inputs!$H$8+Inputs!$L$8*(((Inputs!$I$8+(((A24)+1)/2)*(Inputs!$J$8-Inputs!$I$8)))/Inputs!$K$8)^2)))*Inputs!$C$52*COS(SQRT(((Inputs!$I$8+(((A24)+1)/2)*(Inputs!$J$8-Inputs!$I$8)))^2+Inputs!$C$6^2)/Inputs!$C$52)))-((Inputs!$H$8+Inputs!$L$8*(((Inputs!$I$8+(((A24)+1)/2)*(Inputs!$J$8-Inputs!$I$8)))/Inputs!$K$8)^2)))*1000/Inputs!$C$12)</x:f>
        <x:v>198576.47956055554</x:v>
      </x:c>
      <x:c r="AI24" s="48" t="n">
        <x:f>(((SQRT((Inputs!$C$52+((Inputs!$H$9+Inputs!$L$9*(((Inputs!$I$9+(((A24)+1)/2)*(Inputs!$J$9-Inputs!$I$9)))/Inputs!$K$9)^2)))^2+Inputs!$C$52^2-2*(Inputs!$C$52+((Inputs!$H$9+Inputs!$L$9*(((Inputs!$I$9+(((A24)+1)/2)*(Inputs!$J$9-Inputs!$I$9)))/Inputs!$K$9)^2)))*Inputs!$C$52*COS(SQRT(((Inputs!$I$9+(((A24)+1)/2)*(Inputs!$J$9-Inputs!$I$9)))^2+Inputs!$C$6^2)/Inputs!$C$52)))-((Inputs!$H$9+Inputs!$L$9*(((Inputs!$I$9+(((A24)+1)/2)*(Inputs!$J$9-Inputs!$I$9)))/Inputs!$K$9)^2)))*1000/Inputs!$C$12)</x:f>
        <x:v>198972.7392183715</x:v>
      </x:c>
      <x:c r="AJ24" s="49"/>
      <x:c r="AK24" s="48" t="n">
        <x:f>A24</x:f>
        <x:v>-0.817</x:v>
      </x:c>
      <x:c r="AL24" s="48" t="n">
        <x: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x:f>
        <x:v>414.8492806008206</x:v>
      </x:c>
      <x:c r="AM24" s="48" t="n">
        <x: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x:f>
        <x:v>3008.828233845172</x:v>
      </x:c>
      <x:c r="AN24" s="48" t="n">
        <x: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x:f>
        <x:v>3897.826754533973</x:v>
      </x:c>
      <x:c r="AO24" s="48" t="n">
        <x: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x:f>
        <x:v>3921.1874500861995</x:v>
      </x:c>
      <x:c r="AP24" s="49"/>
      <x:c r="AQ24" s="48" t="n">
        <x:f>A24</x:f>
        <x:v>-0.817</x:v>
      </x:c>
      <x:c r="AR24" s="48" t="n">
        <x:f>0</x:f>
        <x:v>0</x:v>
      </x:c>
      <x:c r="AS24" s="48" t="n">
        <x: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(0.45*SIN(2*PI()*((((Inputs!$I$6+(((A24)+1)/2)*(Inputs!$J$6-Inputs!$I$6)))/Inputs!$C$49)+Inputs!$C$47*0.137))+0.35*COS(2*PI()*(((Inputs!$C$6)/Inputs!$C$50)+Inputs!$C$47*0.173))+0.20*SIN(2*PI()*((((Inputs!$I$6+(((A24)+1)/2)*(Inputs!$J$6-Inputs!$I$6)))+(Inputs!$C$6))/(0.5*(Inputs!$C$49+Inputs!$C$50))+Inputs!$C$47*0.097)))+0.30*(2*((SIN((((Inputs!$I$6+(((A24)+1)/2)*(Inputs!$J$6-Inputs!$I$6)))*12.9898+(Inputs!$C$6)*78.233+Inputs!$C$47*37.719))*43758.5453)-INT((SIN((((Inputs!$I$6+(((A24)+1)/2)*(Inputs!$J$6-Inputs!$I$6)))*12.9898+(Inputs!$C$6)*78.233+Inputs!$C$47*37.719))*43758.5453)))-1))),NA())</x:f>
        <x:v>254.85718956228195</x:v>
      </x:c>
      <x:c r="AT24" s="48" t="n">
        <x: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(0.45*SIN(2*PI()*((((Inputs!$I$7+(((A24)+1)/2)*(Inputs!$J$7-Inputs!$I$7)))/Inputs!$C$49)+Inputs!$C$47*0.137))+0.35*COS(2*PI()*(((Inputs!$C$6)/Inputs!$C$50)+Inputs!$C$47*0.173))+0.20*SIN(2*PI()*((((Inputs!$I$7+(((A24)+1)/2)*(Inputs!$J$7-Inputs!$I$7)))+(Inputs!$C$6))/(0.5*(Inputs!$C$49+Inputs!$C$50))+Inputs!$C$47*0.097)))+0.30*(2*((SIN((((Inputs!$I$7+(((A24)+1)/2)*(Inputs!$J$7-Inputs!$I$7)))*12.9898+(Inputs!$C$6)*78.233+Inputs!$C$47*37.719))*43758.5453)-INT((SIN((((Inputs!$I$7+(((A24)+1)/2)*(Inputs!$J$7-Inputs!$I$7)))*12.9898+(Inputs!$C$6)*78.233+Inputs!$C$47*37.719))*43758.5453)))-1))),NA())</x:f>
        <x:v>82.20330622747613</x:v>
      </x:c>
      <x:c r="AU24" s="48" t="n">
        <x: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(0.45*SIN(2*PI()*((((Inputs!$I$8+(((A24)+1)/2)*(Inputs!$J$8-Inputs!$I$8)))/Inputs!$C$49)+Inputs!$C$47*0.137))+0.35*COS(2*PI()*(((Inputs!$C$6)/Inputs!$C$50)+Inputs!$C$47*0.173))+0.20*SIN(2*PI()*((((Inputs!$I$8+(((A24)+1)/2)*(Inputs!$J$8-Inputs!$I$8)))+(Inputs!$C$6))/(0.5*(Inputs!$C$49+Inputs!$C$50))+Inputs!$C$47*0.097)))+0.30*(2*((SIN((((Inputs!$I$8+(((A24)+1)/2)*(Inputs!$J$8-Inputs!$I$8)))*12.9898+(Inputs!$C$6)*78.233+Inputs!$C$47*37.719))*43758.5453)-INT((SIN((((Inputs!$I$8+(((A24)+1)/2)*(Inputs!$J$8-Inputs!$I$8)))*12.9898+(Inputs!$C$6)*78.233+Inputs!$C$47*37.719))*43758.5453)))-1))),NA())</x:f>
        <x:v>87.26125896711163</x:v>
      </x:c>
      <x:c r="AV24" s="48" t="n">
        <x: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(0.45*SIN(2*PI()*((((Inputs!$I$9+(((A24)+1)/2)*(Inputs!$J$9-Inputs!$I$9)))/Inputs!$C$49)+Inputs!$C$47*0.137))+0.35*COS(2*PI()*(((Inputs!$C$6)/Inputs!$C$50)+Inputs!$C$47*0.173))+0.20*SIN(2*PI()*((((Inputs!$I$9+(((A24)+1)/2)*(Inputs!$J$9-Inputs!$I$9)))+(Inputs!$C$6))/(0.5*(Inputs!$C$49+Inputs!$C$50))+Inputs!$C$47*0.097)))+0.30*(2*((SIN((((Inputs!$I$9+(((A24)+1)/2)*(Inputs!$J$9-Inputs!$I$9)))*12.9898+(Inputs!$C$6)*78.233+Inputs!$C$47*37.719))*43758.5453)-INT((SIN((((Inputs!$I$9+(((A24)+1)/2)*(Inputs!$J$9-Inputs!$I$9)))*12.9898+(Inputs!$C$6)*78.233+Inputs!$C$47*37.719))*43758.5453)))-1))),NA())</x:f>
        <x:v>87.26125896711163</x:v>
      </x:c>
      <x:c r="AW24" s="49"/>
      <x:c r="AX24" s="48" t="n">
        <x:f>A24</x:f>
        <x:v>-0.817</x:v>
      </x:c>
      <x:c r="AY24" s="48" t="n">
        <x:f>0</x:f>
        <x:v>0</x:v>
      </x:c>
      <x:c r="AZ24" s="48" t="n">
        <x:f>IF(OR(Inputs!$F$6=TRUE,Inputs!$F$6="TRUE",Inputs!$F$6=1),(Inputs!$H$6+Inputs!$L$6*(((Inputs!$I$6+(((A24)+1)/2)*(Inputs!$J$6-Inputs!$I$6)))/Inputs!$K$6)^2),NA())</x:f>
        <x:v>402.669956</x:v>
      </x:c>
      <x:c r="BA24" s="48" t="n">
        <x:f>IF(OR(Inputs!$F$7=TRUE,Inputs!$F$7="TRUE",Inputs!$F$7=1),(Inputs!$H$7+Inputs!$L$7*(((Inputs!$I$7+(((A24)+1)/2)*(Inputs!$J$7-Inputs!$I$7)))/Inputs!$K$7)^2),NA())</x:f>
        <x:v>278.63348499999995</x:v>
      </x:c>
      <x:c r="BB24" s="48" t="n">
        <x:f>IF(OR(Inputs!$F$8=TRUE,Inputs!$F$8="TRUE",Inputs!$F$8=1),(Inputs!$H$8+Inputs!$L$8*(((Inputs!$I$8+(((A24)+1)/2)*(Inputs!$J$8-Inputs!$I$8)))/Inputs!$K$8)^2),NA())</x:f>
        <x:v>679.1268849999998</x:v>
      </x:c>
      <x:c r="BC24" s="48" t="n">
        <x:f>IF(OR(Inputs!$F$9=TRUE,Inputs!$F$9="TRUE",Inputs!$F$9=1),(Inputs!$H$9+Inputs!$L$9*(((Inputs!$I$9+(((A24)+1)/2)*(Inputs!$J$9-Inputs!$I$9)))/Inputs!$K$9)^2),NA())</x:f>
        <x:v>675.8017749999998</x:v>
      </x:c>
      <x:c r="BD24" s="49"/>
      <x:c r="BE24" s="48" t="n">
        <x:f>A24</x:f>
        <x:v>-0.817</x:v>
      </x:c>
      <x:c r="BF24" s="48" t="n">
        <x:f>0</x:f>
        <x:v>0</x:v>
      </x:c>
      <x:c r="BG24" s="48"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BH24" s="48"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BI24" s="48"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BJ24" s="48"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row>
    <x:row r="25">
      <x:c r="A25" s="48" t="n">
        <x:f>ROUND(-1+23*2/240,3)</x:f>
        <x:v>-0.808</x:v>
      </x:c>
      <x:c r="B25" s="48" t="n">
        <x:f>IF(OR(Inputs!$F$6=TRUE,Inputs!$F$6="TRUE",Inputs!$F$6=1),(Inputs!$H$6+Inputs!$L$6*(((Inputs!$I$6+(((A25)+1)/2)*(Inputs!$J$6-Inputs!$I$6)))/Inputs!$K$6)^2),NA())</x:f>
        <x:v>402.611456</x:v>
      </x:c>
      <x:c r="C25" s="48" t="n">
        <x:f>IF(OR(Inputs!$F$7=TRUE,Inputs!$F$7="TRUE",Inputs!$F$7=1),(Inputs!$H$7+Inputs!$L$7*(((Inputs!$I$7+(((A25)+1)/2)*(Inputs!$J$7-Inputs!$I$7)))/Inputs!$K$7)^2),NA())</x:f>
        <x:v>273.2953600000001</x:v>
      </x:c>
      <x:c r="D25" s="48" t="n">
        <x:f>IF(OR(Inputs!$F$8=TRUE,Inputs!$F$8="TRUE",Inputs!$F$8=1),(Inputs!$H$8+Inputs!$L$8*(((Inputs!$I$8+(((A25)+1)/2)*(Inputs!$J$8-Inputs!$I$8)))/Inputs!$K$8)^2),NA())</x:f>
        <x:v>665.0137600000002</x:v>
      </x:c>
      <x:c r="E25" s="48" t="n">
        <x:f>IF(OR(Inputs!$F$9=TRUE,Inputs!$F$9="TRUE",Inputs!$F$9=1),(Inputs!$H$9+Inputs!$L$9*(((Inputs!$I$9+(((A25)+1)/2)*(Inputs!$J$9-Inputs!$I$9)))/Inputs!$K$9)^2),NA())</x:f>
        <x:v>661.5424000000003</x:v>
      </x:c>
      <x:c r="F25" s="49"/>
      <x:c r="G25" s="48" t="n">
        <x:f>A25</x:f>
        <x:v>-0.808</x:v>
      </x:c>
      <x:c r="H25" s="48"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I25" s="48"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J25" s="48"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K25" s="48"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c r="L25" s="49"/>
      <x:c r="M25" s="48" t="n">
        <x:f>A25</x:f>
        <x:v>-0.808</x:v>
      </x:c>
      <x:c r="N25" s="48" t="n">
        <x: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x:f>
        <x:v>410.3814628197244</x:v>
      </x:c>
      <x:c r="O25" s="48" t="n">
        <x: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x:f>
        <x:v>2984.803191565089</x:v>
      </x:c>
      <x:c r="P25" s="48" t="n">
        <x: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x:f>
        <x:v>3860.840278559846</x:v>
      </x:c>
      <x:c r="Q25" s="48" t="n">
        <x: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x:f>
        <x:v>3883.662945331171</x:v>
      </x:c>
      <x:c r="R25" s="49"/>
      <x:c r="S25" s="48" t="n">
        <x:f>A25</x:f>
        <x:v>-0.808</x:v>
      </x:c>
      <x:c r="T25" s="48" t="n">
        <x:f>(Inputs!$I$6+(((A25)+1)/2)*(Inputs!$J$6-Inputs!$I$6))</x:f>
        <x:v>-48.480000000000004</x:v>
      </x:c>
      <x:c r="U25" s="48" t="n">
        <x:f>(Inputs!$I$7+(((A25)+1)/2)*(Inputs!$J$7-Inputs!$I$7))</x:f>
        <x:v>-323.20000000000005</x:v>
      </x:c>
      <x:c r="V25" s="48" t="n">
        <x:f>(Inputs!$I$8+(((A25)+1)/2)*(Inputs!$J$8-Inputs!$I$8))</x:f>
        <x:v>-646.4000000000001</x:v>
      </x:c>
      <x:c r="W25" s="48" t="n">
        <x:f>(Inputs!$I$9+(((A25)+1)/2)*(Inputs!$J$9-Inputs!$I$9))</x:f>
        <x:v>-646.4000000000001</x:v>
      </x:c>
      <x:c r="X25" s="49"/>
      <x:c r="Y25" s="48" t="n">
        <x:f>A25</x:f>
        <x:v>-0.808</x:v>
      </x:c>
      <x:c r="Z25" s="48" t="n">
        <x:f>(Inputs!$H$6+Inputs!$L$6*(((Inputs!$I$6+(((A25)+1)/2)*(Inputs!$J$6-Inputs!$I$6)))/Inputs!$K$6)^2)</x:f>
        <x:v>402.611456</x:v>
      </x:c>
      <x:c r="AA25" s="48" t="n">
        <x:f>(Inputs!$H$7+Inputs!$L$7*(((Inputs!$I$7+(((A25)+1)/2)*(Inputs!$J$7-Inputs!$I$7)))/Inputs!$K$7)^2)</x:f>
        <x:v>273.2953600000001</x:v>
      </x:c>
      <x:c r="AB25" s="48" t="n">
        <x:f>(Inputs!$H$8+Inputs!$L$8*(((Inputs!$I$8+(((A25)+1)/2)*(Inputs!$J$8-Inputs!$I$8)))/Inputs!$K$8)^2)</x:f>
        <x:v>665.0137600000002</x:v>
      </x:c>
      <x:c r="AC25" s="48" t="n">
        <x:f>(Inputs!$H$9+Inputs!$L$9*(((Inputs!$I$9+(((A25)+1)/2)*(Inputs!$J$9-Inputs!$I$9)))/Inputs!$K$9)^2)</x:f>
        <x:v>661.5424000000003</x:v>
      </x:c>
      <x:c r="AD25" s="49"/>
      <x:c r="AE25" s="48" t="n">
        <x:f>A25</x:f>
        <x:v>-0.808</x:v>
      </x:c>
      <x:c r="AF25" s="48" t="n">
        <x:f>(((SQRT((Inputs!$C$52+((Inputs!$H$6+Inputs!$L$6*(((Inputs!$I$6+(((A25)+1)/2)*(Inputs!$J$6-Inputs!$I$6)))/Inputs!$K$6)^2)))^2+Inputs!$C$52^2-2*(Inputs!$C$52+((Inputs!$H$6+Inputs!$L$6*(((Inputs!$I$6+(((A25)+1)/2)*(Inputs!$J$6-Inputs!$I$6)))/Inputs!$K$6)^2)))*Inputs!$C$52*COS(SQRT(((Inputs!$I$6+(((A25)+1)/2)*(Inputs!$J$6-Inputs!$I$6)))^2+Inputs!$C$6^2)/Inputs!$C$52)))-((Inputs!$H$6+Inputs!$L$6*(((Inputs!$I$6+(((A25)+1)/2)*(Inputs!$J$6-Inputs!$I$6)))/Inputs!$K$6)^2)))*1000/Inputs!$C$12)</x:f>
        <x:v>2596.155693780772</x:v>
      </x:c>
      <x:c r="AG25" s="48" t="n">
        <x:f>(((SQRT((Inputs!$C$52+((Inputs!$H$7+Inputs!$L$7*(((Inputs!$I$7+(((A25)+1)/2)*(Inputs!$J$7-Inputs!$I$7)))/Inputs!$K$7)^2)))^2+Inputs!$C$52^2-2*(Inputs!$C$52+((Inputs!$H$7+Inputs!$L$7*(((Inputs!$I$7+(((A25)+1)/2)*(Inputs!$J$7-Inputs!$I$7)))/Inputs!$K$7)^2)))*Inputs!$C$52*COS(SQRT(((Inputs!$I$7+(((A25)+1)/2)*(Inputs!$J$7-Inputs!$I$7)))^2+Inputs!$C$6^2)/Inputs!$C$52)))-((Inputs!$H$7+Inputs!$L$7*(((Inputs!$I$7+(((A25)+1)/2)*(Inputs!$J$7-Inputs!$I$7)))/Inputs!$K$7)^2)))*1000/Inputs!$C$12)</x:f>
        <x:v>96277.23651922225</x:v>
      </x:c>
      <x:c r="AH25" s="48" t="n">
        <x:f>(((SQRT((Inputs!$C$52+((Inputs!$H$8+Inputs!$L$8*(((Inputs!$I$8+(((A25)+1)/2)*(Inputs!$J$8-Inputs!$I$8)))/Inputs!$K$8)^2)))^2+Inputs!$C$52^2-2*(Inputs!$C$52+((Inputs!$H$8+Inputs!$L$8*(((Inputs!$I$8+(((A25)+1)/2)*(Inputs!$J$8-Inputs!$I$8)))/Inputs!$K$8)^2)))*Inputs!$C$52*COS(SQRT(((Inputs!$I$8+(((A25)+1)/2)*(Inputs!$J$8-Inputs!$I$8)))^2+Inputs!$C$6^2)/Inputs!$C$52)))-((Inputs!$H$8+Inputs!$L$8*(((Inputs!$I$8+(((A25)+1)/2)*(Inputs!$J$8-Inputs!$I$8)))/Inputs!$K$8)^2)))*1000/Inputs!$C$12)</x:f>
        <x:v>196697.9166515114</x:v>
      </x:c>
      <x:c r="AI25" s="48" t="n">
        <x:f>(((SQRT((Inputs!$C$52+((Inputs!$H$9+Inputs!$L$9*(((Inputs!$I$9+(((A25)+1)/2)*(Inputs!$J$9-Inputs!$I$9)))/Inputs!$K$9)^2)))^2+Inputs!$C$52^2-2*(Inputs!$C$52+((Inputs!$H$9+Inputs!$L$9*(((Inputs!$I$9+(((A25)+1)/2)*(Inputs!$J$9-Inputs!$I$9)))/Inputs!$K$9)^2)))*Inputs!$C$52*COS(SQRT(((Inputs!$I$9+(((A25)+1)/2)*(Inputs!$J$9-Inputs!$I$9)))^2+Inputs!$C$6^2)/Inputs!$C$52)))-((Inputs!$H$9+Inputs!$L$9*(((Inputs!$I$9+(((A25)+1)/2)*(Inputs!$J$9-Inputs!$I$9)))/Inputs!$K$9)^2)))*1000/Inputs!$C$12)</x:f>
        <x:v>197117.96079957776</x:v>
      </x:c>
      <x:c r="AJ25" s="49"/>
      <x:c r="AK25" s="48" t="n">
        <x:f>A25</x:f>
        <x:v>-0.808</x:v>
      </x:c>
      <x:c r="AL25" s="48" t="n">
        <x: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x:f>
        <x:v>410.3814628197244</x:v>
      </x:c>
      <x:c r="AM25" s="48" t="n">
        <x: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x:f>
        <x:v>2984.803191565089</x:v>
      </x:c>
      <x:c r="AN25" s="48" t="n">
        <x: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x:f>
        <x:v>3860.840278559846</x:v>
      </x:c>
      <x:c r="AO25" s="48" t="n">
        <x: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x:f>
        <x:v>3883.662945331171</x:v>
      </x:c>
      <x:c r="AP25" s="49"/>
      <x:c r="AQ25" s="48" t="n">
        <x:f>A25</x:f>
        <x:v>-0.808</x:v>
      </x:c>
      <x:c r="AR25" s="48" t="n">
        <x:f>0</x:f>
        <x:v>0</x:v>
      </x:c>
      <x:c r="AS25" s="48" t="n">
        <x: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(0.45*SIN(2*PI()*((((Inputs!$I$6+(((A25)+1)/2)*(Inputs!$J$6-Inputs!$I$6)))/Inputs!$C$49)+Inputs!$C$47*0.137))+0.35*COS(2*PI()*(((Inputs!$C$6)/Inputs!$C$50)+Inputs!$C$47*0.173))+0.20*SIN(2*PI()*((((Inputs!$I$6+(((A25)+1)/2)*(Inputs!$J$6-Inputs!$I$6)))+(Inputs!$C$6))/(0.5*(Inputs!$C$49+Inputs!$C$50))+Inputs!$C$47*0.097)))+0.30*(2*((SIN((((Inputs!$I$6+(((A25)+1)/2)*(Inputs!$J$6-Inputs!$I$6)))*12.9898+(Inputs!$C$6)*78.233+Inputs!$C$47*37.719))*43758.5453)-INT((SIN((((Inputs!$I$6+(((A25)+1)/2)*(Inputs!$J$6-Inputs!$I$6)))*12.9898+(Inputs!$C$6)*78.233+Inputs!$C$47*37.719))*43758.5453)))-1))),NA())</x:f>
        <x:v>258.8573475716749</x:v>
      </x:c>
      <x:c r="AT25" s="48" t="n">
        <x: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(0.45*SIN(2*PI()*((((Inputs!$I$7+(((A25)+1)/2)*(Inputs!$J$7-Inputs!$I$7)))/Inputs!$C$49)+Inputs!$C$47*0.137))+0.35*COS(2*PI()*(((Inputs!$C$6)/Inputs!$C$50)+Inputs!$C$47*0.173))+0.20*SIN(2*PI()*((((Inputs!$I$7+(((A25)+1)/2)*(Inputs!$J$7-Inputs!$I$7)))+(Inputs!$C$6))/(0.5*(Inputs!$C$49+Inputs!$C$50))+Inputs!$C$47*0.097)))+0.30*(2*((SIN((((Inputs!$I$7+(((A25)+1)/2)*(Inputs!$J$7-Inputs!$I$7)))*12.9898+(Inputs!$C$6)*78.233+Inputs!$C$47*37.719))*43758.5453)-INT((SIN((((Inputs!$I$7+(((A25)+1)/2)*(Inputs!$J$7-Inputs!$I$7)))*12.9898+(Inputs!$C$6)*78.233+Inputs!$C$47*37.719))*43758.5453)))-1))),NA())</x:f>
        <x:v>176.6453495633319</x:v>
      </x:c>
      <x:c r="AU25" s="48" t="n">
        <x: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(0.45*SIN(2*PI()*((((Inputs!$I$8+(((A25)+1)/2)*(Inputs!$J$8-Inputs!$I$8)))/Inputs!$C$49)+Inputs!$C$47*0.137))+0.35*COS(2*PI()*(((Inputs!$C$6)/Inputs!$C$50)+Inputs!$C$47*0.173))+0.20*SIN(2*PI()*((((Inputs!$I$8+(((A25)+1)/2)*(Inputs!$J$8-Inputs!$I$8)))+(Inputs!$C$6))/(0.5*(Inputs!$C$49+Inputs!$C$50))+Inputs!$C$47*0.097)))+0.30*(2*((SIN((((Inputs!$I$8+(((A25)+1)/2)*(Inputs!$J$8-Inputs!$I$8)))*12.9898+(Inputs!$C$6)*78.233+Inputs!$C$47*37.719))*43758.5453)-INT((SIN((((Inputs!$I$8+(((A25)+1)/2)*(Inputs!$J$8-Inputs!$I$8)))*12.9898+(Inputs!$C$6)*78.233+Inputs!$C$47*37.719))*43758.5453)))-1))),NA())</x:f>
        <x:v>149.74219201112138</x:v>
      </x:c>
      <x:c r="AV25" s="48" t="n">
        <x: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(0.45*SIN(2*PI()*((((Inputs!$I$9+(((A25)+1)/2)*(Inputs!$J$9-Inputs!$I$9)))/Inputs!$C$49)+Inputs!$C$47*0.137))+0.35*COS(2*PI()*(((Inputs!$C$6)/Inputs!$C$50)+Inputs!$C$47*0.173))+0.20*SIN(2*PI()*((((Inputs!$I$9+(((A25)+1)/2)*(Inputs!$J$9-Inputs!$I$9)))+(Inputs!$C$6))/(0.5*(Inputs!$C$49+Inputs!$C$50))+Inputs!$C$47*0.097)))+0.30*(2*((SIN((((Inputs!$I$9+(((A25)+1)/2)*(Inputs!$J$9-Inputs!$I$9)))*12.9898+(Inputs!$C$6)*78.233+Inputs!$C$47*37.719))*43758.5453)-INT((SIN((((Inputs!$I$9+(((A25)+1)/2)*(Inputs!$J$9-Inputs!$I$9)))*12.9898+(Inputs!$C$6)*78.233+Inputs!$C$47*37.719))*43758.5453)))-1))),NA())</x:f>
        <x:v>149.74219201112138</x:v>
      </x:c>
      <x:c r="AW25" s="49"/>
      <x:c r="AX25" s="48" t="n">
        <x:f>A25</x:f>
        <x:v>-0.808</x:v>
      </x:c>
      <x:c r="AY25" s="48" t="n">
        <x:f>0</x:f>
        <x:v>0</x:v>
      </x:c>
      <x:c r="AZ25" s="48" t="n">
        <x:f>IF(OR(Inputs!$F$6=TRUE,Inputs!$F$6="TRUE",Inputs!$F$6=1),(Inputs!$H$6+Inputs!$L$6*(((Inputs!$I$6+(((A25)+1)/2)*(Inputs!$J$6-Inputs!$I$6)))/Inputs!$K$6)^2),NA())</x:f>
        <x:v>402.611456</x:v>
      </x:c>
      <x:c r="BA25" s="48" t="n">
        <x:f>IF(OR(Inputs!$F$7=TRUE,Inputs!$F$7="TRUE",Inputs!$F$7=1),(Inputs!$H$7+Inputs!$L$7*(((Inputs!$I$7+(((A25)+1)/2)*(Inputs!$J$7-Inputs!$I$7)))/Inputs!$K$7)^2),NA())</x:f>
        <x:v>273.2953600000001</x:v>
      </x:c>
      <x:c r="BB25" s="48" t="n">
        <x:f>IF(OR(Inputs!$F$8=TRUE,Inputs!$F$8="TRUE",Inputs!$F$8=1),(Inputs!$H$8+Inputs!$L$8*(((Inputs!$I$8+(((A25)+1)/2)*(Inputs!$J$8-Inputs!$I$8)))/Inputs!$K$8)^2),NA())</x:f>
        <x:v>665.0137600000002</x:v>
      </x:c>
      <x:c r="BC25" s="48" t="n">
        <x:f>IF(OR(Inputs!$F$9=TRUE,Inputs!$F$9="TRUE",Inputs!$F$9=1),(Inputs!$H$9+Inputs!$L$9*(((Inputs!$I$9+(((A25)+1)/2)*(Inputs!$J$9-Inputs!$I$9)))/Inputs!$K$9)^2),NA())</x:f>
        <x:v>661.5424000000003</x:v>
      </x:c>
      <x:c r="BD25" s="49"/>
      <x:c r="BE25" s="48" t="n">
        <x:f>A25</x:f>
        <x:v>-0.808</x:v>
      </x:c>
      <x:c r="BF25" s="48" t="n">
        <x:f>0</x:f>
        <x:v>0</x:v>
      </x:c>
      <x:c r="BG25" s="48"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BH25" s="48"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BI25" s="48"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BJ25" s="48"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row>
    <x:row r="26">
      <x:c r="A26" s="48" t="n">
        <x:f>ROUND(-1+24*2/240,3)</x:f>
        <x:v>-0.8</x:v>
      </x:c>
      <x:c r="B26" s="48" t="n">
        <x:f>IF(OR(Inputs!$F$6=TRUE,Inputs!$F$6="TRUE",Inputs!$F$6=1),(Inputs!$H$6+Inputs!$L$6*(((Inputs!$I$6+(((A26)+1)/2)*(Inputs!$J$6-Inputs!$I$6)))/Inputs!$K$6)^2),NA())</x:f>
        <x:v>402.56</x:v>
      </x:c>
      <x:c r="C26" s="48" t="n">
        <x:f>IF(OR(Inputs!$F$7=TRUE,Inputs!$F$7="TRUE",Inputs!$F$7=1),(Inputs!$H$7+Inputs!$L$7*(((Inputs!$I$7+(((A26)+1)/2)*(Inputs!$J$7-Inputs!$I$7)))/Inputs!$K$7)^2),NA())</x:f>
        <x:v>268.6</x:v>
      </x:c>
      <x:c r="D26" s="48" t="n">
        <x:f>IF(OR(Inputs!$F$8=TRUE,Inputs!$F$8="TRUE",Inputs!$F$8=1),(Inputs!$H$8+Inputs!$L$8*(((Inputs!$I$8+(((A26)+1)/2)*(Inputs!$J$8-Inputs!$I$8)))/Inputs!$K$8)^2),NA())</x:f>
        <x:v>652.6000000000001</x:v>
      </x:c>
      <x:c r="E26" s="48" t="n">
        <x:f>IF(OR(Inputs!$F$9=TRUE,Inputs!$F$9="TRUE",Inputs!$F$9=1),(Inputs!$H$9+Inputs!$L$9*(((Inputs!$I$9+(((A26)+1)/2)*(Inputs!$J$9-Inputs!$I$9)))/Inputs!$K$9)^2),NA())</x:f>
        <x:v>649.0000000000001</x:v>
      </x:c>
      <x:c r="F26" s="49"/>
      <x:c r="G26" s="48" t="n">
        <x:f>A26</x:f>
        <x:v>-0.8</x:v>
      </x:c>
      <x:c r="H26" s="48"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I26" s="48"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J26" s="48"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K26" s="48"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c r="L26" s="49"/>
      <x:c r="M26" s="48" t="n">
        <x:f>A26</x:f>
        <x:v>-0.8</x:v>
      </x:c>
      <x:c r="N26" s="48" t="n">
        <x: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x:f>
        <x:v>406.4073047616004</x:v>
      </x:c>
      <x:c r="O26" s="48" t="n">
        <x: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x:f>
        <x:v>2963.5385814710517</x:v>
      </x:c>
      <x:c r="P26" s="48" t="n">
        <x: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x:f>
        <x:v>3828.040426432185</x:v>
      </x:c>
      <x:c r="Q26" s="48" t="n">
        <x: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x:f>
        <x:v>3850.382510793804</x:v>
      </x:c>
      <x:c r="R26" s="49"/>
      <x:c r="S26" s="48" t="n">
        <x:f>A26</x:f>
        <x:v>-0.8</x:v>
      </x:c>
      <x:c r="T26" s="48" t="n">
        <x:f>(Inputs!$I$6+(((A26)+1)/2)*(Inputs!$J$6-Inputs!$I$6))</x:f>
        <x:v>-48</x:v>
      </x:c>
      <x:c r="U26" s="48" t="n">
        <x:f>(Inputs!$I$7+(((A26)+1)/2)*(Inputs!$J$7-Inputs!$I$7))</x:f>
        <x:v>-320</x:v>
      </x:c>
      <x:c r="V26" s="48" t="n">
        <x:f>(Inputs!$I$8+(((A26)+1)/2)*(Inputs!$J$8-Inputs!$I$8))</x:f>
        <x:v>-640</x:v>
      </x:c>
      <x:c r="W26" s="48" t="n">
        <x:f>(Inputs!$I$9+(((A26)+1)/2)*(Inputs!$J$9-Inputs!$I$9))</x:f>
        <x:v>-640</x:v>
      </x:c>
      <x:c r="X26" s="49"/>
      <x:c r="Y26" s="48" t="n">
        <x:f>A26</x:f>
        <x:v>-0.8</x:v>
      </x:c>
      <x:c r="Z26" s="48" t="n">
        <x:f>(Inputs!$H$6+Inputs!$L$6*(((Inputs!$I$6+(((A26)+1)/2)*(Inputs!$J$6-Inputs!$I$6)))/Inputs!$K$6)^2)</x:f>
        <x:v>402.56</x:v>
      </x:c>
      <x:c r="AA26" s="48" t="n">
        <x:f>(Inputs!$H$7+Inputs!$L$7*(((Inputs!$I$7+(((A26)+1)/2)*(Inputs!$J$7-Inputs!$I$7)))/Inputs!$K$7)^2)</x:f>
        <x:v>268.6</x:v>
      </x:c>
      <x:c r="AB26" s="48" t="n">
        <x:f>(Inputs!$H$8+Inputs!$L$8*(((Inputs!$I$8+(((A26)+1)/2)*(Inputs!$J$8-Inputs!$I$8)))/Inputs!$K$8)^2)</x:f>
        <x:v>652.6000000000001</x:v>
      </x:c>
      <x:c r="AC26" s="48" t="n">
        <x:f>(Inputs!$H$9+Inputs!$L$9*(((Inputs!$I$9+(((A26)+1)/2)*(Inputs!$J$9-Inputs!$I$9)))/Inputs!$K$9)^2)</x:f>
        <x:v>649.0000000000001</x:v>
      </x:c>
      <x:c r="AD26" s="49"/>
      <x:c r="AE26" s="48" t="n">
        <x:f>A26</x:f>
        <x:v>-0.8</x:v>
      </x:c>
      <x:c r="AF26" s="48" t="n">
        <x:f>(((SQRT((Inputs!$C$52+((Inputs!$H$6+Inputs!$L$6*(((Inputs!$I$6+(((A26)+1)/2)*(Inputs!$J$6-Inputs!$I$6)))/Inputs!$K$6)^2)))^2+Inputs!$C$52^2-2*(Inputs!$C$52+((Inputs!$H$6+Inputs!$L$6*(((Inputs!$I$6+(((A26)+1)/2)*(Inputs!$J$6-Inputs!$I$6)))/Inputs!$K$6)^2)))*Inputs!$C$52*COS(SQRT(((Inputs!$I$6+(((A26)+1)/2)*(Inputs!$J$6-Inputs!$I$6)))^2+Inputs!$C$6^2)/Inputs!$C$52)))-((Inputs!$H$6+Inputs!$L$6*(((Inputs!$I$6+(((A26)+1)/2)*(Inputs!$J$6-Inputs!$I$6)))/Inputs!$K$6)^2)))*1000/Inputs!$C$12)</x:f>
        <x:v>2556.233008450807</x:v>
      </x:c>
      <x:c r="AG26" s="48" t="n">
        <x:f>(((SQRT((Inputs!$C$52+((Inputs!$H$7+Inputs!$L$7*(((Inputs!$I$7+(((A26)+1)/2)*(Inputs!$J$7-Inputs!$I$7)))/Inputs!$K$7)^2)))^2+Inputs!$C$52^2-2*(Inputs!$C$52+((Inputs!$H$7+Inputs!$L$7*(((Inputs!$I$7+(((A26)+1)/2)*(Inputs!$J$7-Inputs!$I$7)))/Inputs!$K$7)^2)))*Inputs!$C$52*COS(SQRT(((Inputs!$I$7+(((A26)+1)/2)*(Inputs!$J$7-Inputs!$I$7)))^2+Inputs!$C$6^2)/Inputs!$C$52)))-((Inputs!$H$7+Inputs!$L$7*(((Inputs!$I$7+(((A26)+1)/2)*(Inputs!$J$7-Inputs!$I$7)))/Inputs!$K$7)^2)))*1000/Inputs!$C$12)</x:f>
        <x:v>95573.32226658681</x:v>
      </x:c>
      <x:c r="AH26" s="48" t="n">
        <x:f>(((SQRT((Inputs!$C$52+((Inputs!$H$8+Inputs!$L$8*(((Inputs!$I$8+(((A26)+1)/2)*(Inputs!$J$8-Inputs!$I$8)))/Inputs!$K$8)^2)))^2+Inputs!$C$52^2-2*(Inputs!$C$52+((Inputs!$H$8+Inputs!$L$8*(((Inputs!$I$8+(((A26)+1)/2)*(Inputs!$J$8-Inputs!$I$8)))/Inputs!$K$8)^2)))*Inputs!$C$52*COS(SQRT(((Inputs!$I$8+(((A26)+1)/2)*(Inputs!$J$8-Inputs!$I$8)))^2+Inputs!$C$6^2)/Inputs!$C$52)))-((Inputs!$H$8+Inputs!$L$8*(((Inputs!$I$8+(((A26)+1)/2)*(Inputs!$J$8-Inputs!$I$8)))/Inputs!$K$8)^2)))*1000/Inputs!$C$12)</x:f>
        <x:v>195032.76112378715</x:v>
      </x:c>
      <x:c r="AI26" s="48" t="n">
        <x:f>(((SQRT((Inputs!$C$52+((Inputs!$H$9+Inputs!$L$9*(((Inputs!$I$9+(((A26)+1)/2)*(Inputs!$J$9-Inputs!$I$9)))/Inputs!$K$9)^2)))^2+Inputs!$C$52^2-2*(Inputs!$C$52+((Inputs!$H$9+Inputs!$L$9*(((Inputs!$I$9+(((A26)+1)/2)*(Inputs!$J$9-Inputs!$I$9)))/Inputs!$K$9)^2)))*Inputs!$C$52*COS(SQRT(((Inputs!$I$9+(((A26)+1)/2)*(Inputs!$J$9-Inputs!$I$9)))^2+Inputs!$C$6^2)/Inputs!$C$52)))-((Inputs!$H$9+Inputs!$L$9*(((Inputs!$I$9+(((A26)+1)/2)*(Inputs!$J$9-Inputs!$I$9)))/Inputs!$K$9)^2)))*1000/Inputs!$C$12)</x:f>
        <x:v>195474.32761168503</x:v>
      </x:c>
      <x:c r="AJ26" s="49"/>
      <x:c r="AK26" s="48" t="n">
        <x:f>A26</x:f>
        <x:v>-0.8</x:v>
      </x:c>
      <x:c r="AL26" s="48" t="n">
        <x: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x:f>
        <x:v>406.4073047616004</x:v>
      </x:c>
      <x:c r="AM26" s="48" t="n">
        <x: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x:f>
        <x:v>2963.5385814710517</x:v>
      </x:c>
      <x:c r="AN26" s="48" t="n">
        <x: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x:f>
        <x:v>3828.040426432185</x:v>
      </x:c>
      <x:c r="AO26" s="48" t="n">
        <x: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x:f>
        <x:v>3850.382510793804</x:v>
      </x:c>
      <x:c r="AP26" s="49"/>
      <x:c r="AQ26" s="48" t="n">
        <x:f>A26</x:f>
        <x:v>-0.8</x:v>
      </x:c>
      <x:c r="AR26" s="48" t="n">
        <x:f>0</x:f>
        <x:v>0</x:v>
      </x:c>
      <x:c r="AS26" s="48" t="n">
        <x: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(0.45*SIN(2*PI()*((((Inputs!$I$6+(((A26)+1)/2)*(Inputs!$J$6-Inputs!$I$6)))/Inputs!$C$49)+Inputs!$C$47*0.137))+0.35*COS(2*PI()*(((Inputs!$C$6)/Inputs!$C$50)+Inputs!$C$47*0.173))+0.20*SIN(2*PI()*((((Inputs!$I$6+(((A26)+1)/2)*(Inputs!$J$6-Inputs!$I$6)))+(Inputs!$C$6))/(0.5*(Inputs!$C$49+Inputs!$C$50))+Inputs!$C$47*0.097)))+0.30*(2*((SIN((((Inputs!$I$6+(((A26)+1)/2)*(Inputs!$J$6-Inputs!$I$6)))*12.9898+(Inputs!$C$6)*78.233+Inputs!$C$47*37.719))*43758.5453)-INT((SIN((((Inputs!$I$6+(((A26)+1)/2)*(Inputs!$J$6-Inputs!$I$6)))*12.9898+(Inputs!$C$6)*78.233+Inputs!$C$47*37.719))*43758.5453)))-1))),NA())</x:f>
        <x:v>253.6370227527636</x:v>
      </x:c>
      <x:c r="AT26" s="48" t="n">
        <x: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(0.45*SIN(2*PI()*((((Inputs!$I$7+(((A26)+1)/2)*(Inputs!$J$7-Inputs!$I$7)))/Inputs!$C$49)+Inputs!$C$47*0.137))+0.35*COS(2*PI()*(((Inputs!$C$6)/Inputs!$C$50)+Inputs!$C$47*0.173))+0.20*SIN(2*PI()*((((Inputs!$I$7+(((A26)+1)/2)*(Inputs!$J$7-Inputs!$I$7)))+(Inputs!$C$6))/(0.5*(Inputs!$C$49+Inputs!$C$50))+Inputs!$C$47*0.097)))+0.30*(2*((SIN((((Inputs!$I$7+(((A26)+1)/2)*(Inputs!$J$7-Inputs!$I$7)))*12.9898+(Inputs!$C$6)*78.233+Inputs!$C$47*37.719))*43758.5453)-INT((SIN((((Inputs!$I$7+(((A26)+1)/2)*(Inputs!$J$7-Inputs!$I$7)))*12.9898+(Inputs!$C$6)*78.233+Inputs!$C$47*37.719))*43758.5453)))-1))),NA())</x:f>
        <x:v>230.83673823808448</x:v>
      </x:c>
      <x:c r="AU26" s="48" t="n">
        <x: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(0.45*SIN(2*PI()*((((Inputs!$I$8+(((A26)+1)/2)*(Inputs!$J$8-Inputs!$I$8)))/Inputs!$C$49)+Inputs!$C$47*0.137))+0.35*COS(2*PI()*(((Inputs!$C$6)/Inputs!$C$50)+Inputs!$C$47*0.173))+0.20*SIN(2*PI()*((((Inputs!$I$8+(((A26)+1)/2)*(Inputs!$J$8-Inputs!$I$8)))+(Inputs!$C$6))/(0.5*(Inputs!$C$49+Inputs!$C$50))+Inputs!$C$47*0.097)))+0.30*(2*((SIN((((Inputs!$I$8+(((A26)+1)/2)*(Inputs!$J$8-Inputs!$I$8)))*12.9898+(Inputs!$C$6)*78.233+Inputs!$C$47*37.719))*43758.5453)-INT((SIN((((Inputs!$I$8+(((A26)+1)/2)*(Inputs!$J$8-Inputs!$I$8)))*12.9898+(Inputs!$C$6)*78.233+Inputs!$C$47*37.719))*43758.5453)))-1))),NA())</x:f>
        <x:v>136.6792647027118</x:v>
      </x:c>
      <x:c r="AV26" s="48" t="n">
        <x: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(0.45*SIN(2*PI()*((((Inputs!$I$9+(((A26)+1)/2)*(Inputs!$J$9-Inputs!$I$9)))/Inputs!$C$49)+Inputs!$C$47*0.137))+0.35*COS(2*PI()*(((Inputs!$C$6)/Inputs!$C$50)+Inputs!$C$47*0.173))+0.20*SIN(2*PI()*((((Inputs!$I$9+(((A26)+1)/2)*(Inputs!$J$9-Inputs!$I$9)))+(Inputs!$C$6))/(0.5*(Inputs!$C$49+Inputs!$C$50))+Inputs!$C$47*0.097)))+0.30*(2*((SIN((((Inputs!$I$9+(((A26)+1)/2)*(Inputs!$J$9-Inputs!$I$9)))*12.9898+(Inputs!$C$6)*78.233+Inputs!$C$47*37.719))*43758.5453)-INT((SIN((((Inputs!$I$9+(((A26)+1)/2)*(Inputs!$J$9-Inputs!$I$9)))*12.9898+(Inputs!$C$6)*78.233+Inputs!$C$47*37.719))*43758.5453)))-1))),NA())</x:f>
        <x:v>136.6792647027118</x:v>
      </x:c>
      <x:c r="AW26" s="49"/>
      <x:c r="AX26" s="48" t="n">
        <x:f>A26</x:f>
        <x:v>-0.8</x:v>
      </x:c>
      <x:c r="AY26" s="48" t="n">
        <x:f>0</x:f>
        <x:v>0</x:v>
      </x:c>
      <x:c r="AZ26" s="48" t="n">
        <x:f>IF(OR(Inputs!$F$6=TRUE,Inputs!$F$6="TRUE",Inputs!$F$6=1),(Inputs!$H$6+Inputs!$L$6*(((Inputs!$I$6+(((A26)+1)/2)*(Inputs!$J$6-Inputs!$I$6)))/Inputs!$K$6)^2),NA())</x:f>
        <x:v>402.56</x:v>
      </x:c>
      <x:c r="BA26" s="48" t="n">
        <x:f>IF(OR(Inputs!$F$7=TRUE,Inputs!$F$7="TRUE",Inputs!$F$7=1),(Inputs!$H$7+Inputs!$L$7*(((Inputs!$I$7+(((A26)+1)/2)*(Inputs!$J$7-Inputs!$I$7)))/Inputs!$K$7)^2),NA())</x:f>
        <x:v>268.6</x:v>
      </x:c>
      <x:c r="BB26" s="48" t="n">
        <x:f>IF(OR(Inputs!$F$8=TRUE,Inputs!$F$8="TRUE",Inputs!$F$8=1),(Inputs!$H$8+Inputs!$L$8*(((Inputs!$I$8+(((A26)+1)/2)*(Inputs!$J$8-Inputs!$I$8)))/Inputs!$K$8)^2),NA())</x:f>
        <x:v>652.6000000000001</x:v>
      </x:c>
      <x:c r="BC26" s="48" t="n">
        <x:f>IF(OR(Inputs!$F$9=TRUE,Inputs!$F$9="TRUE",Inputs!$F$9=1),(Inputs!$H$9+Inputs!$L$9*(((Inputs!$I$9+(((A26)+1)/2)*(Inputs!$J$9-Inputs!$I$9)))/Inputs!$K$9)^2),NA())</x:f>
        <x:v>649.0000000000001</x:v>
      </x:c>
      <x:c r="BD26" s="49"/>
      <x:c r="BE26" s="48" t="n">
        <x:f>A26</x:f>
        <x:v>-0.8</x:v>
      </x:c>
      <x:c r="BF26" s="48" t="n">
        <x:f>0</x:f>
        <x:v>0</x:v>
      </x:c>
      <x:c r="BG26" s="48"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BH26" s="48"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BI26" s="48"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BJ26" s="48"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row>
    <x:row r="27">
      <x:c r="A27" s="48" t="n">
        <x:f>ROUND(-1+25*2/240,3)</x:f>
        <x:v>-0.792</x:v>
      </x:c>
      <x:c r="B27" s="48" t="n">
        <x:f>IF(OR(Inputs!$F$6=TRUE,Inputs!$F$6="TRUE",Inputs!$F$6=1),(Inputs!$H$6+Inputs!$L$6*(((Inputs!$I$6+(((A27)+1)/2)*(Inputs!$J$6-Inputs!$I$6)))/Inputs!$K$6)^2),NA())</x:f>
        <x:v>402.509056</x:v>
      </x:c>
      <x:c r="C27" s="48" t="n">
        <x:f>IF(OR(Inputs!$F$7=TRUE,Inputs!$F$7="TRUE",Inputs!$F$7=1),(Inputs!$H$7+Inputs!$L$7*(((Inputs!$I$7+(((A27)+1)/2)*(Inputs!$J$7-Inputs!$I$7)))/Inputs!$K$7)^2),NA())</x:f>
        <x:v>263.95136</x:v>
      </x:c>
      <x:c r="D27" s="48" t="n">
        <x:f>IF(OR(Inputs!$F$8=TRUE,Inputs!$F$8="TRUE",Inputs!$F$8=1),(Inputs!$H$8+Inputs!$L$8*(((Inputs!$I$8+(((A27)+1)/2)*(Inputs!$J$8-Inputs!$I$8)))/Inputs!$K$8)^2),NA())</x:f>
        <x:v>640.3097600000001</x:v>
      </x:c>
      <x:c r="E27" s="48" t="n">
        <x:f>IF(OR(Inputs!$F$9=TRUE,Inputs!$F$9="TRUE",Inputs!$F$9=1),(Inputs!$H$9+Inputs!$L$9*(((Inputs!$I$9+(((A27)+1)/2)*(Inputs!$J$9-Inputs!$I$9)))/Inputs!$K$9)^2),NA())</x:f>
        <x:v>636.5824</x:v>
      </x:c>
      <x:c r="F27" s="49"/>
      <x:c r="G27" s="48" t="n">
        <x:f>A27</x:f>
        <x:v>-0.792</x:v>
      </x:c>
      <x:c r="H27" s="48"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I27" s="48"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J27" s="48"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K27" s="48"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c r="L27" s="49"/>
      <x:c r="M27" s="48" t="n">
        <x:f>A27</x:f>
        <x:v>-0.792</x:v>
      </x:c>
      <x:c r="N27" s="48" t="n">
        <x: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x:f>
        <x:v>402.4305676234682</x:v>
      </x:c>
      <x:c r="O27" s="48" t="n">
        <x: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x:f>
        <x:v>2942.3611247321705</x:v>
      </x:c>
      <x:c r="P27" s="48" t="n">
        <x: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x:f>
        <x:v>3795.3154414561336</x:v>
      </x:c>
      <x:c r="Q27" s="48" t="n">
        <x: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x:f>
        <x:v>3817.1747446909817</x:v>
      </x:c>
      <x:c r="R27" s="49"/>
      <x:c r="S27" s="48" t="n">
        <x:f>A27</x:f>
        <x:v>-0.792</x:v>
      </x:c>
      <x:c r="T27" s="48" t="n">
        <x:f>(Inputs!$I$6+(((A27)+1)/2)*(Inputs!$J$6-Inputs!$I$6))</x:f>
        <x:v>-47.52</x:v>
      </x:c>
      <x:c r="U27" s="48" t="n">
        <x:f>(Inputs!$I$7+(((A27)+1)/2)*(Inputs!$J$7-Inputs!$I$7))</x:f>
        <x:v>-316.8</x:v>
      </x:c>
      <x:c r="V27" s="48" t="n">
        <x:f>(Inputs!$I$8+(((A27)+1)/2)*(Inputs!$J$8-Inputs!$I$8))</x:f>
        <x:v>-633.6</x:v>
      </x:c>
      <x:c r="W27" s="48" t="n">
        <x:f>(Inputs!$I$9+(((A27)+1)/2)*(Inputs!$J$9-Inputs!$I$9))</x:f>
        <x:v>-633.6</x:v>
      </x:c>
      <x:c r="X27" s="49"/>
      <x:c r="Y27" s="48" t="n">
        <x:f>A27</x:f>
        <x:v>-0.792</x:v>
      </x:c>
      <x:c r="Z27" s="48" t="n">
        <x:f>(Inputs!$H$6+Inputs!$L$6*(((Inputs!$I$6+(((A27)+1)/2)*(Inputs!$J$6-Inputs!$I$6)))/Inputs!$K$6)^2)</x:f>
        <x:v>402.509056</x:v>
      </x:c>
      <x:c r="AA27" s="48" t="n">
        <x:f>(Inputs!$H$7+Inputs!$L$7*(((Inputs!$I$7+(((A27)+1)/2)*(Inputs!$J$7-Inputs!$I$7)))/Inputs!$K$7)^2)</x:f>
        <x:v>263.95136</x:v>
      </x:c>
      <x:c r="AB27" s="48" t="n">
        <x:f>(Inputs!$H$8+Inputs!$L$8*(((Inputs!$I$8+(((A27)+1)/2)*(Inputs!$J$8-Inputs!$I$8)))/Inputs!$K$8)^2)</x:f>
        <x:v>640.3097600000001</x:v>
      </x:c>
      <x:c r="AC27" s="48" t="n">
        <x:f>(Inputs!$H$9+Inputs!$L$9*(((Inputs!$I$9+(((A27)+1)/2)*(Inputs!$J$9-Inputs!$I$9)))/Inputs!$K$9)^2)</x:f>
        <x:v>636.5824</x:v>
      </x:c>
      <x:c r="AD27" s="49"/>
      <x:c r="AE27" s="48" t="n">
        <x:f>A27</x:f>
        <x:v>-0.792</x:v>
      </x:c>
      <x:c r="AF27" s="48" t="n">
        <x:f>(((SQRT((Inputs!$C$52+((Inputs!$H$6+Inputs!$L$6*(((Inputs!$I$6+(((A27)+1)/2)*(Inputs!$J$6-Inputs!$I$6)))/Inputs!$K$6)^2)))^2+Inputs!$C$52^2-2*(Inputs!$C$52+((Inputs!$H$6+Inputs!$L$6*(((Inputs!$I$6+(((A27)+1)/2)*(Inputs!$J$6-Inputs!$I$6)))/Inputs!$K$6)^2)))*Inputs!$C$52*COS(SQRT(((Inputs!$I$6+(((A27)+1)/2)*(Inputs!$J$6-Inputs!$I$6)))^2+Inputs!$C$6^2)/Inputs!$C$52)))-((Inputs!$H$6+Inputs!$L$6*(((Inputs!$I$6+(((A27)+1)/2)*(Inputs!$J$6-Inputs!$I$6)))/Inputs!$K$6)^2)))*1000/Inputs!$C$12)</x:f>
        <x:v>2516.6927022358927</x:v>
      </x:c>
      <x:c r="AG27" s="48" t="n">
        <x:f>(((SQRT((Inputs!$C$52+((Inputs!$H$7+Inputs!$L$7*(((Inputs!$I$7+(((A27)+1)/2)*(Inputs!$J$7-Inputs!$I$7)))/Inputs!$K$7)^2)))^2+Inputs!$C$52^2-2*(Inputs!$C$52+((Inputs!$H$7+Inputs!$L$7*(((Inputs!$I$7+(((A27)+1)/2)*(Inputs!$J$7-Inputs!$I$7)))/Inputs!$K$7)^2)))*Inputs!$C$52*COS(SQRT(((Inputs!$I$7+(((A27)+1)/2)*(Inputs!$J$7-Inputs!$I$7)))^2+Inputs!$C$6^2)/Inputs!$C$52)))-((Inputs!$H$7+Inputs!$L$7*(((Inputs!$I$7+(((A27)+1)/2)*(Inputs!$J$7-Inputs!$I$7)))/Inputs!$K$7)^2)))*1000/Inputs!$C$12)</x:f>
        <x:v>94867.00481818935</x:v>
      </x:c>
      <x:c r="AH27" s="48" t="n">
        <x:f>(((SQRT((Inputs!$C$52+((Inputs!$H$8+Inputs!$L$8*(((Inputs!$I$8+(((A27)+1)/2)*(Inputs!$J$8-Inputs!$I$8)))/Inputs!$K$8)^2)))^2+Inputs!$C$52^2-2*(Inputs!$C$52+((Inputs!$H$8+Inputs!$L$8*(((Inputs!$I$8+(((A27)+1)/2)*(Inputs!$J$8-Inputs!$I$8)))/Inputs!$K$8)^2)))*Inputs!$C$52*COS(SQRT(((Inputs!$I$8+(((A27)+1)/2)*(Inputs!$J$8-Inputs!$I$8)))^2+Inputs!$C$6^2)/Inputs!$C$52)))-((Inputs!$H$8+Inputs!$L$8*(((Inputs!$I$8+(((A27)+1)/2)*(Inputs!$J$8-Inputs!$I$8)))/Inputs!$K$8)^2)))*1000/Inputs!$C$12)</x:f>
        <x:v>193371.8361842954</x:v>
      </x:c>
      <x:c r="AI27" s="48" t="n">
        <x:f>(((SQRT((Inputs!$C$52+((Inputs!$H$9+Inputs!$L$9*(((Inputs!$I$9+(((A27)+1)/2)*(Inputs!$J$9-Inputs!$I$9)))/Inputs!$K$9)^2)))^2+Inputs!$C$52^2-2*(Inputs!$C$52+((Inputs!$H$9+Inputs!$L$9*(((Inputs!$I$9+(((A27)+1)/2)*(Inputs!$J$9-Inputs!$I$9)))/Inputs!$K$9)^2)))*Inputs!$C$52*COS(SQRT(((Inputs!$I$9+(((A27)+1)/2)*(Inputs!$J$9-Inputs!$I$9)))^2+Inputs!$C$6^2)/Inputs!$C$52)))-((Inputs!$H$9+Inputs!$L$9*(((Inputs!$I$9+(((A27)+1)/2)*(Inputs!$J$9-Inputs!$I$9)))/Inputs!$K$9)^2)))*1000/Inputs!$C$12)</x:f>
        <x:v>193835.28834182132</x:v>
      </x:c>
      <x:c r="AJ27" s="49"/>
      <x:c r="AK27" s="48" t="n">
        <x:f>A27</x:f>
        <x:v>-0.792</x:v>
      </x:c>
      <x:c r="AL27" s="48" t="n">
        <x: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x:f>
        <x:v>402.4305676234682</x:v>
      </x:c>
      <x:c r="AM27" s="48" t="n">
        <x: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x:f>
        <x:v>2942.3611247321705</x:v>
      </x:c>
      <x:c r="AN27" s="48" t="n">
        <x: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x:f>
        <x:v>3795.3154414561336</x:v>
      </x:c>
      <x:c r="AO27" s="48" t="n">
        <x: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x:f>
        <x:v>3817.1747446909817</x:v>
      </x:c>
      <x:c r="AP27" s="49"/>
      <x:c r="AQ27" s="48" t="n">
        <x:f>A27</x:f>
        <x:v>-0.792</x:v>
      </x:c>
      <x:c r="AR27" s="48" t="n">
        <x:f>0</x:f>
        <x:v>0</x:v>
      </x:c>
      <x:c r="AS27" s="48" t="n">
        <x: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(0.45*SIN(2*PI()*((((Inputs!$I$6+(((A27)+1)/2)*(Inputs!$J$6-Inputs!$I$6)))/Inputs!$C$49)+Inputs!$C$47*0.137))+0.35*COS(2*PI()*(((Inputs!$C$6)/Inputs!$C$50)+Inputs!$C$47*0.173))+0.20*SIN(2*PI()*((((Inputs!$I$6+(((A27)+1)/2)*(Inputs!$J$6-Inputs!$I$6)))+(Inputs!$C$6))/(0.5*(Inputs!$C$49+Inputs!$C$50))+Inputs!$C$47*0.097)))+0.30*(2*((SIN((((Inputs!$I$6+(((A27)+1)/2)*(Inputs!$J$6-Inputs!$I$6)))*12.9898+(Inputs!$C$6)*78.233+Inputs!$C$47*37.719))*43758.5453)-INT((SIN((((Inputs!$I$6+(((A27)+1)/2)*(Inputs!$J$6-Inputs!$I$6)))*12.9898+(Inputs!$C$6)*78.233+Inputs!$C$47*37.719))*43758.5453)))-1))),NA())</x:f>
        <x:v>244.36421465386238</x:v>
      </x:c>
      <x:c r="AT27" s="48" t="n">
        <x: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(0.45*SIN(2*PI()*((((Inputs!$I$7+(((A27)+1)/2)*(Inputs!$J$7-Inputs!$I$7)))/Inputs!$C$49)+Inputs!$C$47*0.137))+0.35*COS(2*PI()*(((Inputs!$C$6)/Inputs!$C$50)+Inputs!$C$47*0.173))+0.20*SIN(2*PI()*((((Inputs!$I$7+(((A27)+1)/2)*(Inputs!$J$7-Inputs!$I$7)))+(Inputs!$C$6))/(0.5*(Inputs!$C$49+Inputs!$C$50))+Inputs!$C$47*0.097)))+0.30*(2*((SIN((((Inputs!$I$7+(((A27)+1)/2)*(Inputs!$J$7-Inputs!$I$7)))*12.9898+(Inputs!$C$6)*78.233+Inputs!$C$47*37.719))*43758.5453)-INT((SIN((((Inputs!$I$7+(((A27)+1)/2)*(Inputs!$J$7-Inputs!$I$7)))*12.9898+(Inputs!$C$6)*78.233+Inputs!$C$47*37.719))*43758.5453)))-1))),NA())</x:f>
        <x:v>173.99596572842944</x:v>
      </x:c>
      <x:c r="AU27" s="48" t="n">
        <x: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(0.45*SIN(2*PI()*((((Inputs!$I$8+(((A27)+1)/2)*(Inputs!$J$8-Inputs!$I$8)))/Inputs!$C$49)+Inputs!$C$47*0.137))+0.35*COS(2*PI()*(((Inputs!$C$6)/Inputs!$C$50)+Inputs!$C$47*0.173))+0.20*SIN(2*PI()*((((Inputs!$I$8+(((A27)+1)/2)*(Inputs!$J$8-Inputs!$I$8)))+(Inputs!$C$6))/(0.5*(Inputs!$C$49+Inputs!$C$50))+Inputs!$C$47*0.097)))+0.30*(2*((SIN((((Inputs!$I$8+(((A27)+1)/2)*(Inputs!$J$8-Inputs!$I$8)))*12.9898+(Inputs!$C$6)*78.233+Inputs!$C$47*37.719))*43758.5453)-INT((SIN((((Inputs!$I$8+(((A27)+1)/2)*(Inputs!$J$8-Inputs!$I$8)))*12.9898+(Inputs!$C$6)*78.233+Inputs!$C$47*37.719))*43758.5453)))-1))),NA())</x:f>
        <x:v>108.01116799428624</x:v>
      </x:c>
      <x:c r="AV27" s="48" t="n">
        <x: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(0.45*SIN(2*PI()*((((Inputs!$I$9+(((A27)+1)/2)*(Inputs!$J$9-Inputs!$I$9)))/Inputs!$C$49)+Inputs!$C$47*0.137))+0.35*COS(2*PI()*(((Inputs!$C$6)/Inputs!$C$50)+Inputs!$C$47*0.173))+0.20*SIN(2*PI()*((((Inputs!$I$9+(((A27)+1)/2)*(Inputs!$J$9-Inputs!$I$9)))+(Inputs!$C$6))/(0.5*(Inputs!$C$49+Inputs!$C$50))+Inputs!$C$47*0.097)))+0.30*(2*((SIN((((Inputs!$I$9+(((A27)+1)/2)*(Inputs!$J$9-Inputs!$I$9)))*12.9898+(Inputs!$C$6)*78.233+Inputs!$C$47*37.719))*43758.5453)-INT((SIN((((Inputs!$I$9+(((A27)+1)/2)*(Inputs!$J$9-Inputs!$I$9)))*12.9898+(Inputs!$C$6)*78.233+Inputs!$C$47*37.719))*43758.5453)))-1))),NA())</x:f>
        <x:v>108.01116799428624</x:v>
      </x:c>
      <x:c r="AW27" s="49"/>
      <x:c r="AX27" s="48" t="n">
        <x:f>A27</x:f>
        <x:v>-0.792</x:v>
      </x:c>
      <x:c r="AY27" s="48" t="n">
        <x:f>0</x:f>
        <x:v>0</x:v>
      </x:c>
      <x:c r="AZ27" s="48" t="n">
        <x:f>IF(OR(Inputs!$F$6=TRUE,Inputs!$F$6="TRUE",Inputs!$F$6=1),(Inputs!$H$6+Inputs!$L$6*(((Inputs!$I$6+(((A27)+1)/2)*(Inputs!$J$6-Inputs!$I$6)))/Inputs!$K$6)^2),NA())</x:f>
        <x:v>402.509056</x:v>
      </x:c>
      <x:c r="BA27" s="48" t="n">
        <x:f>IF(OR(Inputs!$F$7=TRUE,Inputs!$F$7="TRUE",Inputs!$F$7=1),(Inputs!$H$7+Inputs!$L$7*(((Inputs!$I$7+(((A27)+1)/2)*(Inputs!$J$7-Inputs!$I$7)))/Inputs!$K$7)^2),NA())</x:f>
        <x:v>263.95136</x:v>
      </x:c>
      <x:c r="BB27" s="48" t="n">
        <x:f>IF(OR(Inputs!$F$8=TRUE,Inputs!$F$8="TRUE",Inputs!$F$8=1),(Inputs!$H$8+Inputs!$L$8*(((Inputs!$I$8+(((A27)+1)/2)*(Inputs!$J$8-Inputs!$I$8)))/Inputs!$K$8)^2),NA())</x:f>
        <x:v>640.3097600000001</x:v>
      </x:c>
      <x:c r="BC27" s="48" t="n">
        <x:f>IF(OR(Inputs!$F$9=TRUE,Inputs!$F$9="TRUE",Inputs!$F$9=1),(Inputs!$H$9+Inputs!$L$9*(((Inputs!$I$9+(((A27)+1)/2)*(Inputs!$J$9-Inputs!$I$9)))/Inputs!$K$9)^2),NA())</x:f>
        <x:v>636.5824</x:v>
      </x:c>
      <x:c r="BD27" s="49"/>
      <x:c r="BE27" s="48" t="n">
        <x:f>A27</x:f>
        <x:v>-0.792</x:v>
      </x:c>
      <x:c r="BF27" s="48" t="n">
        <x:f>0</x:f>
        <x:v>0</x:v>
      </x:c>
      <x:c r="BG27" s="48"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BH27" s="48"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BI27" s="48"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BJ27" s="48"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row>
    <x:row r="28">
      <x:c r="A28" s="48" t="n">
        <x:f>ROUND(-1+26*2/240,3)</x:f>
        <x:v>-0.783</x:v>
      </x:c>
      <x:c r="B28" s="48" t="n">
        <x:f>IF(OR(Inputs!$F$6=TRUE,Inputs!$F$6="TRUE",Inputs!$F$6=1),(Inputs!$H$6+Inputs!$L$6*(((Inputs!$I$6+(((A28)+1)/2)*(Inputs!$J$6-Inputs!$I$6)))/Inputs!$K$6)^2),NA())</x:f>
        <x:v>402.452356</x:v>
      </x:c>
      <x:c r="C28" s="48" t="n">
        <x:f>IF(OR(Inputs!$F$7=TRUE,Inputs!$F$7="TRUE",Inputs!$F$7=1),(Inputs!$H$7+Inputs!$L$7*(((Inputs!$I$7+(((A28)+1)/2)*(Inputs!$J$7-Inputs!$I$7)))/Inputs!$K$7)^2),NA())</x:f>
        <x:v>258.77748500000007</x:v>
      </x:c>
      <x:c r="D28" s="48" t="n">
        <x:f>IF(OR(Inputs!$F$8=TRUE,Inputs!$F$8="TRUE",Inputs!$F$8=1),(Inputs!$H$8+Inputs!$L$8*(((Inputs!$I$8+(((A28)+1)/2)*(Inputs!$J$8-Inputs!$I$8)))/Inputs!$K$8)^2),NA())</x:f>
        <x:v>626.6308850000003</x:v>
      </x:c>
      <x:c r="E28" s="48" t="n">
        <x:f>IF(OR(Inputs!$F$9=TRUE,Inputs!$F$9="TRUE",Inputs!$F$9=1),(Inputs!$H$9+Inputs!$L$9*(((Inputs!$I$9+(((A28)+1)/2)*(Inputs!$J$9-Inputs!$I$9)))/Inputs!$K$9)^2),NA())</x:f>
        <x:v>622.7617750000002</x:v>
      </x:c>
      <x:c r="F28" s="49"/>
      <x:c r="G28" s="48" t="n">
        <x:f>A28</x:f>
        <x:v>-0.783</x:v>
      </x:c>
      <x:c r="H28" s="48"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I28" s="48"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J28" s="48"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K28" s="48"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c r="L28" s="49"/>
      <x:c r="M28" s="48" t="n">
        <x:f>A28</x:f>
        <x:v>-0.783</x:v>
      </x:c>
      <x:c r="N28" s="48" t="n">
        <x: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x:f>
        <x:v>397.9536829074765</x:v>
      </x:c>
      <x:c r="O28" s="48" t="n">
        <x: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x:f>
        <x:v>2918.6424977741513</x:v>
      </x:c>
      <x:c r="P28" s="48" t="n">
        <x: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x:f>
        <x:v>3758.5922501043824</x:v>
      </x:c>
      <x:c r="Q28" s="48" t="n">
        <x: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x:f>
        <x:v>3779.905797981698</x:v>
      </x:c>
      <x:c r="R28" s="49"/>
      <x:c r="S28" s="48" t="n">
        <x:f>A28</x:f>
        <x:v>-0.783</x:v>
      </x:c>
      <x:c r="T28" s="48" t="n">
        <x:f>(Inputs!$I$6+(((A28)+1)/2)*(Inputs!$J$6-Inputs!$I$6))</x:f>
        <x:v>-46.980000000000004</x:v>
      </x:c>
      <x:c r="U28" s="48" t="n">
        <x:f>(Inputs!$I$7+(((A28)+1)/2)*(Inputs!$J$7-Inputs!$I$7))</x:f>
        <x:v>-313.20000000000005</x:v>
      </x:c>
      <x:c r="V28" s="48" t="n">
        <x:f>(Inputs!$I$8+(((A28)+1)/2)*(Inputs!$J$8-Inputs!$I$8))</x:f>
        <x:v>-626.4000000000001</x:v>
      </x:c>
      <x:c r="W28" s="48" t="n">
        <x:f>(Inputs!$I$9+(((A28)+1)/2)*(Inputs!$J$9-Inputs!$I$9))</x:f>
        <x:v>-626.4000000000001</x:v>
      </x:c>
      <x:c r="X28" s="49"/>
      <x:c r="Y28" s="48" t="n">
        <x:f>A28</x:f>
        <x:v>-0.783</x:v>
      </x:c>
      <x:c r="Z28" s="48" t="n">
        <x:f>(Inputs!$H$6+Inputs!$L$6*(((Inputs!$I$6+(((A28)+1)/2)*(Inputs!$J$6-Inputs!$I$6)))/Inputs!$K$6)^2)</x:f>
        <x:v>402.452356</x:v>
      </x:c>
      <x:c r="AA28" s="48" t="n">
        <x:f>(Inputs!$H$7+Inputs!$L$7*(((Inputs!$I$7+(((A28)+1)/2)*(Inputs!$J$7-Inputs!$I$7)))/Inputs!$K$7)^2)</x:f>
        <x:v>258.77748500000007</x:v>
      </x:c>
      <x:c r="AB28" s="48" t="n">
        <x:f>(Inputs!$H$8+Inputs!$L$8*(((Inputs!$I$8+(((A28)+1)/2)*(Inputs!$J$8-Inputs!$I$8)))/Inputs!$K$8)^2)</x:f>
        <x:v>626.6308850000003</x:v>
      </x:c>
      <x:c r="AC28" s="48" t="n">
        <x:f>(Inputs!$H$9+Inputs!$L$9*(((Inputs!$I$9+(((A28)+1)/2)*(Inputs!$J$9-Inputs!$I$9)))/Inputs!$K$9)^2)</x:f>
        <x:v>622.7617750000002</x:v>
      </x:c>
      <x:c r="AD28" s="49"/>
      <x:c r="AE28" s="48" t="n">
        <x:f>A28</x:f>
        <x:v>-0.783</x:v>
      </x:c>
      <x:c r="AF28" s="48" t="n">
        <x:f>(((SQRT((Inputs!$C$52+((Inputs!$H$6+Inputs!$L$6*(((Inputs!$I$6+(((A28)+1)/2)*(Inputs!$J$6-Inputs!$I$6)))/Inputs!$K$6)^2)))^2+Inputs!$C$52^2-2*(Inputs!$C$52+((Inputs!$H$6+Inputs!$L$6*(((Inputs!$I$6+(((A28)+1)/2)*(Inputs!$J$6-Inputs!$I$6)))/Inputs!$K$6)^2)))*Inputs!$C$52*COS(SQRT(((Inputs!$I$6+(((A28)+1)/2)*(Inputs!$J$6-Inputs!$I$6)))^2+Inputs!$C$6^2)/Inputs!$C$52)))-((Inputs!$H$6+Inputs!$L$6*(((Inputs!$I$6+(((A28)+1)/2)*(Inputs!$J$6-Inputs!$I$6)))/Inputs!$K$6)^2)))*1000/Inputs!$C$12)</x:f>
        <x:v>2472.667459059001</x:v>
      </x:c>
      <x:c r="AG28" s="48" t="n">
        <x:f>(((SQRT((Inputs!$C$52+((Inputs!$H$7+Inputs!$L$7*(((Inputs!$I$7+(((A28)+1)/2)*(Inputs!$J$7-Inputs!$I$7)))/Inputs!$K$7)^2)))^2+Inputs!$C$52^2-2*(Inputs!$C$52+((Inputs!$H$7+Inputs!$L$7*(((Inputs!$I$7+(((A28)+1)/2)*(Inputs!$J$7-Inputs!$I$7)))/Inputs!$K$7)^2)))*Inputs!$C$52*COS(SQRT(((Inputs!$I$7+(((A28)+1)/2)*(Inputs!$J$7-Inputs!$I$7)))^2+Inputs!$C$6^2)/Inputs!$C$52)))-((Inputs!$H$7+Inputs!$L$7*(((Inputs!$I$7+(((A28)+1)/2)*(Inputs!$J$7-Inputs!$I$7)))/Inputs!$K$7)^2)))*1000/Inputs!$C$12)</x:f>
        <x:v>94069.4020959524</x:v>
      </x:c>
      <x:c r="AH28" s="48" t="n">
        <x:f>(((SQRT((Inputs!$C$52+((Inputs!$H$8+Inputs!$L$8*(((Inputs!$I$8+(((A28)+1)/2)*(Inputs!$J$8-Inputs!$I$8)))/Inputs!$K$8)^2)))^2+Inputs!$C$52^2-2*(Inputs!$C$52+((Inputs!$H$8+Inputs!$L$8*(((Inputs!$I$8+(((A28)+1)/2)*(Inputs!$J$8-Inputs!$I$8)))/Inputs!$K$8)^2)))*Inputs!$C$52*COS(SQRT(((Inputs!$I$8+(((A28)+1)/2)*(Inputs!$J$8-Inputs!$I$8)))^2+Inputs!$C$6^2)/Inputs!$C$52)))-((Inputs!$H$8+Inputs!$L$8*(((Inputs!$I$8+(((A28)+1)/2)*(Inputs!$J$8-Inputs!$I$8)))/Inputs!$K$8)^2)))*1000/Inputs!$C$12)</x:f>
        <x:v>191508.139543766</x:v>
      </x:c>
      <x:c r="AI28" s="48" t="n">
        <x:f>(((SQRT((Inputs!$C$52+((Inputs!$H$9+Inputs!$L$9*(((Inputs!$I$9+(((A28)+1)/2)*(Inputs!$J$9-Inputs!$I$9)))/Inputs!$K$9)^2)))^2+Inputs!$C$52^2-2*(Inputs!$C$52+((Inputs!$H$9+Inputs!$L$9*(((Inputs!$I$9+(((A28)+1)/2)*(Inputs!$J$9-Inputs!$I$9)))/Inputs!$K$9)^2)))*Inputs!$C$52*COS(SQRT(((Inputs!$I$9+(((A28)+1)/2)*(Inputs!$J$9-Inputs!$I$9)))^2+Inputs!$C$6^2)/Inputs!$C$52)))-((Inputs!$H$9+Inputs!$L$9*(((Inputs!$I$9+(((A28)+1)/2)*(Inputs!$J$9-Inputs!$I$9)))/Inputs!$K$9)^2)))*1000/Inputs!$C$12)</x:f>
        <x:v>191996.65352310162</x:v>
      </x:c>
      <x:c r="AJ28" s="49"/>
      <x:c r="AK28" s="48" t="n">
        <x:f>A28</x:f>
        <x:v>-0.783</x:v>
      </x:c>
      <x:c r="AL28" s="48" t="n">
        <x: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x:f>
        <x:v>397.9536829074765</x:v>
      </x:c>
      <x:c r="AM28" s="48" t="n">
        <x: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x:f>
        <x:v>2918.6424977741513</x:v>
      </x:c>
      <x:c r="AN28" s="48" t="n">
        <x: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x:f>
        <x:v>3758.5922501043824</x:v>
      </x:c>
      <x:c r="AO28" s="48" t="n">
        <x: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x:f>
        <x:v>3779.905797981698</x:v>
      </x:c>
      <x:c r="AP28" s="49"/>
      <x:c r="AQ28" s="48" t="n">
        <x:f>A28</x:f>
        <x:v>-0.783</x:v>
      </x:c>
      <x:c r="AR28" s="48" t="n">
        <x:f>0</x:f>
        <x:v>0</x:v>
      </x:c>
      <x:c r="AS28" s="48" t="n">
        <x: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(0.45*SIN(2*PI()*((((Inputs!$I$6+(((A28)+1)/2)*(Inputs!$J$6-Inputs!$I$6)))/Inputs!$C$49)+Inputs!$C$47*0.137))+0.35*COS(2*PI()*(((Inputs!$C$6)/Inputs!$C$50)+Inputs!$C$47*0.173))+0.20*SIN(2*PI()*((((Inputs!$I$6+(((A28)+1)/2)*(Inputs!$J$6-Inputs!$I$6)))+(Inputs!$C$6))/(0.5*(Inputs!$C$49+Inputs!$C$50))+Inputs!$C$47*0.097)))+0.30*(2*((SIN((((Inputs!$I$6+(((A28)+1)/2)*(Inputs!$J$6-Inputs!$I$6)))*12.9898+(Inputs!$C$6)*78.233+Inputs!$C$47*37.719))*43758.5453)-INT((SIN((((Inputs!$I$6+(((A28)+1)/2)*(Inputs!$J$6-Inputs!$I$6)))*12.9898+(Inputs!$C$6)*78.233+Inputs!$C$47*37.719))*43758.5453)))-1))),NA())</x:f>
        <x:v>254.63529199517342</x:v>
      </x:c>
      <x:c r="AT28" s="48" t="n">
        <x: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(0.45*SIN(2*PI()*((((Inputs!$I$7+(((A28)+1)/2)*(Inputs!$J$7-Inputs!$I$7)))/Inputs!$C$49)+Inputs!$C$47*0.137))+0.35*COS(2*PI()*(((Inputs!$C$6)/Inputs!$C$50)+Inputs!$C$47*0.173))+0.20*SIN(2*PI()*((((Inputs!$I$7+(((A28)+1)/2)*(Inputs!$J$7-Inputs!$I$7)))+(Inputs!$C$6))/(0.5*(Inputs!$C$49+Inputs!$C$50))+Inputs!$C$47*0.097)))+0.30*(2*((SIN((((Inputs!$I$7+(((A28)+1)/2)*(Inputs!$J$7-Inputs!$I$7)))*12.9898+(Inputs!$C$6)*78.233+Inputs!$C$47*37.719))*43758.5453)-INT((SIN((((Inputs!$I$7+(((A28)+1)/2)*(Inputs!$J$7-Inputs!$I$7)))*12.9898+(Inputs!$C$6)*78.233+Inputs!$C$47*37.719))*43758.5453)))-1))),NA())</x:f>
        <x:v>97.13666626546501</x:v>
      </x:c>
      <x:c r="AU28" s="48" t="n">
        <x: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(0.45*SIN(2*PI()*((((Inputs!$I$8+(((A28)+1)/2)*(Inputs!$J$8-Inputs!$I$8)))/Inputs!$C$49)+Inputs!$C$47*0.137))+0.35*COS(2*PI()*(((Inputs!$C$6)/Inputs!$C$50)+Inputs!$C$47*0.173))+0.20*SIN(2*PI()*((((Inputs!$I$8+(((A28)+1)/2)*(Inputs!$J$8-Inputs!$I$8)))+(Inputs!$C$6))/(0.5*(Inputs!$C$49+Inputs!$C$50))+Inputs!$C$47*0.097)))+0.30*(2*((SIN((((Inputs!$I$8+(((A28)+1)/2)*(Inputs!$J$8-Inputs!$I$8)))*12.9898+(Inputs!$C$6)*78.233+Inputs!$C$47*37.719))*43758.5453)-INT((SIN((((Inputs!$I$8+(((A28)+1)/2)*(Inputs!$J$8-Inputs!$I$8)))*12.9898+(Inputs!$C$6)*78.233+Inputs!$C$47*37.719))*43758.5453)))-1))),NA())</x:f>
        <x:v>199.06597739804502</x:v>
      </x:c>
      <x:c r="AV28" s="48" t="n">
        <x: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(0.45*SIN(2*PI()*((((Inputs!$I$9+(((A28)+1)/2)*(Inputs!$J$9-Inputs!$I$9)))/Inputs!$C$49)+Inputs!$C$47*0.137))+0.35*COS(2*PI()*(((Inputs!$C$6)/Inputs!$C$50)+Inputs!$C$47*0.173))+0.20*SIN(2*PI()*((((Inputs!$I$9+(((A28)+1)/2)*(Inputs!$J$9-Inputs!$I$9)))+(Inputs!$C$6))/(0.5*(Inputs!$C$49+Inputs!$C$50))+Inputs!$C$47*0.097)))+0.30*(2*((SIN((((Inputs!$I$9+(((A28)+1)/2)*(Inputs!$J$9-Inputs!$I$9)))*12.9898+(Inputs!$C$6)*78.233+Inputs!$C$47*37.719))*43758.5453)-INT((SIN((((Inputs!$I$9+(((A28)+1)/2)*(Inputs!$J$9-Inputs!$I$9)))*12.9898+(Inputs!$C$6)*78.233+Inputs!$C$47*37.719))*43758.5453)))-1))),NA())</x:f>
        <x:v>199.06597739804502</x:v>
      </x:c>
      <x:c r="AW28" s="49"/>
      <x:c r="AX28" s="48" t="n">
        <x:f>A28</x:f>
        <x:v>-0.783</x:v>
      </x:c>
      <x:c r="AY28" s="48" t="n">
        <x:f>0</x:f>
        <x:v>0</x:v>
      </x:c>
      <x:c r="AZ28" s="48" t="n">
        <x:f>IF(OR(Inputs!$F$6=TRUE,Inputs!$F$6="TRUE",Inputs!$F$6=1),(Inputs!$H$6+Inputs!$L$6*(((Inputs!$I$6+(((A28)+1)/2)*(Inputs!$J$6-Inputs!$I$6)))/Inputs!$K$6)^2),NA())</x:f>
        <x:v>402.452356</x:v>
      </x:c>
      <x:c r="BA28" s="48" t="n">
        <x:f>IF(OR(Inputs!$F$7=TRUE,Inputs!$F$7="TRUE",Inputs!$F$7=1),(Inputs!$H$7+Inputs!$L$7*(((Inputs!$I$7+(((A28)+1)/2)*(Inputs!$J$7-Inputs!$I$7)))/Inputs!$K$7)^2),NA())</x:f>
        <x:v>258.77748500000007</x:v>
      </x:c>
      <x:c r="BB28" s="48" t="n">
        <x:f>IF(OR(Inputs!$F$8=TRUE,Inputs!$F$8="TRUE",Inputs!$F$8=1),(Inputs!$H$8+Inputs!$L$8*(((Inputs!$I$8+(((A28)+1)/2)*(Inputs!$J$8-Inputs!$I$8)))/Inputs!$K$8)^2),NA())</x:f>
        <x:v>626.6308850000003</x:v>
      </x:c>
      <x:c r="BC28" s="48" t="n">
        <x:f>IF(OR(Inputs!$F$9=TRUE,Inputs!$F$9="TRUE",Inputs!$F$9=1),(Inputs!$H$9+Inputs!$L$9*(((Inputs!$I$9+(((A28)+1)/2)*(Inputs!$J$9-Inputs!$I$9)))/Inputs!$K$9)^2),NA())</x:f>
        <x:v>622.7617750000002</x:v>
      </x:c>
      <x:c r="BD28" s="49"/>
      <x:c r="BE28" s="48" t="n">
        <x:f>A28</x:f>
        <x:v>-0.783</x:v>
      </x:c>
      <x:c r="BF28" s="48" t="n">
        <x:f>0</x:f>
        <x:v>0</x:v>
      </x:c>
      <x:c r="BG28" s="48"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BH28" s="48"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BI28" s="48"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BJ28" s="48"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row>
    <x:row r="29">
      <x:c r="A29" s="48" t="n">
        <x:f>ROUND(-1+27*2/240,3)</x:f>
        <x:v>-0.775</x:v>
      </x:c>
      <x:c r="B29" s="48" t="n">
        <x:f>IF(OR(Inputs!$F$6=TRUE,Inputs!$F$6="TRUE",Inputs!$F$6=1),(Inputs!$H$6+Inputs!$L$6*(((Inputs!$I$6+(((A29)+1)/2)*(Inputs!$J$6-Inputs!$I$6)))/Inputs!$K$6)^2),NA())</x:f>
        <x:v>402.4025</x:v>
      </x:c>
      <x:c r="C29" s="48" t="n">
        <x:f>IF(OR(Inputs!$F$7=TRUE,Inputs!$F$7="TRUE",Inputs!$F$7=1),(Inputs!$H$7+Inputs!$L$7*(((Inputs!$I$7+(((A29)+1)/2)*(Inputs!$J$7-Inputs!$I$7)))/Inputs!$K$7)^2),NA())</x:f>
        <x:v>254.22812500000003</x:v>
      </x:c>
      <x:c r="D29" s="48" t="n">
        <x:f>IF(OR(Inputs!$F$8=TRUE,Inputs!$F$8="TRUE",Inputs!$F$8=1),(Inputs!$H$8+Inputs!$L$8*(((Inputs!$I$8+(((A29)+1)/2)*(Inputs!$J$8-Inputs!$I$8)))/Inputs!$K$8)^2),NA())</x:f>
        <x:v>614.6031250000001</x:v>
      </x:c>
      <x:c r="E29" s="48" t="n">
        <x:f>IF(OR(Inputs!$F$9=TRUE,Inputs!$F$9="TRUE",Inputs!$F$9=1),(Inputs!$H$9+Inputs!$L$9*(((Inputs!$I$9+(((A29)+1)/2)*(Inputs!$J$9-Inputs!$I$9)))/Inputs!$K$9)^2),NA())</x:f>
        <x:v>610.6093750000001</x:v>
      </x:c>
      <x:c r="F29" s="49"/>
      <x:c r="G29" s="48" t="n">
        <x:f>A29</x:f>
        <x:v>-0.775</x:v>
      </x:c>
      <x:c r="H29" s="48"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I29" s="48"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J29" s="48"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K29" s="48"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c r="L29" s="49"/>
      <x:c r="M29" s="48" t="n">
        <x:f>A29</x:f>
        <x:v>-0.775</x:v>
      </x:c>
      <x:c r="N29" s="48" t="n">
        <x: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x:f>
        <x:v>393.97153833635986</x:v>
      </x:c>
      <x:c r="O29" s="48" t="n">
        <x: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x:f>
        <x:v>2897.6551524979286</x:v>
      </x:c>
      <x:c r="P29" s="48" t="n">
        <x: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x:f>
        <x:v>3726.034233932154</x:v>
      </x:c>
      <x:c r="Q29" s="48" t="n">
        <x: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x:f>
        <x:v>3746.8603356495087</x:v>
      </x:c>
      <x:c r="R29" s="49"/>
      <x:c r="S29" s="48" t="n">
        <x:f>A29</x:f>
        <x:v>-0.775</x:v>
      </x:c>
      <x:c r="T29" s="48" t="n">
        <x:f>(Inputs!$I$6+(((A29)+1)/2)*(Inputs!$J$6-Inputs!$I$6))</x:f>
        <x:v>-46.5</x:v>
      </x:c>
      <x:c r="U29" s="48" t="n">
        <x:f>(Inputs!$I$7+(((A29)+1)/2)*(Inputs!$J$7-Inputs!$I$7))</x:f>
        <x:v>-310</x:v>
      </x:c>
      <x:c r="V29" s="48" t="n">
        <x:f>(Inputs!$I$8+(((A29)+1)/2)*(Inputs!$J$8-Inputs!$I$8))</x:f>
        <x:v>-620</x:v>
      </x:c>
      <x:c r="W29" s="48" t="n">
        <x:f>(Inputs!$I$9+(((A29)+1)/2)*(Inputs!$J$9-Inputs!$I$9))</x:f>
        <x:v>-620</x:v>
      </x:c>
      <x:c r="X29" s="49"/>
      <x:c r="Y29" s="48" t="n">
        <x:f>A29</x:f>
        <x:v>-0.775</x:v>
      </x:c>
      <x:c r="Z29" s="48" t="n">
        <x:f>(Inputs!$H$6+Inputs!$L$6*(((Inputs!$I$6+(((A29)+1)/2)*(Inputs!$J$6-Inputs!$I$6)))/Inputs!$K$6)^2)</x:f>
        <x:v>402.4025</x:v>
      </x:c>
      <x:c r="AA29" s="48" t="n">
        <x:f>(Inputs!$H$7+Inputs!$L$7*(((Inputs!$I$7+(((A29)+1)/2)*(Inputs!$J$7-Inputs!$I$7)))/Inputs!$K$7)^2)</x:f>
        <x:v>254.22812500000003</x:v>
      </x:c>
      <x:c r="AB29" s="48" t="n">
        <x:f>(Inputs!$H$8+Inputs!$L$8*(((Inputs!$I$8+(((A29)+1)/2)*(Inputs!$J$8-Inputs!$I$8)))/Inputs!$K$8)^2)</x:f>
        <x:v>614.6031250000001</x:v>
      </x:c>
      <x:c r="AC29" s="48" t="n">
        <x:f>(Inputs!$H$9+Inputs!$L$9*(((Inputs!$I$9+(((A29)+1)/2)*(Inputs!$J$9-Inputs!$I$9)))/Inputs!$K$9)^2)</x:f>
        <x:v>610.6093750000001</x:v>
      </x:c>
      <x:c r="AD29" s="49"/>
      <x:c r="AE29" s="48" t="n">
        <x:f>A29</x:f>
        <x:v>-0.775</x:v>
      </x:c>
      <x:c r="AF29" s="48" t="n">
        <x:f>(((SQRT((Inputs!$C$52+((Inputs!$H$6+Inputs!$L$6*(((Inputs!$I$6+(((A29)+1)/2)*(Inputs!$J$6-Inputs!$I$6)))/Inputs!$K$6)^2)))^2+Inputs!$C$52^2-2*(Inputs!$C$52+((Inputs!$H$6+Inputs!$L$6*(((Inputs!$I$6+(((A29)+1)/2)*(Inputs!$J$6-Inputs!$I$6)))/Inputs!$K$6)^2)))*Inputs!$C$52*COS(SQRT(((Inputs!$I$6+(((A29)+1)/2)*(Inputs!$J$6-Inputs!$I$6)))^2+Inputs!$C$6^2)/Inputs!$C$52)))-((Inputs!$H$6+Inputs!$L$6*(((Inputs!$I$6+(((A29)+1)/2)*(Inputs!$J$6-Inputs!$I$6)))/Inputs!$K$6)^2)))*1000/Inputs!$C$12)</x:f>
        <x:v>2433.941140959773</x:v>
      </x:c>
      <x:c r="AG29" s="48" t="n">
        <x:f>(((SQRT((Inputs!$C$52+((Inputs!$H$7+Inputs!$L$7*(((Inputs!$I$7+(((A29)+1)/2)*(Inputs!$J$7-Inputs!$I$7)))/Inputs!$K$7)^2)))^2+Inputs!$C$52^2-2*(Inputs!$C$52+((Inputs!$H$7+Inputs!$L$7*(((Inputs!$I$7+(((A29)+1)/2)*(Inputs!$J$7-Inputs!$I$7)))/Inputs!$K$7)^2)))*Inputs!$C$52*COS(SQRT(((Inputs!$I$7+(((A29)+1)/2)*(Inputs!$J$7-Inputs!$I$7)))^2+Inputs!$C$6^2)/Inputs!$C$52)))-((Inputs!$H$7+Inputs!$L$7*(((Inputs!$I$7+(((A29)+1)/2)*(Inputs!$J$7-Inputs!$I$7)))/Inputs!$K$7)^2)))*1000/Inputs!$C$12)</x:f>
        <x:v>93357.6478962073</x:v>
      </x:c>
      <x:c r="AH29" s="48" t="n">
        <x:f>(((SQRT((Inputs!$C$52+((Inputs!$H$8+Inputs!$L$8*(((Inputs!$I$8+(((A29)+1)/2)*(Inputs!$J$8-Inputs!$I$8)))/Inputs!$K$8)^2)))^2+Inputs!$C$52^2-2*(Inputs!$C$52+((Inputs!$H$8+Inputs!$L$8*(((Inputs!$I$8+(((A29)+1)/2)*(Inputs!$J$8-Inputs!$I$8)))/Inputs!$K$8)^2)))*Inputs!$C$52*COS(SQRT(((Inputs!$I$8+(((A29)+1)/2)*(Inputs!$J$8-Inputs!$I$8)))^2+Inputs!$C$6^2)/Inputs!$C$52)))-((Inputs!$H$8+Inputs!$L$8*(((Inputs!$I$8+(((A29)+1)/2)*(Inputs!$J$8-Inputs!$I$8)))/Inputs!$K$8)^2)))*1000/Inputs!$C$12)</x:f>
        <x:v>189855.6306032011</x:v>
      </x:c>
      <x:c r="AI29" s="48" t="n">
        <x:f>(((SQRT((Inputs!$C$52+((Inputs!$H$9+Inputs!$L$9*(((Inputs!$I$9+(((A29)+1)/2)*(Inputs!$J$9-Inputs!$I$9)))/Inputs!$K$9)^2)))^2+Inputs!$C$52^2-2*(Inputs!$C$52+((Inputs!$H$9+Inputs!$L$9*(((Inputs!$I$9+(((A29)+1)/2)*(Inputs!$J$9-Inputs!$I$9)))/Inputs!$K$9)^2)))*Inputs!$C$52*COS(SQRT(((Inputs!$I$9+(((A29)+1)/2)*(Inputs!$J$9-Inputs!$I$9)))^2+Inputs!$C$6^2)/Inputs!$C$52)))-((Inputs!$H$9+Inputs!$L$9*(((Inputs!$I$9+(((A29)+1)/2)*(Inputs!$J$9-Inputs!$I$9)))/Inputs!$K$9)^2)))*1000/Inputs!$C$12)</x:f>
        <x:v>190366.81872344072</x:v>
      </x:c>
      <x:c r="AJ29" s="49"/>
      <x:c r="AK29" s="48" t="n">
        <x:f>A29</x:f>
        <x:v>-0.775</x:v>
      </x:c>
      <x:c r="AL29" s="48" t="n">
        <x: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x:f>
        <x:v>393.97153833635986</x:v>
      </x:c>
      <x:c r="AM29" s="48" t="n">
        <x: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x:f>
        <x:v>2897.6551524979286</x:v>
      </x:c>
      <x:c r="AN29" s="48" t="n">
        <x: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x:f>
        <x:v>3726.034233932154</x:v>
      </x:c>
      <x:c r="AO29" s="48" t="n">
        <x: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x:f>
        <x:v>3746.8603356495087</x:v>
      </x:c>
      <x:c r="AP29" s="49"/>
      <x:c r="AQ29" s="48" t="n">
        <x:f>A29</x:f>
        <x:v>-0.775</x:v>
      </x:c>
      <x:c r="AR29" s="48" t="n">
        <x:f>0</x:f>
        <x:v>0</x:v>
      </x:c>
      <x:c r="AS29" s="48" t="n">
        <x: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(0.45*SIN(2*PI()*((((Inputs!$I$6+(((A29)+1)/2)*(Inputs!$J$6-Inputs!$I$6)))/Inputs!$C$49)+Inputs!$C$47*0.137))+0.35*COS(2*PI()*(((Inputs!$C$6)/Inputs!$C$50)+Inputs!$C$47*0.173))+0.20*SIN(2*PI()*((((Inputs!$I$6+(((A29)+1)/2)*(Inputs!$J$6-Inputs!$I$6)))+(Inputs!$C$6))/(0.5*(Inputs!$C$49+Inputs!$C$50))+Inputs!$C$47*0.097)))+0.30*(2*((SIN((((Inputs!$I$6+(((A29)+1)/2)*(Inputs!$J$6-Inputs!$I$6)))*12.9898+(Inputs!$C$6)*78.233+Inputs!$C$47*37.719))*43758.5453)-INT((SIN((((Inputs!$I$6+(((A29)+1)/2)*(Inputs!$J$6-Inputs!$I$6)))*12.9898+(Inputs!$C$6)*78.233+Inputs!$C$47*37.719))*43758.5453)))-1))),NA())</x:f>
        <x:v>253.748238320312</x:v>
      </x:c>
      <x:c r="AT29" s="48" t="n">
        <x: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(0.45*SIN(2*PI()*((((Inputs!$I$7+(((A29)+1)/2)*(Inputs!$J$7-Inputs!$I$7)))/Inputs!$C$49)+Inputs!$C$47*0.137))+0.35*COS(2*PI()*(((Inputs!$C$6)/Inputs!$C$50)+Inputs!$C$47*0.173))+0.20*SIN(2*PI()*((((Inputs!$I$7+(((A29)+1)/2)*(Inputs!$J$7-Inputs!$I$7)))+(Inputs!$C$6))/(0.5*(Inputs!$C$49+Inputs!$C$50))+Inputs!$C$47*0.097)))+0.30*(2*((SIN((((Inputs!$I$7+(((A29)+1)/2)*(Inputs!$J$7-Inputs!$I$7)))*12.9898+(Inputs!$C$6)*78.233+Inputs!$C$47*37.719))*43758.5453)-INT((SIN((((Inputs!$I$7+(((A29)+1)/2)*(Inputs!$J$7-Inputs!$I$7)))*12.9898+(Inputs!$C$6)*78.233+Inputs!$C$47*37.719))*43758.5453)))-1))),NA())</x:f>
        <x:v>90.56883677245813</x:v>
      </x:c>
      <x:c r="AU29" s="48" t="n">
        <x: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(0.45*SIN(2*PI()*((((Inputs!$I$8+(((A29)+1)/2)*(Inputs!$J$8-Inputs!$I$8)))/Inputs!$C$49)+Inputs!$C$47*0.137))+0.35*COS(2*PI()*(((Inputs!$C$6)/Inputs!$C$50)+Inputs!$C$47*0.173))+0.20*SIN(2*PI()*((((Inputs!$I$8+(((A29)+1)/2)*(Inputs!$J$8-Inputs!$I$8)))+(Inputs!$C$6))/(0.5*(Inputs!$C$49+Inputs!$C$50))+Inputs!$C$47*0.097)))+0.30*(2*((SIN((((Inputs!$I$8+(((A29)+1)/2)*(Inputs!$J$8-Inputs!$I$8)))*12.9898+(Inputs!$C$6)*78.233+Inputs!$C$47*37.719))*43758.5453)-INT((SIN((((Inputs!$I$8+(((A29)+1)/2)*(Inputs!$J$8-Inputs!$I$8)))*12.9898+(Inputs!$C$6)*78.233+Inputs!$C$47*37.719))*43758.5453)))-1))),NA())</x:f>
        <x:v>178.20756047601193</x:v>
      </x:c>
      <x:c r="AV29" s="48" t="n">
        <x: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(0.45*SIN(2*PI()*((((Inputs!$I$9+(((A29)+1)/2)*(Inputs!$J$9-Inputs!$I$9)))/Inputs!$C$49)+Inputs!$C$47*0.137))+0.35*COS(2*PI()*(((Inputs!$C$6)/Inputs!$C$50)+Inputs!$C$47*0.173))+0.20*SIN(2*PI()*((((Inputs!$I$9+(((A29)+1)/2)*(Inputs!$J$9-Inputs!$I$9)))+(Inputs!$C$6))/(0.5*(Inputs!$C$49+Inputs!$C$50))+Inputs!$C$47*0.097)))+0.30*(2*((SIN((((Inputs!$I$9+(((A29)+1)/2)*(Inputs!$J$9-Inputs!$I$9)))*12.9898+(Inputs!$C$6)*78.233+Inputs!$C$47*37.719))*43758.5453)-INT((SIN((((Inputs!$I$9+(((A29)+1)/2)*(Inputs!$J$9-Inputs!$I$9)))*12.9898+(Inputs!$C$6)*78.233+Inputs!$C$47*37.719))*43758.5453)))-1))),NA())</x:f>
        <x:v>178.20756047601193</x:v>
      </x:c>
      <x:c r="AW29" s="49"/>
      <x:c r="AX29" s="48" t="n">
        <x:f>A29</x:f>
        <x:v>-0.775</x:v>
      </x:c>
      <x:c r="AY29" s="48" t="n">
        <x:f>0</x:f>
        <x:v>0</x:v>
      </x:c>
      <x:c r="AZ29" s="48" t="n">
        <x:f>IF(OR(Inputs!$F$6=TRUE,Inputs!$F$6="TRUE",Inputs!$F$6=1),(Inputs!$H$6+Inputs!$L$6*(((Inputs!$I$6+(((A29)+1)/2)*(Inputs!$J$6-Inputs!$I$6)))/Inputs!$K$6)^2),NA())</x:f>
        <x:v>402.4025</x:v>
      </x:c>
      <x:c r="BA29" s="48" t="n">
        <x:f>IF(OR(Inputs!$F$7=TRUE,Inputs!$F$7="TRUE",Inputs!$F$7=1),(Inputs!$H$7+Inputs!$L$7*(((Inputs!$I$7+(((A29)+1)/2)*(Inputs!$J$7-Inputs!$I$7)))/Inputs!$K$7)^2),NA())</x:f>
        <x:v>254.22812500000003</x:v>
      </x:c>
      <x:c r="BB29" s="48" t="n">
        <x:f>IF(OR(Inputs!$F$8=TRUE,Inputs!$F$8="TRUE",Inputs!$F$8=1),(Inputs!$H$8+Inputs!$L$8*(((Inputs!$I$8+(((A29)+1)/2)*(Inputs!$J$8-Inputs!$I$8)))/Inputs!$K$8)^2),NA())</x:f>
        <x:v>614.6031250000001</x:v>
      </x:c>
      <x:c r="BC29" s="48" t="n">
        <x:f>IF(OR(Inputs!$F$9=TRUE,Inputs!$F$9="TRUE",Inputs!$F$9=1),(Inputs!$H$9+Inputs!$L$9*(((Inputs!$I$9+(((A29)+1)/2)*(Inputs!$J$9-Inputs!$I$9)))/Inputs!$K$9)^2),NA())</x:f>
        <x:v>610.6093750000001</x:v>
      </x:c>
      <x:c r="BD29" s="49"/>
      <x:c r="BE29" s="48" t="n">
        <x:f>A29</x:f>
        <x:v>-0.775</x:v>
      </x:c>
      <x:c r="BF29" s="48" t="n">
        <x:f>0</x:f>
        <x:v>0</x:v>
      </x:c>
      <x:c r="BG29" s="48"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BH29" s="48"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BI29" s="48"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BJ29" s="48"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row>
    <x:row r="30">
      <x:c r="A30" s="48" t="n">
        <x:f>ROUND(-1+28*2/240,3)</x:f>
        <x:v>-0.767</x:v>
      </x:c>
      <x:c r="B30" s="48" t="n">
        <x:f>IF(OR(Inputs!$F$6=TRUE,Inputs!$F$6="TRUE",Inputs!$F$6=1),(Inputs!$H$6+Inputs!$L$6*(((Inputs!$I$6+(((A30)+1)/2)*(Inputs!$J$6-Inputs!$I$6)))/Inputs!$K$6)^2),NA())</x:f>
        <x:v>402.353156</x:v>
      </x:c>
      <x:c r="C30" s="48" t="n">
        <x:f>IF(OR(Inputs!$F$7=TRUE,Inputs!$F$7="TRUE",Inputs!$F$7=1),(Inputs!$H$7+Inputs!$L$7*(((Inputs!$I$7+(((A30)+1)/2)*(Inputs!$J$7-Inputs!$I$7)))/Inputs!$K$7)^2),NA())</x:f>
        <x:v>249.72548500000002</x:v>
      </x:c>
      <x:c r="D30" s="48" t="n">
        <x:f>IF(OR(Inputs!$F$8=TRUE,Inputs!$F$8="TRUE",Inputs!$F$8=1),(Inputs!$H$8+Inputs!$L$8*(((Inputs!$I$8+(((A30)+1)/2)*(Inputs!$J$8-Inputs!$I$8)))/Inputs!$K$8)^2),NA())</x:f>
        <x:v>602.698885</x:v>
      </x:c>
      <x:c r="E30" s="48" t="n">
        <x:f>IF(OR(Inputs!$F$9=TRUE,Inputs!$F$9="TRUE",Inputs!$F$9=1),(Inputs!$H$9+Inputs!$L$9*(((Inputs!$I$9+(((A30)+1)/2)*(Inputs!$J$9-Inputs!$I$9)))/Inputs!$K$9)^2),NA())</x:f>
        <x:v>598.5817750000001</x:v>
      </x:c>
      <x:c r="F30" s="49"/>
      <x:c r="G30" s="48" t="n">
        <x:f>A30</x:f>
        <x:v>-0.767</x:v>
      </x:c>
      <x:c r="H30" s="48"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I30" s="48"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J30" s="48"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K30" s="48"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c r="L30" s="49"/>
      <x:c r="M30" s="48" t="n">
        <x:f>A30</x:f>
        <x:v>-0.767</x:v>
      </x:c>
      <x:c r="N30" s="48" t="n">
        <x: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x:f>
        <x:v>389.98688372679464</x:v>
      </x:c>
      <x:c r="O30" s="48" t="n">
        <x: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x:f>
        <x:v>2876.7596069087695</x:v>
      </x:c>
      <x:c r="P30" s="48" t="n">
        <x: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x:f>
        <x:v>3693.558631940413</x:v>
      </x:c>
      <x:c r="Q30" s="48" t="n">
        <x: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x:f>
        <x:v>3713.8951016011947</x:v>
      </x:c>
      <x:c r="R30" s="49"/>
      <x:c r="S30" s="48" t="n">
        <x:f>A30</x:f>
        <x:v>-0.767</x:v>
      </x:c>
      <x:c r="T30" s="48" t="n">
        <x:f>(Inputs!$I$6+(((A30)+1)/2)*(Inputs!$J$6-Inputs!$I$6))</x:f>
        <x:v>-46.02</x:v>
      </x:c>
      <x:c r="U30" s="48" t="n">
        <x:f>(Inputs!$I$7+(((A30)+1)/2)*(Inputs!$J$7-Inputs!$I$7))</x:f>
        <x:v>-306.8</x:v>
      </x:c>
      <x:c r="V30" s="48" t="n">
        <x:f>(Inputs!$I$8+(((A30)+1)/2)*(Inputs!$J$8-Inputs!$I$8))</x:f>
        <x:v>-613.6</x:v>
      </x:c>
      <x:c r="W30" s="48" t="n">
        <x:f>(Inputs!$I$9+(((A30)+1)/2)*(Inputs!$J$9-Inputs!$I$9))</x:f>
        <x:v>-613.6</x:v>
      </x:c>
      <x:c r="X30" s="49"/>
      <x:c r="Y30" s="48" t="n">
        <x:f>A30</x:f>
        <x:v>-0.767</x:v>
      </x:c>
      <x:c r="Z30" s="48" t="n">
        <x:f>(Inputs!$H$6+Inputs!$L$6*(((Inputs!$I$6+(((A30)+1)/2)*(Inputs!$J$6-Inputs!$I$6)))/Inputs!$K$6)^2)</x:f>
        <x:v>402.353156</x:v>
      </x:c>
      <x:c r="AA30" s="48" t="n">
        <x:f>(Inputs!$H$7+Inputs!$L$7*(((Inputs!$I$7+(((A30)+1)/2)*(Inputs!$J$7-Inputs!$I$7)))/Inputs!$K$7)^2)</x:f>
        <x:v>249.72548500000002</x:v>
      </x:c>
      <x:c r="AB30" s="48" t="n">
        <x:f>(Inputs!$H$8+Inputs!$L$8*(((Inputs!$I$8+(((A30)+1)/2)*(Inputs!$J$8-Inputs!$I$8)))/Inputs!$K$8)^2)</x:f>
        <x:v>602.698885</x:v>
      </x:c>
      <x:c r="AC30" s="48" t="n">
        <x:f>(Inputs!$H$9+Inputs!$L$9*(((Inputs!$I$9+(((A30)+1)/2)*(Inputs!$J$9-Inputs!$I$9)))/Inputs!$K$9)^2)</x:f>
        <x:v>598.5817750000001</x:v>
      </x:c>
      <x:c r="AD30" s="49"/>
      <x:c r="AE30" s="48" t="n">
        <x:f>A30</x:f>
        <x:v>-0.767</x:v>
      </x:c>
      <x:c r="AF30" s="48" t="n">
        <x:f>(((SQRT((Inputs!$C$52+((Inputs!$H$6+Inputs!$L$6*(((Inputs!$I$6+(((A30)+1)/2)*(Inputs!$J$6-Inputs!$I$6)))/Inputs!$K$6)^2)))^2+Inputs!$C$52^2-2*(Inputs!$C$52+((Inputs!$H$6+Inputs!$L$6*(((Inputs!$I$6+(((A30)+1)/2)*(Inputs!$J$6-Inputs!$I$6)))/Inputs!$K$6)^2)))*Inputs!$C$52*COS(SQRT(((Inputs!$I$6+(((A30)+1)/2)*(Inputs!$J$6-Inputs!$I$6)))^2+Inputs!$C$6^2)/Inputs!$C$52)))-((Inputs!$H$6+Inputs!$L$6*(((Inputs!$I$6+(((A30)+1)/2)*(Inputs!$J$6-Inputs!$I$6)))/Inputs!$K$6)^2)))*1000/Inputs!$C$12)</x:f>
        <x:v>2395.598542205678</x:v>
      </x:c>
      <x:c r="AG30" s="48" t="n">
        <x:f>(((SQRT((Inputs!$C$52+((Inputs!$H$7+Inputs!$L$7*(((Inputs!$I$7+(((A30)+1)/2)*(Inputs!$J$7-Inputs!$I$7)))/Inputs!$K$7)^2)))^2+Inputs!$C$52^2-2*(Inputs!$C$52+((Inputs!$H$7+Inputs!$L$7*(((Inputs!$I$7+(((A30)+1)/2)*(Inputs!$J$7-Inputs!$I$7)))/Inputs!$K$7)^2)))*Inputs!$C$52*COS(SQRT(((Inputs!$I$7+(((A30)+1)/2)*(Inputs!$J$7-Inputs!$I$7)))^2+Inputs!$C$6^2)/Inputs!$C$52)))-((Inputs!$H$7+Inputs!$L$7*(((Inputs!$I$7+(((A30)+1)/2)*(Inputs!$J$7-Inputs!$I$7)))/Inputs!$K$7)^2)))*1000/Inputs!$C$12)</x:f>
        <x:v>92643.17636024527</x:v>
      </x:c>
      <x:c r="AH30" s="48" t="n">
        <x:f>(((SQRT((Inputs!$C$52+((Inputs!$H$8+Inputs!$L$8*(((Inputs!$I$8+(((A30)+1)/2)*(Inputs!$J$8-Inputs!$I$8)))/Inputs!$K$8)^2)))^2+Inputs!$C$52^2-2*(Inputs!$C$52+((Inputs!$H$8+Inputs!$L$8*(((Inputs!$I$8+(((A30)+1)/2)*(Inputs!$J$8-Inputs!$I$8)))/Inputs!$K$8)^2)))*Inputs!$C$52*COS(SQRT(((Inputs!$I$8+(((A30)+1)/2)*(Inputs!$J$8-Inputs!$I$8)))^2+Inputs!$C$6^2)/Inputs!$C$52)))-((Inputs!$H$8+Inputs!$L$8*(((Inputs!$I$8+(((A30)+1)/2)*(Inputs!$J$8-Inputs!$I$8)))/Inputs!$K$8)^2)))*1000/Inputs!$C$12)</x:f>
        <x:v>188206.80035603663</x:v>
      </x:c>
      <x:c r="AI30" s="48" t="n">
        <x:f>(((SQRT((Inputs!$C$52+((Inputs!$H$9+Inputs!$L$9*(((Inputs!$I$9+(((A30)+1)/2)*(Inputs!$J$9-Inputs!$I$9)))/Inputs!$K$9)^2)))^2+Inputs!$C$52^2-2*(Inputs!$C$52+((Inputs!$H$9+Inputs!$L$9*(((Inputs!$I$9+(((A30)+1)/2)*(Inputs!$J$9-Inputs!$I$9)))/Inputs!$K$9)^2)))*Inputs!$C$52*COS(SQRT(((Inputs!$I$9+(((A30)+1)/2)*(Inputs!$J$9-Inputs!$I$9)))^2+Inputs!$C$6^2)/Inputs!$C$52)))-((Inputs!$H$9+Inputs!$L$9*(((Inputs!$I$9+(((A30)+1)/2)*(Inputs!$J$9-Inputs!$I$9)))/Inputs!$K$9)^2)))*1000/Inputs!$C$12)</x:f>
        <x:v>188741.041358366</x:v>
      </x:c>
      <x:c r="AJ30" s="49"/>
      <x:c r="AK30" s="48" t="n">
        <x:f>A30</x:f>
        <x:v>-0.767</x:v>
      </x:c>
      <x:c r="AL30" s="48" t="n">
        <x: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x:f>
        <x:v>389.98688372679464</x:v>
      </x:c>
      <x:c r="AM30" s="48" t="n">
        <x: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x:f>
        <x:v>2876.7596069087695</x:v>
      </x:c>
      <x:c r="AN30" s="48" t="n">
        <x: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x:f>
        <x:v>3693.558631940413</x:v>
      </x:c>
      <x:c r="AO30" s="48" t="n">
        <x: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x:f>
        <x:v>3713.8951016011947</x:v>
      </x:c>
      <x:c r="AP30" s="49"/>
      <x:c r="AQ30" s="48" t="n">
        <x:f>A30</x:f>
        <x:v>-0.767</x:v>
      </x:c>
      <x:c r="AR30" s="48" t="n">
        <x:f>0</x:f>
        <x:v>0</x:v>
      </x:c>
      <x:c r="AS30" s="48" t="n">
        <x: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(0.45*SIN(2*PI()*((((Inputs!$I$6+(((A30)+1)/2)*(Inputs!$J$6-Inputs!$I$6)))/Inputs!$C$49)+Inputs!$C$47*0.137))+0.35*COS(2*PI()*(((Inputs!$C$6)/Inputs!$C$50)+Inputs!$C$47*0.173))+0.20*SIN(2*PI()*((((Inputs!$I$6+(((A30)+1)/2)*(Inputs!$J$6-Inputs!$I$6)))+(Inputs!$C$6))/(0.5*(Inputs!$C$49+Inputs!$C$50))+Inputs!$C$47*0.097)))+0.30*(2*((SIN((((Inputs!$I$6+(((A30)+1)/2)*(Inputs!$J$6-Inputs!$I$6)))*12.9898+(Inputs!$C$6)*78.233+Inputs!$C$47*37.719))*43758.5453)-INT((SIN((((Inputs!$I$6+(((A30)+1)/2)*(Inputs!$J$6-Inputs!$I$6)))*12.9898+(Inputs!$C$6)*78.233+Inputs!$C$47*37.719))*43758.5453)))-1))),NA())</x:f>
        <x:v>227.51735986959815</x:v>
      </x:c>
      <x:c r="AT30" s="48" t="n">
        <x: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(0.45*SIN(2*PI()*((((Inputs!$I$7+(((A30)+1)/2)*(Inputs!$J$7-Inputs!$I$7)))/Inputs!$C$49)+Inputs!$C$47*0.137))+0.35*COS(2*PI()*(((Inputs!$C$6)/Inputs!$C$50)+Inputs!$C$47*0.173))+0.20*SIN(2*PI()*((((Inputs!$I$7+(((A30)+1)/2)*(Inputs!$J$7-Inputs!$I$7)))+(Inputs!$C$6))/(0.5*(Inputs!$C$49+Inputs!$C$50))+Inputs!$C$47*0.097)))+0.30*(2*((SIN((((Inputs!$I$7+(((A30)+1)/2)*(Inputs!$J$7-Inputs!$I$7)))*12.9898+(Inputs!$C$6)*78.233+Inputs!$C$47*37.719))*43758.5453)-INT((SIN((((Inputs!$I$7+(((A30)+1)/2)*(Inputs!$J$7-Inputs!$I$7)))*12.9898+(Inputs!$C$6)*78.233+Inputs!$C$47*37.719))*43758.5453)))-1))),NA())</x:f>
        <x:v>137.84985488141712</x:v>
      </x:c>
      <x:c r="AU30" s="48" t="n">
        <x: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(0.45*SIN(2*PI()*((((Inputs!$I$8+(((A30)+1)/2)*(Inputs!$J$8-Inputs!$I$8)))/Inputs!$C$49)+Inputs!$C$47*0.137))+0.35*COS(2*PI()*(((Inputs!$C$6)/Inputs!$C$50)+Inputs!$C$47*0.173))+0.20*SIN(2*PI()*((((Inputs!$I$8+(((A30)+1)/2)*(Inputs!$J$8-Inputs!$I$8)))+(Inputs!$C$6))/(0.5*(Inputs!$C$49+Inputs!$C$50))+Inputs!$C$47*0.097)))+0.30*(2*((SIN((((Inputs!$I$8+(((A30)+1)/2)*(Inputs!$J$8-Inputs!$I$8)))*12.9898+(Inputs!$C$6)*78.233+Inputs!$C$47*37.719))*43758.5453)-INT((SIN((((Inputs!$I$8+(((A30)+1)/2)*(Inputs!$J$8-Inputs!$I$8)))*12.9898+(Inputs!$C$6)*78.233+Inputs!$C$47*37.719))*43758.5453)))-1))),NA())</x:f>
        <x:v>109.75575537848928</x:v>
      </x:c>
      <x:c r="AV30" s="48" t="n">
        <x: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(0.45*SIN(2*PI()*((((Inputs!$I$9+(((A30)+1)/2)*(Inputs!$J$9-Inputs!$I$9)))/Inputs!$C$49)+Inputs!$C$47*0.137))+0.35*COS(2*PI()*(((Inputs!$C$6)/Inputs!$C$50)+Inputs!$C$47*0.173))+0.20*SIN(2*PI()*((((Inputs!$I$9+(((A30)+1)/2)*(Inputs!$J$9-Inputs!$I$9)))+(Inputs!$C$6))/(0.5*(Inputs!$C$49+Inputs!$C$50))+Inputs!$C$47*0.097)))+0.30*(2*((SIN((((Inputs!$I$9+(((A30)+1)/2)*(Inputs!$J$9-Inputs!$I$9)))*12.9898+(Inputs!$C$6)*78.233+Inputs!$C$47*37.719))*43758.5453)-INT((SIN((((Inputs!$I$9+(((A30)+1)/2)*(Inputs!$J$9-Inputs!$I$9)))*12.9898+(Inputs!$C$6)*78.233+Inputs!$C$47*37.719))*43758.5453)))-1))),NA())</x:f>
        <x:v>109.75575537848928</x:v>
      </x:c>
      <x:c r="AW30" s="49"/>
      <x:c r="AX30" s="48" t="n">
        <x:f>A30</x:f>
        <x:v>-0.767</x:v>
      </x:c>
      <x:c r="AY30" s="48" t="n">
        <x:f>0</x:f>
        <x:v>0</x:v>
      </x:c>
      <x:c r="AZ30" s="48" t="n">
        <x:f>IF(OR(Inputs!$F$6=TRUE,Inputs!$F$6="TRUE",Inputs!$F$6=1),(Inputs!$H$6+Inputs!$L$6*(((Inputs!$I$6+(((A30)+1)/2)*(Inputs!$J$6-Inputs!$I$6)))/Inputs!$K$6)^2),NA())</x:f>
        <x:v>402.353156</x:v>
      </x:c>
      <x:c r="BA30" s="48" t="n">
        <x:f>IF(OR(Inputs!$F$7=TRUE,Inputs!$F$7="TRUE",Inputs!$F$7=1),(Inputs!$H$7+Inputs!$L$7*(((Inputs!$I$7+(((A30)+1)/2)*(Inputs!$J$7-Inputs!$I$7)))/Inputs!$K$7)^2),NA())</x:f>
        <x:v>249.72548500000002</x:v>
      </x:c>
      <x:c r="BB30" s="48" t="n">
        <x:f>IF(OR(Inputs!$F$8=TRUE,Inputs!$F$8="TRUE",Inputs!$F$8=1),(Inputs!$H$8+Inputs!$L$8*(((Inputs!$I$8+(((A30)+1)/2)*(Inputs!$J$8-Inputs!$I$8)))/Inputs!$K$8)^2),NA())</x:f>
        <x:v>602.698885</x:v>
      </x:c>
      <x:c r="BC30" s="48" t="n">
        <x:f>IF(OR(Inputs!$F$9=TRUE,Inputs!$F$9="TRUE",Inputs!$F$9=1),(Inputs!$H$9+Inputs!$L$9*(((Inputs!$I$9+(((A30)+1)/2)*(Inputs!$J$9-Inputs!$I$9)))/Inputs!$K$9)^2),NA())</x:f>
        <x:v>598.5817750000001</x:v>
      </x:c>
      <x:c r="BD30" s="49"/>
      <x:c r="BE30" s="48" t="n">
        <x:f>A30</x:f>
        <x:v>-0.767</x:v>
      </x:c>
      <x:c r="BF30" s="48" t="n">
        <x:f>0</x:f>
        <x:v>0</x:v>
      </x:c>
      <x:c r="BG30" s="48"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BH30" s="48"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BI30" s="48"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BJ30" s="48"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row>
    <x:row r="31">
      <x:c r="A31" s="48" t="n">
        <x:f>ROUND(-1+29*2/240,3)</x:f>
        <x:v>-0.758</x:v>
      </x:c>
      <x:c r="B31" s="48" t="n">
        <x:f>IF(OR(Inputs!$F$6=TRUE,Inputs!$F$6="TRUE",Inputs!$F$6=1),(Inputs!$H$6+Inputs!$L$6*(((Inputs!$I$6+(((A31)+1)/2)*(Inputs!$J$6-Inputs!$I$6)))/Inputs!$K$6)^2),NA())</x:f>
        <x:v>402.298256</x:v>
      </x:c>
      <x:c r="C31" s="48" t="n">
        <x:f>IF(OR(Inputs!$F$7=TRUE,Inputs!$F$7="TRUE",Inputs!$F$7=1),(Inputs!$H$7+Inputs!$L$7*(((Inputs!$I$7+(((A31)+1)/2)*(Inputs!$J$7-Inputs!$I$7)))/Inputs!$K$7)^2),NA())</x:f>
        <x:v>244.71586</x:v>
      </x:c>
      <x:c r="D31" s="48" t="n">
        <x:f>IF(OR(Inputs!$F$8=TRUE,Inputs!$F$8="TRUE",Inputs!$F$8=1),(Inputs!$H$8+Inputs!$L$8*(((Inputs!$I$8+(((A31)+1)/2)*(Inputs!$J$8-Inputs!$I$8)))/Inputs!$K$8)^2),NA())</x:f>
        <x:v>589.45426</x:v>
      </x:c>
      <x:c r="E31" s="48" t="n">
        <x:f>IF(OR(Inputs!$F$9=TRUE,Inputs!$F$9="TRUE",Inputs!$F$9=1),(Inputs!$H$9+Inputs!$L$9*(((Inputs!$I$9+(((A31)+1)/2)*(Inputs!$J$9-Inputs!$I$9)))/Inputs!$K$9)^2),NA())</x:f>
        <x:v>585.1999</x:v>
      </x:c>
      <x:c r="F31" s="49"/>
      <x:c r="G31" s="48" t="n">
        <x:f>A31</x:f>
        <x:v>-0.758</x:v>
      </x:c>
      <x:c r="H31" s="48"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I31" s="48"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J31" s="48"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K31" s="48"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c r="L31" s="49"/>
      <x:c r="M31" s="48" t="n">
        <x:f>A31</x:f>
        <x:v>-0.758</x:v>
      </x:c>
      <x:c r="N31" s="48" t="n">
        <x: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x:f>
        <x:v>385.5011747971263</x:v>
      </x:c>
      <x:c r="O31" s="48" t="n">
        <x: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x:f>
        <x:v>2853.363726478862</x:v>
      </x:c>
      <x:c r="P31" s="48" t="n">
        <x: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x:f>
        <x:v>3657.125263455929</x:v>
      </x:c>
      <x:c r="Q31" s="48" t="n">
        <x: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x:f>
        <x:v>3676.908297109797</x:v>
      </x:c>
      <x:c r="R31" s="49"/>
      <x:c r="S31" s="48" t="n">
        <x:f>A31</x:f>
        <x:v>-0.758</x:v>
      </x:c>
      <x:c r="T31" s="48" t="n">
        <x:f>(Inputs!$I$6+(((A31)+1)/2)*(Inputs!$J$6-Inputs!$I$6))</x:f>
        <x:v>-45.480000000000004</x:v>
      </x:c>
      <x:c r="U31" s="48" t="n">
        <x:f>(Inputs!$I$7+(((A31)+1)/2)*(Inputs!$J$7-Inputs!$I$7))</x:f>
        <x:v>-303.2</x:v>
      </x:c>
      <x:c r="V31" s="48" t="n">
        <x:f>(Inputs!$I$8+(((A31)+1)/2)*(Inputs!$J$8-Inputs!$I$8))</x:f>
        <x:v>-606.4</x:v>
      </x:c>
      <x:c r="W31" s="48" t="n">
        <x:f>(Inputs!$I$9+(((A31)+1)/2)*(Inputs!$J$9-Inputs!$I$9))</x:f>
        <x:v>-606.4</x:v>
      </x:c>
      <x:c r="X31" s="49"/>
      <x:c r="Y31" s="48" t="n">
        <x:f>A31</x:f>
        <x:v>-0.758</x:v>
      </x:c>
      <x:c r="Z31" s="48" t="n">
        <x:f>(Inputs!$H$6+Inputs!$L$6*(((Inputs!$I$6+(((A31)+1)/2)*(Inputs!$J$6-Inputs!$I$6)))/Inputs!$K$6)^2)</x:f>
        <x:v>402.298256</x:v>
      </x:c>
      <x:c r="AA31" s="48" t="n">
        <x:f>(Inputs!$H$7+Inputs!$L$7*(((Inputs!$I$7+(((A31)+1)/2)*(Inputs!$J$7-Inputs!$I$7)))/Inputs!$K$7)^2)</x:f>
        <x:v>244.71586</x:v>
      </x:c>
      <x:c r="AB31" s="48" t="n">
        <x:f>(Inputs!$H$8+Inputs!$L$8*(((Inputs!$I$8+(((A31)+1)/2)*(Inputs!$J$8-Inputs!$I$8)))/Inputs!$K$8)^2)</x:f>
        <x:v>589.45426</x:v>
      </x:c>
      <x:c r="AC31" s="48" t="n">
        <x:f>(Inputs!$H$9+Inputs!$L$9*(((Inputs!$I$9+(((A31)+1)/2)*(Inputs!$J$9-Inputs!$I$9)))/Inputs!$K$9)^2)</x:f>
        <x:v>585.1999</x:v>
      </x:c>
      <x:c r="AD31" s="49"/>
      <x:c r="AE31" s="48" t="n">
        <x:f>A31</x:f>
        <x:v>-0.758</x:v>
      </x:c>
      <x:c r="AF31" s="48" t="n">
        <x:f>(((SQRT((Inputs!$C$52+((Inputs!$H$6+Inputs!$L$6*(((Inputs!$I$6+(((A31)+1)/2)*(Inputs!$J$6-Inputs!$I$6)))/Inputs!$K$6)^2)))^2+Inputs!$C$52^2-2*(Inputs!$C$52+((Inputs!$H$6+Inputs!$L$6*(((Inputs!$I$6+(((A31)+1)/2)*(Inputs!$J$6-Inputs!$I$6)))/Inputs!$K$6)^2)))*Inputs!$C$52*COS(SQRT(((Inputs!$I$6+(((A31)+1)/2)*(Inputs!$J$6-Inputs!$I$6)))^2+Inputs!$C$6^2)/Inputs!$C$52)))-((Inputs!$H$6+Inputs!$L$6*(((Inputs!$I$6+(((A31)+1)/2)*(Inputs!$J$6-Inputs!$I$6)))/Inputs!$K$6)^2)))*1000/Inputs!$C$12)</x:f>
        <x:v>2352.9223073851977</x:v>
      </x:c>
      <x:c r="AG31" s="48" t="n">
        <x:f>(((SQRT((Inputs!$C$52+((Inputs!$H$7+Inputs!$L$7*(((Inputs!$I$7+(((A31)+1)/2)*(Inputs!$J$7-Inputs!$I$7)))/Inputs!$K$7)^2)))^2+Inputs!$C$52^2-2*(Inputs!$C$52+((Inputs!$H$7+Inputs!$L$7*(((Inputs!$I$7+(((A31)+1)/2)*(Inputs!$J$7-Inputs!$I$7)))/Inputs!$K$7)^2)))*Inputs!$C$52*COS(SQRT(((Inputs!$I$7+(((A31)+1)/2)*(Inputs!$J$7-Inputs!$I$7)))^2+Inputs!$C$6^2)/Inputs!$C$52)))-((Inputs!$H$7+Inputs!$L$7*(((Inputs!$I$7+(((A31)+1)/2)*(Inputs!$J$7-Inputs!$I$7)))/Inputs!$K$7)^2)))*1000/Inputs!$C$12)</x:f>
        <x:v>91836.01826740615</x:v>
      </x:c>
      <x:c r="AH31" s="48" t="n">
        <x:f>(((SQRT((Inputs!$C$52+((Inputs!$H$8+Inputs!$L$8*(((Inputs!$I$8+(((A31)+1)/2)*(Inputs!$J$8-Inputs!$I$8)))/Inputs!$K$8)^2)))^2+Inputs!$C$52^2-2*(Inputs!$C$52+((Inputs!$H$8+Inputs!$L$8*(((Inputs!$I$8+(((A31)+1)/2)*(Inputs!$J$8-Inputs!$I$8)))/Inputs!$K$8)^2)))*Inputs!$C$52*COS(SQRT(((Inputs!$I$8+(((A31)+1)/2)*(Inputs!$J$8-Inputs!$I$8)))^2+Inputs!$C$6^2)/Inputs!$C$52)))-((Inputs!$H$8+Inputs!$L$8*(((Inputs!$I$8+(((A31)+1)/2)*(Inputs!$J$8-Inputs!$I$8)))/Inputs!$K$8)^2)))*1000/Inputs!$C$12)</x:f>
        <x:v>186356.0291483405</x:v>
      </x:c>
      <x:c r="AI31" s="48" t="n">
        <x:f>(((SQRT((Inputs!$C$52+((Inputs!$H$9+Inputs!$L$9*(((Inputs!$I$9+(((A31)+1)/2)*(Inputs!$J$9-Inputs!$I$9)))/Inputs!$K$9)^2)))^2+Inputs!$C$52^2-2*(Inputs!$C$52+((Inputs!$H$9+Inputs!$L$9*(((Inputs!$I$9+(((A31)+1)/2)*(Inputs!$J$9-Inputs!$I$9)))/Inputs!$K$9)^2)))*Inputs!$C$52*COS(SQRT(((Inputs!$I$9+(((A31)+1)/2)*(Inputs!$J$9-Inputs!$I$9)))^2+Inputs!$C$6^2)/Inputs!$C$52)))-((Inputs!$H$9+Inputs!$L$9*(((Inputs!$I$9+(((A31)+1)/2)*(Inputs!$J$9-Inputs!$I$9)))/Inputs!$K$9)^2)))*1000/Inputs!$C$12)</x:f>
        <x:v>186916.6634587045</x:v>
      </x:c>
      <x:c r="AJ31" s="49"/>
      <x:c r="AK31" s="48" t="n">
        <x:f>A31</x:f>
        <x:v>-0.758</x:v>
      </x:c>
      <x:c r="AL31" s="48" t="n">
        <x: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x:f>
        <x:v>385.5011747971263</x:v>
      </x:c>
      <x:c r="AM31" s="48" t="n">
        <x: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x:f>
        <x:v>2853.363726478862</x:v>
      </x:c>
      <x:c r="AN31" s="48" t="n">
        <x: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x:f>
        <x:v>3657.125263455929</x:v>
      </x:c>
      <x:c r="AO31" s="48" t="n">
        <x: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x:f>
        <x:v>3676.908297109797</x:v>
      </x:c>
      <x:c r="AP31" s="49"/>
      <x:c r="AQ31" s="48" t="n">
        <x:f>A31</x:f>
        <x:v>-0.758</x:v>
      </x:c>
      <x:c r="AR31" s="48" t="n">
        <x:f>0</x:f>
        <x:v>0</x:v>
      </x:c>
      <x:c r="AS31" s="48" t="n">
        <x: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(0.45*SIN(2*PI()*((((Inputs!$I$6+(((A31)+1)/2)*(Inputs!$J$6-Inputs!$I$6)))/Inputs!$C$49)+Inputs!$C$47*0.137))+0.35*COS(2*PI()*(((Inputs!$C$6)/Inputs!$C$50)+Inputs!$C$47*0.173))+0.20*SIN(2*PI()*((((Inputs!$I$6+(((A31)+1)/2)*(Inputs!$J$6-Inputs!$I$6)))+(Inputs!$C$6))/(0.5*(Inputs!$C$49+Inputs!$C$50))+Inputs!$C$47*0.097)))+0.30*(2*((SIN((((Inputs!$I$6+(((A31)+1)/2)*(Inputs!$J$6-Inputs!$I$6)))*12.9898+(Inputs!$C$6)*78.233+Inputs!$C$47*37.719))*43758.5453)-INT((SIN((((Inputs!$I$6+(((A31)+1)/2)*(Inputs!$J$6-Inputs!$I$6)))*12.9898+(Inputs!$C$6)*78.233+Inputs!$C$47*37.719))*43758.5453)))-1))),NA())</x:f>
        <x:v>219.8221031321638</x:v>
      </x:c>
      <x:c r="AT31" s="48" t="n">
        <x: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(0.45*SIN(2*PI()*((((Inputs!$I$7+(((A31)+1)/2)*(Inputs!$J$7-Inputs!$I$7)))/Inputs!$C$49)+Inputs!$C$47*0.137))+0.35*COS(2*PI()*(((Inputs!$C$6)/Inputs!$C$50)+Inputs!$C$47*0.173))+0.20*SIN(2*PI()*((((Inputs!$I$7+(((A31)+1)/2)*(Inputs!$J$7-Inputs!$I$7)))+(Inputs!$C$6))/(0.5*(Inputs!$C$49+Inputs!$C$50))+Inputs!$C$47*0.097)))+0.30*(2*((SIN((((Inputs!$I$7+(((A31)+1)/2)*(Inputs!$J$7-Inputs!$I$7)))*12.9898+(Inputs!$C$6)*78.233+Inputs!$C$47*37.719))*43758.5453)-INT((SIN((((Inputs!$I$7+(((A31)+1)/2)*(Inputs!$J$7-Inputs!$I$7)))*12.9898+(Inputs!$C$6)*78.233+Inputs!$C$47*37.719))*43758.5453)))-1))),NA())</x:f>
        <x:v>168.4652257883235</x:v>
      </x:c>
      <x:c r="AU31" s="48" t="n">
        <x: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(0.45*SIN(2*PI()*((((Inputs!$I$8+(((A31)+1)/2)*(Inputs!$J$8-Inputs!$I$8)))/Inputs!$C$49)+Inputs!$C$47*0.137))+0.35*COS(2*PI()*(((Inputs!$C$6)/Inputs!$C$50)+Inputs!$C$47*0.173))+0.20*SIN(2*PI()*((((Inputs!$I$8+(((A31)+1)/2)*(Inputs!$J$8-Inputs!$I$8)))+(Inputs!$C$6))/(0.5*(Inputs!$C$49+Inputs!$C$50))+Inputs!$C$47*0.097)))+0.30*(2*((SIN((((Inputs!$I$8+(((A31)+1)/2)*(Inputs!$J$8-Inputs!$I$8)))*12.9898+(Inputs!$C$6)*78.233+Inputs!$C$47*37.719))*43758.5453)-INT((SIN((((Inputs!$I$8+(((A31)+1)/2)*(Inputs!$J$8-Inputs!$I$8)))*12.9898+(Inputs!$C$6)*78.233+Inputs!$C$47*37.719))*43758.5453)))-1))),NA())</x:f>
        <x:v>237.0533659753516</x:v>
      </x:c>
      <x:c r="AV31" s="48" t="n">
        <x: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(0.45*SIN(2*PI()*((((Inputs!$I$9+(((A31)+1)/2)*(Inputs!$J$9-Inputs!$I$9)))/Inputs!$C$49)+Inputs!$C$47*0.137))+0.35*COS(2*PI()*(((Inputs!$C$6)/Inputs!$C$50)+Inputs!$C$47*0.173))+0.20*SIN(2*PI()*((((Inputs!$I$9+(((A31)+1)/2)*(Inputs!$J$9-Inputs!$I$9)))+(Inputs!$C$6))/(0.5*(Inputs!$C$49+Inputs!$C$50))+Inputs!$C$47*0.097)))+0.30*(2*((SIN((((Inputs!$I$9+(((A31)+1)/2)*(Inputs!$J$9-Inputs!$I$9)))*12.9898+(Inputs!$C$6)*78.233+Inputs!$C$47*37.719))*43758.5453)-INT((SIN((((Inputs!$I$9+(((A31)+1)/2)*(Inputs!$J$9-Inputs!$I$9)))*12.9898+(Inputs!$C$6)*78.233+Inputs!$C$47*37.719))*43758.5453)))-1))),NA())</x:f>
        <x:v>237.0533659753516</x:v>
      </x:c>
      <x:c r="AW31" s="49"/>
      <x:c r="AX31" s="48" t="n">
        <x:f>A31</x:f>
        <x:v>-0.758</x:v>
      </x:c>
      <x:c r="AY31" s="48" t="n">
        <x:f>0</x:f>
        <x:v>0</x:v>
      </x:c>
      <x:c r="AZ31" s="48" t="n">
        <x:f>IF(OR(Inputs!$F$6=TRUE,Inputs!$F$6="TRUE",Inputs!$F$6=1),(Inputs!$H$6+Inputs!$L$6*(((Inputs!$I$6+(((A31)+1)/2)*(Inputs!$J$6-Inputs!$I$6)))/Inputs!$K$6)^2),NA())</x:f>
        <x:v>402.298256</x:v>
      </x:c>
      <x:c r="BA31" s="48" t="n">
        <x:f>IF(OR(Inputs!$F$7=TRUE,Inputs!$F$7="TRUE",Inputs!$F$7=1),(Inputs!$H$7+Inputs!$L$7*(((Inputs!$I$7+(((A31)+1)/2)*(Inputs!$J$7-Inputs!$I$7)))/Inputs!$K$7)^2),NA())</x:f>
        <x:v>244.71586</x:v>
      </x:c>
      <x:c r="BB31" s="48" t="n">
        <x:f>IF(OR(Inputs!$F$8=TRUE,Inputs!$F$8="TRUE",Inputs!$F$8=1),(Inputs!$H$8+Inputs!$L$8*(((Inputs!$I$8+(((A31)+1)/2)*(Inputs!$J$8-Inputs!$I$8)))/Inputs!$K$8)^2),NA())</x:f>
        <x:v>589.45426</x:v>
      </x:c>
      <x:c r="BC31" s="48" t="n">
        <x:f>IF(OR(Inputs!$F$9=TRUE,Inputs!$F$9="TRUE",Inputs!$F$9=1),(Inputs!$H$9+Inputs!$L$9*(((Inputs!$I$9+(((A31)+1)/2)*(Inputs!$J$9-Inputs!$I$9)))/Inputs!$K$9)^2),NA())</x:f>
        <x:v>585.1999</x:v>
      </x:c>
      <x:c r="BD31" s="49"/>
      <x:c r="BE31" s="48" t="n">
        <x:f>A31</x:f>
        <x:v>-0.758</x:v>
      </x:c>
      <x:c r="BF31" s="48" t="n">
        <x:f>0</x:f>
        <x:v>0</x:v>
      </x:c>
      <x:c r="BG31" s="48"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BH31" s="48"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BI31" s="48"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BJ31" s="48"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row>
    <x:row r="32">
      <x:c r="A32" s="48" t="n">
        <x:f>ROUND(-1+30*2/240,3)</x:f>
        <x:v>-0.75</x:v>
      </x:c>
      <x:c r="B32" s="48" t="n">
        <x:f>IF(OR(Inputs!$F$6=TRUE,Inputs!$F$6="TRUE",Inputs!$F$6=1),(Inputs!$H$6+Inputs!$L$6*(((Inputs!$I$6+(((A32)+1)/2)*(Inputs!$J$6-Inputs!$I$6)))/Inputs!$K$6)^2),NA())</x:f>
        <x:v>402.25</x:v>
      </x:c>
      <x:c r="C32" s="48" t="n">
        <x:f>IF(OR(Inputs!$F$7=TRUE,Inputs!$F$7="TRUE",Inputs!$F$7=1),(Inputs!$H$7+Inputs!$L$7*(((Inputs!$I$7+(((A32)+1)/2)*(Inputs!$J$7-Inputs!$I$7)))/Inputs!$K$7)^2),NA())</x:f>
        <x:v>240.3125</x:v>
      </x:c>
      <x:c r="D32" s="48" t="n">
        <x:f>IF(OR(Inputs!$F$8=TRUE,Inputs!$F$8="TRUE",Inputs!$F$8=1),(Inputs!$H$8+Inputs!$L$8*(((Inputs!$I$8+(((A32)+1)/2)*(Inputs!$J$8-Inputs!$I$8)))/Inputs!$K$8)^2),NA())</x:f>
        <x:v>577.8125</x:v>
      </x:c>
      <x:c r="E32" s="48" t="n">
        <x:f>IF(OR(Inputs!$F$9=TRUE,Inputs!$F$9="TRUE",Inputs!$F$9=1),(Inputs!$H$9+Inputs!$L$9*(((Inputs!$I$9+(((A32)+1)/2)*(Inputs!$J$9-Inputs!$I$9)))/Inputs!$K$9)^2),NA())</x:f>
        <x:v>573.4375</x:v>
      </x:c>
      <x:c r="F32" s="49"/>
      <x:c r="G32" s="48" t="n">
        <x:f>A32</x:f>
        <x:v>-0.75</x:v>
      </x:c>
      <x:c r="H32" s="48"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I32" s="48"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J32" s="48"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K32" s="48"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c r="L32" s="49"/>
      <x:c r="M32" s="48" t="n">
        <x:f>A32</x:f>
        <x:v>-0.75</x:v>
      </x:c>
      <x:c r="N32" s="48" t="n">
        <x: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x:f>
        <x:v>381.5112605730765</x:v>
      </x:c>
      <x:c r="O32" s="48" t="n">
        <x: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x:f>
        <x:v>2832.668276190082</x:v>
      </x:c>
      <x:c r="P32" s="48" t="n">
        <x: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x:f>
        <x:v>3624.833328515016</x:v>
      </x:c>
      <x:c r="Q32" s="48" t="n">
        <x: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x:f>
        <x:v>3644.1221232998905</x:v>
      </x:c>
      <x:c r="R32" s="49"/>
      <x:c r="S32" s="48" t="n">
        <x:f>A32</x:f>
        <x:v>-0.75</x:v>
      </x:c>
      <x:c r="T32" s="48" t="n">
        <x:f>(Inputs!$I$6+(((A32)+1)/2)*(Inputs!$J$6-Inputs!$I$6))</x:f>
        <x:v>-45</x:v>
      </x:c>
      <x:c r="U32" s="48" t="n">
        <x:f>(Inputs!$I$7+(((A32)+1)/2)*(Inputs!$J$7-Inputs!$I$7))</x:f>
        <x:v>-300</x:v>
      </x:c>
      <x:c r="V32" s="48" t="n">
        <x:f>(Inputs!$I$8+(((A32)+1)/2)*(Inputs!$J$8-Inputs!$I$8))</x:f>
        <x:v>-600</x:v>
      </x:c>
      <x:c r="W32" s="48" t="n">
        <x:f>(Inputs!$I$9+(((A32)+1)/2)*(Inputs!$J$9-Inputs!$I$9))</x:f>
        <x:v>-600</x:v>
      </x:c>
      <x:c r="X32" s="49"/>
      <x:c r="Y32" s="48" t="n">
        <x:f>A32</x:f>
        <x:v>-0.75</x:v>
      </x:c>
      <x:c r="Z32" s="48" t="n">
        <x:f>(Inputs!$H$6+Inputs!$L$6*(((Inputs!$I$6+(((A32)+1)/2)*(Inputs!$J$6-Inputs!$I$6)))/Inputs!$K$6)^2)</x:f>
        <x:v>402.25</x:v>
      </x:c>
      <x:c r="AA32" s="48" t="n">
        <x:f>(Inputs!$H$7+Inputs!$L$7*(((Inputs!$I$7+(((A32)+1)/2)*(Inputs!$J$7-Inputs!$I$7)))/Inputs!$K$7)^2)</x:f>
        <x:v>240.3125</x:v>
      </x:c>
      <x:c r="AB32" s="48" t="n">
        <x:f>(Inputs!$H$8+Inputs!$L$8*(((Inputs!$I$8+(((A32)+1)/2)*(Inputs!$J$8-Inputs!$I$8)))/Inputs!$K$8)^2)</x:f>
        <x:v>577.8125</x:v>
      </x:c>
      <x:c r="AC32" s="48" t="n">
        <x:f>(Inputs!$H$9+Inputs!$L$9*(((Inputs!$I$9+(((A32)+1)/2)*(Inputs!$J$9-Inputs!$I$9)))/Inputs!$K$9)^2)</x:f>
        <x:v>573.4375</x:v>
      </x:c>
      <x:c r="AD32" s="49"/>
      <x:c r="AE32" s="48" t="n">
        <x:f>A32</x:f>
        <x:v>-0.75</x:v>
      </x:c>
      <x:c r="AF32" s="48" t="n">
        <x:f>(((SQRT((Inputs!$C$52+((Inputs!$H$6+Inputs!$L$6*(((Inputs!$I$6+(((A32)+1)/2)*(Inputs!$J$6-Inputs!$I$6)))/Inputs!$K$6)^2)))^2+Inputs!$C$52^2-2*(Inputs!$C$52+((Inputs!$H$6+Inputs!$L$6*(((Inputs!$I$6+(((A32)+1)/2)*(Inputs!$J$6-Inputs!$I$6)))/Inputs!$K$6)^2)))*Inputs!$C$52*COS(SQRT(((Inputs!$I$6+(((A32)+1)/2)*(Inputs!$J$6-Inputs!$I$6)))^2+Inputs!$C$6^2)/Inputs!$C$52)))-((Inputs!$H$6+Inputs!$L$6*(((Inputs!$I$6+(((A32)+1)/2)*(Inputs!$J$6-Inputs!$I$6)))/Inputs!$K$6)^2)))*1000/Inputs!$C$12)</x:f>
        <x:v>2315.3965059322627</x:v>
      </x:c>
      <x:c r="AG32" s="48" t="n">
        <x:f>(((SQRT((Inputs!$C$52+((Inputs!$H$7+Inputs!$L$7*(((Inputs!$I$7+(((A32)+1)/2)*(Inputs!$J$7-Inputs!$I$7)))/Inputs!$K$7)^2)))^2+Inputs!$C$52^2-2*(Inputs!$C$52+((Inputs!$H$7+Inputs!$L$7*(((Inputs!$I$7+(((A32)+1)/2)*(Inputs!$J$7-Inputs!$I$7)))/Inputs!$K$7)^2)))*Inputs!$C$52*COS(SQRT(((Inputs!$I$7+(((A32)+1)/2)*(Inputs!$J$7-Inputs!$I$7)))^2+Inputs!$C$6^2)/Inputs!$C$52)))-((Inputs!$H$7+Inputs!$L$7*(((Inputs!$I$7+(((A32)+1)/2)*(Inputs!$J$7-Inputs!$I$7)))/Inputs!$K$7)^2)))*1000/Inputs!$C$12)</x:f>
        <x:v>91115.42498675261</x:v>
      </x:c>
      <x:c r="AH32" s="48" t="n">
        <x:f>(((SQRT((Inputs!$C$52+((Inputs!$H$8+Inputs!$L$8*(((Inputs!$I$8+(((A32)+1)/2)*(Inputs!$J$8-Inputs!$I$8)))/Inputs!$K$8)^2)))^2+Inputs!$C$52^2-2*(Inputs!$C$52+((Inputs!$H$8+Inputs!$L$8*(((Inputs!$I$8+(((A32)+1)/2)*(Inputs!$J$8-Inputs!$I$8)))/Inputs!$K$8)^2)))*Inputs!$C$52*COS(SQRT(((Inputs!$I$8+(((A32)+1)/2)*(Inputs!$J$8-Inputs!$I$8)))^2+Inputs!$C$6^2)/Inputs!$C$52)))-((Inputs!$H$8+Inputs!$L$8*(((Inputs!$I$8+(((A32)+1)/2)*(Inputs!$J$8-Inputs!$I$8)))/Inputs!$K$8)^2)))*1000/Inputs!$C$12)</x:f>
        <x:v>184714.38451986728</x:v>
      </x:c>
      <x:c r="AI32" s="48" t="n">
        <x:f>(((SQRT((Inputs!$C$52+((Inputs!$H$9+Inputs!$L$9*(((Inputs!$I$9+(((A32)+1)/2)*(Inputs!$J$9-Inputs!$I$9)))/Inputs!$K$9)^2)))^2+Inputs!$C$52^2-2*(Inputs!$C$52+((Inputs!$H$9+Inputs!$L$9*(((Inputs!$I$9+(((A32)+1)/2)*(Inputs!$J$9-Inputs!$I$9)))/Inputs!$K$9)^2)))*Inputs!$C$52*COS(SQRT(((Inputs!$I$9+(((A32)+1)/2)*(Inputs!$J$9-Inputs!$I$9)))^2+Inputs!$C$6^2)/Inputs!$C$52)))-((Inputs!$H$9+Inputs!$L$9*(((Inputs!$I$9+(((A32)+1)/2)*(Inputs!$J$9-Inputs!$I$9)))/Inputs!$K$9)^2)))*1000/Inputs!$C$12)</x:f>
        <x:v>185298.8927773159</x:v>
      </x:c>
      <x:c r="AJ32" s="49"/>
      <x:c r="AK32" s="48" t="n">
        <x:f>A32</x:f>
        <x:v>-0.75</x:v>
      </x:c>
      <x:c r="AL32" s="48" t="n">
        <x: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x:f>
        <x:v>381.5112605730765</x:v>
      </x:c>
      <x:c r="AM32" s="48" t="n">
        <x: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x:f>
        <x:v>2832.668276190082</x:v>
      </x:c>
      <x:c r="AN32" s="48" t="n">
        <x: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x:f>
        <x:v>3624.833328515016</x:v>
      </x:c>
      <x:c r="AO32" s="48" t="n">
        <x: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x:f>
        <x:v>3644.1221232998905</x:v>
      </x:c>
      <x:c r="AP32" s="49"/>
      <x:c r="AQ32" s="48" t="n">
        <x:f>A32</x:f>
        <x:v>-0.75</x:v>
      </x:c>
      <x:c r="AR32" s="48" t="n">
        <x:f>0</x:f>
        <x:v>0</x:v>
      </x:c>
      <x:c r="AS32" s="48" t="n">
        <x: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(0.45*SIN(2*PI()*((((Inputs!$I$6+(((A32)+1)/2)*(Inputs!$J$6-Inputs!$I$6)))/Inputs!$C$49)+Inputs!$C$47*0.137))+0.35*COS(2*PI()*(((Inputs!$C$6)/Inputs!$C$50)+Inputs!$C$47*0.173))+0.20*SIN(2*PI()*((((Inputs!$I$6+(((A32)+1)/2)*(Inputs!$J$6-Inputs!$I$6)))+(Inputs!$C$6))/(0.5*(Inputs!$C$49+Inputs!$C$50))+Inputs!$C$47*0.097)))+0.30*(2*((SIN((((Inputs!$I$6+(((A32)+1)/2)*(Inputs!$J$6-Inputs!$I$6)))*12.9898+(Inputs!$C$6)*78.233+Inputs!$C$47*37.719))*43758.5453)-INT((SIN((((Inputs!$I$6+(((A32)+1)/2)*(Inputs!$J$6-Inputs!$I$6)))*12.9898+(Inputs!$C$6)*78.233+Inputs!$C$47*37.719))*43758.5453)))-1))),NA())</x:f>
        <x:v>208.8220272535724</x:v>
      </x:c>
      <x:c r="AT32" s="48" t="n">
        <x: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(0.45*SIN(2*PI()*((((Inputs!$I$7+(((A32)+1)/2)*(Inputs!$J$7-Inputs!$I$7)))/Inputs!$C$49)+Inputs!$C$47*0.137))+0.35*COS(2*PI()*(((Inputs!$C$6)/Inputs!$C$50)+Inputs!$C$47*0.173))+0.20*SIN(2*PI()*((((Inputs!$I$7+(((A32)+1)/2)*(Inputs!$J$7-Inputs!$I$7)))+(Inputs!$C$6))/(0.5*(Inputs!$C$49+Inputs!$C$50))+Inputs!$C$47*0.097)))+0.30*(2*((SIN((((Inputs!$I$7+(((A32)+1)/2)*(Inputs!$J$7-Inputs!$I$7)))*12.9898+(Inputs!$C$6)*78.233+Inputs!$C$47*37.719))*43758.5453)-INT((SIN((((Inputs!$I$7+(((A32)+1)/2)*(Inputs!$J$7-Inputs!$I$7)))*12.9898+(Inputs!$C$6)*78.233+Inputs!$C$47*37.719))*43758.5453)))-1))),NA())</x:f>
        <x:v>172.6892729513056</x:v>
      </x:c>
      <x:c r="AU32" s="48" t="n">
        <x: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(0.45*SIN(2*PI()*((((Inputs!$I$8+(((A32)+1)/2)*(Inputs!$J$8-Inputs!$I$8)))/Inputs!$C$49)+Inputs!$C$47*0.137))+0.35*COS(2*PI()*(((Inputs!$C$6)/Inputs!$C$50)+Inputs!$C$47*0.173))+0.20*SIN(2*PI()*((((Inputs!$I$8+(((A32)+1)/2)*(Inputs!$J$8-Inputs!$I$8)))+(Inputs!$C$6))/(0.5*(Inputs!$C$49+Inputs!$C$50))+Inputs!$C$47*0.097)))+0.30*(2*((SIN((((Inputs!$I$8+(((A32)+1)/2)*(Inputs!$J$8-Inputs!$I$8)))*12.9898+(Inputs!$C$6)*78.233+Inputs!$C$47*37.719))*43758.5453)-INT((SIN((((Inputs!$I$8+(((A32)+1)/2)*(Inputs!$J$8-Inputs!$I$8)))*12.9898+(Inputs!$C$6)*78.233+Inputs!$C$47*37.719))*43758.5453)))-1))),NA())</x:f>
        <x:v>77.587070989353</x:v>
      </x:c>
      <x:c r="AV32" s="48" t="n">
        <x: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(0.45*SIN(2*PI()*((((Inputs!$I$9+(((A32)+1)/2)*(Inputs!$J$9-Inputs!$I$9)))/Inputs!$C$49)+Inputs!$C$47*0.137))+0.35*COS(2*PI()*(((Inputs!$C$6)/Inputs!$C$50)+Inputs!$C$47*0.173))+0.20*SIN(2*PI()*((((Inputs!$I$9+(((A32)+1)/2)*(Inputs!$J$9-Inputs!$I$9)))+(Inputs!$C$6))/(0.5*(Inputs!$C$49+Inputs!$C$50))+Inputs!$C$47*0.097)))+0.30*(2*((SIN((((Inputs!$I$9+(((A32)+1)/2)*(Inputs!$J$9-Inputs!$I$9)))*12.9898+(Inputs!$C$6)*78.233+Inputs!$C$47*37.719))*43758.5453)-INT((SIN((((Inputs!$I$9+(((A32)+1)/2)*(Inputs!$J$9-Inputs!$I$9)))*12.9898+(Inputs!$C$6)*78.233+Inputs!$C$47*37.719))*43758.5453)))-1))),NA())</x:f>
        <x:v>77.587070989353</x:v>
      </x:c>
      <x:c r="AW32" s="49"/>
      <x:c r="AX32" s="48" t="n">
        <x:f>A32</x:f>
        <x:v>-0.75</x:v>
      </x:c>
      <x:c r="AY32" s="48" t="n">
        <x:f>0</x:f>
        <x:v>0</x:v>
      </x:c>
      <x:c r="AZ32" s="48" t="n">
        <x:f>IF(OR(Inputs!$F$6=TRUE,Inputs!$F$6="TRUE",Inputs!$F$6=1),(Inputs!$H$6+Inputs!$L$6*(((Inputs!$I$6+(((A32)+1)/2)*(Inputs!$J$6-Inputs!$I$6)))/Inputs!$K$6)^2),NA())</x:f>
        <x:v>402.25</x:v>
      </x:c>
      <x:c r="BA32" s="48" t="n">
        <x:f>IF(OR(Inputs!$F$7=TRUE,Inputs!$F$7="TRUE",Inputs!$F$7=1),(Inputs!$H$7+Inputs!$L$7*(((Inputs!$I$7+(((A32)+1)/2)*(Inputs!$J$7-Inputs!$I$7)))/Inputs!$K$7)^2),NA())</x:f>
        <x:v>240.3125</x:v>
      </x:c>
      <x:c r="BB32" s="48" t="n">
        <x:f>IF(OR(Inputs!$F$8=TRUE,Inputs!$F$8="TRUE",Inputs!$F$8=1),(Inputs!$H$8+Inputs!$L$8*(((Inputs!$I$8+(((A32)+1)/2)*(Inputs!$J$8-Inputs!$I$8)))/Inputs!$K$8)^2),NA())</x:f>
        <x:v>577.8125</x:v>
      </x:c>
      <x:c r="BC32" s="48" t="n">
        <x:f>IF(OR(Inputs!$F$9=TRUE,Inputs!$F$9="TRUE",Inputs!$F$9=1),(Inputs!$H$9+Inputs!$L$9*(((Inputs!$I$9+(((A32)+1)/2)*(Inputs!$J$9-Inputs!$I$9)))/Inputs!$K$9)^2),NA())</x:f>
        <x:v>573.4375</x:v>
      </x:c>
      <x:c r="BD32" s="49"/>
      <x:c r="BE32" s="48" t="n">
        <x:f>A32</x:f>
        <x:v>-0.75</x:v>
      </x:c>
      <x:c r="BF32" s="48" t="n">
        <x:f>0</x:f>
        <x:v>0</x:v>
      </x:c>
      <x:c r="BG32" s="48"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BH32" s="48"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BI32" s="48"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BJ32" s="48"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row>
    <x:row r="33">
      <x:c r="A33" s="48" t="n">
        <x:f>ROUND(-1+31*2/240,3)</x:f>
        <x:v>-0.742</x:v>
      </x:c>
      <x:c r="B33" s="48" t="n">
        <x:f>IF(OR(Inputs!$F$6=TRUE,Inputs!$F$6="TRUE",Inputs!$F$6=1),(Inputs!$H$6+Inputs!$L$6*(((Inputs!$I$6+(((A33)+1)/2)*(Inputs!$J$6-Inputs!$I$6)))/Inputs!$K$6)^2),NA())</x:f>
        <x:v>402.202256</x:v>
      </x:c>
      <x:c r="C33" s="48" t="n">
        <x:f>IF(OR(Inputs!$F$7=TRUE,Inputs!$F$7="TRUE",Inputs!$F$7=1),(Inputs!$H$7+Inputs!$L$7*(((Inputs!$I$7+(((A33)+1)/2)*(Inputs!$J$7-Inputs!$I$7)))/Inputs!$K$7)^2),NA())</x:f>
        <x:v>235.95585999999997</x:v>
      </x:c>
      <x:c r="D33" s="48" t="n">
        <x:f>IF(OR(Inputs!$F$8=TRUE,Inputs!$F$8="TRUE",Inputs!$F$8=1),(Inputs!$H$8+Inputs!$L$8*(((Inputs!$I$8+(((A33)+1)/2)*(Inputs!$J$8-Inputs!$I$8)))/Inputs!$K$8)^2),NA())</x:f>
        <x:v>566.2942599999999</x:v>
      </x:c>
      <x:c r="E33" s="48" t="n">
        <x:f>IF(OR(Inputs!$F$9=TRUE,Inputs!$F$9="TRUE",Inputs!$F$9=1),(Inputs!$H$9+Inputs!$L$9*(((Inputs!$I$9+(((A33)+1)/2)*(Inputs!$J$9-Inputs!$I$9)))/Inputs!$K$9)^2),NA())</x:f>
        <x:v>561.7999</x:v>
      </x:c>
      <x:c r="F33" s="49"/>
      <x:c r="G33" s="48" t="n">
        <x:f>A33</x:f>
        <x:v>-0.742</x:v>
      </x:c>
      <x:c r="H33" s="48"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I33" s="48"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J33" s="48"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K33" s="48"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c r="L33" s="49"/>
      <x:c r="M33" s="48" t="n">
        <x:f>A33</x:f>
        <x:v>-0.742</x:v>
      </x:c>
      <x:c r="N33" s="48" t="n">
        <x: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x:f>
        <x:v>377.51890638728247</x:v>
      </x:c>
      <x:c r="O33" s="48" t="n">
        <x: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x:f>
        <x:v>2812.069369096764</x:v>
      </x:c>
      <x:c r="P33" s="48" t="n">
        <x: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x:f>
        <x:v>3592.631986009926</x:v>
      </x:c>
      <x:c r="Q33" s="48" t="n">
        <x: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x:f>
        <x:v>3611.42439952756</x:v>
      </x:c>
      <x:c r="R33" s="49"/>
      <x:c r="S33" s="48" t="n">
        <x:f>A33</x:f>
        <x:v>-0.742</x:v>
      </x:c>
      <x:c r="T33" s="48" t="n">
        <x:f>(Inputs!$I$6+(((A33)+1)/2)*(Inputs!$J$6-Inputs!$I$6))</x:f>
        <x:v>-44.519999999999996</x:v>
      </x:c>
      <x:c r="U33" s="48" t="n">
        <x:f>(Inputs!$I$7+(((A33)+1)/2)*(Inputs!$J$7-Inputs!$I$7))</x:f>
        <x:v>-296.8</x:v>
      </x:c>
      <x:c r="V33" s="48" t="n">
        <x:f>(Inputs!$I$8+(((A33)+1)/2)*(Inputs!$J$8-Inputs!$I$8))</x:f>
        <x:v>-593.6</x:v>
      </x:c>
      <x:c r="W33" s="48" t="n">
        <x:f>(Inputs!$I$9+(((A33)+1)/2)*(Inputs!$J$9-Inputs!$I$9))</x:f>
        <x:v>-593.6</x:v>
      </x:c>
      <x:c r="X33" s="49"/>
      <x:c r="Y33" s="48" t="n">
        <x:f>A33</x:f>
        <x:v>-0.742</x:v>
      </x:c>
      <x:c r="Z33" s="48" t="n">
        <x:f>(Inputs!$H$6+Inputs!$L$6*(((Inputs!$I$6+(((A33)+1)/2)*(Inputs!$J$6-Inputs!$I$6)))/Inputs!$K$6)^2)</x:f>
        <x:v>402.202256</x:v>
      </x:c>
      <x:c r="AA33" s="48" t="n">
        <x:f>(Inputs!$H$7+Inputs!$L$7*(((Inputs!$I$7+(((A33)+1)/2)*(Inputs!$J$7-Inputs!$I$7)))/Inputs!$K$7)^2)</x:f>
        <x:v>235.95585999999997</x:v>
      </x:c>
      <x:c r="AB33" s="48" t="n">
        <x:f>(Inputs!$H$8+Inputs!$L$8*(((Inputs!$I$8+(((A33)+1)/2)*(Inputs!$J$8-Inputs!$I$8)))/Inputs!$K$8)^2)</x:f>
        <x:v>566.2942599999999</x:v>
      </x:c>
      <x:c r="AC33" s="48" t="n">
        <x:f>(Inputs!$H$9+Inputs!$L$9*(((Inputs!$I$9+(((A33)+1)/2)*(Inputs!$J$9-Inputs!$I$9)))/Inputs!$K$9)^2)</x:f>
        <x:v>561.7999</x:v>
      </x:c>
      <x:c r="AD33" s="49"/>
      <x:c r="AE33" s="48" t="n">
        <x:f>A33</x:f>
        <x:v>-0.742</x:v>
      </x:c>
      <x:c r="AF33" s="48" t="n">
        <x:f>(((SQRT((Inputs!$C$52+((Inputs!$H$6+Inputs!$L$6*(((Inputs!$I$6+(((A33)+1)/2)*(Inputs!$J$6-Inputs!$I$6)))/Inputs!$K$6)^2)))^2+Inputs!$C$52^2-2*(Inputs!$C$52+((Inputs!$H$6+Inputs!$L$6*(((Inputs!$I$6+(((A33)+1)/2)*(Inputs!$J$6-Inputs!$I$6)))/Inputs!$K$6)^2)))*Inputs!$C$52*COS(SQRT(((Inputs!$I$6+(((A33)+1)/2)*(Inputs!$J$6-Inputs!$I$6)))^2+Inputs!$C$6^2)/Inputs!$C$52)))-((Inputs!$H$6+Inputs!$L$6*(((Inputs!$I$6+(((A33)+1)/2)*(Inputs!$J$6-Inputs!$I$6)))/Inputs!$K$6)^2)))*1000/Inputs!$C$12)</x:f>
        <x:v>2278.255727414682</x:v>
      </x:c>
      <x:c r="AG33" s="48" t="n">
        <x:f>(((SQRT((Inputs!$C$52+((Inputs!$H$7+Inputs!$L$7*(((Inputs!$I$7+(((A33)+1)/2)*(Inputs!$J$7-Inputs!$I$7)))/Inputs!$K$7)^2)))^2+Inputs!$C$52^2-2*(Inputs!$C$52+((Inputs!$H$7+Inputs!$L$7*(((Inputs!$I$7+(((A33)+1)/2)*(Inputs!$J$7-Inputs!$I$7)))/Inputs!$K$7)^2)))*Inputs!$C$52*COS(SQRT(((Inputs!$I$7+(((A33)+1)/2)*(Inputs!$J$7-Inputs!$I$7)))^2+Inputs!$C$6^2)/Inputs!$C$52)))-((Inputs!$H$7+Inputs!$L$7*(((Inputs!$I$7+(((A33)+1)/2)*(Inputs!$J$7-Inputs!$I$7)))/Inputs!$K$7)^2)))*1000/Inputs!$C$12)</x:f>
        <x:v>90391.7837355255</x:v>
      </x:c>
      <x:c r="AH33" s="48" t="n">
        <x:f>(((SQRT((Inputs!$C$52+((Inputs!$H$8+Inputs!$L$8*(((Inputs!$I$8+(((A33)+1)/2)*(Inputs!$J$8-Inputs!$I$8)))/Inputs!$K$8)^2)))^2+Inputs!$C$52^2-2*(Inputs!$C$52+((Inputs!$H$8+Inputs!$L$8*(((Inputs!$I$8+(((A33)+1)/2)*(Inputs!$J$8-Inputs!$I$8)))/Inputs!$K$8)^2)))*Inputs!$C$52*COS(SQRT(((Inputs!$I$8+(((A33)+1)/2)*(Inputs!$J$8-Inputs!$I$8)))^2+Inputs!$C$6^2)/Inputs!$C$52)))-((Inputs!$H$8+Inputs!$L$8*(((Inputs!$I$8+(((A33)+1)/2)*(Inputs!$J$8-Inputs!$I$8)))/Inputs!$K$8)^2)))*1000/Inputs!$C$12)</x:f>
        <x:v>183075.81149948057</x:v>
      </x:c>
      <x:c r="AI33" s="48" t="n">
        <x:f>(((SQRT((Inputs!$C$52+((Inputs!$H$9+Inputs!$L$9*(((Inputs!$I$9+(((A33)+1)/2)*(Inputs!$J$9-Inputs!$I$9)))/Inputs!$K$9)^2)))^2+Inputs!$C$52^2-2*(Inputs!$C$52+((Inputs!$H$9+Inputs!$L$9*(((Inputs!$I$9+(((A33)+1)/2)*(Inputs!$J$9-Inputs!$I$9)))/Inputs!$K$9)^2)))*Inputs!$C$52*COS(SQRT(((Inputs!$I$9+(((A33)+1)/2)*(Inputs!$J$9-Inputs!$I$9)))^2+Inputs!$C$6^2)/Inputs!$C$52)))-((Inputs!$H$9+Inputs!$L$9*(((Inputs!$I$9+(((A33)+1)/2)*(Inputs!$J$9-Inputs!$I$9)))/Inputs!$K$9)^2)))*1000/Inputs!$C$12)</x:f>
        <x:v>183684.58766289297</x:v>
      </x:c>
      <x:c r="AJ33" s="49"/>
      <x:c r="AK33" s="48" t="n">
        <x:f>A33</x:f>
        <x:v>-0.742</x:v>
      </x:c>
      <x:c r="AL33" s="48" t="n">
        <x: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x:f>
        <x:v>377.51890638728247</x:v>
      </x:c>
      <x:c r="AM33" s="48" t="n">
        <x: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x:f>
        <x:v>2812.069369096764</x:v>
      </x:c>
      <x:c r="AN33" s="48" t="n">
        <x: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x:f>
        <x:v>3592.631986009926</x:v>
      </x:c>
      <x:c r="AO33" s="48" t="n">
        <x: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x:f>
        <x:v>3611.42439952756</x:v>
      </x:c>
      <x:c r="AP33" s="49"/>
      <x:c r="AQ33" s="48" t="n">
        <x:f>A33</x:f>
        <x:v>-0.742</x:v>
      </x:c>
      <x:c r="AR33" s="48" t="n">
        <x:f>0</x:f>
        <x:v>0</x:v>
      </x:c>
      <x:c r="AS33" s="48" t="n">
        <x: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(0.45*SIN(2*PI()*((((Inputs!$I$6+(((A33)+1)/2)*(Inputs!$J$6-Inputs!$I$6)))/Inputs!$C$49)+Inputs!$C$47*0.137))+0.35*COS(2*PI()*(((Inputs!$C$6)/Inputs!$C$50)+Inputs!$C$47*0.173))+0.20*SIN(2*PI()*((((Inputs!$I$6+(((A33)+1)/2)*(Inputs!$J$6-Inputs!$I$6)))+(Inputs!$C$6))/(0.5*(Inputs!$C$49+Inputs!$C$50))+Inputs!$C$47*0.097)))+0.30*(2*((SIN((((Inputs!$I$6+(((A33)+1)/2)*(Inputs!$J$6-Inputs!$I$6)))*12.9898+(Inputs!$C$6)*78.233+Inputs!$C$47*37.719))*43758.5453)-INT((SIN((((Inputs!$I$6+(((A33)+1)/2)*(Inputs!$J$6-Inputs!$I$6)))*12.9898+(Inputs!$C$6)*78.233+Inputs!$C$47*37.719))*43758.5453)))-1))),NA())</x:f>
        <x:v>213.11731003163493</x:v>
      </x:c>
      <x:c r="AT33" s="48" t="n">
        <x: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(0.45*SIN(2*PI()*((((Inputs!$I$7+(((A33)+1)/2)*(Inputs!$J$7-Inputs!$I$7)))/Inputs!$C$49)+Inputs!$C$47*0.137))+0.35*COS(2*PI()*(((Inputs!$C$6)/Inputs!$C$50)+Inputs!$C$47*0.173))+0.20*SIN(2*PI()*((((Inputs!$I$7+(((A33)+1)/2)*(Inputs!$J$7-Inputs!$I$7)))+(Inputs!$C$6))/(0.5*(Inputs!$C$49+Inputs!$C$50))+Inputs!$C$47*0.097)))+0.30*(2*((SIN((((Inputs!$I$7+(((A33)+1)/2)*(Inputs!$J$7-Inputs!$I$7)))*12.9898+(Inputs!$C$6)*78.233+Inputs!$C$47*37.719))*43758.5453)-INT((SIN((((Inputs!$I$7+(((A33)+1)/2)*(Inputs!$J$7-Inputs!$I$7)))*12.9898+(Inputs!$C$6)*78.233+Inputs!$C$47*37.719))*43758.5453)))-1))),NA())</x:f>
        <x:v>127.26970521376022</x:v>
      </x:c>
      <x:c r="AU33" s="48" t="n">
        <x: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(0.45*SIN(2*PI()*((((Inputs!$I$8+(((A33)+1)/2)*(Inputs!$J$8-Inputs!$I$8)))/Inputs!$C$49)+Inputs!$C$47*0.137))+0.35*COS(2*PI()*(((Inputs!$C$6)/Inputs!$C$50)+Inputs!$C$47*0.173))+0.20*SIN(2*PI()*((((Inputs!$I$8+(((A33)+1)/2)*(Inputs!$J$8-Inputs!$I$8)))+(Inputs!$C$6))/(0.5*(Inputs!$C$49+Inputs!$C$50))+Inputs!$C$47*0.097)))+0.30*(2*((SIN((((Inputs!$I$8+(((A33)+1)/2)*(Inputs!$J$8-Inputs!$I$8)))*12.9898+(Inputs!$C$6)*78.233+Inputs!$C$47*37.719))*43758.5453)-INT((SIN((((Inputs!$I$8+(((A33)+1)/2)*(Inputs!$J$8-Inputs!$I$8)))*12.9898+(Inputs!$C$6)*78.233+Inputs!$C$47*37.719))*43758.5453)))-1))),NA())</x:f>
        <x:v>165.6434772081614</x:v>
      </x:c>
      <x:c r="AV33" s="48" t="n">
        <x: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(0.45*SIN(2*PI()*((((Inputs!$I$9+(((A33)+1)/2)*(Inputs!$J$9-Inputs!$I$9)))/Inputs!$C$49)+Inputs!$C$47*0.137))+0.35*COS(2*PI()*(((Inputs!$C$6)/Inputs!$C$50)+Inputs!$C$47*0.173))+0.20*SIN(2*PI()*((((Inputs!$I$9+(((A33)+1)/2)*(Inputs!$J$9-Inputs!$I$9)))+(Inputs!$C$6))/(0.5*(Inputs!$C$49+Inputs!$C$50))+Inputs!$C$47*0.097)))+0.30*(2*((SIN((((Inputs!$I$9+(((A33)+1)/2)*(Inputs!$J$9-Inputs!$I$9)))*12.9898+(Inputs!$C$6)*78.233+Inputs!$C$47*37.719))*43758.5453)-INT((SIN((((Inputs!$I$9+(((A33)+1)/2)*(Inputs!$J$9-Inputs!$I$9)))*12.9898+(Inputs!$C$6)*78.233+Inputs!$C$47*37.719))*43758.5453)))-1))),NA())</x:f>
        <x:v>165.6434772081614</x:v>
      </x:c>
      <x:c r="AW33" s="49"/>
      <x:c r="AX33" s="48" t="n">
        <x:f>A33</x:f>
        <x:v>-0.742</x:v>
      </x:c>
      <x:c r="AY33" s="48" t="n">
        <x:f>0</x:f>
        <x:v>0</x:v>
      </x:c>
      <x:c r="AZ33" s="48" t="n">
        <x:f>IF(OR(Inputs!$F$6=TRUE,Inputs!$F$6="TRUE",Inputs!$F$6=1),(Inputs!$H$6+Inputs!$L$6*(((Inputs!$I$6+(((A33)+1)/2)*(Inputs!$J$6-Inputs!$I$6)))/Inputs!$K$6)^2),NA())</x:f>
        <x:v>402.202256</x:v>
      </x:c>
      <x:c r="BA33" s="48" t="n">
        <x:f>IF(OR(Inputs!$F$7=TRUE,Inputs!$F$7="TRUE",Inputs!$F$7=1),(Inputs!$H$7+Inputs!$L$7*(((Inputs!$I$7+(((A33)+1)/2)*(Inputs!$J$7-Inputs!$I$7)))/Inputs!$K$7)^2),NA())</x:f>
        <x:v>235.95585999999997</x:v>
      </x:c>
      <x:c r="BB33" s="48" t="n">
        <x:f>IF(OR(Inputs!$F$8=TRUE,Inputs!$F$8="TRUE",Inputs!$F$8=1),(Inputs!$H$8+Inputs!$L$8*(((Inputs!$I$8+(((A33)+1)/2)*(Inputs!$J$8-Inputs!$I$8)))/Inputs!$K$8)^2),NA())</x:f>
        <x:v>566.2942599999999</x:v>
      </x:c>
      <x:c r="BC33" s="48" t="n">
        <x:f>IF(OR(Inputs!$F$9=TRUE,Inputs!$F$9="TRUE",Inputs!$F$9=1),(Inputs!$H$9+Inputs!$L$9*(((Inputs!$I$9+(((A33)+1)/2)*(Inputs!$J$9-Inputs!$I$9)))/Inputs!$K$9)^2),NA())</x:f>
        <x:v>561.7999</x:v>
      </x:c>
      <x:c r="BD33" s="49"/>
      <x:c r="BE33" s="48" t="n">
        <x:f>A33</x:f>
        <x:v>-0.742</x:v>
      </x:c>
      <x:c r="BF33" s="48" t="n">
        <x:f>0</x:f>
        <x:v>0</x:v>
      </x:c>
      <x:c r="BG33" s="48"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BH33" s="48"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BI33" s="48"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BJ33" s="48"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row>
    <x:row r="34">
      <x:c r="A34" s="48" t="n">
        <x:f>ROUND(-1+32*2/240,3)</x:f>
        <x:v>-0.733</x:v>
      </x:c>
      <x:c r="B34" s="48" t="n">
        <x:f>IF(OR(Inputs!$F$6=TRUE,Inputs!$F$6="TRUE",Inputs!$F$6=1),(Inputs!$H$6+Inputs!$L$6*(((Inputs!$I$6+(((A34)+1)/2)*(Inputs!$J$6-Inputs!$I$6)))/Inputs!$K$6)^2),NA())</x:f>
        <x:v>402.149156</x:v>
      </x:c>
      <x:c r="C34" s="48" t="n">
        <x:f>IF(OR(Inputs!$F$7=TRUE,Inputs!$F$7="TRUE",Inputs!$F$7=1),(Inputs!$H$7+Inputs!$L$7*(((Inputs!$I$7+(((A34)+1)/2)*(Inputs!$J$7-Inputs!$I$7)))/Inputs!$K$7)^2),NA())</x:f>
        <x:v>231.110485</x:v>
      </x:c>
      <x:c r="D34" s="48" t="n">
        <x:f>IF(OR(Inputs!$F$8=TRUE,Inputs!$F$8="TRUE",Inputs!$F$8=1),(Inputs!$H$8+Inputs!$L$8*(((Inputs!$I$8+(((A34)+1)/2)*(Inputs!$J$8-Inputs!$I$8)))/Inputs!$K$8)^2),NA())</x:f>
        <x:v>553.483885</x:v>
      </x:c>
      <x:c r="E34" s="48" t="n">
        <x:f>IF(OR(Inputs!$F$9=TRUE,Inputs!$F$9="TRUE",Inputs!$F$9=1),(Inputs!$H$9+Inputs!$L$9*(((Inputs!$I$9+(((A34)+1)/2)*(Inputs!$J$9-Inputs!$I$9)))/Inputs!$K$9)^2),NA())</x:f>
        <x:v>548.856775</x:v>
      </x:c>
      <x:c r="F34" s="49"/>
      <x:c r="G34" s="48" t="n">
        <x:f>A34</x:f>
        <x:v>-0.733</x:v>
      </x:c>
      <x:c r="H34" s="48"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I34" s="48"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J34" s="48"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K34" s="48"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c r="L34" s="49"/>
      <x:c r="M34" s="48" t="n">
        <x:f>A34</x:f>
        <x:v>-0.733</x:v>
      </x:c>
      <x:c r="N34" s="48" t="n">
        <x: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x:f>
        <x:v>373.02461960418356</x:v>
      </x:c>
      <x:c r="O34" s="48" t="n">
        <x: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x:f>
        <x:v>2789.0129068157057</x:v>
      </x:c>
      <x:c r="P34" s="48" t="n">
        <x: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x:f>
        <x:v>3556.5171977561395</x:v>
      </x:c>
      <x:c r="Q34" s="48" t="n">
        <x: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x:f>
        <x:v>3574.7486485680456</x:v>
      </x:c>
      <x:c r="R34" s="49"/>
      <x:c r="S34" s="48" t="n">
        <x:f>A34</x:f>
        <x:v>-0.733</x:v>
      </x:c>
      <x:c r="T34" s="48" t="n">
        <x:f>(Inputs!$I$6+(((A34)+1)/2)*(Inputs!$J$6-Inputs!$I$6))</x:f>
        <x:v>-43.980000000000004</x:v>
      </x:c>
      <x:c r="U34" s="48" t="n">
        <x:f>(Inputs!$I$7+(((A34)+1)/2)*(Inputs!$J$7-Inputs!$I$7))</x:f>
        <x:v>-293.2</x:v>
      </x:c>
      <x:c r="V34" s="48" t="n">
        <x:f>(Inputs!$I$8+(((A34)+1)/2)*(Inputs!$J$8-Inputs!$I$8))</x:f>
        <x:v>-586.4</x:v>
      </x:c>
      <x:c r="W34" s="48" t="n">
        <x:f>(Inputs!$I$9+(((A34)+1)/2)*(Inputs!$J$9-Inputs!$I$9))</x:f>
        <x:v>-586.4</x:v>
      </x:c>
      <x:c r="X34" s="49"/>
      <x:c r="Y34" s="48" t="n">
        <x:f>A34</x:f>
        <x:v>-0.733</x:v>
      </x:c>
      <x:c r="Z34" s="48" t="n">
        <x:f>(Inputs!$H$6+Inputs!$L$6*(((Inputs!$I$6+(((A34)+1)/2)*(Inputs!$J$6-Inputs!$I$6)))/Inputs!$K$6)^2)</x:f>
        <x:v>402.149156</x:v>
      </x:c>
      <x:c r="AA34" s="48" t="n">
        <x:f>(Inputs!$H$7+Inputs!$L$7*(((Inputs!$I$7+(((A34)+1)/2)*(Inputs!$J$7-Inputs!$I$7)))/Inputs!$K$7)^2)</x:f>
        <x:v>231.110485</x:v>
      </x:c>
      <x:c r="AB34" s="48" t="n">
        <x:f>(Inputs!$H$8+Inputs!$L$8*(((Inputs!$I$8+(((A34)+1)/2)*(Inputs!$J$8-Inputs!$I$8)))/Inputs!$K$8)^2)</x:f>
        <x:v>553.483885</x:v>
      </x:c>
      <x:c r="AC34" s="48" t="n">
        <x:f>(Inputs!$H$9+Inputs!$L$9*(((Inputs!$I$9+(((A34)+1)/2)*(Inputs!$J$9-Inputs!$I$9)))/Inputs!$K$9)^2)</x:f>
        <x:v>548.856775</x:v>
      </x:c>
      <x:c r="AD34" s="49"/>
      <x:c r="AE34" s="48" t="n">
        <x:f>A34</x:f>
        <x:v>-0.733</x:v>
      </x:c>
      <x:c r="AF34" s="48" t="n">
        <x:f>(((SQRT((Inputs!$C$52+((Inputs!$H$6+Inputs!$L$6*(((Inputs!$I$6+(((A34)+1)/2)*(Inputs!$J$6-Inputs!$I$6)))/Inputs!$K$6)^2)))^2+Inputs!$C$52^2-2*(Inputs!$C$52+((Inputs!$H$6+Inputs!$L$6*(((Inputs!$I$6+(((A34)+1)/2)*(Inputs!$J$6-Inputs!$I$6)))/Inputs!$K$6)^2)))*Inputs!$C$52*COS(SQRT(((Inputs!$I$6+(((A34)+1)/2)*(Inputs!$J$6-Inputs!$I$6)))^2+Inputs!$C$6^2)/Inputs!$C$52)))-((Inputs!$H$6+Inputs!$L$6*(((Inputs!$I$6+(((A34)+1)/2)*(Inputs!$J$6-Inputs!$I$6)))/Inputs!$K$6)^2)))*1000/Inputs!$C$12)</x:f>
        <x:v>2236.9330838177084</x:v>
      </x:c>
      <x:c r="AG34" s="48" t="n">
        <x:f>(((SQRT((Inputs!$C$52+((Inputs!$H$7+Inputs!$L$7*(((Inputs!$I$7+(((A34)+1)/2)*(Inputs!$J$7-Inputs!$I$7)))/Inputs!$K$7)^2)))^2+Inputs!$C$52^2-2*(Inputs!$C$52+((Inputs!$H$7+Inputs!$L$7*(((Inputs!$I$7+(((A34)+1)/2)*(Inputs!$J$7-Inputs!$I$7)))/Inputs!$K$7)^2)))*Inputs!$C$52*COS(SQRT(((Inputs!$I$7+(((A34)+1)/2)*(Inputs!$J$7-Inputs!$I$7)))^2+Inputs!$C$6^2)/Inputs!$C$52)))-((Inputs!$H$7+Inputs!$L$7*(((Inputs!$I$7+(((A34)+1)/2)*(Inputs!$J$7-Inputs!$I$7)))/Inputs!$K$7)^2)))*1000/Inputs!$C$12)</x:f>
        <x:v>89573.90784712479</x:v>
      </x:c>
      <x:c r="AH34" s="48" t="n">
        <x:f>(((SQRT((Inputs!$C$52+((Inputs!$H$8+Inputs!$L$8*(((Inputs!$I$8+(((A34)+1)/2)*(Inputs!$J$8-Inputs!$I$8)))/Inputs!$K$8)^2)))^2+Inputs!$C$52^2-2*(Inputs!$C$52+((Inputs!$H$8+Inputs!$L$8*(((Inputs!$I$8+(((A34)+1)/2)*(Inputs!$J$8-Inputs!$I$8)))/Inputs!$K$8)^2)))*Inputs!$C$52*COS(SQRT(((Inputs!$I$8+(((A34)+1)/2)*(Inputs!$J$8-Inputs!$I$8)))^2+Inputs!$C$6^2)/Inputs!$C$52)))-((Inputs!$H$8+Inputs!$L$8*(((Inputs!$I$8+(((A34)+1)/2)*(Inputs!$J$8-Inputs!$I$8)))/Inputs!$K$8)^2)))*1000/Inputs!$C$12)</x:f>
        <x:v>181235.8308197706</x:v>
      </x:c>
      <x:c r="AI34" s="48" t="n">
        <x:f>(((SQRT((Inputs!$C$52+((Inputs!$H$9+Inputs!$L$9*(((Inputs!$I$9+(((A34)+1)/2)*(Inputs!$J$9-Inputs!$I$9)))/Inputs!$K$9)^2)))^2+Inputs!$C$52^2-2*(Inputs!$C$52+((Inputs!$H$9+Inputs!$L$9*(((Inputs!$I$9+(((A34)+1)/2)*(Inputs!$J$9-Inputs!$I$9)))/Inputs!$K$9)^2)))*Inputs!$C$52*COS(SQRT(((Inputs!$I$9+(((A34)+1)/2)*(Inputs!$J$9-Inputs!$I$9)))^2+Inputs!$C$6^2)/Inputs!$C$52)))-((Inputs!$H$9+Inputs!$L$9*(((Inputs!$I$9+(((A34)+1)/2)*(Inputs!$J$9-Inputs!$I$9)))/Inputs!$K$9)^2)))*1000/Inputs!$C$12)</x:f>
        <x:v>181872.38524454922</x:v>
      </x:c>
      <x:c r="AJ34" s="49"/>
      <x:c r="AK34" s="48" t="n">
        <x:f>A34</x:f>
        <x:v>-0.733</x:v>
      </x:c>
      <x:c r="AL34" s="48" t="n">
        <x: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x:f>
        <x:v>373.02461960418356</x:v>
      </x:c>
      <x:c r="AM34" s="48" t="n">
        <x: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x:f>
        <x:v>2789.0129068157057</x:v>
      </x:c>
      <x:c r="AN34" s="48" t="n">
        <x: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x:f>
        <x:v>3556.5171977561395</x:v>
      </x:c>
      <x:c r="AO34" s="48" t="n">
        <x: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x:f>
        <x:v>3574.7486485680456</x:v>
      </x:c>
      <x:c r="AP34" s="49"/>
      <x:c r="AQ34" s="48" t="n">
        <x:f>A34</x:f>
        <x:v>-0.733</x:v>
      </x:c>
      <x:c r="AR34" s="48" t="n">
        <x:f>0</x:f>
        <x:v>0</x:v>
      </x:c>
      <x:c r="AS34" s="48" t="n">
        <x: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(0.45*SIN(2*PI()*((((Inputs!$I$6+(((A34)+1)/2)*(Inputs!$J$6-Inputs!$I$6)))/Inputs!$C$49)+Inputs!$C$47*0.137))+0.35*COS(2*PI()*(((Inputs!$C$6)/Inputs!$C$50)+Inputs!$C$47*0.173))+0.20*SIN(2*PI()*((((Inputs!$I$6+(((A34)+1)/2)*(Inputs!$J$6-Inputs!$I$6)))+(Inputs!$C$6))/(0.5*(Inputs!$C$49+Inputs!$C$50))+Inputs!$C$47*0.097)))+0.30*(2*((SIN((((Inputs!$I$6+(((A34)+1)/2)*(Inputs!$J$6-Inputs!$I$6)))*12.9898+(Inputs!$C$6)*78.233+Inputs!$C$47*37.719))*43758.5453)-INT((SIN((((Inputs!$I$6+(((A34)+1)/2)*(Inputs!$J$6-Inputs!$I$6)))*12.9898+(Inputs!$C$6)*78.233+Inputs!$C$47*37.719))*43758.5453)))-1))),NA())</x:f>
        <x:v>207.52992748890685</x:v>
      </x:c>
      <x:c r="AT34" s="48" t="n">
        <x: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(0.45*SIN(2*PI()*((((Inputs!$I$7+(((A34)+1)/2)*(Inputs!$J$7-Inputs!$I$7)))/Inputs!$C$49)+Inputs!$C$47*0.137))+0.35*COS(2*PI()*(((Inputs!$C$6)/Inputs!$C$50)+Inputs!$C$47*0.173))+0.20*SIN(2*PI()*((((Inputs!$I$7+(((A34)+1)/2)*(Inputs!$J$7-Inputs!$I$7)))+(Inputs!$C$6))/(0.5*(Inputs!$C$49+Inputs!$C$50))+Inputs!$C$47*0.097)))+0.30*(2*((SIN((((Inputs!$I$7+(((A34)+1)/2)*(Inputs!$J$7-Inputs!$I$7)))*12.9898+(Inputs!$C$6)*78.233+Inputs!$C$47*37.719))*43758.5453)-INT((SIN((((Inputs!$I$7+(((A34)+1)/2)*(Inputs!$J$7-Inputs!$I$7)))*12.9898+(Inputs!$C$6)*78.233+Inputs!$C$47*37.719))*43758.5453)))-1))),NA())</x:f>
        <x:v>98.8211957213276</x:v>
      </x:c>
      <x:c r="AU34" s="48" t="n">
        <x: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(0.45*SIN(2*PI()*((((Inputs!$I$8+(((A34)+1)/2)*(Inputs!$J$8-Inputs!$I$8)))/Inputs!$C$49)+Inputs!$C$47*0.137))+0.35*COS(2*PI()*(((Inputs!$C$6)/Inputs!$C$50)+Inputs!$C$47*0.173))+0.20*SIN(2*PI()*((((Inputs!$I$8+(((A34)+1)/2)*(Inputs!$J$8-Inputs!$I$8)))+(Inputs!$C$6))/(0.5*(Inputs!$C$49+Inputs!$C$50))+Inputs!$C$47*0.097)))+0.30*(2*((SIN((((Inputs!$I$8+(((A34)+1)/2)*(Inputs!$J$8-Inputs!$I$8)))*12.9898+(Inputs!$C$6)*78.233+Inputs!$C$47*37.719))*43758.5453)-INT((SIN((((Inputs!$I$8+(((A34)+1)/2)*(Inputs!$J$8-Inputs!$I$8)))*12.9898+(Inputs!$C$6)*78.233+Inputs!$C$47*37.719))*43758.5453)))-1))),NA())</x:f>
        <x:v>171.21879508465193</x:v>
      </x:c>
      <x:c r="AV34" s="48" t="n">
        <x: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(0.45*SIN(2*PI()*((((Inputs!$I$9+(((A34)+1)/2)*(Inputs!$J$9-Inputs!$I$9)))/Inputs!$C$49)+Inputs!$C$47*0.137))+0.35*COS(2*PI()*(((Inputs!$C$6)/Inputs!$C$50)+Inputs!$C$47*0.173))+0.20*SIN(2*PI()*((((Inputs!$I$9+(((A34)+1)/2)*(Inputs!$J$9-Inputs!$I$9)))+(Inputs!$C$6))/(0.5*(Inputs!$C$49+Inputs!$C$50))+Inputs!$C$47*0.097)))+0.30*(2*((SIN((((Inputs!$I$9+(((A34)+1)/2)*(Inputs!$J$9-Inputs!$I$9)))*12.9898+(Inputs!$C$6)*78.233+Inputs!$C$47*37.719))*43758.5453)-INT((SIN((((Inputs!$I$9+(((A34)+1)/2)*(Inputs!$J$9-Inputs!$I$9)))*12.9898+(Inputs!$C$6)*78.233+Inputs!$C$47*37.719))*43758.5453)))-1))),NA())</x:f>
        <x:v>171.21879508465193</x:v>
      </x:c>
      <x:c r="AW34" s="49"/>
      <x:c r="AX34" s="48" t="n">
        <x:f>A34</x:f>
        <x:v>-0.733</x:v>
      </x:c>
      <x:c r="AY34" s="48" t="n">
        <x:f>0</x:f>
        <x:v>0</x:v>
      </x:c>
      <x:c r="AZ34" s="48" t="n">
        <x:f>IF(OR(Inputs!$F$6=TRUE,Inputs!$F$6="TRUE",Inputs!$F$6=1),(Inputs!$H$6+Inputs!$L$6*(((Inputs!$I$6+(((A34)+1)/2)*(Inputs!$J$6-Inputs!$I$6)))/Inputs!$K$6)^2),NA())</x:f>
        <x:v>402.149156</x:v>
      </x:c>
      <x:c r="BA34" s="48" t="n">
        <x:f>IF(OR(Inputs!$F$7=TRUE,Inputs!$F$7="TRUE",Inputs!$F$7=1),(Inputs!$H$7+Inputs!$L$7*(((Inputs!$I$7+(((A34)+1)/2)*(Inputs!$J$7-Inputs!$I$7)))/Inputs!$K$7)^2),NA())</x:f>
        <x:v>231.110485</x:v>
      </x:c>
      <x:c r="BB34" s="48" t="n">
        <x:f>IF(OR(Inputs!$F$8=TRUE,Inputs!$F$8="TRUE",Inputs!$F$8=1),(Inputs!$H$8+Inputs!$L$8*(((Inputs!$I$8+(((A34)+1)/2)*(Inputs!$J$8-Inputs!$I$8)))/Inputs!$K$8)^2),NA())</x:f>
        <x:v>553.483885</x:v>
      </x:c>
      <x:c r="BC34" s="48" t="n">
        <x:f>IF(OR(Inputs!$F$9=TRUE,Inputs!$F$9="TRUE",Inputs!$F$9=1),(Inputs!$H$9+Inputs!$L$9*(((Inputs!$I$9+(((A34)+1)/2)*(Inputs!$J$9-Inputs!$I$9)))/Inputs!$K$9)^2),NA())</x:f>
        <x:v>548.856775</x:v>
      </x:c>
      <x:c r="BD34" s="49"/>
      <x:c r="BE34" s="48" t="n">
        <x:f>A34</x:f>
        <x:v>-0.733</x:v>
      </x:c>
      <x:c r="BF34" s="48" t="n">
        <x:f>0</x:f>
        <x:v>0</x:v>
      </x:c>
      <x:c r="BG34" s="48"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BH34" s="48"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BI34" s="48"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BJ34" s="48"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row>
    <x:row r="35">
      <x:c r="A35" s="48" t="n">
        <x:f>ROUND(-1+33*2/240,3)</x:f>
        <x:v>-0.725</x:v>
      </x:c>
      <x:c r="B35" s="48" t="n">
        <x:f>IF(OR(Inputs!$F$6=TRUE,Inputs!$F$6="TRUE",Inputs!$F$6=1),(Inputs!$H$6+Inputs!$L$6*(((Inputs!$I$6+(((A35)+1)/2)*(Inputs!$J$6-Inputs!$I$6)))/Inputs!$K$6)^2),NA())</x:f>
        <x:v>402.1025</x:v>
      </x:c>
      <x:c r="C35" s="48" t="n">
        <x:f>IF(OR(Inputs!$F$7=TRUE,Inputs!$F$7="TRUE",Inputs!$F$7=1),(Inputs!$H$7+Inputs!$L$7*(((Inputs!$I$7+(((A35)+1)/2)*(Inputs!$J$7-Inputs!$I$7)))/Inputs!$K$7)^2),NA())</x:f>
        <x:v>226.853125</x:v>
      </x:c>
      <x:c r="D35" s="48" t="n">
        <x:f>IF(OR(Inputs!$F$8=TRUE,Inputs!$F$8="TRUE",Inputs!$F$8=1),(Inputs!$H$8+Inputs!$L$8*(((Inputs!$I$8+(((A35)+1)/2)*(Inputs!$J$8-Inputs!$I$8)))/Inputs!$K$8)^2),NA())</x:f>
        <x:v>542.2281250000001</x:v>
      </x:c>
      <x:c r="E35" s="48" t="n">
        <x:f>IF(OR(Inputs!$F$9=TRUE,Inputs!$F$9="TRUE",Inputs!$F$9=1),(Inputs!$H$9+Inputs!$L$9*(((Inputs!$I$9+(((A35)+1)/2)*(Inputs!$J$9-Inputs!$I$9)))/Inputs!$K$9)^2),NA())</x:f>
        <x:v>537.484375</x:v>
      </x:c>
      <x:c r="F35" s="49"/>
      <x:c r="G35" s="48" t="n">
        <x:f>A35</x:f>
        <x:v>-0.725</x:v>
      </x:c>
      <x:c r="H35" s="48"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I35" s="48"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J35" s="48"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K35" s="48"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c r="L35" s="49"/>
      <x:c r="M35" s="48" t="n">
        <x:f>A35</x:f>
        <x:v>-0.725</x:v>
      </x:c>
      <x:c r="N35" s="48" t="n">
        <x: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x:f>
        <x:v>369.027155797523</x:v>
      </x:c>
      <x:c r="O35" s="48" t="n">
        <x: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x:f>
        <x:v>2768.6242500880076</x:v>
      </x:c>
      <x:c r="P35" s="48" t="n">
        <x: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x:f>
        <x:v>3524.5176065915875</x:v>
      </x:c>
      <x:c r="Q35" s="48" t="n">
        <x: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x:f>
        <x:v>3542.248200483351</x:v>
      </x:c>
      <x:c r="R35" s="49"/>
      <x:c r="S35" s="48" t="n">
        <x:f>A35</x:f>
        <x:v>-0.725</x:v>
      </x:c>
      <x:c r="T35" s="48" t="n">
        <x:f>(Inputs!$I$6+(((A35)+1)/2)*(Inputs!$J$6-Inputs!$I$6))</x:f>
        <x:v>-43.5</x:v>
      </x:c>
      <x:c r="U35" s="48" t="n">
        <x:f>(Inputs!$I$7+(((A35)+1)/2)*(Inputs!$J$7-Inputs!$I$7))</x:f>
        <x:v>-290</x:v>
      </x:c>
      <x:c r="V35" s="48" t="n">
        <x:f>(Inputs!$I$8+(((A35)+1)/2)*(Inputs!$J$8-Inputs!$I$8))</x:f>
        <x:v>-580</x:v>
      </x:c>
      <x:c r="W35" s="48" t="n">
        <x:f>(Inputs!$I$9+(((A35)+1)/2)*(Inputs!$J$9-Inputs!$I$9))</x:f>
        <x:v>-580</x:v>
      </x:c>
      <x:c r="X35" s="49"/>
      <x:c r="Y35" s="48" t="n">
        <x:f>A35</x:f>
        <x:v>-0.725</x:v>
      </x:c>
      <x:c r="Z35" s="48" t="n">
        <x:f>(Inputs!$H$6+Inputs!$L$6*(((Inputs!$I$6+(((A35)+1)/2)*(Inputs!$J$6-Inputs!$I$6)))/Inputs!$K$6)^2)</x:f>
        <x:v>402.1025</x:v>
      </x:c>
      <x:c r="AA35" s="48" t="n">
        <x:f>(Inputs!$H$7+Inputs!$L$7*(((Inputs!$I$7+(((A35)+1)/2)*(Inputs!$J$7-Inputs!$I$7)))/Inputs!$K$7)^2)</x:f>
        <x:v>226.853125</x:v>
      </x:c>
      <x:c r="AB35" s="48" t="n">
        <x:f>(Inputs!$H$8+Inputs!$L$8*(((Inputs!$I$8+(((A35)+1)/2)*(Inputs!$J$8-Inputs!$I$8)))/Inputs!$K$8)^2)</x:f>
        <x:v>542.2281250000001</x:v>
      </x:c>
      <x:c r="AC35" s="48" t="n">
        <x:f>(Inputs!$H$9+Inputs!$L$9*(((Inputs!$I$9+(((A35)+1)/2)*(Inputs!$J$9-Inputs!$I$9)))/Inputs!$K$9)^2)</x:f>
        <x:v>537.484375</x:v>
      </x:c>
      <x:c r="AD35" s="49"/>
      <x:c r="AE35" s="48" t="n">
        <x:f>A35</x:f>
        <x:v>-0.725</x:v>
      </x:c>
      <x:c r="AF35" s="48" t="n">
        <x:f>(((SQRT((Inputs!$C$52+((Inputs!$H$6+Inputs!$L$6*(((Inputs!$I$6+(((A35)+1)/2)*(Inputs!$J$6-Inputs!$I$6)))/Inputs!$K$6)^2)))^2+Inputs!$C$52^2-2*(Inputs!$C$52+((Inputs!$H$6+Inputs!$L$6*(((Inputs!$I$6+(((A35)+1)/2)*(Inputs!$J$6-Inputs!$I$6)))/Inputs!$K$6)^2)))*Inputs!$C$52*COS(SQRT(((Inputs!$I$6+(((A35)+1)/2)*(Inputs!$J$6-Inputs!$I$6)))^2+Inputs!$C$6^2)/Inputs!$C$52)))-((Inputs!$H$6+Inputs!$L$6*(((Inputs!$I$6+(((A35)+1)/2)*(Inputs!$J$6-Inputs!$I$6)))/Inputs!$K$6)^2)))*1000/Inputs!$C$12)</x:f>
        <x:v>2200.611833358587</x:v>
      </x:c>
      <x:c r="AG35" s="48" t="n">
        <x:f>(((SQRT((Inputs!$C$52+((Inputs!$H$7+Inputs!$L$7*(((Inputs!$I$7+(((A35)+1)/2)*(Inputs!$J$7-Inputs!$I$7)))/Inputs!$K$7)^2)))^2+Inputs!$C$52^2-2*(Inputs!$C$52+((Inputs!$H$7+Inputs!$L$7*(((Inputs!$I$7+(((A35)+1)/2)*(Inputs!$J$7-Inputs!$I$7)))/Inputs!$K$7)^2)))*Inputs!$C$52*COS(SQRT(((Inputs!$I$7+(((A35)+1)/2)*(Inputs!$J$7-Inputs!$I$7)))^2+Inputs!$C$6^2)/Inputs!$C$52)))-((Inputs!$H$7+Inputs!$L$7*(((Inputs!$I$7+(((A35)+1)/2)*(Inputs!$J$7-Inputs!$I$7)))/Inputs!$K$7)^2)))*1000/Inputs!$C$12)</x:f>
        <x:v>88843.4244796781</x:v>
      </x:c>
      <x:c r="AH35" s="48" t="n">
        <x:f>(((SQRT((Inputs!$C$52+((Inputs!$H$8+Inputs!$L$8*(((Inputs!$I$8+(((A35)+1)/2)*(Inputs!$J$8-Inputs!$I$8)))/Inputs!$K$8)^2)))^2+Inputs!$C$52^2-2*(Inputs!$C$52+((Inputs!$H$8+Inputs!$L$8*(((Inputs!$I$8+(((A35)+1)/2)*(Inputs!$J$8-Inputs!$I$8)))/Inputs!$K$8)^2)))*Inputs!$C$52*COS(SQRT(((Inputs!$I$8+(((A35)+1)/2)*(Inputs!$J$8-Inputs!$I$8)))^2+Inputs!$C$6^2)/Inputs!$C$52)))-((Inputs!$H$8+Inputs!$L$8*(((Inputs!$I$8+(((A35)+1)/2)*(Inputs!$J$8-Inputs!$I$8)))/Inputs!$K$8)^2)))*1000/Inputs!$C$12)</x:f>
        <x:v>179603.0909602836</x:v>
      </x:c>
      <x:c r="AI35" s="48" t="n">
        <x:f>(((SQRT((Inputs!$C$52+((Inputs!$H$9+Inputs!$L$9*(((Inputs!$I$9+(((A35)+1)/2)*(Inputs!$J$9-Inputs!$I$9)))/Inputs!$K$9)^2)))^2+Inputs!$C$52^2-2*(Inputs!$C$52+((Inputs!$H$9+Inputs!$L$9*(((Inputs!$I$9+(((A35)+1)/2)*(Inputs!$J$9-Inputs!$I$9)))/Inputs!$K$9)^2)))*Inputs!$C$52*COS(SQRT(((Inputs!$I$9+(((A35)+1)/2)*(Inputs!$J$9-Inputs!$I$9)))^2+Inputs!$C$6^2)/Inputs!$C$52)))-((Inputs!$H$9+Inputs!$L$9*(((Inputs!$I$9+(((A35)+1)/2)*(Inputs!$J$9-Inputs!$I$9)))/Inputs!$K$9)^2)))*1000/Inputs!$C$12)</x:f>
        <x:v>180264.76629421336</x:v>
      </x:c>
      <x:c r="AJ35" s="49"/>
      <x:c r="AK35" s="48" t="n">
        <x:f>A35</x:f>
        <x:v>-0.725</x:v>
      </x:c>
      <x:c r="AL35" s="48" t="n">
        <x: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x:f>
        <x:v>369.027155797523</x:v>
      </x:c>
      <x:c r="AM35" s="48" t="n">
        <x: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x:f>
        <x:v>2768.6242500880076</x:v>
      </x:c>
      <x:c r="AN35" s="48" t="n">
        <x: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x:f>
        <x:v>3524.5176065915875</x:v>
      </x:c>
      <x:c r="AO35" s="48" t="n">
        <x: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x:f>
        <x:v>3542.248200483351</x:v>
      </x:c>
      <x:c r="AP35" s="49"/>
      <x:c r="AQ35" s="48" t="n">
        <x:f>A35</x:f>
        <x:v>-0.725</x:v>
      </x:c>
      <x:c r="AR35" s="48" t="n">
        <x:f>0</x:f>
        <x:v>0</x:v>
      </x:c>
      <x:c r="AS35" s="48" t="n">
        <x: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(0.45*SIN(2*PI()*((((Inputs!$I$6+(((A35)+1)/2)*(Inputs!$J$6-Inputs!$I$6)))/Inputs!$C$49)+Inputs!$C$47*0.137))+0.35*COS(2*PI()*(((Inputs!$C$6)/Inputs!$C$50)+Inputs!$C$47*0.173))+0.20*SIN(2*PI()*((((Inputs!$I$6+(((A35)+1)/2)*(Inputs!$J$6-Inputs!$I$6)))+(Inputs!$C$6))/(0.5*(Inputs!$C$49+Inputs!$C$50))+Inputs!$C$47*0.097)))+0.30*(2*((SIN((((Inputs!$I$6+(((A35)+1)/2)*(Inputs!$J$6-Inputs!$I$6)))*12.9898+(Inputs!$C$6)*78.233+Inputs!$C$47*37.719))*43758.5453)-INT((SIN((((Inputs!$I$6+(((A35)+1)/2)*(Inputs!$J$6-Inputs!$I$6)))*12.9898+(Inputs!$C$6)*78.233+Inputs!$C$47*37.719))*43758.5453)))-1))),NA())</x:f>
        <x:v>210.8483953416035</x:v>
      </x:c>
      <x:c r="AT35" s="48" t="n">
        <x: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(0.45*SIN(2*PI()*((((Inputs!$I$7+(((A35)+1)/2)*(Inputs!$J$7-Inputs!$I$7)))/Inputs!$C$49)+Inputs!$C$47*0.137))+0.35*COS(2*PI()*(((Inputs!$C$6)/Inputs!$C$50)+Inputs!$C$47*0.173))+0.20*SIN(2*PI()*((((Inputs!$I$7+(((A35)+1)/2)*(Inputs!$J$7-Inputs!$I$7)))+(Inputs!$C$6))/(0.5*(Inputs!$C$49+Inputs!$C$50))+Inputs!$C$47*0.097)))+0.30*(2*((SIN((((Inputs!$I$7+(((A35)+1)/2)*(Inputs!$J$7-Inputs!$I$7)))*12.9898+(Inputs!$C$6)*78.233+Inputs!$C$47*37.719))*43758.5453)-INT((SIN((((Inputs!$I$7+(((A35)+1)/2)*(Inputs!$J$7-Inputs!$I$7)))*12.9898+(Inputs!$C$6)*78.233+Inputs!$C$47*37.719))*43758.5453)))-1))),NA())</x:f>
        <x:v>113.86344028709524</x:v>
      </x:c>
      <x:c r="AU35" s="48" t="n">
        <x: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(0.45*SIN(2*PI()*((((Inputs!$I$8+(((A35)+1)/2)*(Inputs!$J$8-Inputs!$I$8)))/Inputs!$C$49)+Inputs!$C$47*0.137))+0.35*COS(2*PI()*(((Inputs!$C$6)/Inputs!$C$50)+Inputs!$C$47*0.173))+0.20*SIN(2*PI()*((((Inputs!$I$8+(((A35)+1)/2)*(Inputs!$J$8-Inputs!$I$8)))+(Inputs!$C$6))/(0.5*(Inputs!$C$49+Inputs!$C$50))+Inputs!$C$47*0.097)))+0.30*(2*((SIN((((Inputs!$I$8+(((A35)+1)/2)*(Inputs!$J$8-Inputs!$I$8)))*12.9898+(Inputs!$C$6)*78.233+Inputs!$C$47*37.719))*43758.5453)-INT((SIN((((Inputs!$I$8+(((A35)+1)/2)*(Inputs!$J$8-Inputs!$I$8)))*12.9898+(Inputs!$C$6)*78.233+Inputs!$C$47*37.719))*43758.5453)))-1))),NA())</x:f>
        <x:v>54.6280079108482</x:v>
      </x:c>
      <x:c r="AV35" s="48" t="n">
        <x: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(0.45*SIN(2*PI()*((((Inputs!$I$9+(((A35)+1)/2)*(Inputs!$J$9-Inputs!$I$9)))/Inputs!$C$49)+Inputs!$C$47*0.137))+0.35*COS(2*PI()*(((Inputs!$C$6)/Inputs!$C$50)+Inputs!$C$47*0.173))+0.20*SIN(2*PI()*((((Inputs!$I$9+(((A35)+1)/2)*(Inputs!$J$9-Inputs!$I$9)))+(Inputs!$C$6))/(0.5*(Inputs!$C$49+Inputs!$C$50))+Inputs!$C$47*0.097)))+0.30*(2*((SIN((((Inputs!$I$9+(((A35)+1)/2)*(Inputs!$J$9-Inputs!$I$9)))*12.9898+(Inputs!$C$6)*78.233+Inputs!$C$47*37.719))*43758.5453)-INT((SIN((((Inputs!$I$9+(((A35)+1)/2)*(Inputs!$J$9-Inputs!$I$9)))*12.9898+(Inputs!$C$6)*78.233+Inputs!$C$47*37.719))*43758.5453)))-1))),NA())</x:f>
        <x:v>54.6280079108482</x:v>
      </x:c>
      <x:c r="AW35" s="49"/>
      <x:c r="AX35" s="48" t="n">
        <x:f>A35</x:f>
        <x:v>-0.725</x:v>
      </x:c>
      <x:c r="AY35" s="48" t="n">
        <x:f>0</x:f>
        <x:v>0</x:v>
      </x:c>
      <x:c r="AZ35" s="48" t="n">
        <x:f>IF(OR(Inputs!$F$6=TRUE,Inputs!$F$6="TRUE",Inputs!$F$6=1),(Inputs!$H$6+Inputs!$L$6*(((Inputs!$I$6+(((A35)+1)/2)*(Inputs!$J$6-Inputs!$I$6)))/Inputs!$K$6)^2),NA())</x:f>
        <x:v>402.1025</x:v>
      </x:c>
      <x:c r="BA35" s="48" t="n">
        <x:f>IF(OR(Inputs!$F$7=TRUE,Inputs!$F$7="TRUE",Inputs!$F$7=1),(Inputs!$H$7+Inputs!$L$7*(((Inputs!$I$7+(((A35)+1)/2)*(Inputs!$J$7-Inputs!$I$7)))/Inputs!$K$7)^2),NA())</x:f>
        <x:v>226.853125</x:v>
      </x:c>
      <x:c r="BB35" s="48" t="n">
        <x:f>IF(OR(Inputs!$F$8=TRUE,Inputs!$F$8="TRUE",Inputs!$F$8=1),(Inputs!$H$8+Inputs!$L$8*(((Inputs!$I$8+(((A35)+1)/2)*(Inputs!$J$8-Inputs!$I$8)))/Inputs!$K$8)^2),NA())</x:f>
        <x:v>542.2281250000001</x:v>
      </x:c>
      <x:c r="BC35" s="48" t="n">
        <x:f>IF(OR(Inputs!$F$9=TRUE,Inputs!$F$9="TRUE",Inputs!$F$9=1),(Inputs!$H$9+Inputs!$L$9*(((Inputs!$I$9+(((A35)+1)/2)*(Inputs!$J$9-Inputs!$I$9)))/Inputs!$K$9)^2),NA())</x:f>
        <x:v>537.484375</x:v>
      </x:c>
      <x:c r="BD35" s="49"/>
      <x:c r="BE35" s="48" t="n">
        <x:f>A35</x:f>
        <x:v>-0.725</x:v>
      </x:c>
      <x:c r="BF35" s="48" t="n">
        <x:f>0</x:f>
        <x:v>0</x:v>
      </x:c>
      <x:c r="BG35" s="48"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BH35" s="48"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BI35" s="48"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BJ35" s="48"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row>
    <x:row r="36">
      <x:c r="A36" s="48" t="n">
        <x:f>ROUND(-1+34*2/240,3)</x:f>
        <x:v>-0.717</x:v>
      </x:c>
      <x:c r="B36" s="48" t="n">
        <x:f>IF(OR(Inputs!$F$6=TRUE,Inputs!$F$6="TRUE",Inputs!$F$6=1),(Inputs!$H$6+Inputs!$L$6*(((Inputs!$I$6+(((A36)+1)/2)*(Inputs!$J$6-Inputs!$I$6)))/Inputs!$K$6)^2),NA())</x:f>
        <x:v>402.056356</x:v>
      </x:c>
      <x:c r="C36" s="48" t="n">
        <x:f>IF(OR(Inputs!$F$7=TRUE,Inputs!$F$7="TRUE",Inputs!$F$7=1),(Inputs!$H$7+Inputs!$L$7*(((Inputs!$I$7+(((A36)+1)/2)*(Inputs!$J$7-Inputs!$I$7)))/Inputs!$K$7)^2),NA())</x:f>
        <x:v>222.64248499999994</x:v>
      </x:c>
      <x:c r="D36" s="48" t="n">
        <x:f>IF(OR(Inputs!$F$8=TRUE,Inputs!$F$8="TRUE",Inputs!$F$8=1),(Inputs!$H$8+Inputs!$L$8*(((Inputs!$I$8+(((A36)+1)/2)*(Inputs!$J$8-Inputs!$I$8)))/Inputs!$K$8)^2),NA())</x:f>
        <x:v>531.0958849999997</x:v>
      </x:c>
      <x:c r="E36" s="48" t="n">
        <x:f>IF(OR(Inputs!$F$9=TRUE,Inputs!$F$9="TRUE",Inputs!$F$9=1),(Inputs!$H$9+Inputs!$L$9*(((Inputs!$I$9+(((A36)+1)/2)*(Inputs!$J$9-Inputs!$I$9)))/Inputs!$K$9)^2),NA())</x:f>
        <x:v>526.2367749999999</x:v>
      </x:c>
      <x:c r="F36" s="49"/>
      <x:c r="G36" s="48" t="n">
        <x:f>A36</x:f>
        <x:v>-0.717</x:v>
      </x:c>
      <x:c r="H36" s="48"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I36" s="48"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J36" s="48"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K36" s="48"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c r="L36" s="49"/>
      <x:c r="M36" s="48" t="n">
        <x:f>A36</x:f>
        <x:v>-0.717</x:v>
      </x:c>
      <x:c r="N36" s="48" t="n">
        <x: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x:f>
        <x:v>365.027323117655</x:v>
      </x:c>
      <x:c r="O36" s="48" t="n">
        <x: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x:f>
        <x:v>2748.3369418124917</x:v>
      </x:c>
      <x:c r="P36" s="48" t="n">
        <x: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x:f>
        <x:v>3492.6174592185425</x:v>
      </x:c>
      <x:c r="Q36" s="48" t="n">
        <x: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x:f>
        <x:v>3509.8451355639636</x:v>
      </x:c>
      <x:c r="R36" s="49"/>
      <x:c r="S36" s="48" t="n">
        <x:f>A36</x:f>
        <x:v>-0.717</x:v>
      </x:c>
      <x:c r="T36" s="48" t="n">
        <x:f>(Inputs!$I$6+(((A36)+1)/2)*(Inputs!$J$6-Inputs!$I$6))</x:f>
        <x:v>-43.019999999999996</x:v>
      </x:c>
      <x:c r="U36" s="48" t="n">
        <x:f>(Inputs!$I$7+(((A36)+1)/2)*(Inputs!$J$7-Inputs!$I$7))</x:f>
        <x:v>-286.79999999999995</x:v>
      </x:c>
      <x:c r="V36" s="48" t="n">
        <x:f>(Inputs!$I$8+(((A36)+1)/2)*(Inputs!$J$8-Inputs!$I$8))</x:f>
        <x:v>-573.5999999999999</x:v>
      </x:c>
      <x:c r="W36" s="48" t="n">
        <x:f>(Inputs!$I$9+(((A36)+1)/2)*(Inputs!$J$9-Inputs!$I$9))</x:f>
        <x:v>-573.5999999999999</x:v>
      </x:c>
      <x:c r="X36" s="49"/>
      <x:c r="Y36" s="48" t="n">
        <x:f>A36</x:f>
        <x:v>-0.717</x:v>
      </x:c>
      <x:c r="Z36" s="48" t="n">
        <x:f>(Inputs!$H$6+Inputs!$L$6*(((Inputs!$I$6+(((A36)+1)/2)*(Inputs!$J$6-Inputs!$I$6)))/Inputs!$K$6)^2)</x:f>
        <x:v>402.056356</x:v>
      </x:c>
      <x:c r="AA36" s="48" t="n">
        <x:f>(Inputs!$H$7+Inputs!$L$7*(((Inputs!$I$7+(((A36)+1)/2)*(Inputs!$J$7-Inputs!$I$7)))/Inputs!$K$7)^2)</x:f>
        <x:v>222.64248499999994</x:v>
      </x:c>
      <x:c r="AB36" s="48" t="n">
        <x:f>(Inputs!$H$8+Inputs!$L$8*(((Inputs!$I$8+(((A36)+1)/2)*(Inputs!$J$8-Inputs!$I$8)))/Inputs!$K$8)^2)</x:f>
        <x:v>531.0958849999997</x:v>
      </x:c>
      <x:c r="AC36" s="48" t="n">
        <x:f>(Inputs!$H$9+Inputs!$L$9*(((Inputs!$I$9+(((A36)+1)/2)*(Inputs!$J$9-Inputs!$I$9)))/Inputs!$K$9)^2)</x:f>
        <x:v>526.2367749999999</x:v>
      </x:c>
      <x:c r="AD36" s="49"/>
      <x:c r="AE36" s="48" t="n">
        <x:f>A36</x:f>
        <x:v>-0.717</x:v>
      </x:c>
      <x:c r="AF36" s="48" t="n">
        <x:f>(((SQRT((Inputs!$C$52+((Inputs!$H$6+Inputs!$L$6*(((Inputs!$I$6+(((A36)+1)/2)*(Inputs!$J$6-Inputs!$I$6)))/Inputs!$K$6)^2)))^2+Inputs!$C$52^2-2*(Inputs!$C$52+((Inputs!$H$6+Inputs!$L$6*(((Inputs!$I$6+(((A36)+1)/2)*(Inputs!$J$6-Inputs!$I$6)))/Inputs!$K$6)^2)))*Inputs!$C$52*COS(SQRT(((Inputs!$I$6+(((A36)+1)/2)*(Inputs!$J$6-Inputs!$I$6)))^2+Inputs!$C$6^2)/Inputs!$C$52)))-((Inputs!$H$6+Inputs!$L$6*(((Inputs!$I$6+(((A36)+1)/2)*(Inputs!$J$6-Inputs!$I$6)))/Inputs!$K$6)^2)))*1000/Inputs!$C$12)</x:f>
        <x:v>2164.6768722505935</x:v>
      </x:c>
      <x:c r="AG36" s="48" t="n">
        <x:f>(((SQRT((Inputs!$C$52+((Inputs!$H$7+Inputs!$L$7*(((Inputs!$I$7+(((A36)+1)/2)*(Inputs!$J$7-Inputs!$I$7)))/Inputs!$K$7)^2)))^2+Inputs!$C$52^2-2*(Inputs!$C$52+((Inputs!$H$7+Inputs!$L$7*(((Inputs!$I$7+(((A36)+1)/2)*(Inputs!$J$7-Inputs!$I$7)))/Inputs!$K$7)^2)))*Inputs!$C$52*COS(SQRT(((Inputs!$I$7+(((A36)+1)/2)*(Inputs!$J$7-Inputs!$I$7)))^2+Inputs!$C$6^2)/Inputs!$C$52)))-((Inputs!$H$7+Inputs!$L$7*(((Inputs!$I$7+(((A36)+1)/2)*(Inputs!$J$7-Inputs!$I$7)))/Inputs!$K$7)^2)))*1000/Inputs!$C$12)</x:f>
        <x:v>88109.5457314227</x:v>
      </x:c>
      <x:c r="AH36" s="48" t="n">
        <x:f>(((SQRT((Inputs!$C$52+((Inputs!$H$8+Inputs!$L$8*(((Inputs!$I$8+(((A36)+1)/2)*(Inputs!$J$8-Inputs!$I$8)))/Inputs!$K$8)^2)))^2+Inputs!$C$52^2-2*(Inputs!$C$52+((Inputs!$H$8+Inputs!$L$8*(((Inputs!$I$8+(((A36)+1)/2)*(Inputs!$J$8-Inputs!$I$8)))/Inputs!$K$8)^2)))*Inputs!$C$52*COS(SQRT(((Inputs!$I$8+(((A36)+1)/2)*(Inputs!$J$8-Inputs!$I$8)))^2+Inputs!$C$6^2)/Inputs!$C$52)))-((Inputs!$H$8+Inputs!$L$8*(((Inputs!$I$8+(((A36)+1)/2)*(Inputs!$J$8-Inputs!$I$8)))/Inputs!$K$8)^2)))*1000/Inputs!$C$12)</x:f>
        <x:v>177972.7558528009</x:v>
      </x:c>
      <x:c r="AI36" s="48" t="n">
        <x:f>(((SQRT((Inputs!$C$52+((Inputs!$H$9+Inputs!$L$9*(((Inputs!$I$9+(((A36)+1)/2)*(Inputs!$J$9-Inputs!$I$9)))/Inputs!$K$9)^2)))^2+Inputs!$C$52^2-2*(Inputs!$C$52+((Inputs!$H$9+Inputs!$L$9*(((Inputs!$I$9+(((A36)+1)/2)*(Inputs!$J$9-Inputs!$I$9)))/Inputs!$K$9)^2)))*Inputs!$C$52*COS(SQRT(((Inputs!$I$9+(((A36)+1)/2)*(Inputs!$J$9-Inputs!$I$9)))^2+Inputs!$C$6^2)/Inputs!$C$52)))-((Inputs!$H$9+Inputs!$L$9*(((Inputs!$I$9+(((A36)+1)/2)*(Inputs!$J$9-Inputs!$I$9)))/Inputs!$K$9)^2)))*1000/Inputs!$C$12)</x:f>
        <x:v>178659.96083745713</x:v>
      </x:c>
      <x:c r="AJ36" s="49"/>
      <x:c r="AK36" s="48" t="n">
        <x:f>A36</x:f>
        <x:v>-0.717</x:v>
      </x:c>
      <x:c r="AL36" s="48" t="n">
        <x: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x:f>
        <x:v>365.027323117655</x:v>
      </x:c>
      <x:c r="AM36" s="48" t="n">
        <x: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x:f>
        <x:v>2748.3369418124917</x:v>
      </x:c>
      <x:c r="AN36" s="48" t="n">
        <x: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x:f>
        <x:v>3492.6174592185425</x:v>
      </x:c>
      <x:c r="AO36" s="48" t="n">
        <x: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x:f>
        <x:v>3509.8451355639636</x:v>
      </x:c>
      <x:c r="AP36" s="49"/>
      <x:c r="AQ36" s="48" t="n">
        <x:f>A36</x:f>
        <x:v>-0.717</x:v>
      </x:c>
      <x:c r="AR36" s="48" t="n">
        <x:f>0</x:f>
        <x:v>0</x:v>
      </x:c>
      <x:c r="AS36" s="48" t="n">
        <x: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(0.45*SIN(2*PI()*((((Inputs!$I$6+(((A36)+1)/2)*(Inputs!$J$6-Inputs!$I$6)))/Inputs!$C$49)+Inputs!$C$47*0.137))+0.35*COS(2*PI()*(((Inputs!$C$6)/Inputs!$C$50)+Inputs!$C$47*0.173))+0.20*SIN(2*PI()*((((Inputs!$I$6+(((A36)+1)/2)*(Inputs!$J$6-Inputs!$I$6)))+(Inputs!$C$6))/(0.5*(Inputs!$C$49+Inputs!$C$50))+Inputs!$C$47*0.097)))+0.30*(2*((SIN((((Inputs!$I$6+(((A36)+1)/2)*(Inputs!$J$6-Inputs!$I$6)))*12.9898+(Inputs!$C$6)*78.233+Inputs!$C$47*37.719))*43758.5453)-INT((SIN((((Inputs!$I$6+(((A36)+1)/2)*(Inputs!$J$6-Inputs!$I$6)))*12.9898+(Inputs!$C$6)*78.233+Inputs!$C$47*37.719))*43758.5453)))-1))),NA())</x:f>
        <x:v>193.73926812733336</x:v>
      </x:c>
      <x:c r="AT36" s="48" t="n">
        <x: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(0.45*SIN(2*PI()*((((Inputs!$I$7+(((A36)+1)/2)*(Inputs!$J$7-Inputs!$I$7)))/Inputs!$C$49)+Inputs!$C$47*0.137))+0.35*COS(2*PI()*(((Inputs!$C$6)/Inputs!$C$50)+Inputs!$C$47*0.173))+0.20*SIN(2*PI()*((((Inputs!$I$7+(((A36)+1)/2)*(Inputs!$J$7-Inputs!$I$7)))+(Inputs!$C$6))/(0.5*(Inputs!$C$49+Inputs!$C$50))+Inputs!$C$47*0.097)))+0.30*(2*((SIN((((Inputs!$I$7+(((A36)+1)/2)*(Inputs!$J$7-Inputs!$I$7)))*12.9898+(Inputs!$C$6)*78.233+Inputs!$C$47*37.719))*43758.5453)-INT((SIN((((Inputs!$I$7+(((A36)+1)/2)*(Inputs!$J$7-Inputs!$I$7)))*12.9898+(Inputs!$C$6)*78.233+Inputs!$C$47*37.719))*43758.5453)))-1))),NA())</x:f>
        <x:v>157.9662629044829</x:v>
      </x:c>
      <x:c r="AU36" s="48" t="n">
        <x: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(0.45*SIN(2*PI()*((((Inputs!$I$8+(((A36)+1)/2)*(Inputs!$J$8-Inputs!$I$8)))/Inputs!$C$49)+Inputs!$C$47*0.137))+0.35*COS(2*PI()*(((Inputs!$C$6)/Inputs!$C$50)+Inputs!$C$47*0.173))+0.20*SIN(2*PI()*((((Inputs!$I$8+(((A36)+1)/2)*(Inputs!$J$8-Inputs!$I$8)))+(Inputs!$C$6))/(0.5*(Inputs!$C$49+Inputs!$C$50))+Inputs!$C$47*0.097)))+0.30*(2*((SIN((((Inputs!$I$8+(((A36)+1)/2)*(Inputs!$J$8-Inputs!$I$8)))*12.9898+(Inputs!$C$6)*78.233+Inputs!$C$47*37.719))*43758.5453)-INT((SIN((((Inputs!$I$8+(((A36)+1)/2)*(Inputs!$J$8-Inputs!$I$8)))*12.9898+(Inputs!$C$6)*78.233+Inputs!$C$47*37.719))*43758.5453)))-1))),NA())</x:f>
        <x:v>192.31491037022525</x:v>
      </x:c>
      <x:c r="AV36" s="48" t="n">
        <x: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(0.45*SIN(2*PI()*((((Inputs!$I$9+(((A36)+1)/2)*(Inputs!$J$9-Inputs!$I$9)))/Inputs!$C$49)+Inputs!$C$47*0.137))+0.35*COS(2*PI()*(((Inputs!$C$6)/Inputs!$C$50)+Inputs!$C$47*0.173))+0.20*SIN(2*PI()*((((Inputs!$I$9+(((A36)+1)/2)*(Inputs!$J$9-Inputs!$I$9)))+(Inputs!$C$6))/(0.5*(Inputs!$C$49+Inputs!$C$50))+Inputs!$C$47*0.097)))+0.30*(2*((SIN((((Inputs!$I$9+(((A36)+1)/2)*(Inputs!$J$9-Inputs!$I$9)))*12.9898+(Inputs!$C$6)*78.233+Inputs!$C$47*37.719))*43758.5453)-INT((SIN((((Inputs!$I$9+(((A36)+1)/2)*(Inputs!$J$9-Inputs!$I$9)))*12.9898+(Inputs!$C$6)*78.233+Inputs!$C$47*37.719))*43758.5453)))-1))),NA())</x:f>
        <x:v>192.31491037022525</x:v>
      </x:c>
      <x:c r="AW36" s="49"/>
      <x:c r="AX36" s="48" t="n">
        <x:f>A36</x:f>
        <x:v>-0.717</x:v>
      </x:c>
      <x:c r="AY36" s="48" t="n">
        <x:f>0</x:f>
        <x:v>0</x:v>
      </x:c>
      <x:c r="AZ36" s="48" t="n">
        <x:f>IF(OR(Inputs!$F$6=TRUE,Inputs!$F$6="TRUE",Inputs!$F$6=1),(Inputs!$H$6+Inputs!$L$6*(((Inputs!$I$6+(((A36)+1)/2)*(Inputs!$J$6-Inputs!$I$6)))/Inputs!$K$6)^2),NA())</x:f>
        <x:v>402.056356</x:v>
      </x:c>
      <x:c r="BA36" s="48" t="n">
        <x:f>IF(OR(Inputs!$F$7=TRUE,Inputs!$F$7="TRUE",Inputs!$F$7=1),(Inputs!$H$7+Inputs!$L$7*(((Inputs!$I$7+(((A36)+1)/2)*(Inputs!$J$7-Inputs!$I$7)))/Inputs!$K$7)^2),NA())</x:f>
        <x:v>222.64248499999994</x:v>
      </x:c>
      <x:c r="BB36" s="48" t="n">
        <x:f>IF(OR(Inputs!$F$8=TRUE,Inputs!$F$8="TRUE",Inputs!$F$8=1),(Inputs!$H$8+Inputs!$L$8*(((Inputs!$I$8+(((A36)+1)/2)*(Inputs!$J$8-Inputs!$I$8)))/Inputs!$K$8)^2),NA())</x:f>
        <x:v>531.0958849999997</x:v>
      </x:c>
      <x:c r="BC36" s="48" t="n">
        <x:f>IF(OR(Inputs!$F$9=TRUE,Inputs!$F$9="TRUE",Inputs!$F$9=1),(Inputs!$H$9+Inputs!$L$9*(((Inputs!$I$9+(((A36)+1)/2)*(Inputs!$J$9-Inputs!$I$9)))/Inputs!$K$9)^2),NA())</x:f>
        <x:v>526.2367749999999</x:v>
      </x:c>
      <x:c r="BD36" s="49"/>
      <x:c r="BE36" s="48" t="n">
        <x:f>A36</x:f>
        <x:v>-0.717</x:v>
      </x:c>
      <x:c r="BF36" s="48" t="n">
        <x:f>0</x:f>
        <x:v>0</x:v>
      </x:c>
      <x:c r="BG36" s="48"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BH36" s="48"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BI36" s="48"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BJ36" s="48"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row>
    <x:row r="37">
      <x:c r="A37" s="48" t="n">
        <x:f>ROUND(-1+35*2/240,3)</x:f>
        <x:v>-0.708</x:v>
      </x:c>
      <x:c r="B37" s="48" t="n">
        <x:f>IF(OR(Inputs!$F$6=TRUE,Inputs!$F$6="TRUE",Inputs!$F$6=1),(Inputs!$H$6+Inputs!$L$6*(((Inputs!$I$6+(((A37)+1)/2)*(Inputs!$J$6-Inputs!$I$6)))/Inputs!$K$6)^2),NA())</x:f>
        <x:v>402.005056</x:v>
      </x:c>
      <x:c r="C37" s="48" t="n">
        <x:f>IF(OR(Inputs!$F$7=TRUE,Inputs!$F$7="TRUE",Inputs!$F$7=1),(Inputs!$H$7+Inputs!$L$7*(((Inputs!$I$7+(((A37)+1)/2)*(Inputs!$J$7-Inputs!$I$7)))/Inputs!$K$7)^2),NA())</x:f>
        <x:v>217.96135999999998</x:v>
      </x:c>
      <x:c r="D37" s="48" t="n">
        <x:f>IF(OR(Inputs!$F$8=TRUE,Inputs!$F$8="TRUE",Inputs!$F$8=1),(Inputs!$H$8+Inputs!$L$8*(((Inputs!$I$8+(((A37)+1)/2)*(Inputs!$J$8-Inputs!$I$8)))/Inputs!$K$8)^2),NA())</x:f>
        <x:v>518.71976</x:v>
      </x:c>
      <x:c r="E37" s="48" t="n">
        <x:f>IF(OR(Inputs!$F$9=TRUE,Inputs!$F$9="TRUE",Inputs!$F$9=1),(Inputs!$H$9+Inputs!$L$9*(((Inputs!$I$9+(((A37)+1)/2)*(Inputs!$J$9-Inputs!$I$9)))/Inputs!$K$9)^2),NA())</x:f>
        <x:v>513.7323999999999</x:v>
      </x:c>
      <x:c r="F37" s="49"/>
      <x:c r="G37" s="48" t="n">
        <x:f>A37</x:f>
        <x:v>-0.708</x:v>
      </x:c>
      <x:c r="H37" s="48"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I37" s="48"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J37" s="48"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K37" s="48"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c r="L37" s="49"/>
      <x:c r="M37" s="48" t="n">
        <x:f>A37</x:f>
        <x:v>-0.708</x:v>
      </x:c>
      <x:c r="N37" s="48" t="n">
        <x: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x:f>
        <x:v>360.5247083984868</x:v>
      </x:c>
      <x:c r="O37" s="48" t="n">
        <x: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x:f>
        <x:v>2725.636784841162</x:v>
      </x:c>
      <x:c r="P37" s="48" t="n">
        <x: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x:f>
        <x:v>3456.8523747265017</x:v>
      </x:c>
      <x:c r="Q37" s="48" t="n">
        <x: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x:f>
        <x:v>3473.5118503776707</x:v>
      </x:c>
      <x:c r="R37" s="49"/>
      <x:c r="S37" s="48" t="n">
        <x:f>A37</x:f>
        <x:v>-0.708</x:v>
      </x:c>
      <x:c r="T37" s="48" t="n">
        <x:f>(Inputs!$I$6+(((A37)+1)/2)*(Inputs!$J$6-Inputs!$I$6))</x:f>
        <x:v>-42.48</x:v>
      </x:c>
      <x:c r="U37" s="48" t="n">
        <x:f>(Inputs!$I$7+(((A37)+1)/2)*(Inputs!$J$7-Inputs!$I$7))</x:f>
        <x:v>-283.2</x:v>
      </x:c>
      <x:c r="V37" s="48" t="n">
        <x:f>(Inputs!$I$8+(((A37)+1)/2)*(Inputs!$J$8-Inputs!$I$8))</x:f>
        <x:v>-566.4</x:v>
      </x:c>
      <x:c r="W37" s="48" t="n">
        <x:f>(Inputs!$I$9+(((A37)+1)/2)*(Inputs!$J$9-Inputs!$I$9))</x:f>
        <x:v>-566.4</x:v>
      </x:c>
      <x:c r="X37" s="49"/>
      <x:c r="Y37" s="48" t="n">
        <x:f>A37</x:f>
        <x:v>-0.708</x:v>
      </x:c>
      <x:c r="Z37" s="48" t="n">
        <x:f>(Inputs!$H$6+Inputs!$L$6*(((Inputs!$I$6+(((A37)+1)/2)*(Inputs!$J$6-Inputs!$I$6)))/Inputs!$K$6)^2)</x:f>
        <x:v>402.005056</x:v>
      </x:c>
      <x:c r="AA37" s="48" t="n">
        <x:f>(Inputs!$H$7+Inputs!$L$7*(((Inputs!$I$7+(((A37)+1)/2)*(Inputs!$J$7-Inputs!$I$7)))/Inputs!$K$7)^2)</x:f>
        <x:v>217.96135999999998</x:v>
      </x:c>
      <x:c r="AB37" s="48" t="n">
        <x:f>(Inputs!$H$8+Inputs!$L$8*(((Inputs!$I$8+(((A37)+1)/2)*(Inputs!$J$8-Inputs!$I$8)))/Inputs!$K$8)^2)</x:f>
        <x:v>518.71976</x:v>
      </x:c>
      <x:c r="AC37" s="48" t="n">
        <x:f>(Inputs!$H$9+Inputs!$L$9*(((Inputs!$I$9+(((A37)+1)/2)*(Inputs!$J$9-Inputs!$I$9)))/Inputs!$K$9)^2)</x:f>
        <x:v>513.7323999999999</x:v>
      </x:c>
      <x:c r="AD37" s="49"/>
      <x:c r="AE37" s="48" t="n">
        <x:f>A37</x:f>
        <x:v>-0.708</x:v>
      </x:c>
      <x:c r="AF37" s="48" t="n">
        <x:f>(((SQRT((Inputs!$C$52+((Inputs!$H$6+Inputs!$L$6*(((Inputs!$I$6+(((A37)+1)/2)*(Inputs!$J$6-Inputs!$I$6)))/Inputs!$K$6)^2)))^2+Inputs!$C$52^2-2*(Inputs!$C$52+((Inputs!$H$6+Inputs!$L$6*(((Inputs!$I$6+(((A37)+1)/2)*(Inputs!$J$6-Inputs!$I$6)))/Inputs!$K$6)^2)))*Inputs!$C$52*COS(SQRT(((Inputs!$I$6+(((A37)+1)/2)*(Inputs!$J$6-Inputs!$I$6)))^2+Inputs!$C$6^2)/Inputs!$C$52)))-((Inputs!$H$6+Inputs!$L$6*(((Inputs!$I$6+(((A37)+1)/2)*(Inputs!$J$6-Inputs!$I$6)))/Inputs!$K$6)^2)))*1000/Inputs!$C$12)</x:f>
        <x:v>2124.712272046672</x:v>
      </x:c>
      <x:c r="AG37" s="48" t="n">
        <x:f>(((SQRT((Inputs!$C$52+((Inputs!$H$7+Inputs!$L$7*(((Inputs!$I$7+(((A37)+1)/2)*(Inputs!$J$7-Inputs!$I$7)))/Inputs!$K$7)^2)))^2+Inputs!$C$52^2-2*(Inputs!$C$52+((Inputs!$H$7+Inputs!$L$7*(((Inputs!$I$7+(((A37)+1)/2)*(Inputs!$J$7-Inputs!$I$7)))/Inputs!$K$7)^2)))*Inputs!$C$52*COS(SQRT(((Inputs!$I$7+(((A37)+1)/2)*(Inputs!$J$7-Inputs!$I$7)))^2+Inputs!$C$6^2)/Inputs!$C$52)))-((Inputs!$H$7+Inputs!$L$7*(((Inputs!$I$7+(((A37)+1)/2)*(Inputs!$J$7-Inputs!$I$7)))/Inputs!$K$7)^2)))*1000/Inputs!$C$12)</x:f>
        <x:v>87279.73066416995</x:v>
      </x:c>
      <x:c r="AH37" s="48" t="n">
        <x:f>(((SQRT((Inputs!$C$52+((Inputs!$H$8+Inputs!$L$8*(((Inputs!$I$8+(((A37)+1)/2)*(Inputs!$J$8-Inputs!$I$8)))/Inputs!$K$8)^2)))^2+Inputs!$C$52^2-2*(Inputs!$C$52+((Inputs!$H$8+Inputs!$L$8*(((Inputs!$I$8+(((A37)+1)/2)*(Inputs!$J$8-Inputs!$I$8)))/Inputs!$K$8)^2)))*Inputs!$C$52*COS(SQRT(((Inputs!$I$8+(((A37)+1)/2)*(Inputs!$J$8-Inputs!$I$8)))^2+Inputs!$C$6^2)/Inputs!$C$52)))-((Inputs!$H$8+Inputs!$L$8*(((Inputs!$I$8+(((A37)+1)/2)*(Inputs!$J$8-Inputs!$I$8)))/Inputs!$K$8)^2)))*1000/Inputs!$C$12)</x:f>
        <x:v>176141.22062529402</x:v>
      </x:c>
      <x:c r="AI37" s="48" t="n">
        <x:f>(((SQRT((Inputs!$C$52+((Inputs!$H$9+Inputs!$L$9*(((Inputs!$I$9+(((A37)+1)/2)*(Inputs!$J$9-Inputs!$I$9)))/Inputs!$K$9)^2)))^2+Inputs!$C$52^2-2*(Inputs!$C$52+((Inputs!$H$9+Inputs!$L$9*(((Inputs!$I$9+(((A37)+1)/2)*(Inputs!$J$9-Inputs!$I$9)))/Inputs!$K$9)^2)))*Inputs!$C$52*COS(SQRT(((Inputs!$I$9+(((A37)+1)/2)*(Inputs!$J$9-Inputs!$I$9)))^2+Inputs!$C$6^2)/Inputs!$C$52)))-((Inputs!$H$9+Inputs!$L$9*(((Inputs!$I$9+(((A37)+1)/2)*(Inputs!$J$9-Inputs!$I$9)))/Inputs!$K$9)^2)))*1000/Inputs!$C$12)</x:f>
        <x:v>176857.64075456755</x:v>
      </x:c>
      <x:c r="AJ37" s="49"/>
      <x:c r="AK37" s="48" t="n">
        <x:f>A37</x:f>
        <x:v>-0.708</x:v>
      </x:c>
      <x:c r="AL37" s="48" t="n">
        <x: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x:f>
        <x:v>360.5247083984868</x:v>
      </x:c>
      <x:c r="AM37" s="48" t="n">
        <x: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x:f>
        <x:v>2725.636784841162</x:v>
      </x:c>
      <x:c r="AN37" s="48" t="n">
        <x: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x:f>
        <x:v>3456.8523747265017</x:v>
      </x:c>
      <x:c r="AO37" s="48" t="n">
        <x: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x:f>
        <x:v>3473.5118503776707</x:v>
      </x:c>
      <x:c r="AP37" s="49"/>
      <x:c r="AQ37" s="48" t="n">
        <x:f>A37</x:f>
        <x:v>-0.708</x:v>
      </x:c>
      <x:c r="AR37" s="48" t="n">
        <x:f>0</x:f>
        <x:v>0</x:v>
      </x:c>
      <x:c r="AS37" s="48" t="n">
        <x: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(0.45*SIN(2*PI()*((((Inputs!$I$6+(((A37)+1)/2)*(Inputs!$J$6-Inputs!$I$6)))/Inputs!$C$49)+Inputs!$C$47*0.137))+0.35*COS(2*PI()*(((Inputs!$C$6)/Inputs!$C$50)+Inputs!$C$47*0.173))+0.20*SIN(2*PI()*((((Inputs!$I$6+(((A37)+1)/2)*(Inputs!$J$6-Inputs!$I$6)))+(Inputs!$C$6))/(0.5*(Inputs!$C$49+Inputs!$C$50))+Inputs!$C$47*0.097)))+0.30*(2*((SIN((((Inputs!$I$6+(((A37)+1)/2)*(Inputs!$J$6-Inputs!$I$6)))*12.9898+(Inputs!$C$6)*78.233+Inputs!$C$47*37.719))*43758.5453)-INT((SIN((((Inputs!$I$6+(((A37)+1)/2)*(Inputs!$J$6-Inputs!$I$6)))*12.9898+(Inputs!$C$6)*78.233+Inputs!$C$47*37.719))*43758.5453)))-1))),NA())</x:f>
        <x:v>189.65875456847797</x:v>
      </x:c>
      <x:c r="AT37" s="48" t="n">
        <x: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(0.45*SIN(2*PI()*((((Inputs!$I$7+(((A37)+1)/2)*(Inputs!$J$7-Inputs!$I$7)))/Inputs!$C$49)+Inputs!$C$47*0.137))+0.35*COS(2*PI()*(((Inputs!$C$6)/Inputs!$C$50)+Inputs!$C$47*0.173))+0.20*SIN(2*PI()*((((Inputs!$I$7+(((A37)+1)/2)*(Inputs!$J$7-Inputs!$I$7)))+(Inputs!$C$6))/(0.5*(Inputs!$C$49+Inputs!$C$50))+Inputs!$C$47*0.097)))+0.30*(2*((SIN((((Inputs!$I$7+(((A37)+1)/2)*(Inputs!$J$7-Inputs!$I$7)))*12.9898+(Inputs!$C$6)*78.233+Inputs!$C$47*37.719))*43758.5453)-INT((SIN((((Inputs!$I$7+(((A37)+1)/2)*(Inputs!$J$7-Inputs!$I$7)))*12.9898+(Inputs!$C$6)*78.233+Inputs!$C$47*37.719))*43758.5453)))-1))),NA())</x:f>
        <x:v>187.2623925722182</x:v>
      </x:c>
      <x:c r="AU37" s="48" t="n">
        <x: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(0.45*SIN(2*PI()*((((Inputs!$I$8+(((A37)+1)/2)*(Inputs!$J$8-Inputs!$I$8)))/Inputs!$C$49)+Inputs!$C$47*0.137))+0.35*COS(2*PI()*(((Inputs!$C$6)/Inputs!$C$50)+Inputs!$C$47*0.173))+0.20*SIN(2*PI()*((((Inputs!$I$8+(((A37)+1)/2)*(Inputs!$J$8-Inputs!$I$8)))+(Inputs!$C$6))/(0.5*(Inputs!$C$49+Inputs!$C$50))+Inputs!$C$47*0.097)))+0.30*(2*((SIN((((Inputs!$I$8+(((A37)+1)/2)*(Inputs!$J$8-Inputs!$I$8)))*12.9898+(Inputs!$C$6)*78.233+Inputs!$C$47*37.719))*43758.5453)-INT((SIN((((Inputs!$I$8+(((A37)+1)/2)*(Inputs!$J$8-Inputs!$I$8)))*12.9898+(Inputs!$C$6)*78.233+Inputs!$C$47*37.719))*43758.5453)))-1))),NA())</x:f>
        <x:v>107.87047204021204</x:v>
      </x:c>
      <x:c r="AV37" s="48" t="n">
        <x: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(0.45*SIN(2*PI()*((((Inputs!$I$9+(((A37)+1)/2)*(Inputs!$J$9-Inputs!$I$9)))/Inputs!$C$49)+Inputs!$C$47*0.137))+0.35*COS(2*PI()*(((Inputs!$C$6)/Inputs!$C$50)+Inputs!$C$47*0.173))+0.20*SIN(2*PI()*((((Inputs!$I$9+(((A37)+1)/2)*(Inputs!$J$9-Inputs!$I$9)))+(Inputs!$C$6))/(0.5*(Inputs!$C$49+Inputs!$C$50))+Inputs!$C$47*0.097)))+0.30*(2*((SIN((((Inputs!$I$9+(((A37)+1)/2)*(Inputs!$J$9-Inputs!$I$9)))*12.9898+(Inputs!$C$6)*78.233+Inputs!$C$47*37.719))*43758.5453)-INT((SIN((((Inputs!$I$9+(((A37)+1)/2)*(Inputs!$J$9-Inputs!$I$9)))*12.9898+(Inputs!$C$6)*78.233+Inputs!$C$47*37.719))*43758.5453)))-1))),NA())</x:f>
        <x:v>107.87047204021204</x:v>
      </x:c>
      <x:c r="AW37" s="49"/>
      <x:c r="AX37" s="48" t="n">
        <x:f>A37</x:f>
        <x:v>-0.708</x:v>
      </x:c>
      <x:c r="AY37" s="48" t="n">
        <x:f>0</x:f>
        <x:v>0</x:v>
      </x:c>
      <x:c r="AZ37" s="48" t="n">
        <x:f>IF(OR(Inputs!$F$6=TRUE,Inputs!$F$6="TRUE",Inputs!$F$6=1),(Inputs!$H$6+Inputs!$L$6*(((Inputs!$I$6+(((A37)+1)/2)*(Inputs!$J$6-Inputs!$I$6)))/Inputs!$K$6)^2),NA())</x:f>
        <x:v>402.005056</x:v>
      </x:c>
      <x:c r="BA37" s="48" t="n">
        <x:f>IF(OR(Inputs!$F$7=TRUE,Inputs!$F$7="TRUE",Inputs!$F$7=1),(Inputs!$H$7+Inputs!$L$7*(((Inputs!$I$7+(((A37)+1)/2)*(Inputs!$J$7-Inputs!$I$7)))/Inputs!$K$7)^2),NA())</x:f>
        <x:v>217.96135999999998</x:v>
      </x:c>
      <x:c r="BB37" s="48" t="n">
        <x:f>IF(OR(Inputs!$F$8=TRUE,Inputs!$F$8="TRUE",Inputs!$F$8=1),(Inputs!$H$8+Inputs!$L$8*(((Inputs!$I$8+(((A37)+1)/2)*(Inputs!$J$8-Inputs!$I$8)))/Inputs!$K$8)^2),NA())</x:f>
        <x:v>518.71976</x:v>
      </x:c>
      <x:c r="BC37" s="48" t="n">
        <x:f>IF(OR(Inputs!$F$9=TRUE,Inputs!$F$9="TRUE",Inputs!$F$9=1),(Inputs!$H$9+Inputs!$L$9*(((Inputs!$I$9+(((A37)+1)/2)*(Inputs!$J$9-Inputs!$I$9)))/Inputs!$K$9)^2),NA())</x:f>
        <x:v>513.7323999999999</x:v>
      </x:c>
      <x:c r="BD37" s="49"/>
      <x:c r="BE37" s="48" t="n">
        <x:f>A37</x:f>
        <x:v>-0.708</x:v>
      </x:c>
      <x:c r="BF37" s="48" t="n">
        <x:f>0</x:f>
        <x:v>0</x:v>
      </x:c>
      <x:c r="BG37" s="48"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BH37" s="48"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BI37" s="48"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BJ37" s="48"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row>
    <x:row r="38">
      <x:c r="A38" s="48" t="n">
        <x:f>ROUND(-1+36*2/240,3)</x:f>
        <x:v>-0.7</x:v>
      </x:c>
      <x:c r="B38" s="48" t="n">
        <x:f>IF(OR(Inputs!$F$6=TRUE,Inputs!$F$6="TRUE",Inputs!$F$6=1),(Inputs!$H$6+Inputs!$L$6*(((Inputs!$I$6+(((A38)+1)/2)*(Inputs!$J$6-Inputs!$I$6)))/Inputs!$K$6)^2),NA())</x:f>
        <x:v>401.96</x:v>
      </x:c>
      <x:c r="C38" s="48" t="n">
        <x:f>IF(OR(Inputs!$F$7=TRUE,Inputs!$F$7="TRUE",Inputs!$F$7=1),(Inputs!$H$7+Inputs!$L$7*(((Inputs!$I$7+(((A38)+1)/2)*(Inputs!$J$7-Inputs!$I$7)))/Inputs!$K$7)^2),NA())</x:f>
        <x:v>213.84999999999997</x:v>
      </x:c>
      <x:c r="D38" s="48" t="n">
        <x:f>IF(OR(Inputs!$F$8=TRUE,Inputs!$F$8="TRUE",Inputs!$F$8=1),(Inputs!$H$8+Inputs!$L$8*(((Inputs!$I$8+(((A38)+1)/2)*(Inputs!$J$8-Inputs!$I$8)))/Inputs!$K$8)^2),NA())</x:f>
        <x:v>507.84999999999997</x:v>
      </x:c>
      <x:c r="E38" s="48" t="n">
        <x:f>IF(OR(Inputs!$F$9=TRUE,Inputs!$F$9="TRUE",Inputs!$F$9=1),(Inputs!$H$9+Inputs!$L$9*(((Inputs!$I$9+(((A38)+1)/2)*(Inputs!$J$9-Inputs!$I$9)))/Inputs!$K$9)^2),NA())</x:f>
        <x:v>502.74999999999994</x:v>
      </x:c>
      <x:c r="F38" s="49"/>
      <x:c r="G38" s="48" t="n">
        <x:f>A38</x:f>
        <x:v>-0.7</x:v>
      </x:c>
      <x:c r="H38" s="48"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I38" s="48"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J38" s="48"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K38" s="48"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c r="L38" s="49"/>
      <x:c r="M38" s="48" t="n">
        <x:f>A38</x:f>
        <x:v>-0.7</x:v>
      </x:c>
      <x:c r="N38" s="48" t="n">
        <x: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x:f>
        <x:v>356.519918216019</x:v>
      </x:c>
      <x:c r="O38" s="48" t="n">
        <x: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x:f>
        <x:v>2705.5699664091653</x:v>
      </x:c>
      <x:c r="P38" s="48" t="n">
        <x: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x:f>
        <x:v>3425.173536730178</x:v>
      </x:c>
      <x:c r="Q38" s="48" t="n">
        <x: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x:f>
        <x:v>3441.3258409617547</x:v>
      </x:c>
      <x:c r="R38" s="49"/>
      <x:c r="S38" s="48" t="n">
        <x:f>A38</x:f>
        <x:v>-0.7</x:v>
      </x:c>
      <x:c r="T38" s="48" t="n">
        <x:f>(Inputs!$I$6+(((A38)+1)/2)*(Inputs!$J$6-Inputs!$I$6))</x:f>
        <x:v>-42</x:v>
      </x:c>
      <x:c r="U38" s="48" t="n">
        <x:f>(Inputs!$I$7+(((A38)+1)/2)*(Inputs!$J$7-Inputs!$I$7))</x:f>
        <x:v>-280</x:v>
      </x:c>
      <x:c r="V38" s="48" t="n">
        <x:f>(Inputs!$I$8+(((A38)+1)/2)*(Inputs!$J$8-Inputs!$I$8))</x:f>
        <x:v>-560</x:v>
      </x:c>
      <x:c r="W38" s="48" t="n">
        <x:f>(Inputs!$I$9+(((A38)+1)/2)*(Inputs!$J$9-Inputs!$I$9))</x:f>
        <x:v>-560</x:v>
      </x:c>
      <x:c r="X38" s="49"/>
      <x:c r="Y38" s="48" t="n">
        <x:f>A38</x:f>
        <x:v>-0.7</x:v>
      </x:c>
      <x:c r="Z38" s="48" t="n">
        <x:f>(Inputs!$H$6+Inputs!$L$6*(((Inputs!$I$6+(((A38)+1)/2)*(Inputs!$J$6-Inputs!$I$6)))/Inputs!$K$6)^2)</x:f>
        <x:v>401.96</x:v>
      </x:c>
      <x:c r="AA38" s="48" t="n">
        <x:f>(Inputs!$H$7+Inputs!$L$7*(((Inputs!$I$7+(((A38)+1)/2)*(Inputs!$J$7-Inputs!$I$7)))/Inputs!$K$7)^2)</x:f>
        <x:v>213.84999999999997</x:v>
      </x:c>
      <x:c r="AB38" s="48" t="n">
        <x:f>(Inputs!$H$8+Inputs!$L$8*(((Inputs!$I$8+(((A38)+1)/2)*(Inputs!$J$8-Inputs!$I$8)))/Inputs!$K$8)^2)</x:f>
        <x:v>507.84999999999997</x:v>
      </x:c>
      <x:c r="AC38" s="48" t="n">
        <x:f>(Inputs!$H$9+Inputs!$L$9*(((Inputs!$I$9+(((A38)+1)/2)*(Inputs!$J$9-Inputs!$I$9)))/Inputs!$K$9)^2)</x:f>
        <x:v>502.74999999999994</x:v>
      </x:c>
      <x:c r="AD38" s="49"/>
      <x:c r="AE38" s="48" t="n">
        <x:f>A38</x:f>
        <x:v>-0.7</x:v>
      </x:c>
      <x:c r="AF38" s="48" t="n">
        <x:f>(((SQRT((Inputs!$C$52+((Inputs!$H$6+Inputs!$L$6*(((Inputs!$I$6+(((A38)+1)/2)*(Inputs!$J$6-Inputs!$I$6)))/Inputs!$K$6)^2)))^2+Inputs!$C$52^2-2*(Inputs!$C$52+((Inputs!$H$6+Inputs!$L$6*(((Inputs!$I$6+(((A38)+1)/2)*(Inputs!$J$6-Inputs!$I$6)))/Inputs!$K$6)^2)))*Inputs!$C$52*COS(SQRT(((Inputs!$I$6+(((A38)+1)/2)*(Inputs!$J$6-Inputs!$I$6)))^2+Inputs!$C$6^2)/Inputs!$C$52)))-((Inputs!$H$6+Inputs!$L$6*(((Inputs!$I$6+(((A38)+1)/2)*(Inputs!$J$6-Inputs!$I$6)))/Inputs!$K$6)^2)))*1000/Inputs!$C$12)</x:f>
        <x:v>2089.5994901917893</x:v>
      </x:c>
      <x:c r="AG38" s="48" t="n">
        <x:f>(((SQRT((Inputs!$C$52+((Inputs!$H$7+Inputs!$L$7*(((Inputs!$I$7+(((A38)+1)/2)*(Inputs!$J$7-Inputs!$I$7)))/Inputs!$K$7)^2)))^2+Inputs!$C$52^2-2*(Inputs!$C$52+((Inputs!$H$7+Inputs!$L$7*(((Inputs!$I$7+(((A38)+1)/2)*(Inputs!$J$7-Inputs!$I$7)))/Inputs!$K$7)^2)))*Inputs!$C$52*COS(SQRT(((Inputs!$I$7+(((A38)+1)/2)*(Inputs!$J$7-Inputs!$I$7)))^2+Inputs!$C$6^2)/Inputs!$C$52)))-((Inputs!$H$7+Inputs!$L$7*(((Inputs!$I$7+(((A38)+1)/2)*(Inputs!$J$7-Inputs!$I$7)))/Inputs!$K$7)^2)))*1000/Inputs!$C$12)</x:f>
        <x:v>86538.25359407694</x:v>
      </x:c>
      <x:c r="AH38" s="48" t="n">
        <x:f>(((SQRT((Inputs!$C$52+((Inputs!$H$8+Inputs!$L$8*(((Inputs!$I$8+(((A38)+1)/2)*(Inputs!$J$8-Inputs!$I$8)))/Inputs!$K$8)^2)))^2+Inputs!$C$52^2-2*(Inputs!$C$52+((Inputs!$H$8+Inputs!$L$8*(((Inputs!$I$8+(((A38)+1)/2)*(Inputs!$J$8-Inputs!$I$8)))/Inputs!$K$8)^2)))*Inputs!$C$52*COS(SQRT(((Inputs!$I$8+(((A38)+1)/2)*(Inputs!$J$8-Inputs!$I$8)))^2+Inputs!$C$6^2)/Inputs!$C$52)))-((Inputs!$H$8+Inputs!$L$8*(((Inputs!$I$8+(((A38)+1)/2)*(Inputs!$J$8-Inputs!$I$8)))/Inputs!$K$8)^2)))*1000/Inputs!$C$12)</x:f>
        <x:v>174515.23410010958</x:v>
      </x:c>
      <x:c r="AI38" s="48" t="n">
        <x:f>(((SQRT((Inputs!$C$52+((Inputs!$H$9+Inputs!$L$9*(((Inputs!$I$9+(((A38)+1)/2)*(Inputs!$J$9-Inputs!$I$9)))/Inputs!$K$9)^2)))^2+Inputs!$C$52^2-2*(Inputs!$C$52+((Inputs!$H$9+Inputs!$L$9*(((Inputs!$I$9+(((A38)+1)/2)*(Inputs!$J$9-Inputs!$I$9)))/Inputs!$K$9)^2)))*Inputs!$C$52*COS(SQRT(((Inputs!$I$9+(((A38)+1)/2)*(Inputs!$J$9-Inputs!$I$9)))^2+Inputs!$C$6^2)/Inputs!$C$52)))-((Inputs!$H$9+Inputs!$L$9*(((Inputs!$I$9+(((A38)+1)/2)*(Inputs!$J$9-Inputs!$I$9)))/Inputs!$K$9)^2)))*1000/Inputs!$C$12)</x:f>
        <x:v>175258.06759354385</x:v>
      </x:c>
      <x:c r="AJ38" s="49"/>
      <x:c r="AK38" s="48" t="n">
        <x:f>A38</x:f>
        <x:v>-0.7</x:v>
      </x:c>
      <x:c r="AL38" s="48" t="n">
        <x: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x:f>
        <x:v>356.519918216019</x:v>
      </x:c>
      <x:c r="AM38" s="48" t="n">
        <x: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x:f>
        <x:v>2705.5699664091653</x:v>
      </x:c>
      <x:c r="AN38" s="48" t="n">
        <x: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x:f>
        <x:v>3425.173536730178</x:v>
      </x:c>
      <x:c r="AO38" s="48" t="n">
        <x: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x:f>
        <x:v>3441.3258409617547</x:v>
      </x:c>
      <x:c r="AP38" s="49"/>
      <x:c r="AQ38" s="48" t="n">
        <x:f>A38</x:f>
        <x:v>-0.7</x:v>
      </x:c>
      <x:c r="AR38" s="48" t="n">
        <x:f>0</x:f>
        <x:v>0</x:v>
      </x:c>
      <x:c r="AS38" s="48" t="n">
        <x: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(0.45*SIN(2*PI()*((((Inputs!$I$6+(((A38)+1)/2)*(Inputs!$J$6-Inputs!$I$6)))/Inputs!$C$49)+Inputs!$C$47*0.137))+0.35*COS(2*PI()*(((Inputs!$C$6)/Inputs!$C$50)+Inputs!$C$47*0.173))+0.20*SIN(2*PI()*((((Inputs!$I$6+(((A38)+1)/2)*(Inputs!$J$6-Inputs!$I$6)))+(Inputs!$C$6))/(0.5*(Inputs!$C$49+Inputs!$C$50))+Inputs!$C$47*0.097)))+0.30*(2*((SIN((((Inputs!$I$6+(((A38)+1)/2)*(Inputs!$J$6-Inputs!$I$6)))*12.9898+(Inputs!$C$6)*78.233+Inputs!$C$47*37.719))*43758.5453)-INT((SIN((((Inputs!$I$6+(((A38)+1)/2)*(Inputs!$J$6-Inputs!$I$6)))*12.9898+(Inputs!$C$6)*78.233+Inputs!$C$47*37.719))*43758.5453)))-1))),NA())</x:f>
        <x:v>170.62817299697477</x:v>
      </x:c>
      <x:c r="AT38" s="48" t="n">
        <x: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(0.45*SIN(2*PI()*((((Inputs!$I$7+(((A38)+1)/2)*(Inputs!$J$7-Inputs!$I$7)))/Inputs!$C$49)+Inputs!$C$47*0.137))+0.35*COS(2*PI()*(((Inputs!$C$6)/Inputs!$C$50)+Inputs!$C$47*0.173))+0.20*SIN(2*PI()*((((Inputs!$I$7+(((A38)+1)/2)*(Inputs!$J$7-Inputs!$I$7)))+(Inputs!$C$6))/(0.5*(Inputs!$C$49+Inputs!$C$50))+Inputs!$C$47*0.097)))+0.30*(2*((SIN((((Inputs!$I$7+(((A38)+1)/2)*(Inputs!$J$7-Inputs!$I$7)))*12.9898+(Inputs!$C$6)*78.233+Inputs!$C$47*37.719))*43758.5453)-INT((SIN((((Inputs!$I$7+(((A38)+1)/2)*(Inputs!$J$7-Inputs!$I$7)))*12.9898+(Inputs!$C$6)*78.233+Inputs!$C$47*37.719))*43758.5453)))-1))),NA())</x:f>
        <x:v>165.51370619149404</x:v>
      </x:c>
      <x:c r="AU38" s="48" t="n">
        <x: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(0.45*SIN(2*PI()*((((Inputs!$I$8+(((A38)+1)/2)*(Inputs!$J$8-Inputs!$I$8)))/Inputs!$C$49)+Inputs!$C$47*0.137))+0.35*COS(2*PI()*(((Inputs!$C$6)/Inputs!$C$50)+Inputs!$C$47*0.173))+0.20*SIN(2*PI()*((((Inputs!$I$8+(((A38)+1)/2)*(Inputs!$J$8-Inputs!$I$8)))+(Inputs!$C$6))/(0.5*(Inputs!$C$49+Inputs!$C$50))+Inputs!$C$47*0.097)))+0.30*(2*((SIN((((Inputs!$I$8+(((A38)+1)/2)*(Inputs!$J$8-Inputs!$I$8)))*12.9898+(Inputs!$C$6)*78.233+Inputs!$C$47*37.719))*43758.5453)-INT((SIN((((Inputs!$I$8+(((A38)+1)/2)*(Inputs!$J$8-Inputs!$I$8)))*12.9898+(Inputs!$C$6)*78.233+Inputs!$C$47*37.719))*43758.5453)))-1))),NA())</x:f>
        <x:v>117.65346976001054</x:v>
      </x:c>
      <x:c r="AV38" s="48" t="n">
        <x: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(0.45*SIN(2*PI()*((((Inputs!$I$9+(((A38)+1)/2)*(Inputs!$J$9-Inputs!$I$9)))/Inputs!$C$49)+Inputs!$C$47*0.137))+0.35*COS(2*PI()*(((Inputs!$C$6)/Inputs!$C$50)+Inputs!$C$47*0.173))+0.20*SIN(2*PI()*((((Inputs!$I$9+(((A38)+1)/2)*(Inputs!$J$9-Inputs!$I$9)))+(Inputs!$C$6))/(0.5*(Inputs!$C$49+Inputs!$C$50))+Inputs!$C$47*0.097)))+0.30*(2*((SIN((((Inputs!$I$9+(((A38)+1)/2)*(Inputs!$J$9-Inputs!$I$9)))*12.9898+(Inputs!$C$6)*78.233+Inputs!$C$47*37.719))*43758.5453)-INT((SIN((((Inputs!$I$9+(((A38)+1)/2)*(Inputs!$J$9-Inputs!$I$9)))*12.9898+(Inputs!$C$6)*78.233+Inputs!$C$47*37.719))*43758.5453)))-1))),NA())</x:f>
        <x:v>117.65346976001054</x:v>
      </x:c>
      <x:c r="AW38" s="49"/>
      <x:c r="AX38" s="48" t="n">
        <x:f>A38</x:f>
        <x:v>-0.7</x:v>
      </x:c>
      <x:c r="AY38" s="48" t="n">
        <x:f>0</x:f>
        <x:v>0</x:v>
      </x:c>
      <x:c r="AZ38" s="48" t="n">
        <x:f>IF(OR(Inputs!$F$6=TRUE,Inputs!$F$6="TRUE",Inputs!$F$6=1),(Inputs!$H$6+Inputs!$L$6*(((Inputs!$I$6+(((A38)+1)/2)*(Inputs!$J$6-Inputs!$I$6)))/Inputs!$K$6)^2),NA())</x:f>
        <x:v>401.96</x:v>
      </x:c>
      <x:c r="BA38" s="48" t="n">
        <x:f>IF(OR(Inputs!$F$7=TRUE,Inputs!$F$7="TRUE",Inputs!$F$7=1),(Inputs!$H$7+Inputs!$L$7*(((Inputs!$I$7+(((A38)+1)/2)*(Inputs!$J$7-Inputs!$I$7)))/Inputs!$K$7)^2),NA())</x:f>
        <x:v>213.84999999999997</x:v>
      </x:c>
      <x:c r="BB38" s="48" t="n">
        <x:f>IF(OR(Inputs!$F$8=TRUE,Inputs!$F$8="TRUE",Inputs!$F$8=1),(Inputs!$H$8+Inputs!$L$8*(((Inputs!$I$8+(((A38)+1)/2)*(Inputs!$J$8-Inputs!$I$8)))/Inputs!$K$8)^2),NA())</x:f>
        <x:v>507.84999999999997</x:v>
      </x:c>
      <x:c r="BC38" s="48" t="n">
        <x:f>IF(OR(Inputs!$F$9=TRUE,Inputs!$F$9="TRUE",Inputs!$F$9=1),(Inputs!$H$9+Inputs!$L$9*(((Inputs!$I$9+(((A38)+1)/2)*(Inputs!$J$9-Inputs!$I$9)))/Inputs!$K$9)^2),NA())</x:f>
        <x:v>502.74999999999994</x:v>
      </x:c>
      <x:c r="BD38" s="49"/>
      <x:c r="BE38" s="48" t="n">
        <x:f>A38</x:f>
        <x:v>-0.7</x:v>
      </x:c>
      <x:c r="BF38" s="48" t="n">
        <x:f>0</x:f>
        <x:v>0</x:v>
      </x:c>
      <x:c r="BG38" s="48"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BH38" s="48"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BI38" s="48"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BJ38" s="48"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row>
    <x:row r="39">
      <x:c r="A39" s="48" t="n">
        <x:f>ROUND(-1+37*2/240,3)</x:f>
        <x:v>-0.692</x:v>
      </x:c>
      <x:c r="B39" s="48" t="n">
        <x:f>IF(OR(Inputs!$F$6=TRUE,Inputs!$F$6="TRUE",Inputs!$F$6=1),(Inputs!$H$6+Inputs!$L$6*(((Inputs!$I$6+(((A39)+1)/2)*(Inputs!$J$6-Inputs!$I$6)))/Inputs!$K$6)^2),NA())</x:f>
        <x:v>401.915456</x:v>
      </x:c>
      <x:c r="C39" s="48" t="n">
        <x:f>IF(OR(Inputs!$F$7=TRUE,Inputs!$F$7="TRUE",Inputs!$F$7=1),(Inputs!$H$7+Inputs!$L$7*(((Inputs!$I$7+(((A39)+1)/2)*(Inputs!$J$7-Inputs!$I$7)))/Inputs!$K$7)^2),NA())</x:f>
        <x:v>209.7853599999999</x:v>
      </x:c>
      <x:c r="D39" s="48" t="n">
        <x:f>IF(OR(Inputs!$F$8=TRUE,Inputs!$F$8="TRUE",Inputs!$F$8=1),(Inputs!$H$8+Inputs!$L$8*(((Inputs!$I$8+(((A39)+1)/2)*(Inputs!$J$8-Inputs!$I$8)))/Inputs!$K$8)^2),NA())</x:f>
        <x:v>497.1037599999998</x:v>
      </x:c>
      <x:c r="E39" s="48" t="n">
        <x:f>IF(OR(Inputs!$F$9=TRUE,Inputs!$F$9="TRUE",Inputs!$F$9=1),(Inputs!$H$9+Inputs!$L$9*(((Inputs!$I$9+(((A39)+1)/2)*(Inputs!$J$9-Inputs!$I$9)))/Inputs!$K$9)^2),NA())</x:f>
        <x:v>491.8923999999998</x:v>
      </x:c>
      <x:c r="F39" s="49"/>
      <x:c r="G39" s="48" t="n">
        <x:f>A39</x:f>
        <x:v>-0.692</x:v>
      </x:c>
      <x:c r="H39" s="48"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I39" s="48"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J39" s="48"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K39" s="48"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c r="L39" s="49"/>
      <x:c r="M39" s="48" t="n">
        <x:f>A39</x:f>
        <x:v>-0.692</x:v>
      </x:c>
      <x:c r="N39" s="48" t="n">
        <x: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x:f>
        <x:v>352.5128312365168</x:v>
      </x:c>
      <x:c r="O39" s="48" t="n">
        <x: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x:f>
        <x:v>2685.6093165580623</x:v>
      </x:c>
      <x:c r="P39" s="48" t="n">
        <x: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x:f>
        <x:v>3393.603707342725</x:v>
      </x:c>
      <x:c r="Q39" s="48" t="n">
        <x: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x:f>
        <x:v>3409.246908678154</x:v>
      </x:c>
      <x:c r="R39" s="49"/>
      <x:c r="S39" s="48" t="n">
        <x:f>A39</x:f>
        <x:v>-0.692</x:v>
      </x:c>
      <x:c r="T39" s="48" t="n">
        <x:f>(Inputs!$I$6+(((A39)+1)/2)*(Inputs!$J$6-Inputs!$I$6))</x:f>
        <x:v>-41.519999999999996</x:v>
      </x:c>
      <x:c r="U39" s="48" t="n">
        <x:f>(Inputs!$I$7+(((A39)+1)/2)*(Inputs!$J$7-Inputs!$I$7))</x:f>
        <x:v>-276.79999999999995</x:v>
      </x:c>
      <x:c r="V39" s="48" t="n">
        <x:f>(Inputs!$I$8+(((A39)+1)/2)*(Inputs!$J$8-Inputs!$I$8))</x:f>
        <x:v>-553.5999999999999</x:v>
      </x:c>
      <x:c r="W39" s="48" t="n">
        <x:f>(Inputs!$I$9+(((A39)+1)/2)*(Inputs!$J$9-Inputs!$I$9))</x:f>
        <x:v>-553.5999999999999</x:v>
      </x:c>
      <x:c r="X39" s="49"/>
      <x:c r="Y39" s="48" t="n">
        <x:f>A39</x:f>
        <x:v>-0.692</x:v>
      </x:c>
      <x:c r="Z39" s="48" t="n">
        <x:f>(Inputs!$H$6+Inputs!$L$6*(((Inputs!$I$6+(((A39)+1)/2)*(Inputs!$J$6-Inputs!$I$6)))/Inputs!$K$6)^2)</x:f>
        <x:v>401.915456</x:v>
      </x:c>
      <x:c r="AA39" s="48" t="n">
        <x:f>(Inputs!$H$7+Inputs!$L$7*(((Inputs!$I$7+(((A39)+1)/2)*(Inputs!$J$7-Inputs!$I$7)))/Inputs!$K$7)^2)</x:f>
        <x:v>209.7853599999999</x:v>
      </x:c>
      <x:c r="AB39" s="48" t="n">
        <x:f>(Inputs!$H$8+Inputs!$L$8*(((Inputs!$I$8+(((A39)+1)/2)*(Inputs!$J$8-Inputs!$I$8)))/Inputs!$K$8)^2)</x:f>
        <x:v>497.1037599999998</x:v>
      </x:c>
      <x:c r="AC39" s="48" t="n">
        <x:f>(Inputs!$H$9+Inputs!$L$9*(((Inputs!$I$9+(((A39)+1)/2)*(Inputs!$J$9-Inputs!$I$9)))/Inputs!$K$9)^2)</x:f>
        <x:v>491.8923999999998</x:v>
      </x:c>
      <x:c r="AD39" s="49"/>
      <x:c r="AE39" s="48" t="n">
        <x:f>A39</x:f>
        <x:v>-0.692</x:v>
      </x:c>
      <x:c r="AF39" s="48" t="n">
        <x:f>(((SQRT((Inputs!$C$52+((Inputs!$H$6+Inputs!$L$6*(((Inputs!$I$6+(((A39)+1)/2)*(Inputs!$J$6-Inputs!$I$6)))/Inputs!$K$6)^2)))^2+Inputs!$C$52^2-2*(Inputs!$C$52+((Inputs!$H$6+Inputs!$L$6*(((Inputs!$I$6+(((A39)+1)/2)*(Inputs!$J$6-Inputs!$I$6)))/Inputs!$K$6)^2)))*Inputs!$C$52*COS(SQRT(((Inputs!$I$6+(((A39)+1)/2)*(Inputs!$J$6-Inputs!$I$6)))^2+Inputs!$C$6^2)/Inputs!$C$52)))-((Inputs!$H$6+Inputs!$L$6*(((Inputs!$I$6+(((A39)+1)/2)*(Inputs!$J$6-Inputs!$I$6)))/Inputs!$K$6)^2)))*1000/Inputs!$C$12)</x:f>
        <x:v>2054.874226401677</x:v>
      </x:c>
      <x:c r="AG39" s="48" t="n">
        <x:f>(((SQRT((Inputs!$C$52+((Inputs!$H$7+Inputs!$L$7*(((Inputs!$I$7+(((A39)+1)/2)*(Inputs!$J$7-Inputs!$I$7)))/Inputs!$K$7)^2)))^2+Inputs!$C$52^2-2*(Inputs!$C$52+((Inputs!$H$7+Inputs!$L$7*(((Inputs!$I$7+(((A39)+1)/2)*(Inputs!$J$7-Inputs!$I$7)))/Inputs!$K$7)^2)))*Inputs!$C$52*COS(SQRT(((Inputs!$I$7+(((A39)+1)/2)*(Inputs!$J$7-Inputs!$I$7)))^2+Inputs!$C$6^2)/Inputs!$C$52)))-((Inputs!$H$7+Inputs!$L$7*(((Inputs!$I$7+(((A39)+1)/2)*(Inputs!$J$7-Inputs!$I$7)))/Inputs!$K$7)^2)))*1000/Inputs!$C$12)</x:f>
        <x:v>85793.0168187823</x:v>
      </x:c>
      <x:c r="AH39" s="48" t="n">
        <x:f>(((SQRT((Inputs!$C$52+((Inputs!$H$8+Inputs!$L$8*(((Inputs!$I$8+(((A39)+1)/2)*(Inputs!$J$8-Inputs!$I$8)))/Inputs!$K$8)^2)))^2+Inputs!$C$52^2-2*(Inputs!$C$52+((Inputs!$H$8+Inputs!$L$8*(((Inputs!$I$8+(((A39)+1)/2)*(Inputs!$J$8-Inputs!$I$8)))/Inputs!$K$8)^2)))*Inputs!$C$52*COS(SQRT(((Inputs!$I$8+(((A39)+1)/2)*(Inputs!$J$8-Inputs!$I$8)))^2+Inputs!$C$6^2)/Inputs!$C$52)))-((Inputs!$H$8+Inputs!$L$8*(((Inputs!$I$8+(((A39)+1)/2)*(Inputs!$J$8-Inputs!$I$8)))/Inputs!$K$8)^2)))*1000/Inputs!$C$12)</x:f>
        <x:v>172890.9208302182</x:v>
      </x:c>
      <x:c r="AI39" s="48" t="n">
        <x:f>(((SQRT((Inputs!$C$52+((Inputs!$H$9+Inputs!$L$9*(((Inputs!$I$9+(((A39)+1)/2)*(Inputs!$J$9-Inputs!$I$9)))/Inputs!$K$9)^2)))^2+Inputs!$C$52^2-2*(Inputs!$C$52+((Inputs!$H$9+Inputs!$L$9*(((Inputs!$I$9+(((A39)+1)/2)*(Inputs!$J$9-Inputs!$I$9)))/Inputs!$K$9)^2)))*Inputs!$C$52*COS(SQRT(((Inputs!$I$9+(((A39)+1)/2)*(Inputs!$J$9-Inputs!$I$9)))^2+Inputs!$C$6^2)/Inputs!$C$52)))-((Inputs!$H$9+Inputs!$L$9*(((Inputs!$I$9+(((A39)+1)/2)*(Inputs!$J$9-Inputs!$I$9)))/Inputs!$K$9)^2)))*1000/Inputs!$C$12)</x:f>
        <x:v>173660.5904773087</x:v>
      </x:c>
      <x:c r="AJ39" s="49"/>
      <x:c r="AK39" s="48" t="n">
        <x:f>A39</x:f>
        <x:v>-0.692</x:v>
      </x:c>
      <x:c r="AL39" s="48" t="n">
        <x: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x:f>
        <x:v>352.5128312365168</x:v>
      </x:c>
      <x:c r="AM39" s="48" t="n">
        <x: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x:f>
        <x:v>2685.6093165580623</x:v>
      </x:c>
      <x:c r="AN39" s="48" t="n">
        <x: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x:f>
        <x:v>3393.603707342725</x:v>
      </x:c>
      <x:c r="AO39" s="48" t="n">
        <x: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x:f>
        <x:v>3409.246908678154</x:v>
      </x:c>
      <x:c r="AP39" s="49"/>
      <x:c r="AQ39" s="48" t="n">
        <x:f>A39</x:f>
        <x:v>-0.692</x:v>
      </x:c>
      <x:c r="AR39" s="48" t="n">
        <x:f>0</x:f>
        <x:v>0</x:v>
      </x:c>
      <x:c r="AS39" s="48" t="n">
        <x: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(0.45*SIN(2*PI()*((((Inputs!$I$6+(((A39)+1)/2)*(Inputs!$J$6-Inputs!$I$6)))/Inputs!$C$49)+Inputs!$C$47*0.137))+0.35*COS(2*PI()*(((Inputs!$C$6)/Inputs!$C$50)+Inputs!$C$47*0.173))+0.20*SIN(2*PI()*((((Inputs!$I$6+(((A39)+1)/2)*(Inputs!$J$6-Inputs!$I$6)))+(Inputs!$C$6))/(0.5*(Inputs!$C$49+Inputs!$C$50))+Inputs!$C$47*0.097)))+0.30*(2*((SIN((((Inputs!$I$6+(((A39)+1)/2)*(Inputs!$J$6-Inputs!$I$6)))*12.9898+(Inputs!$C$6)*78.233+Inputs!$C$47*37.719))*43758.5453)-INT((SIN((((Inputs!$I$6+(((A39)+1)/2)*(Inputs!$J$6-Inputs!$I$6)))*12.9898+(Inputs!$C$6)*78.233+Inputs!$C$47*37.719))*43758.5453)))-1))),NA())</x:f>
        <x:v>170.32340444835148</x:v>
      </x:c>
      <x:c r="AT39" s="48" t="n">
        <x: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(0.45*SIN(2*PI()*((((Inputs!$I$7+(((A39)+1)/2)*(Inputs!$J$7-Inputs!$I$7)))/Inputs!$C$49)+Inputs!$C$47*0.137))+0.35*COS(2*PI()*(((Inputs!$C$6)/Inputs!$C$50)+Inputs!$C$47*0.173))+0.20*SIN(2*PI()*((((Inputs!$I$7+(((A39)+1)/2)*(Inputs!$J$7-Inputs!$I$7)))+(Inputs!$C$6))/(0.5*(Inputs!$C$49+Inputs!$C$50))+Inputs!$C$47*0.097)))+0.30*(2*((SIN((((Inputs!$I$7+(((A39)+1)/2)*(Inputs!$J$7-Inputs!$I$7)))*12.9898+(Inputs!$C$6)*78.233+Inputs!$C$47*37.719))*43758.5453)-INT((SIN((((Inputs!$I$7+(((A39)+1)/2)*(Inputs!$J$7-Inputs!$I$7)))*12.9898+(Inputs!$C$6)*78.233+Inputs!$C$47*37.719))*43758.5453)))-1))),NA())</x:f>
        <x:v>109.75803098864128</x:v>
      </x:c>
      <x:c r="AU39" s="48" t="n">
        <x: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(0.45*SIN(2*PI()*((((Inputs!$I$8+(((A39)+1)/2)*(Inputs!$J$8-Inputs!$I$8)))/Inputs!$C$49)+Inputs!$C$47*0.137))+0.35*COS(2*PI()*(((Inputs!$C$6)/Inputs!$C$50)+Inputs!$C$47*0.173))+0.20*SIN(2*PI()*((((Inputs!$I$8+(((A39)+1)/2)*(Inputs!$J$8-Inputs!$I$8)))+(Inputs!$C$6))/(0.5*(Inputs!$C$49+Inputs!$C$50))+Inputs!$C$47*0.097)))+0.30*(2*((SIN((((Inputs!$I$8+(((A39)+1)/2)*(Inputs!$J$8-Inputs!$I$8)))*12.9898+(Inputs!$C$6)*78.233+Inputs!$C$47*37.719))*43758.5453)-INT((SIN((((Inputs!$I$8+(((A39)+1)/2)*(Inputs!$J$8-Inputs!$I$8)))*12.9898+(Inputs!$C$6)*78.233+Inputs!$C$47*37.719))*43758.5453)))-1))),NA())</x:f>
        <x:v>193.95377403916262</x:v>
      </x:c>
      <x:c r="AV39" s="48" t="n">
        <x: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(0.45*SIN(2*PI()*((((Inputs!$I$9+(((A39)+1)/2)*(Inputs!$J$9-Inputs!$I$9)))/Inputs!$C$49)+Inputs!$C$47*0.137))+0.35*COS(2*PI()*(((Inputs!$C$6)/Inputs!$C$50)+Inputs!$C$47*0.173))+0.20*SIN(2*PI()*((((Inputs!$I$9+(((A39)+1)/2)*(Inputs!$J$9-Inputs!$I$9)))+(Inputs!$C$6))/(0.5*(Inputs!$C$49+Inputs!$C$50))+Inputs!$C$47*0.097)))+0.30*(2*((SIN((((Inputs!$I$9+(((A39)+1)/2)*(Inputs!$J$9-Inputs!$I$9)))*12.9898+(Inputs!$C$6)*78.233+Inputs!$C$47*37.719))*43758.5453)-INT((SIN((((Inputs!$I$9+(((A39)+1)/2)*(Inputs!$J$9-Inputs!$I$9)))*12.9898+(Inputs!$C$6)*78.233+Inputs!$C$47*37.719))*43758.5453)))-1))),NA())</x:f>
        <x:v>193.95377403916262</x:v>
      </x:c>
      <x:c r="AW39" s="49"/>
      <x:c r="AX39" s="48" t="n">
        <x:f>A39</x:f>
        <x:v>-0.692</x:v>
      </x:c>
      <x:c r="AY39" s="48" t="n">
        <x:f>0</x:f>
        <x:v>0</x:v>
      </x:c>
      <x:c r="AZ39" s="48" t="n">
        <x:f>IF(OR(Inputs!$F$6=TRUE,Inputs!$F$6="TRUE",Inputs!$F$6=1),(Inputs!$H$6+Inputs!$L$6*(((Inputs!$I$6+(((A39)+1)/2)*(Inputs!$J$6-Inputs!$I$6)))/Inputs!$K$6)^2),NA())</x:f>
        <x:v>401.915456</x:v>
      </x:c>
      <x:c r="BA39" s="48" t="n">
        <x:f>IF(OR(Inputs!$F$7=TRUE,Inputs!$F$7="TRUE",Inputs!$F$7=1),(Inputs!$H$7+Inputs!$L$7*(((Inputs!$I$7+(((A39)+1)/2)*(Inputs!$J$7-Inputs!$I$7)))/Inputs!$K$7)^2),NA())</x:f>
        <x:v>209.7853599999999</x:v>
      </x:c>
      <x:c r="BB39" s="48" t="n">
        <x:f>IF(OR(Inputs!$F$8=TRUE,Inputs!$F$8="TRUE",Inputs!$F$8=1),(Inputs!$H$8+Inputs!$L$8*(((Inputs!$I$8+(((A39)+1)/2)*(Inputs!$J$8-Inputs!$I$8)))/Inputs!$K$8)^2),NA())</x:f>
        <x:v>497.1037599999998</x:v>
      </x:c>
      <x:c r="BC39" s="48" t="n">
        <x:f>IF(OR(Inputs!$F$9=TRUE,Inputs!$F$9="TRUE",Inputs!$F$9=1),(Inputs!$H$9+Inputs!$L$9*(((Inputs!$I$9+(((A39)+1)/2)*(Inputs!$J$9-Inputs!$I$9)))/Inputs!$K$9)^2),NA())</x:f>
        <x:v>491.8923999999998</x:v>
      </x:c>
      <x:c r="BD39" s="49"/>
      <x:c r="BE39" s="48" t="n">
        <x:f>A39</x:f>
        <x:v>-0.692</x:v>
      </x:c>
      <x:c r="BF39" s="48" t="n">
        <x:f>0</x:f>
        <x:v>0</x:v>
      </x:c>
      <x:c r="BG39" s="48"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BH39" s="48"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BI39" s="48"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BJ39" s="48"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row>
    <x:row r="40">
      <x:c r="A40" s="48" t="n">
        <x:f>ROUND(-1+38*2/240,3)</x:f>
        <x:v>-0.683</x:v>
      </x:c>
      <x:c r="B40" s="48" t="n">
        <x:f>IF(OR(Inputs!$F$6=TRUE,Inputs!$F$6="TRUE",Inputs!$F$6=1),(Inputs!$H$6+Inputs!$L$6*(((Inputs!$I$6+(((A40)+1)/2)*(Inputs!$J$6-Inputs!$I$6)))/Inputs!$K$6)^2),NA())</x:f>
        <x:v>401.865956</x:v>
      </x:c>
      <x:c r="C40" s="48" t="n">
        <x:f>IF(OR(Inputs!$F$7=TRUE,Inputs!$F$7="TRUE",Inputs!$F$7=1),(Inputs!$H$7+Inputs!$L$7*(((Inputs!$I$7+(((A40)+1)/2)*(Inputs!$J$7-Inputs!$I$7)))/Inputs!$K$7)^2),NA())</x:f>
        <x:v>205.26848500000008</x:v>
      </x:c>
      <x:c r="D40" s="48" t="n">
        <x:f>IF(OR(Inputs!$F$8=TRUE,Inputs!$F$8="TRUE",Inputs!$F$8=1),(Inputs!$H$8+Inputs!$L$8*(((Inputs!$I$8+(((A40)+1)/2)*(Inputs!$J$8-Inputs!$I$8)))/Inputs!$K$8)^2),NA())</x:f>
        <x:v>485.1618850000002</x:v>
      </x:c>
      <x:c r="E40" s="48" t="n">
        <x:f>IF(OR(Inputs!$F$9=TRUE,Inputs!$F$9="TRUE",Inputs!$F$9=1),(Inputs!$H$9+Inputs!$L$9*(((Inputs!$I$9+(((A40)+1)/2)*(Inputs!$J$9-Inputs!$I$9)))/Inputs!$K$9)^2),NA())</x:f>
        <x:v>479.8267750000002</x:v>
      </x:c>
      <x:c r="F40" s="49"/>
      <x:c r="G40" s="48" t="n">
        <x:f>A40</x:f>
        <x:v>-0.683</x:v>
      </x:c>
      <x:c r="H40" s="48"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I40" s="48"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J40" s="48"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K40" s="48"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c r="L40" s="49"/>
      <x:c r="M40" s="48" t="n">
        <x:f>A40</x:f>
        <x:v>-0.683</x:v>
      </x:c>
      <x:c r="N40" s="48" t="n">
        <x: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x:f>
        <x:v>348.0021419706819</x:v>
      </x:c>
      <x:c r="O40" s="48" t="n">
        <x: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x:f>
        <x:v>2663.282402379088</x:v>
      </x:c>
      <x:c r="P40" s="48" t="n">
        <x: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x:f>
        <x:v>3358.2219579859257</x:v>
      </x:c>
      <x:c r="Q40" s="48" t="n">
        <x: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x:f>
        <x:v>3373.290176154214</x:v>
      </x:c>
      <x:c r="R40" s="49"/>
      <x:c r="S40" s="48" t="n">
        <x:f>A40</x:f>
        <x:v>-0.683</x:v>
      </x:c>
      <x:c r="T40" s="48" t="n">
        <x:f>(Inputs!$I$6+(((A40)+1)/2)*(Inputs!$J$6-Inputs!$I$6))</x:f>
        <x:v>-40.980000000000004</x:v>
      </x:c>
      <x:c r="U40" s="48" t="n">
        <x:f>(Inputs!$I$7+(((A40)+1)/2)*(Inputs!$J$7-Inputs!$I$7))</x:f>
        <x:v>-273.20000000000005</x:v>
      </x:c>
      <x:c r="V40" s="48" t="n">
        <x:f>(Inputs!$I$8+(((A40)+1)/2)*(Inputs!$J$8-Inputs!$I$8))</x:f>
        <x:v>-546.4000000000001</x:v>
      </x:c>
      <x:c r="W40" s="48" t="n">
        <x:f>(Inputs!$I$9+(((A40)+1)/2)*(Inputs!$J$9-Inputs!$I$9))</x:f>
        <x:v>-546.4000000000001</x:v>
      </x:c>
      <x:c r="X40" s="49"/>
      <x:c r="Y40" s="48" t="n">
        <x:f>A40</x:f>
        <x:v>-0.683</x:v>
      </x:c>
      <x:c r="Z40" s="48" t="n">
        <x:f>(Inputs!$H$6+Inputs!$L$6*(((Inputs!$I$6+(((A40)+1)/2)*(Inputs!$J$6-Inputs!$I$6)))/Inputs!$K$6)^2)</x:f>
        <x:v>401.865956</x:v>
      </x:c>
      <x:c r="AA40" s="48" t="n">
        <x:f>(Inputs!$H$7+Inputs!$L$7*(((Inputs!$I$7+(((A40)+1)/2)*(Inputs!$J$7-Inputs!$I$7)))/Inputs!$K$7)^2)</x:f>
        <x:v>205.26848500000008</x:v>
      </x:c>
      <x:c r="AB40" s="48" t="n">
        <x:f>(Inputs!$H$8+Inputs!$L$8*(((Inputs!$I$8+(((A40)+1)/2)*(Inputs!$J$8-Inputs!$I$8)))/Inputs!$K$8)^2)</x:f>
        <x:v>485.1618850000002</x:v>
      </x:c>
      <x:c r="AC40" s="48" t="n">
        <x:f>(Inputs!$H$9+Inputs!$L$9*(((Inputs!$I$9+(((A40)+1)/2)*(Inputs!$J$9-Inputs!$I$9)))/Inputs!$K$9)^2)</x:f>
        <x:v>479.8267750000002</x:v>
      </x:c>
      <x:c r="AD40" s="49"/>
      <x:c r="AE40" s="48" t="n">
        <x:f>A40</x:f>
        <x:v>-0.683</x:v>
      </x:c>
      <x:c r="AF40" s="48" t="n">
        <x:f>(((SQRT((Inputs!$C$52+((Inputs!$H$6+Inputs!$L$6*(((Inputs!$I$6+(((A40)+1)/2)*(Inputs!$J$6-Inputs!$I$6)))/Inputs!$K$6)^2)))^2+Inputs!$C$52^2-2*(Inputs!$C$52+((Inputs!$H$6+Inputs!$L$6*(((Inputs!$I$6+(((A40)+1)/2)*(Inputs!$J$6-Inputs!$I$6)))/Inputs!$K$6)^2)))*Inputs!$C$52*COS(SQRT(((Inputs!$I$6+(((A40)+1)/2)*(Inputs!$J$6-Inputs!$I$6)))^2+Inputs!$C$6^2)/Inputs!$C$52)))-((Inputs!$H$6+Inputs!$L$6*(((Inputs!$I$6+(((A40)+1)/2)*(Inputs!$J$6-Inputs!$I$6)))/Inputs!$K$6)^2)))*1000/Inputs!$C$12)</x:f>
        <x:v>2016.2719892159032</x:v>
      </x:c>
      <x:c r="AG40" s="48" t="n">
        <x:f>(((SQRT((Inputs!$C$52+((Inputs!$H$7+Inputs!$L$7*(((Inputs!$I$7+(((A40)+1)/2)*(Inputs!$J$7-Inputs!$I$7)))/Inputs!$K$7)^2)))^2+Inputs!$C$52^2-2*(Inputs!$C$52+((Inputs!$H$7+Inputs!$L$7*(((Inputs!$I$7+(((A40)+1)/2)*(Inputs!$J$7-Inputs!$I$7)))/Inputs!$K$7)^2)))*Inputs!$C$52*COS(SQRT(((Inputs!$I$7+(((A40)+1)/2)*(Inputs!$J$7-Inputs!$I$7)))^2+Inputs!$C$6^2)/Inputs!$C$52)))-((Inputs!$H$7+Inputs!$L$7*(((Inputs!$I$7+(((A40)+1)/2)*(Inputs!$J$7-Inputs!$I$7)))/Inputs!$K$7)^2)))*1000/Inputs!$C$12)</x:f>
        <x:v>84949.98175105538</x:v>
      </x:c>
      <x:c r="AH40" s="48" t="n">
        <x:f>(((SQRT((Inputs!$C$52+((Inputs!$H$8+Inputs!$L$8*(((Inputs!$I$8+(((A40)+1)/2)*(Inputs!$J$8-Inputs!$I$8)))/Inputs!$K$8)^2)))^2+Inputs!$C$52^2-2*(Inputs!$C$52+((Inputs!$H$8+Inputs!$L$8*(((Inputs!$I$8+(((A40)+1)/2)*(Inputs!$J$8-Inputs!$I$8)))/Inputs!$K$8)^2)))*Inputs!$C$52*COS(SQRT(((Inputs!$I$8+(((A40)+1)/2)*(Inputs!$J$8-Inputs!$I$8)))^2+Inputs!$C$6^2)/Inputs!$C$52)))-((Inputs!$H$8+Inputs!$L$8*(((Inputs!$I$8+(((A40)+1)/2)*(Inputs!$J$8-Inputs!$I$8)))/Inputs!$K$8)^2)))*1000/Inputs!$C$12)</x:f>
        <x:v>171065.2586897404</x:v>
      </x:c>
      <x:c r="AI40" s="48" t="n">
        <x:f>(((SQRT((Inputs!$C$52+((Inputs!$H$9+Inputs!$L$9*(((Inputs!$I$9+(((A40)+1)/2)*(Inputs!$J$9-Inputs!$I$9)))/Inputs!$K$9)^2)))^2+Inputs!$C$52^2-2*(Inputs!$C$52+((Inputs!$H$9+Inputs!$L$9*(((Inputs!$I$9+(((A40)+1)/2)*(Inputs!$J$9-Inputs!$I$9)))/Inputs!$K$9)^2)))*Inputs!$C$52*COS(SQRT(((Inputs!$I$9+(((A40)+1)/2)*(Inputs!$J$9-Inputs!$I$9)))^2+Inputs!$C$6^2)/Inputs!$C$52)))-((Inputs!$H$9+Inputs!$L$9*(((Inputs!$I$9+(((A40)+1)/2)*(Inputs!$J$9-Inputs!$I$9)))/Inputs!$K$9)^2)))*1000/Inputs!$C$12)</x:f>
        <x:v>171865.62970195324</x:v>
      </x:c>
      <x:c r="AJ40" s="49"/>
      <x:c r="AK40" s="48" t="n">
        <x:f>A40</x:f>
        <x:v>-0.683</x:v>
      </x:c>
      <x:c r="AL40" s="48" t="n">
        <x: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x:f>
        <x:v>348.0021419706819</x:v>
      </x:c>
      <x:c r="AM40" s="48" t="n">
        <x: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x:f>
        <x:v>2663.282402379088</x:v>
      </x:c>
      <x:c r="AN40" s="48" t="n">
        <x: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x:f>
        <x:v>3358.2219579859257</x:v>
      </x:c>
      <x:c r="AO40" s="48" t="n">
        <x: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x:f>
        <x:v>3373.290176154214</x:v>
      </x:c>
      <x:c r="AP40" s="49"/>
      <x:c r="AQ40" s="48" t="n">
        <x:f>A40</x:f>
        <x:v>-0.683</x:v>
      </x:c>
      <x:c r="AR40" s="48" t="n">
        <x:f>0</x:f>
        <x:v>0</x:v>
      </x:c>
      <x:c r="AS40" s="48" t="n">
        <x: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(0.45*SIN(2*PI()*((((Inputs!$I$6+(((A40)+1)/2)*(Inputs!$J$6-Inputs!$I$6)))/Inputs!$C$49)+Inputs!$C$47*0.137))+0.35*COS(2*PI()*(((Inputs!$C$6)/Inputs!$C$50)+Inputs!$C$47*0.173))+0.20*SIN(2*PI()*((((Inputs!$I$6+(((A40)+1)/2)*(Inputs!$J$6-Inputs!$I$6)))+(Inputs!$C$6))/(0.5*(Inputs!$C$49+Inputs!$C$50))+Inputs!$C$47*0.097)))+0.30*(2*((SIN((((Inputs!$I$6+(((A40)+1)/2)*(Inputs!$J$6-Inputs!$I$6)))*12.9898+(Inputs!$C$6)*78.233+Inputs!$C$47*37.719))*43758.5453)-INT((SIN((((Inputs!$I$6+(((A40)+1)/2)*(Inputs!$J$6-Inputs!$I$6)))*12.9898+(Inputs!$C$6)*78.233+Inputs!$C$47*37.719))*43758.5453)))-1))),NA())</x:f>
        <x:v>183.9499474411341</x:v>
      </x:c>
      <x:c r="AT40" s="48" t="n">
        <x: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(0.45*SIN(2*PI()*((((Inputs!$I$7+(((A40)+1)/2)*(Inputs!$J$7-Inputs!$I$7)))/Inputs!$C$49)+Inputs!$C$47*0.137))+0.35*COS(2*PI()*(((Inputs!$C$6)/Inputs!$C$50)+Inputs!$C$47*0.173))+0.20*SIN(2*PI()*((((Inputs!$I$7+(((A40)+1)/2)*(Inputs!$J$7-Inputs!$I$7)))+(Inputs!$C$6))/(0.5*(Inputs!$C$49+Inputs!$C$50))+Inputs!$C$47*0.097)))+0.30*(2*((SIN((((Inputs!$I$7+(((A40)+1)/2)*(Inputs!$J$7-Inputs!$I$7)))*12.9898+(Inputs!$C$6)*78.233+Inputs!$C$47*37.719))*43758.5453)-INT((SIN((((Inputs!$I$7+(((A40)+1)/2)*(Inputs!$J$7-Inputs!$I$7)))*12.9898+(Inputs!$C$6)*78.233+Inputs!$C$47*37.719))*43758.5453)))-1))),NA())</x:f>
        <x:v>136.94644195306483</x:v>
      </x:c>
      <x:c r="AU40" s="48" t="n">
        <x: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(0.45*SIN(2*PI()*((((Inputs!$I$8+(((A40)+1)/2)*(Inputs!$J$8-Inputs!$I$8)))/Inputs!$C$49)+Inputs!$C$47*0.137))+0.35*COS(2*PI()*(((Inputs!$C$6)/Inputs!$C$50)+Inputs!$C$47*0.173))+0.20*SIN(2*PI()*((((Inputs!$I$8+(((A40)+1)/2)*(Inputs!$J$8-Inputs!$I$8)))+(Inputs!$C$6))/(0.5*(Inputs!$C$49+Inputs!$C$50))+Inputs!$C$47*0.097)))+0.30*(2*((SIN((((Inputs!$I$8+(((A40)+1)/2)*(Inputs!$J$8-Inputs!$I$8)))*12.9898+(Inputs!$C$6)*78.233+Inputs!$C$47*37.719))*43758.5453)-INT((SIN((((Inputs!$I$8+(((A40)+1)/2)*(Inputs!$J$8-Inputs!$I$8)))*12.9898+(Inputs!$C$6)*78.233+Inputs!$C$47*37.719))*43758.5453)))-1))),NA())</x:f>
        <x:v>134.0103845751267</x:v>
      </x:c>
      <x:c r="AV40" s="48" t="n">
        <x: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(0.45*SIN(2*PI()*((((Inputs!$I$9+(((A40)+1)/2)*(Inputs!$J$9-Inputs!$I$9)))/Inputs!$C$49)+Inputs!$C$47*0.137))+0.35*COS(2*PI()*(((Inputs!$C$6)/Inputs!$C$50)+Inputs!$C$47*0.173))+0.20*SIN(2*PI()*((((Inputs!$I$9+(((A40)+1)/2)*(Inputs!$J$9-Inputs!$I$9)))+(Inputs!$C$6))/(0.5*(Inputs!$C$49+Inputs!$C$50))+Inputs!$C$47*0.097)))+0.30*(2*((SIN((((Inputs!$I$9+(((A40)+1)/2)*(Inputs!$J$9-Inputs!$I$9)))*12.9898+(Inputs!$C$6)*78.233+Inputs!$C$47*37.719))*43758.5453)-INT((SIN((((Inputs!$I$9+(((A40)+1)/2)*(Inputs!$J$9-Inputs!$I$9)))*12.9898+(Inputs!$C$6)*78.233+Inputs!$C$47*37.719))*43758.5453)))-1))),NA())</x:f>
        <x:v>134.0103845751267</x:v>
      </x:c>
      <x:c r="AW40" s="49"/>
      <x:c r="AX40" s="48" t="n">
        <x:f>A40</x:f>
        <x:v>-0.683</x:v>
      </x:c>
      <x:c r="AY40" s="48" t="n">
        <x:f>0</x:f>
        <x:v>0</x:v>
      </x:c>
      <x:c r="AZ40" s="48" t="n">
        <x:f>IF(OR(Inputs!$F$6=TRUE,Inputs!$F$6="TRUE",Inputs!$F$6=1),(Inputs!$H$6+Inputs!$L$6*(((Inputs!$I$6+(((A40)+1)/2)*(Inputs!$J$6-Inputs!$I$6)))/Inputs!$K$6)^2),NA())</x:f>
        <x:v>401.865956</x:v>
      </x:c>
      <x:c r="BA40" s="48" t="n">
        <x:f>IF(OR(Inputs!$F$7=TRUE,Inputs!$F$7="TRUE",Inputs!$F$7=1),(Inputs!$H$7+Inputs!$L$7*(((Inputs!$I$7+(((A40)+1)/2)*(Inputs!$J$7-Inputs!$I$7)))/Inputs!$K$7)^2),NA())</x:f>
        <x:v>205.26848500000008</x:v>
      </x:c>
      <x:c r="BB40" s="48" t="n">
        <x:f>IF(OR(Inputs!$F$8=TRUE,Inputs!$F$8="TRUE",Inputs!$F$8=1),(Inputs!$H$8+Inputs!$L$8*(((Inputs!$I$8+(((A40)+1)/2)*(Inputs!$J$8-Inputs!$I$8)))/Inputs!$K$8)^2),NA())</x:f>
        <x:v>485.1618850000002</x:v>
      </x:c>
      <x:c r="BC40" s="48" t="n">
        <x:f>IF(OR(Inputs!$F$9=TRUE,Inputs!$F$9="TRUE",Inputs!$F$9=1),(Inputs!$H$9+Inputs!$L$9*(((Inputs!$I$9+(((A40)+1)/2)*(Inputs!$J$9-Inputs!$I$9)))/Inputs!$K$9)^2),NA())</x:f>
        <x:v>479.8267750000002</x:v>
      </x:c>
      <x:c r="BD40" s="49"/>
      <x:c r="BE40" s="48" t="n">
        <x:f>A40</x:f>
        <x:v>-0.683</x:v>
      </x:c>
      <x:c r="BF40" s="48" t="n">
        <x:f>0</x:f>
        <x:v>0</x:v>
      </x:c>
      <x:c r="BG40" s="48"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BH40" s="48"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BI40" s="48"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BJ40" s="48"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row>
    <x:row r="41">
      <x:c r="A41" s="48" t="n">
        <x:f>ROUND(-1+39*2/240,3)</x:f>
        <x:v>-0.675</x:v>
      </x:c>
      <x:c r="B41" s="48" t="n">
        <x:f>IF(OR(Inputs!$F$6=TRUE,Inputs!$F$6="TRUE",Inputs!$F$6=1),(Inputs!$H$6+Inputs!$L$6*(((Inputs!$I$6+(((A41)+1)/2)*(Inputs!$J$6-Inputs!$I$6)))/Inputs!$K$6)^2),NA())</x:f>
        <x:v>401.8225</x:v>
      </x:c>
      <x:c r="C41" s="48" t="n">
        <x:f>IF(OR(Inputs!$F$7=TRUE,Inputs!$F$7="TRUE",Inputs!$F$7=1),(Inputs!$H$7+Inputs!$L$7*(((Inputs!$I$7+(((A41)+1)/2)*(Inputs!$J$7-Inputs!$I$7)))/Inputs!$K$7)^2),NA())</x:f>
        <x:v>201.30312500000002</x:v>
      </x:c>
      <x:c r="D41" s="48" t="n">
        <x:f>IF(OR(Inputs!$F$8=TRUE,Inputs!$F$8="TRUE",Inputs!$F$8=1),(Inputs!$H$8+Inputs!$L$8*(((Inputs!$I$8+(((A41)+1)/2)*(Inputs!$J$8-Inputs!$I$8)))/Inputs!$K$8)^2),NA())</x:f>
        <x:v>474.6781250000001</x:v>
      </x:c>
      <x:c r="E41" s="48" t="n">
        <x:f>IF(OR(Inputs!$F$9=TRUE,Inputs!$F$9="TRUE",Inputs!$F$9=1),(Inputs!$H$9+Inputs!$L$9*(((Inputs!$I$9+(((A41)+1)/2)*(Inputs!$J$9-Inputs!$I$9)))/Inputs!$K$9)^2),NA())</x:f>
        <x:v>469.23437500000006</x:v>
      </x:c>
      <x:c r="F41" s="49"/>
      <x:c r="G41" s="48" t="n">
        <x:f>A41</x:f>
        <x:v>-0.675</x:v>
      </x:c>
      <x:c r="H41" s="48"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I41" s="48"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J41" s="48"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K41" s="48"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c r="L41" s="49"/>
      <x:c r="M41" s="48" t="n">
        <x:f>A41</x:f>
        <x:v>-0.675</x:v>
      </x:c>
      <x:c r="N41" s="48" t="n">
        <x: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x:f>
        <x:v>343.9902516791356</x:v>
      </x:c>
      <x:c r="O41" s="48" t="n">
        <x: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x:f>
        <x:v>2643.5524520105528</x:v>
      </x:c>
      <x:c r="P41" s="48" t="n">
        <x: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x:f>
        <x:v>3326.8945526195994</x:v>
      </x:c>
      <x:c r="Q41" s="48" t="n">
        <x: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x:f>
        <x:v>3341.4497476034194</x:v>
      </x:c>
      <x:c r="R41" s="49"/>
      <x:c r="S41" s="48" t="n">
        <x:f>A41</x:f>
        <x:v>-0.675</x:v>
      </x:c>
      <x:c r="T41" s="48" t="n">
        <x:f>(Inputs!$I$6+(((A41)+1)/2)*(Inputs!$J$6-Inputs!$I$6))</x:f>
        <x:v>-40.5</x:v>
      </x:c>
      <x:c r="U41" s="48" t="n">
        <x:f>(Inputs!$I$7+(((A41)+1)/2)*(Inputs!$J$7-Inputs!$I$7))</x:f>
        <x:v>-270</x:v>
      </x:c>
      <x:c r="V41" s="48" t="n">
        <x:f>(Inputs!$I$8+(((A41)+1)/2)*(Inputs!$J$8-Inputs!$I$8))</x:f>
        <x:v>-540</x:v>
      </x:c>
      <x:c r="W41" s="48" t="n">
        <x:f>(Inputs!$I$9+(((A41)+1)/2)*(Inputs!$J$9-Inputs!$I$9))</x:f>
        <x:v>-540</x:v>
      </x:c>
      <x:c r="X41" s="49"/>
      <x:c r="Y41" s="48" t="n">
        <x:f>A41</x:f>
        <x:v>-0.675</x:v>
      </x:c>
      <x:c r="Z41" s="48" t="n">
        <x:f>(Inputs!$H$6+Inputs!$L$6*(((Inputs!$I$6+(((A41)+1)/2)*(Inputs!$J$6-Inputs!$I$6)))/Inputs!$K$6)^2)</x:f>
        <x:v>401.8225</x:v>
      </x:c>
      <x:c r="AA41" s="48" t="n">
        <x:f>(Inputs!$H$7+Inputs!$L$7*(((Inputs!$I$7+(((A41)+1)/2)*(Inputs!$J$7-Inputs!$I$7)))/Inputs!$K$7)^2)</x:f>
        <x:v>201.30312500000002</x:v>
      </x:c>
      <x:c r="AB41" s="48" t="n">
        <x:f>(Inputs!$H$8+Inputs!$L$8*(((Inputs!$I$8+(((A41)+1)/2)*(Inputs!$J$8-Inputs!$I$8)))/Inputs!$K$8)^2)</x:f>
        <x:v>474.6781250000001</x:v>
      </x:c>
      <x:c r="AC41" s="48" t="n">
        <x:f>(Inputs!$H$9+Inputs!$L$9*(((Inputs!$I$9+(((A41)+1)/2)*(Inputs!$J$9-Inputs!$I$9)))/Inputs!$K$9)^2)</x:f>
        <x:v>469.23437500000006</x:v>
      </x:c>
      <x:c r="AD41" s="49"/>
      <x:c r="AE41" s="48" t="n">
        <x:f>A41</x:f>
        <x:v>-0.675</x:v>
      </x:c>
      <x:c r="AF41" s="48" t="n">
        <x:f>(((SQRT((Inputs!$C$52+((Inputs!$H$6+Inputs!$L$6*(((Inputs!$I$6+(((A41)+1)/2)*(Inputs!$J$6-Inputs!$I$6)))/Inputs!$K$6)^2)))^2+Inputs!$C$52^2-2*(Inputs!$C$52+((Inputs!$H$6+Inputs!$L$6*(((Inputs!$I$6+(((A41)+1)/2)*(Inputs!$J$6-Inputs!$I$6)))/Inputs!$K$6)^2)))*Inputs!$C$52*COS(SQRT(((Inputs!$I$6+(((A41)+1)/2)*(Inputs!$J$6-Inputs!$I$6)))^2+Inputs!$C$6^2)/Inputs!$C$52)))-((Inputs!$H$6+Inputs!$L$6*(((Inputs!$I$6+(((A41)+1)/2)*(Inputs!$J$6-Inputs!$I$6)))/Inputs!$K$6)^2)))*1000/Inputs!$C$12)</x:f>
        <x:v>1982.3714752072171</x:v>
      </x:c>
      <x:c r="AG41" s="48" t="n">
        <x:f>(((SQRT((Inputs!$C$52+((Inputs!$H$7+Inputs!$L$7*(((Inputs!$I$7+(((A41)+1)/2)*(Inputs!$J$7-Inputs!$I$7)))/Inputs!$K$7)^2)))^2+Inputs!$C$52^2-2*(Inputs!$C$52+((Inputs!$H$7+Inputs!$L$7*(((Inputs!$I$7+(((A41)+1)/2)*(Inputs!$J$7-Inputs!$I$7)))/Inputs!$K$7)^2)))*Inputs!$C$52*COS(SQRT(((Inputs!$I$7+(((A41)+1)/2)*(Inputs!$J$7-Inputs!$I$7)))^2+Inputs!$C$6^2)/Inputs!$C$52)))-((Inputs!$H$7+Inputs!$L$7*(((Inputs!$I$7+(((A41)+1)/2)*(Inputs!$J$7-Inputs!$I$7)))/Inputs!$K$7)^2)))*1000/Inputs!$C$12)</x:f>
        <x:v>84196.35450937593</x:v>
      </x:c>
      <x:c r="AH41" s="48" t="n">
        <x:f>(((SQRT((Inputs!$C$52+((Inputs!$H$8+Inputs!$L$8*(((Inputs!$I$8+(((A41)+1)/2)*(Inputs!$J$8-Inputs!$I$8)))/Inputs!$K$8)^2)))^2+Inputs!$C$52^2-2*(Inputs!$C$52+((Inputs!$H$8+Inputs!$L$8*(((Inputs!$I$8+(((A41)+1)/2)*(Inputs!$J$8-Inputs!$I$8)))/Inputs!$K$8)^2)))*Inputs!$C$52*COS(SQRT(((Inputs!$I$8+(((A41)+1)/2)*(Inputs!$J$8-Inputs!$I$8)))^2+Inputs!$C$6^2)/Inputs!$C$52)))-((Inputs!$H$8+Inputs!$L$8*(((Inputs!$I$8+(((A41)+1)/2)*(Inputs!$J$8-Inputs!$I$8)))/Inputs!$K$8)^2)))*1000/Inputs!$C$12)</x:f>
        <x:v>169443.66665855987</x:v>
      </x:c>
      <x:c r="AI41" s="48" t="n">
        <x:f>(((SQRT((Inputs!$C$52+((Inputs!$H$9+Inputs!$L$9*(((Inputs!$I$9+(((A41)+1)/2)*(Inputs!$J$9-Inputs!$I$9)))/Inputs!$K$9)^2)))^2+Inputs!$C$52^2-2*(Inputs!$C$52+((Inputs!$H$9+Inputs!$L$9*(((Inputs!$I$9+(((A41)+1)/2)*(Inputs!$J$9-Inputs!$I$9)))/Inputs!$K$9)^2)))*Inputs!$C$52*COS(SQRT(((Inputs!$I$9+(((A41)+1)/2)*(Inputs!$J$9-Inputs!$I$9)))^2+Inputs!$C$6^2)/Inputs!$C$52)))-((Inputs!$H$9+Inputs!$L$9*(((Inputs!$I$9+(((A41)+1)/2)*(Inputs!$J$9-Inputs!$I$9)))/Inputs!$K$9)^2)))*1000/Inputs!$C$12)</x:f>
        <x:v>170271.78631163717</x:v>
      </x:c>
      <x:c r="AJ41" s="49"/>
      <x:c r="AK41" s="48" t="n">
        <x:f>A41</x:f>
        <x:v>-0.675</x:v>
      </x:c>
      <x:c r="AL41" s="48" t="n">
        <x: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x:f>
        <x:v>343.9902516791356</x:v>
      </x:c>
      <x:c r="AM41" s="48" t="n">
        <x: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x:f>
        <x:v>2643.5524520105528</x:v>
      </x:c>
      <x:c r="AN41" s="48" t="n">
        <x: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x:f>
        <x:v>3326.8945526195994</x:v>
      </x:c>
      <x:c r="AO41" s="48" t="n">
        <x: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x:f>
        <x:v>3341.4497476034194</x:v>
      </x:c>
      <x:c r="AP41" s="49"/>
      <x:c r="AQ41" s="48" t="n">
        <x:f>A41</x:f>
        <x:v>-0.675</x:v>
      </x:c>
      <x:c r="AR41" s="48" t="n">
        <x:f>0</x:f>
        <x:v>0</x:v>
      </x:c>
      <x:c r="AS41" s="48" t="n">
        <x: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(0.45*SIN(2*PI()*((((Inputs!$I$6+(((A41)+1)/2)*(Inputs!$J$6-Inputs!$I$6)))/Inputs!$C$49)+Inputs!$C$47*0.137))+0.35*COS(2*PI()*(((Inputs!$C$6)/Inputs!$C$50)+Inputs!$C$47*0.173))+0.20*SIN(2*PI()*((((Inputs!$I$6+(((A41)+1)/2)*(Inputs!$J$6-Inputs!$I$6)))+(Inputs!$C$6))/(0.5*(Inputs!$C$49+Inputs!$C$50))+Inputs!$C$47*0.097)))+0.30*(2*((SIN((((Inputs!$I$6+(((A41)+1)/2)*(Inputs!$J$6-Inputs!$I$6)))*12.9898+(Inputs!$C$6)*78.233+Inputs!$C$47*37.719))*43758.5453)-INT((SIN((((Inputs!$I$6+(((A41)+1)/2)*(Inputs!$J$6-Inputs!$I$6)))*12.9898+(Inputs!$C$6)*78.233+Inputs!$C$47*37.719))*43758.5453)))-1))),NA())</x:f>
        <x:v>191.24651788731785</x:v>
      </x:c>
      <x:c r="AT41" s="48" t="n">
        <x: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(0.45*SIN(2*PI()*((((Inputs!$I$7+(((A41)+1)/2)*(Inputs!$J$7-Inputs!$I$7)))/Inputs!$C$49)+Inputs!$C$47*0.137))+0.35*COS(2*PI()*(((Inputs!$C$6)/Inputs!$C$50)+Inputs!$C$47*0.173))+0.20*SIN(2*PI()*((((Inputs!$I$7+(((A41)+1)/2)*(Inputs!$J$7-Inputs!$I$7)))+(Inputs!$C$6))/(0.5*(Inputs!$C$49+Inputs!$C$50))+Inputs!$C$47*0.097)))+0.30*(2*((SIN((((Inputs!$I$7+(((A41)+1)/2)*(Inputs!$J$7-Inputs!$I$7)))*12.9898+(Inputs!$C$6)*78.233+Inputs!$C$47*37.719))*43758.5453)-INT((SIN((((Inputs!$I$7+(((A41)+1)/2)*(Inputs!$J$7-Inputs!$I$7)))*12.9898+(Inputs!$C$6)*78.233+Inputs!$C$47*37.719))*43758.5453)))-1))),NA())</x:f>
        <x:v>151.4832420513476</x:v>
      </x:c>
      <x:c r="AU41" s="48" t="n">
        <x: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(0.45*SIN(2*PI()*((((Inputs!$I$8+(((A41)+1)/2)*(Inputs!$J$8-Inputs!$I$8)))/Inputs!$C$49)+Inputs!$C$47*0.137))+0.35*COS(2*PI()*(((Inputs!$C$6)/Inputs!$C$50)+Inputs!$C$47*0.173))+0.20*SIN(2*PI()*((((Inputs!$I$8+(((A41)+1)/2)*(Inputs!$J$8-Inputs!$I$8)))+(Inputs!$C$6))/(0.5*(Inputs!$C$49+Inputs!$C$50))+Inputs!$C$47*0.097)))+0.30*(2*((SIN((((Inputs!$I$8+(((A41)+1)/2)*(Inputs!$J$8-Inputs!$I$8)))*12.9898+(Inputs!$C$6)*78.233+Inputs!$C$47*37.719))*43758.5453)-INT((SIN((((Inputs!$I$8+(((A41)+1)/2)*(Inputs!$J$8-Inputs!$I$8)))*12.9898+(Inputs!$C$6)*78.233+Inputs!$C$47*37.719))*43758.5453)))-1))),NA())</x:f>
        <x:v>139.8789917709623</x:v>
      </x:c>
      <x:c r="AV41" s="48" t="n">
        <x: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(0.45*SIN(2*PI()*((((Inputs!$I$9+(((A41)+1)/2)*(Inputs!$J$9-Inputs!$I$9)))/Inputs!$C$49)+Inputs!$C$47*0.137))+0.35*COS(2*PI()*(((Inputs!$C$6)/Inputs!$C$50)+Inputs!$C$47*0.173))+0.20*SIN(2*PI()*((((Inputs!$I$9+(((A41)+1)/2)*(Inputs!$J$9-Inputs!$I$9)))+(Inputs!$C$6))/(0.5*(Inputs!$C$49+Inputs!$C$50))+Inputs!$C$47*0.097)))+0.30*(2*((SIN((((Inputs!$I$9+(((A41)+1)/2)*(Inputs!$J$9-Inputs!$I$9)))*12.9898+(Inputs!$C$6)*78.233+Inputs!$C$47*37.719))*43758.5453)-INT((SIN((((Inputs!$I$9+(((A41)+1)/2)*(Inputs!$J$9-Inputs!$I$9)))*12.9898+(Inputs!$C$6)*78.233+Inputs!$C$47*37.719))*43758.5453)))-1))),NA())</x:f>
        <x:v>139.8789917709623</x:v>
      </x:c>
      <x:c r="AW41" s="49"/>
      <x:c r="AX41" s="48" t="n">
        <x:f>A41</x:f>
        <x:v>-0.675</x:v>
      </x:c>
      <x:c r="AY41" s="48" t="n">
        <x:f>0</x:f>
        <x:v>0</x:v>
      </x:c>
      <x:c r="AZ41" s="48" t="n">
        <x:f>IF(OR(Inputs!$F$6=TRUE,Inputs!$F$6="TRUE",Inputs!$F$6=1),(Inputs!$H$6+Inputs!$L$6*(((Inputs!$I$6+(((A41)+1)/2)*(Inputs!$J$6-Inputs!$I$6)))/Inputs!$K$6)^2),NA())</x:f>
        <x:v>401.8225</x:v>
      </x:c>
      <x:c r="BA41" s="48" t="n">
        <x:f>IF(OR(Inputs!$F$7=TRUE,Inputs!$F$7="TRUE",Inputs!$F$7=1),(Inputs!$H$7+Inputs!$L$7*(((Inputs!$I$7+(((A41)+1)/2)*(Inputs!$J$7-Inputs!$I$7)))/Inputs!$K$7)^2),NA())</x:f>
        <x:v>201.30312500000002</x:v>
      </x:c>
      <x:c r="BB41" s="48" t="n">
        <x:f>IF(OR(Inputs!$F$8=TRUE,Inputs!$F$8="TRUE",Inputs!$F$8=1),(Inputs!$H$8+Inputs!$L$8*(((Inputs!$I$8+(((A41)+1)/2)*(Inputs!$J$8-Inputs!$I$8)))/Inputs!$K$8)^2),NA())</x:f>
        <x:v>474.6781250000001</x:v>
      </x:c>
      <x:c r="BC41" s="48" t="n">
        <x:f>IF(OR(Inputs!$F$9=TRUE,Inputs!$F$9="TRUE",Inputs!$F$9=1),(Inputs!$H$9+Inputs!$L$9*(((Inputs!$I$9+(((A41)+1)/2)*(Inputs!$J$9-Inputs!$I$9)))/Inputs!$K$9)^2),NA())</x:f>
        <x:v>469.23437500000006</x:v>
      </x:c>
      <x:c r="BD41" s="49"/>
      <x:c r="BE41" s="48" t="n">
        <x:f>A41</x:f>
        <x:v>-0.675</x:v>
      </x:c>
      <x:c r="BF41" s="48" t="n">
        <x:f>0</x:f>
        <x:v>0</x:v>
      </x:c>
      <x:c r="BG41" s="48"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BH41" s="48"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BI41" s="48"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BJ41" s="48"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row>
    <x:row r="42">
      <x:c r="A42" s="48" t="n">
        <x:f>ROUND(-1+40*2/240,3)</x:f>
        <x:v>-0.667</x:v>
      </x:c>
      <x:c r="B42" s="48" t="n">
        <x:f>IF(OR(Inputs!$F$6=TRUE,Inputs!$F$6="TRUE",Inputs!$F$6=1),(Inputs!$H$6+Inputs!$L$6*(((Inputs!$I$6+(((A42)+1)/2)*(Inputs!$J$6-Inputs!$I$6)))/Inputs!$K$6)^2),NA())</x:f>
        <x:v>401.779556</x:v>
      </x:c>
      <x:c r="C42" s="48" t="n">
        <x:f>IF(OR(Inputs!$F$7=TRUE,Inputs!$F$7="TRUE",Inputs!$F$7=1),(Inputs!$H$7+Inputs!$L$7*(((Inputs!$I$7+(((A42)+1)/2)*(Inputs!$J$7-Inputs!$I$7)))/Inputs!$K$7)^2),NA())</x:f>
        <x:v>197.384485</x:v>
      </x:c>
      <x:c r="D42" s="48" t="n">
        <x:f>IF(OR(Inputs!$F$8=TRUE,Inputs!$F$8="TRUE",Inputs!$F$8=1),(Inputs!$H$8+Inputs!$L$8*(((Inputs!$I$8+(((A42)+1)/2)*(Inputs!$J$8-Inputs!$I$8)))/Inputs!$K$8)^2),NA())</x:f>
        <x:v>464.31788500000005</x:v>
      </x:c>
      <x:c r="E42" s="48" t="n">
        <x:f>IF(OR(Inputs!$F$9=TRUE,Inputs!$F$9="TRUE",Inputs!$F$9=1),(Inputs!$H$9+Inputs!$L$9*(((Inputs!$I$9+(((A42)+1)/2)*(Inputs!$J$9-Inputs!$I$9)))/Inputs!$K$9)^2),NA())</x:f>
        <x:v>458.76677500000005</x:v>
      </x:c>
      <x:c r="F42" s="49"/>
      <x:c r="G42" s="48" t="n">
        <x:f>A42</x:f>
        <x:v>-0.667</x:v>
      </x:c>
      <x:c r="H42" s="48"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I42" s="48"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J42" s="48"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K42" s="48"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c r="L42" s="49"/>
      <x:c r="M42" s="48" t="n">
        <x:f>A42</x:f>
        <x:v>-0.667</x:v>
      </x:c>
      <x:c r="N42" s="48" t="n">
        <x: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x:f>
        <x:v>339.97613762928967</x:v>
      </x:c>
      <x:c r="O42" s="48" t="n">
        <x: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x:f>
        <x:v>2623.933443790322</x:v>
      </x:c>
      <x:c r="P42" s="48" t="n">
        <x: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x:f>
        <x:v>3295.686471353228</x:v>
      </x:c>
      <x:c r="Q42" s="48" t="n">
        <x: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x:f>
        <x:v>3309.7268991103388</x:v>
      </x:c>
      <x:c r="R42" s="49"/>
      <x:c r="S42" s="48" t="n">
        <x:f>A42</x:f>
        <x:v>-0.667</x:v>
      </x:c>
      <x:c r="T42" s="48" t="n">
        <x:f>(Inputs!$I$6+(((A42)+1)/2)*(Inputs!$J$6-Inputs!$I$6))</x:f>
        <x:v>-40.02</x:v>
      </x:c>
      <x:c r="U42" s="48" t="n">
        <x:f>(Inputs!$I$7+(((A42)+1)/2)*(Inputs!$J$7-Inputs!$I$7))</x:f>
        <x:v>-266.8</x:v>
      </x:c>
      <x:c r="V42" s="48" t="n">
        <x:f>(Inputs!$I$8+(((A42)+1)/2)*(Inputs!$J$8-Inputs!$I$8))</x:f>
        <x:v>-533.6</x:v>
      </x:c>
      <x:c r="W42" s="48" t="n">
        <x:f>(Inputs!$I$9+(((A42)+1)/2)*(Inputs!$J$9-Inputs!$I$9))</x:f>
        <x:v>-533.6</x:v>
      </x:c>
      <x:c r="X42" s="49"/>
      <x:c r="Y42" s="48" t="n">
        <x:f>A42</x:f>
        <x:v>-0.667</x:v>
      </x:c>
      <x:c r="Z42" s="48" t="n">
        <x:f>(Inputs!$H$6+Inputs!$L$6*(((Inputs!$I$6+(((A42)+1)/2)*(Inputs!$J$6-Inputs!$I$6)))/Inputs!$K$6)^2)</x:f>
        <x:v>401.779556</x:v>
      </x:c>
      <x:c r="AA42" s="48" t="n">
        <x:f>(Inputs!$H$7+Inputs!$L$7*(((Inputs!$I$7+(((A42)+1)/2)*(Inputs!$J$7-Inputs!$I$7)))/Inputs!$K$7)^2)</x:f>
        <x:v>197.384485</x:v>
      </x:c>
      <x:c r="AB42" s="48" t="n">
        <x:f>(Inputs!$H$8+Inputs!$L$8*(((Inputs!$I$8+(((A42)+1)/2)*(Inputs!$J$8-Inputs!$I$8)))/Inputs!$K$8)^2)</x:f>
        <x:v>464.31788500000005</x:v>
      </x:c>
      <x:c r="AC42" s="48" t="n">
        <x:f>(Inputs!$H$9+Inputs!$L$9*(((Inputs!$I$9+(((A42)+1)/2)*(Inputs!$J$9-Inputs!$I$9)))/Inputs!$K$9)^2)</x:f>
        <x:v>458.76677500000005</x:v>
      </x:c>
      <x:c r="AD42" s="49"/>
      <x:c r="AE42" s="48" t="n">
        <x:f>A42</x:f>
        <x:v>-0.667</x:v>
      </x:c>
      <x:c r="AF42" s="48" t="n">
        <x:f>(((SQRT((Inputs!$C$52+((Inputs!$H$6+Inputs!$L$6*(((Inputs!$I$6+(((A42)+1)/2)*(Inputs!$J$6-Inputs!$I$6)))/Inputs!$K$6)^2)))^2+Inputs!$C$52^2-2*(Inputs!$C$52+((Inputs!$H$6+Inputs!$L$6*(((Inputs!$I$6+(((A42)+1)/2)*(Inputs!$J$6-Inputs!$I$6)))/Inputs!$K$6)^2)))*Inputs!$C$52*COS(SQRT(((Inputs!$I$6+(((A42)+1)/2)*(Inputs!$J$6-Inputs!$I$6)))^2+Inputs!$C$6^2)/Inputs!$C$52)))-((Inputs!$H$6+Inputs!$L$6*(((Inputs!$I$6+(((A42)+1)/2)*(Inputs!$J$6-Inputs!$I$6)))/Inputs!$K$6)^2)))*1000/Inputs!$C$12)</x:f>
        <x:v>1948.8596697604426</x:v>
      </x:c>
      <x:c r="AG42" s="48" t="n">
        <x:f>(((SQRT((Inputs!$C$52+((Inputs!$H$7+Inputs!$L$7*(((Inputs!$I$7+(((A42)+1)/2)*(Inputs!$J$7-Inputs!$I$7)))/Inputs!$K$7)^2)))^2+Inputs!$C$52^2-2*(Inputs!$C$52+((Inputs!$H$7+Inputs!$L$7*(((Inputs!$I$7+(((A42)+1)/2)*(Inputs!$J$7-Inputs!$I$7)))/Inputs!$K$7)^2)))*Inputs!$C$52*COS(SQRT(((Inputs!$I$7+(((A42)+1)/2)*(Inputs!$J$7-Inputs!$I$7)))^2+Inputs!$C$6^2)/Inputs!$C$52)))-((Inputs!$H$7+Inputs!$L$7*(((Inputs!$I$7+(((A42)+1)/2)*(Inputs!$J$7-Inputs!$I$7)))/Inputs!$K$7)^2)))*1000/Inputs!$C$12)</x:f>
        <x:v>83438.58637478722</x:v>
      </x:c>
      <x:c r="AH42" s="48" t="n">
        <x:f>(((SQRT((Inputs!$C$52+((Inputs!$H$8+Inputs!$L$8*(((Inputs!$I$8+(((A42)+1)/2)*(Inputs!$J$8-Inputs!$I$8)))/Inputs!$K$8)^2)))^2+Inputs!$C$52^2-2*(Inputs!$C$52+((Inputs!$H$8+Inputs!$L$8*(((Inputs!$I$8+(((A42)+1)/2)*(Inputs!$J$8-Inputs!$I$8)))/Inputs!$K$8)^2)))*Inputs!$C$52*COS(SQRT(((Inputs!$I$8+(((A42)+1)/2)*(Inputs!$J$8-Inputs!$I$8)))^2+Inputs!$C$6^2)/Inputs!$C$52)))-((Inputs!$H$8+Inputs!$L$8*(((Inputs!$I$8+(((A42)+1)/2)*(Inputs!$J$8-Inputs!$I$8)))/Inputs!$K$8)^2)))*1000/Inputs!$C$12)</x:f>
        <x:v>167822.94660199183</x:v>
      </x:c>
      <x:c r="AI42" s="48" t="n">
        <x:f>(((SQRT((Inputs!$C$52+((Inputs!$H$9+Inputs!$L$9*(((Inputs!$I$9+(((A42)+1)/2)*(Inputs!$J$9-Inputs!$I$9)))/Inputs!$K$9)^2)))^2+Inputs!$C$52^2-2*(Inputs!$C$52+((Inputs!$H$9+Inputs!$L$9*(((Inputs!$I$9+(((A42)+1)/2)*(Inputs!$J$9-Inputs!$I$9)))/Inputs!$K$9)^2)))*Inputs!$C$52*COS(SQRT(((Inputs!$I$9+(((A42)+1)/2)*(Inputs!$J$9-Inputs!$I$9)))^2+Inputs!$C$6^2)/Inputs!$C$52)))-((Inputs!$H$9+Inputs!$L$9*(((Inputs!$I$9+(((A42)+1)/2)*(Inputs!$J$9-Inputs!$I$9)))/Inputs!$K$9)^2)))*1000/Inputs!$C$12)</x:f>
        <x:v>168679.250628723</x:v>
      </x:c>
      <x:c r="AJ42" s="49"/>
      <x:c r="AK42" s="48" t="n">
        <x:f>A42</x:f>
        <x:v>-0.667</x:v>
      </x:c>
      <x:c r="AL42" s="48" t="n">
        <x: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x:f>
        <x:v>339.97613762928967</x:v>
      </x:c>
      <x:c r="AM42" s="48" t="n">
        <x: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x:f>
        <x:v>2623.933443790322</x:v>
      </x:c>
      <x:c r="AN42" s="48" t="n">
        <x: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x:f>
        <x:v>3295.686471353228</x:v>
      </x:c>
      <x:c r="AO42" s="48" t="n">
        <x: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x:f>
        <x:v>3309.7268991103388</x:v>
      </x:c>
      <x:c r="AP42" s="49"/>
      <x:c r="AQ42" s="48" t="n">
        <x:f>A42</x:f>
        <x:v>-0.667</x:v>
      </x:c>
      <x:c r="AR42" s="48" t="n">
        <x:f>0</x:f>
        <x:v>0</x:v>
      </x:c>
      <x:c r="AS42" s="48" t="n">
        <x: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(0.45*SIN(2*PI()*((((Inputs!$I$6+(((A42)+1)/2)*(Inputs!$J$6-Inputs!$I$6)))/Inputs!$C$49)+Inputs!$C$47*0.137))+0.35*COS(2*PI()*(((Inputs!$C$6)/Inputs!$C$50)+Inputs!$C$47*0.173))+0.20*SIN(2*PI()*((((Inputs!$I$6+(((A42)+1)/2)*(Inputs!$J$6-Inputs!$I$6)))+(Inputs!$C$6))/(0.5*(Inputs!$C$49+Inputs!$C$50))+Inputs!$C$47*0.097)))+0.30*(2*((SIN((((Inputs!$I$6+(((A42)+1)/2)*(Inputs!$J$6-Inputs!$I$6)))*12.9898+(Inputs!$C$6)*78.233+Inputs!$C$47*37.719))*43758.5453)-INT((SIN((((Inputs!$I$6+(((A42)+1)/2)*(Inputs!$J$6-Inputs!$I$6)))*12.9898+(Inputs!$C$6)*78.233+Inputs!$C$47*37.719))*43758.5453)))-1))),NA())</x:f>
        <x:v>179.4896616518568</x:v>
      </x:c>
      <x:c r="AT42" s="48" t="n">
        <x: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(0.45*SIN(2*PI()*((((Inputs!$I$7+(((A42)+1)/2)*(Inputs!$J$7-Inputs!$I$7)))/Inputs!$C$49)+Inputs!$C$47*0.137))+0.35*COS(2*PI()*(((Inputs!$C$6)/Inputs!$C$50)+Inputs!$C$47*0.173))+0.20*SIN(2*PI()*((((Inputs!$I$7+(((A42)+1)/2)*(Inputs!$J$7-Inputs!$I$7)))+(Inputs!$C$6))/(0.5*(Inputs!$C$49+Inputs!$C$50))+Inputs!$C$47*0.097)))+0.30*(2*((SIN((((Inputs!$I$7+(((A42)+1)/2)*(Inputs!$J$7-Inputs!$I$7)))*12.9898+(Inputs!$C$6)*78.233+Inputs!$C$47*37.719))*43758.5453)-INT((SIN((((Inputs!$I$7+(((A42)+1)/2)*(Inputs!$J$7-Inputs!$I$7)))*12.9898+(Inputs!$C$6)*78.233+Inputs!$C$47*37.719))*43758.5453)))-1))),NA())</x:f>
        <x:v>192.41801871907217</x:v>
      </x:c>
      <x:c r="AU42" s="48" t="n">
        <x: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(0.45*SIN(2*PI()*((((Inputs!$I$8+(((A42)+1)/2)*(Inputs!$J$8-Inputs!$I$8)))/Inputs!$C$49)+Inputs!$C$47*0.137))+0.35*COS(2*PI()*(((Inputs!$C$6)/Inputs!$C$50)+Inputs!$C$47*0.173))+0.20*SIN(2*PI()*((((Inputs!$I$8+(((A42)+1)/2)*(Inputs!$J$8-Inputs!$I$8)))+(Inputs!$C$6))/(0.5*(Inputs!$C$49+Inputs!$C$50))+Inputs!$C$47*0.097)))+0.30*(2*((SIN((((Inputs!$I$8+(((A42)+1)/2)*(Inputs!$J$8-Inputs!$I$8)))*12.9898+(Inputs!$C$6)*78.233+Inputs!$C$47*37.719))*43758.5453)-INT((SIN((((Inputs!$I$8+(((A42)+1)/2)*(Inputs!$J$8-Inputs!$I$8)))*12.9898+(Inputs!$C$6)*78.233+Inputs!$C$47*37.719))*43758.5453)))-1))),NA())</x:f>
        <x:v>209.69649268233258</x:v>
      </x:c>
      <x:c r="AV42" s="48" t="n">
        <x: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(0.45*SIN(2*PI()*((((Inputs!$I$9+(((A42)+1)/2)*(Inputs!$J$9-Inputs!$I$9)))/Inputs!$C$49)+Inputs!$C$47*0.137))+0.35*COS(2*PI()*(((Inputs!$C$6)/Inputs!$C$50)+Inputs!$C$47*0.173))+0.20*SIN(2*PI()*((((Inputs!$I$9+(((A42)+1)/2)*(Inputs!$J$9-Inputs!$I$9)))+(Inputs!$C$6))/(0.5*(Inputs!$C$49+Inputs!$C$50))+Inputs!$C$47*0.097)))+0.30*(2*((SIN((((Inputs!$I$9+(((A42)+1)/2)*(Inputs!$J$9-Inputs!$I$9)))*12.9898+(Inputs!$C$6)*78.233+Inputs!$C$47*37.719))*43758.5453)-INT((SIN((((Inputs!$I$9+(((A42)+1)/2)*(Inputs!$J$9-Inputs!$I$9)))*12.9898+(Inputs!$C$6)*78.233+Inputs!$C$47*37.719))*43758.5453)))-1))),NA())</x:f>
        <x:v>209.69649268233258</x:v>
      </x:c>
      <x:c r="AW42" s="49"/>
      <x:c r="AX42" s="48" t="n">
        <x:f>A42</x:f>
        <x:v>-0.667</x:v>
      </x:c>
      <x:c r="AY42" s="48" t="n">
        <x:f>0</x:f>
        <x:v>0</x:v>
      </x:c>
      <x:c r="AZ42" s="48" t="n">
        <x:f>IF(OR(Inputs!$F$6=TRUE,Inputs!$F$6="TRUE",Inputs!$F$6=1),(Inputs!$H$6+Inputs!$L$6*(((Inputs!$I$6+(((A42)+1)/2)*(Inputs!$J$6-Inputs!$I$6)))/Inputs!$K$6)^2),NA())</x:f>
        <x:v>401.779556</x:v>
      </x:c>
      <x:c r="BA42" s="48" t="n">
        <x:f>IF(OR(Inputs!$F$7=TRUE,Inputs!$F$7="TRUE",Inputs!$F$7=1),(Inputs!$H$7+Inputs!$L$7*(((Inputs!$I$7+(((A42)+1)/2)*(Inputs!$J$7-Inputs!$I$7)))/Inputs!$K$7)^2),NA())</x:f>
        <x:v>197.384485</x:v>
      </x:c>
      <x:c r="BB42" s="48" t="n">
        <x:f>IF(OR(Inputs!$F$8=TRUE,Inputs!$F$8="TRUE",Inputs!$F$8=1),(Inputs!$H$8+Inputs!$L$8*(((Inputs!$I$8+(((A42)+1)/2)*(Inputs!$J$8-Inputs!$I$8)))/Inputs!$K$8)^2),NA())</x:f>
        <x:v>464.31788500000005</x:v>
      </x:c>
      <x:c r="BC42" s="48" t="n">
        <x:f>IF(OR(Inputs!$F$9=TRUE,Inputs!$F$9="TRUE",Inputs!$F$9=1),(Inputs!$H$9+Inputs!$L$9*(((Inputs!$I$9+(((A42)+1)/2)*(Inputs!$J$9-Inputs!$I$9)))/Inputs!$K$9)^2),NA())</x:f>
        <x:v>458.76677500000005</x:v>
      </x:c>
      <x:c r="BD42" s="49"/>
      <x:c r="BE42" s="48" t="n">
        <x:f>A42</x:f>
        <x:v>-0.667</x:v>
      </x:c>
      <x:c r="BF42" s="48" t="n">
        <x:f>0</x:f>
        <x:v>0</x:v>
      </x:c>
      <x:c r="BG42" s="48"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BH42" s="48"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BI42" s="48"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BJ42" s="48"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row>
    <x:row r="43">
      <x:c r="A43" s="48" t="n">
        <x:f>ROUND(-1+41*2/240,3)</x:f>
        <x:v>-0.658</x:v>
      </x:c>
      <x:c r="B43" s="48" t="n">
        <x:f>IF(OR(Inputs!$F$6=TRUE,Inputs!$F$6="TRUE",Inputs!$F$6=1),(Inputs!$H$6+Inputs!$L$6*(((Inputs!$I$6+(((A43)+1)/2)*(Inputs!$J$6-Inputs!$I$6)))/Inputs!$K$6)^2),NA())</x:f>
        <x:v>401.731856</x:v>
      </x:c>
      <x:c r="C43" s="48" t="n">
        <x:f>IF(OR(Inputs!$F$7=TRUE,Inputs!$F$7="TRUE",Inputs!$F$7=1),(Inputs!$H$7+Inputs!$L$7*(((Inputs!$I$7+(((A43)+1)/2)*(Inputs!$J$7-Inputs!$I$7)))/Inputs!$K$7)^2),NA())</x:f>
        <x:v>193.03186000000008</x:v>
      </x:c>
      <x:c r="D43" s="48" t="n">
        <x:f>IF(OR(Inputs!$F$8=TRUE,Inputs!$F$8="TRUE",Inputs!$F$8=1),(Inputs!$H$8+Inputs!$L$8*(((Inputs!$I$8+(((A43)+1)/2)*(Inputs!$J$8-Inputs!$I$8)))/Inputs!$K$8)^2),NA())</x:f>
        <x:v>452.8102600000002</x:v>
      </x:c>
      <x:c r="E43" s="48" t="n">
        <x:f>IF(OR(Inputs!$F$9=TRUE,Inputs!$F$9="TRUE",Inputs!$F$9=1),(Inputs!$H$9+Inputs!$L$9*(((Inputs!$I$9+(((A43)+1)/2)*(Inputs!$J$9-Inputs!$I$9)))/Inputs!$K$9)^2),NA())</x:f>
        <x:v>447.1399000000002</x:v>
      </x:c>
      <x:c r="F43" s="49"/>
      <x:c r="G43" s="48" t="n">
        <x:f>A43</x:f>
        <x:v>-0.658</x:v>
      </x:c>
      <x:c r="H43" s="48"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I43" s="48"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J43" s="48"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K43" s="48"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c r="L43" s="49"/>
      <x:c r="M43" s="48" t="n">
        <x:f>A43</x:f>
        <x:v>-0.658</x:v>
      </x:c>
      <x:c r="N43" s="48" t="n">
        <x: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x:f>
        <x:v>335.45763059007544</x:v>
      </x:c>
      <x:c r="O43" s="48" t="n">
        <x: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x:f>
        <x:v>2601.9965436821226</x:v>
      </x:c>
      <x:c r="P43" s="48" t="n">
        <x: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x:f>
        <x:v>3260.724326877375</x:v>
      </x:c>
      <x:c r="Q43" s="48" t="n">
        <x: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x:f>
        <x:v>3274.183649710418</x:v>
      </x:c>
      <x:c r="R43" s="49"/>
      <x:c r="S43" s="48" t="n">
        <x:f>A43</x:f>
        <x:v>-0.658</x:v>
      </x:c>
      <x:c r="T43" s="48" t="n">
        <x:f>(Inputs!$I$6+(((A43)+1)/2)*(Inputs!$J$6-Inputs!$I$6))</x:f>
        <x:v>-39.480000000000004</x:v>
      </x:c>
      <x:c r="U43" s="48" t="n">
        <x:f>(Inputs!$I$7+(((A43)+1)/2)*(Inputs!$J$7-Inputs!$I$7))</x:f>
        <x:v>-263.20000000000005</x:v>
      </x:c>
      <x:c r="V43" s="48" t="n">
        <x:f>(Inputs!$I$8+(((A43)+1)/2)*(Inputs!$J$8-Inputs!$I$8))</x:f>
        <x:v>-526.4000000000001</x:v>
      </x:c>
      <x:c r="W43" s="48" t="n">
        <x:f>(Inputs!$I$9+(((A43)+1)/2)*(Inputs!$J$9-Inputs!$I$9))</x:f>
        <x:v>-526.4000000000001</x:v>
      </x:c>
      <x:c r="X43" s="49"/>
      <x:c r="Y43" s="48" t="n">
        <x:f>A43</x:f>
        <x:v>-0.658</x:v>
      </x:c>
      <x:c r="Z43" s="48" t="n">
        <x:f>(Inputs!$H$6+Inputs!$L$6*(((Inputs!$I$6+(((A43)+1)/2)*(Inputs!$J$6-Inputs!$I$6)))/Inputs!$K$6)^2)</x:f>
        <x:v>401.731856</x:v>
      </x:c>
      <x:c r="AA43" s="48" t="n">
        <x:f>(Inputs!$H$7+Inputs!$L$7*(((Inputs!$I$7+(((A43)+1)/2)*(Inputs!$J$7-Inputs!$I$7)))/Inputs!$K$7)^2)</x:f>
        <x:v>193.03186000000008</x:v>
      </x:c>
      <x:c r="AB43" s="48" t="n">
        <x:f>(Inputs!$H$8+Inputs!$L$8*(((Inputs!$I$8+(((A43)+1)/2)*(Inputs!$J$8-Inputs!$I$8)))/Inputs!$K$8)^2)</x:f>
        <x:v>452.8102600000002</x:v>
      </x:c>
      <x:c r="AC43" s="48" t="n">
        <x:f>(Inputs!$H$9+Inputs!$L$9*(((Inputs!$I$9+(((A43)+1)/2)*(Inputs!$J$9-Inputs!$I$9)))/Inputs!$K$9)^2)</x:f>
        <x:v>447.1399000000002</x:v>
      </x:c>
      <x:c r="AD43" s="49"/>
      <x:c r="AE43" s="48" t="n">
        <x:f>A43</x:f>
        <x:v>-0.658</x:v>
      </x:c>
      <x:c r="AF43" s="48" t="n">
        <x:f>(((SQRT((Inputs!$C$52+((Inputs!$H$6+Inputs!$L$6*(((Inputs!$I$6+(((A43)+1)/2)*(Inputs!$J$6-Inputs!$I$6)))/Inputs!$K$6)^2)))^2+Inputs!$C$52^2-2*(Inputs!$C$52+((Inputs!$H$6+Inputs!$L$6*(((Inputs!$I$6+(((A43)+1)/2)*(Inputs!$J$6-Inputs!$I$6)))/Inputs!$K$6)^2)))*Inputs!$C$52*COS(SQRT(((Inputs!$I$6+(((A43)+1)/2)*(Inputs!$J$6-Inputs!$I$6)))^2+Inputs!$C$6^2)/Inputs!$C$52)))-((Inputs!$H$6+Inputs!$L$6*(((Inputs!$I$6+(((A43)+1)/2)*(Inputs!$J$6-Inputs!$I$6)))/Inputs!$K$6)^2)))*1000/Inputs!$C$12)</x:f>
        <x:v>1911.623980866319</x:v>
      </x:c>
      <x:c r="AG43" s="48" t="n">
        <x:f>(((SQRT((Inputs!$C$52+((Inputs!$H$7+Inputs!$L$7*(((Inputs!$I$7+(((A43)+1)/2)*(Inputs!$J$7-Inputs!$I$7)))/Inputs!$K$7)^2)))^2+Inputs!$C$52^2-2*(Inputs!$C$52+((Inputs!$H$7+Inputs!$L$7*(((Inputs!$I$7+(((A43)+1)/2)*(Inputs!$J$7-Inputs!$I$7)))/Inputs!$K$7)^2)))*Inputs!$C$52*COS(SQRT(((Inputs!$I$7+(((A43)+1)/2)*(Inputs!$J$7-Inputs!$I$7)))^2+Inputs!$C$6^2)/Inputs!$C$52)))-((Inputs!$H$7+Inputs!$L$7*(((Inputs!$I$7+(((A43)+1)/2)*(Inputs!$J$7-Inputs!$I$7)))/Inputs!$K$7)^2)))*1000/Inputs!$C$12)</x:f>
        <x:v>82580.99123316977</x:v>
      </x:c>
      <x:c r="AH43" s="48" t="n">
        <x:f>(((SQRT((Inputs!$C$52+((Inputs!$H$8+Inputs!$L$8*(((Inputs!$I$8+(((A43)+1)/2)*(Inputs!$J$8-Inputs!$I$8)))/Inputs!$K$8)^2)))^2+Inputs!$C$52^2-2*(Inputs!$C$52+((Inputs!$H$8+Inputs!$L$8*(((Inputs!$I$8+(((A43)+1)/2)*(Inputs!$J$8-Inputs!$I$8)))/Inputs!$K$8)^2)))*Inputs!$C$52*COS(SQRT(((Inputs!$I$8+(((A43)+1)/2)*(Inputs!$J$8-Inputs!$I$8)))^2+Inputs!$C$6^2)/Inputs!$C$52)))-((Inputs!$H$8+Inputs!$L$8*(((Inputs!$I$8+(((A43)+1)/2)*(Inputs!$J$8-Inputs!$I$8)))/Inputs!$K$8)^2)))*1000/Inputs!$C$12)</x:f>
        <x:v>166000.33981586673</x:v>
      </x:c>
      <x:c r="AI43" s="48" t="n">
        <x:f>(((SQRT((Inputs!$C$52+((Inputs!$H$9+Inputs!$L$9*(((Inputs!$I$9+(((A43)+1)/2)*(Inputs!$J$9-Inputs!$I$9)))/Inputs!$K$9)^2)))^2+Inputs!$C$52^2-2*(Inputs!$C$52+((Inputs!$H$9+Inputs!$L$9*(((Inputs!$I$9+(((A43)+1)/2)*(Inputs!$J$9-Inputs!$I$9)))/Inputs!$K$9)^2)))*Inputs!$C$52*COS(SQRT(((Inputs!$I$9+(((A43)+1)/2)*(Inputs!$J$9-Inputs!$I$9)))^2+Inputs!$C$6^2)/Inputs!$C$52)))-((Inputs!$H$9+Inputs!$L$9*(((Inputs!$I$9+(((A43)+1)/2)*(Inputs!$J$9-Inputs!$I$9)))/Inputs!$K$9)^2)))*1000/Inputs!$C$12)</x:f>
        <x:v>166888.87687067795</x:v>
      </x:c>
      <x:c r="AJ43" s="49"/>
      <x:c r="AK43" s="48" t="n">
        <x:f>A43</x:f>
        <x:v>-0.658</x:v>
      </x:c>
      <x:c r="AL43" s="48" t="n">
        <x: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x:f>
        <x:v>335.45763059007544</x:v>
      </x:c>
      <x:c r="AM43" s="48" t="n">
        <x: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x:f>
        <x:v>2601.9965436821226</x:v>
      </x:c>
      <x:c r="AN43" s="48" t="n">
        <x: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x:f>
        <x:v>3260.724326877375</x:v>
      </x:c>
      <x:c r="AO43" s="48" t="n">
        <x: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x:f>
        <x:v>3274.183649710418</x:v>
      </x:c>
      <x:c r="AP43" s="49"/>
      <x:c r="AQ43" s="48" t="n">
        <x:f>A43</x:f>
        <x:v>-0.658</x:v>
      </x:c>
      <x:c r="AR43" s="48" t="n">
        <x:f>0</x:f>
        <x:v>0</x:v>
      </x:c>
      <x:c r="AS43" s="48" t="n">
        <x: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(0.45*SIN(2*PI()*((((Inputs!$I$6+(((A43)+1)/2)*(Inputs!$J$6-Inputs!$I$6)))/Inputs!$C$49)+Inputs!$C$47*0.137))+0.35*COS(2*PI()*(((Inputs!$C$6)/Inputs!$C$50)+Inputs!$C$47*0.173))+0.20*SIN(2*PI()*((((Inputs!$I$6+(((A43)+1)/2)*(Inputs!$J$6-Inputs!$I$6)))+(Inputs!$C$6))/(0.5*(Inputs!$C$49+Inputs!$C$50))+Inputs!$C$47*0.097)))+0.30*(2*((SIN((((Inputs!$I$6+(((A43)+1)/2)*(Inputs!$J$6-Inputs!$I$6)))*12.9898+(Inputs!$C$6)*78.233+Inputs!$C$47*37.719))*43758.5453)-INT((SIN((((Inputs!$I$6+(((A43)+1)/2)*(Inputs!$J$6-Inputs!$I$6)))*12.9898+(Inputs!$C$6)*78.233+Inputs!$C$47*37.719))*43758.5453)))-1))),NA())</x:f>
        <x:v>178.65691485258185</x:v>
      </x:c>
      <x:c r="AT43" s="48" t="n">
        <x: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(0.45*SIN(2*PI()*((((Inputs!$I$7+(((A43)+1)/2)*(Inputs!$J$7-Inputs!$I$7)))/Inputs!$C$49)+Inputs!$C$47*0.137))+0.35*COS(2*PI()*(((Inputs!$C$6)/Inputs!$C$50)+Inputs!$C$47*0.173))+0.20*SIN(2*PI()*((((Inputs!$I$7+(((A43)+1)/2)*(Inputs!$J$7-Inputs!$I$7)))+(Inputs!$C$6))/(0.5*(Inputs!$C$49+Inputs!$C$50))+Inputs!$C$47*0.097)))+0.30*(2*((SIN((((Inputs!$I$7+(((A43)+1)/2)*(Inputs!$J$7-Inputs!$I$7)))*12.9898+(Inputs!$C$6)*78.233+Inputs!$C$47*37.719))*43758.5453)-INT((SIN((((Inputs!$I$7+(((A43)+1)/2)*(Inputs!$J$7-Inputs!$I$7)))*12.9898+(Inputs!$C$6)*78.233+Inputs!$C$47*37.719))*43758.5453)))-1))),NA())</x:f>
        <x:v>210.6238728721736</x:v>
      </x:c>
      <x:c r="AU43" s="48" t="n">
        <x: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(0.45*SIN(2*PI()*((((Inputs!$I$8+(((A43)+1)/2)*(Inputs!$J$8-Inputs!$I$8)))/Inputs!$C$49)+Inputs!$C$47*0.137))+0.35*COS(2*PI()*(((Inputs!$C$6)/Inputs!$C$50)+Inputs!$C$47*0.173))+0.20*SIN(2*PI()*((((Inputs!$I$8+(((A43)+1)/2)*(Inputs!$J$8-Inputs!$I$8)))+(Inputs!$C$6))/(0.5*(Inputs!$C$49+Inputs!$C$50))+Inputs!$C$47*0.097)))+0.30*(2*((SIN((((Inputs!$I$8+(((A43)+1)/2)*(Inputs!$J$8-Inputs!$I$8)))*12.9898+(Inputs!$C$6)*78.233+Inputs!$C$47*37.719))*43758.5453)-INT((SIN((((Inputs!$I$8+(((A43)+1)/2)*(Inputs!$J$8-Inputs!$I$8)))*12.9898+(Inputs!$C$6)*78.233+Inputs!$C$47*37.719))*43758.5453)))-1))),NA())</x:f>
        <x:v>100.43687701849716</x:v>
      </x:c>
      <x:c r="AV43" s="48" t="n">
        <x: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(0.45*SIN(2*PI()*((((Inputs!$I$9+(((A43)+1)/2)*(Inputs!$J$9-Inputs!$I$9)))/Inputs!$C$49)+Inputs!$C$47*0.137))+0.35*COS(2*PI()*(((Inputs!$C$6)/Inputs!$C$50)+Inputs!$C$47*0.173))+0.20*SIN(2*PI()*((((Inputs!$I$9+(((A43)+1)/2)*(Inputs!$J$9-Inputs!$I$9)))+(Inputs!$C$6))/(0.5*(Inputs!$C$49+Inputs!$C$50))+Inputs!$C$47*0.097)))+0.30*(2*((SIN((((Inputs!$I$9+(((A43)+1)/2)*(Inputs!$J$9-Inputs!$I$9)))*12.9898+(Inputs!$C$6)*78.233+Inputs!$C$47*37.719))*43758.5453)-INT((SIN((((Inputs!$I$9+(((A43)+1)/2)*(Inputs!$J$9-Inputs!$I$9)))*12.9898+(Inputs!$C$6)*78.233+Inputs!$C$47*37.719))*43758.5453)))-1))),NA())</x:f>
        <x:v>100.43687701849716</x:v>
      </x:c>
      <x:c r="AW43" s="49"/>
      <x:c r="AX43" s="48" t="n">
        <x:f>A43</x:f>
        <x:v>-0.658</x:v>
      </x:c>
      <x:c r="AY43" s="48" t="n">
        <x:f>0</x:f>
        <x:v>0</x:v>
      </x:c>
      <x:c r="AZ43" s="48" t="n">
        <x:f>IF(OR(Inputs!$F$6=TRUE,Inputs!$F$6="TRUE",Inputs!$F$6=1),(Inputs!$H$6+Inputs!$L$6*(((Inputs!$I$6+(((A43)+1)/2)*(Inputs!$J$6-Inputs!$I$6)))/Inputs!$K$6)^2),NA())</x:f>
        <x:v>401.731856</x:v>
      </x:c>
      <x:c r="BA43" s="48" t="n">
        <x:f>IF(OR(Inputs!$F$7=TRUE,Inputs!$F$7="TRUE",Inputs!$F$7=1),(Inputs!$H$7+Inputs!$L$7*(((Inputs!$I$7+(((A43)+1)/2)*(Inputs!$J$7-Inputs!$I$7)))/Inputs!$K$7)^2),NA())</x:f>
        <x:v>193.03186000000008</x:v>
      </x:c>
      <x:c r="BB43" s="48" t="n">
        <x:f>IF(OR(Inputs!$F$8=TRUE,Inputs!$F$8="TRUE",Inputs!$F$8=1),(Inputs!$H$8+Inputs!$L$8*(((Inputs!$I$8+(((A43)+1)/2)*(Inputs!$J$8-Inputs!$I$8)))/Inputs!$K$8)^2),NA())</x:f>
        <x:v>452.8102600000002</x:v>
      </x:c>
      <x:c r="BC43" s="48" t="n">
        <x:f>IF(OR(Inputs!$F$9=TRUE,Inputs!$F$9="TRUE",Inputs!$F$9=1),(Inputs!$H$9+Inputs!$L$9*(((Inputs!$I$9+(((A43)+1)/2)*(Inputs!$J$9-Inputs!$I$9)))/Inputs!$K$9)^2),NA())</x:f>
        <x:v>447.1399000000002</x:v>
      </x:c>
      <x:c r="BD43" s="49"/>
      <x:c r="BE43" s="48" t="n">
        <x:f>A43</x:f>
        <x:v>-0.658</x:v>
      </x:c>
      <x:c r="BF43" s="48" t="n">
        <x:f>0</x:f>
        <x:v>0</x:v>
      </x:c>
      <x:c r="BG43" s="48"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BH43" s="48"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BI43" s="48"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BJ43" s="48"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row>
    <x:row r="44">
      <x:c r="A44" s="48" t="n">
        <x:f>ROUND(-1+42*2/240,3)</x:f>
        <x:v>-0.65</x:v>
      </x:c>
      <x:c r="B44" s="48" t="n">
        <x:f>IF(OR(Inputs!$F$6=TRUE,Inputs!$F$6="TRUE",Inputs!$F$6=1),(Inputs!$H$6+Inputs!$L$6*(((Inputs!$I$6+(((A44)+1)/2)*(Inputs!$J$6-Inputs!$I$6)))/Inputs!$K$6)^2),NA())</x:f>
        <x:v>401.69</x:v>
      </x:c>
      <x:c r="C44" s="48" t="n">
        <x:f>IF(OR(Inputs!$F$7=TRUE,Inputs!$F$7="TRUE",Inputs!$F$7=1),(Inputs!$H$7+Inputs!$L$7*(((Inputs!$I$7+(((A44)+1)/2)*(Inputs!$J$7-Inputs!$I$7)))/Inputs!$K$7)^2),NA())</x:f>
        <x:v>189.2125</x:v>
      </x:c>
      <x:c r="D44" s="48" t="n">
        <x:f>IF(OR(Inputs!$F$8=TRUE,Inputs!$F$8="TRUE",Inputs!$F$8=1),(Inputs!$H$8+Inputs!$L$8*(((Inputs!$I$8+(((A44)+1)/2)*(Inputs!$J$8-Inputs!$I$8)))/Inputs!$K$8)^2),NA())</x:f>
        <x:v>442.71250000000003</x:v>
      </x:c>
      <x:c r="E44" s="48" t="n">
        <x:f>IF(OR(Inputs!$F$9=TRUE,Inputs!$F$9="TRUE",Inputs!$F$9=1),(Inputs!$H$9+Inputs!$L$9*(((Inputs!$I$9+(((A44)+1)/2)*(Inputs!$J$9-Inputs!$I$9)))/Inputs!$K$9)^2),NA())</x:f>
        <x:v>436.93750000000006</x:v>
      </x:c>
      <x:c r="F44" s="49"/>
      <x:c r="G44" s="48" t="n">
        <x:f>A44</x:f>
        <x:v>-0.65</x:v>
      </x:c>
      <x:c r="H44" s="48"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I44" s="48"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J44" s="48"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K44" s="48"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c r="L44" s="49"/>
      <x:c r="M44" s="48" t="n">
        <x:f>A44</x:f>
        <x:v>-0.65</x:v>
      </x:c>
      <x:c r="N44" s="48" t="n">
        <x: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x:f>
        <x:v>331.43886943681935</x:v>
      </x:c>
      <x:c r="O44" s="48" t="n">
        <x: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x:f>
        <x:v>2582.618265485299</x:v>
      </x:c>
      <x:c r="P44" s="48" t="n">
        <x: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x:f>
        <x:v>3229.7814148818247</x:v>
      </x:c>
      <x:c r="Q44" s="48" t="n">
        <x: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x:f>
        <x:v>3242.7225209785565</x:v>
      </x:c>
      <x:c r="R44" s="49"/>
      <x:c r="S44" s="48" t="n">
        <x:f>A44</x:f>
        <x:v>-0.65</x:v>
      </x:c>
      <x:c r="T44" s="48" t="n">
        <x:f>(Inputs!$I$6+(((A44)+1)/2)*(Inputs!$J$6-Inputs!$I$6))</x:f>
        <x:v>-39</x:v>
      </x:c>
      <x:c r="U44" s="48" t="n">
        <x:f>(Inputs!$I$7+(((A44)+1)/2)*(Inputs!$J$7-Inputs!$I$7))</x:f>
        <x:v>-260</x:v>
      </x:c>
      <x:c r="V44" s="48" t="n">
        <x:f>(Inputs!$I$8+(((A44)+1)/2)*(Inputs!$J$8-Inputs!$I$8))</x:f>
        <x:v>-520</x:v>
      </x:c>
      <x:c r="W44" s="48" t="n">
        <x:f>(Inputs!$I$9+(((A44)+1)/2)*(Inputs!$J$9-Inputs!$I$9))</x:f>
        <x:v>-520</x:v>
      </x:c>
      <x:c r="X44" s="49"/>
      <x:c r="Y44" s="48" t="n">
        <x:f>A44</x:f>
        <x:v>-0.65</x:v>
      </x:c>
      <x:c r="Z44" s="48" t="n">
        <x:f>(Inputs!$H$6+Inputs!$L$6*(((Inputs!$I$6+(((A44)+1)/2)*(Inputs!$J$6-Inputs!$I$6)))/Inputs!$K$6)^2)</x:f>
        <x:v>401.69</x:v>
      </x:c>
      <x:c r="AA44" s="48" t="n">
        <x:f>(Inputs!$H$7+Inputs!$L$7*(((Inputs!$I$7+(((A44)+1)/2)*(Inputs!$J$7-Inputs!$I$7)))/Inputs!$K$7)^2)</x:f>
        <x:v>189.2125</x:v>
      </x:c>
      <x:c r="AB44" s="48" t="n">
        <x:f>(Inputs!$H$8+Inputs!$L$8*(((Inputs!$I$8+(((A44)+1)/2)*(Inputs!$J$8-Inputs!$I$8)))/Inputs!$K$8)^2)</x:f>
        <x:v>442.71250000000003</x:v>
      </x:c>
      <x:c r="AC44" s="48" t="n">
        <x:f>(Inputs!$H$9+Inputs!$L$9*(((Inputs!$I$9+(((A44)+1)/2)*(Inputs!$J$9-Inputs!$I$9)))/Inputs!$K$9)^2)</x:f>
        <x:v>436.93750000000006</x:v>
      </x:c>
      <x:c r="AD44" s="49"/>
      <x:c r="AE44" s="48" t="n">
        <x:f>A44</x:f>
        <x:v>-0.65</x:v>
      </x:c>
      <x:c r="AF44" s="48" t="n">
        <x:f>(((SQRT((Inputs!$C$52+((Inputs!$H$6+Inputs!$L$6*(((Inputs!$I$6+(((A44)+1)/2)*(Inputs!$J$6-Inputs!$I$6)))/Inputs!$K$6)^2)))^2+Inputs!$C$52^2-2*(Inputs!$C$52+((Inputs!$H$6+Inputs!$L$6*(((Inputs!$I$6+(((A44)+1)/2)*(Inputs!$J$6-Inputs!$I$6)))/Inputs!$K$6)^2)))*Inputs!$C$52*COS(SQRT(((Inputs!$I$6+(((A44)+1)/2)*(Inputs!$J$6-Inputs!$I$6)))^2+Inputs!$C$6^2)/Inputs!$C$52)))-((Inputs!$H$6+Inputs!$L$6*(((Inputs!$I$6+(((A44)+1)/2)*(Inputs!$J$6-Inputs!$I$6)))/Inputs!$K$6)^2)))*1000/Inputs!$C$12)</x:f>
        <x:v>1878.9394139868214</x:v>
      </x:c>
      <x:c r="AG44" s="48" t="n">
        <x:f>(((SQRT((Inputs!$C$52+((Inputs!$H$7+Inputs!$L$7*(((Inputs!$I$7+(((A44)+1)/2)*(Inputs!$J$7-Inputs!$I$7)))/Inputs!$K$7)^2)))^2+Inputs!$C$52^2-2*(Inputs!$C$52+((Inputs!$H$7+Inputs!$L$7*(((Inputs!$I$7+(((A44)+1)/2)*(Inputs!$J$7-Inputs!$I$7)))/Inputs!$K$7)^2)))*Inputs!$C$52*COS(SQRT(((Inputs!$I$7+(((A44)+1)/2)*(Inputs!$J$7-Inputs!$I$7)))^2+Inputs!$C$6^2)/Inputs!$C$52)))-((Inputs!$H$7+Inputs!$L$7*(((Inputs!$I$7+(((A44)+1)/2)*(Inputs!$J$7-Inputs!$I$7)))/Inputs!$K$7)^2)))*1000/Inputs!$C$12)</x:f>
        <x:v>81814.00490398385</x:v>
      </x:c>
      <x:c r="AH44" s="48" t="n">
        <x:f>(((SQRT((Inputs!$C$52+((Inputs!$H$8+Inputs!$L$8*(((Inputs!$I$8+(((A44)+1)/2)*(Inputs!$J$8-Inputs!$I$8)))/Inputs!$K$8)^2)))^2+Inputs!$C$52^2-2*(Inputs!$C$52+((Inputs!$H$8+Inputs!$L$8*(((Inputs!$I$8+(((A44)+1)/2)*(Inputs!$J$8-Inputs!$I$8)))/Inputs!$K$8)^2)))*Inputs!$C$52*COS(SQRT(((Inputs!$I$8+(((A44)+1)/2)*(Inputs!$J$8-Inputs!$I$8)))^2+Inputs!$C$6^2)/Inputs!$C$52)))-((Inputs!$H$8+Inputs!$L$8*(((Inputs!$I$8+(((A44)+1)/2)*(Inputs!$J$8-Inputs!$I$8)))/Inputs!$K$8)^2)))*1000/Inputs!$C$12)</x:f>
        <x:v>164380.55969178746</x:v>
      </x:c>
      <x:c r="AI44" s="48" t="n">
        <x:f>(((SQRT((Inputs!$C$52+((Inputs!$H$9+Inputs!$L$9*(((Inputs!$I$9+(((A44)+1)/2)*(Inputs!$J$9-Inputs!$I$9)))/Inputs!$K$9)^2)))^2+Inputs!$C$52^2-2*(Inputs!$C$52+((Inputs!$H$9+Inputs!$L$9*(((Inputs!$I$9+(((A44)+1)/2)*(Inputs!$J$9-Inputs!$I$9)))/Inputs!$K$9)^2)))*Inputs!$C$52*COS(SQRT(((Inputs!$I$9+(((A44)+1)/2)*(Inputs!$J$9-Inputs!$I$9)))^2+Inputs!$C$6^2)/Inputs!$C$52)))-((Inputs!$H$9+Inputs!$L$9*(((Inputs!$I$9+(((A44)+1)/2)*(Inputs!$J$9-Inputs!$I$9)))/Inputs!$K$9)^2)))*1000/Inputs!$C$12)</x:f>
        <x:v>165298.21957316351</x:v>
      </x:c>
      <x:c r="AJ44" s="49"/>
      <x:c r="AK44" s="48" t="n">
        <x:f>A44</x:f>
        <x:v>-0.65</x:v>
      </x:c>
      <x:c r="AL44" s="48" t="n">
        <x: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x:f>
        <x:v>331.43886943681935</x:v>
      </x:c>
      <x:c r="AM44" s="48" t="n">
        <x: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x:f>
        <x:v>2582.618265485299</x:v>
      </x:c>
      <x:c r="AN44" s="48" t="n">
        <x: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x:f>
        <x:v>3229.7814148818247</x:v>
      </x:c>
      <x:c r="AO44" s="48" t="n">
        <x: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x:f>
        <x:v>3242.7225209785565</x:v>
      </x:c>
      <x:c r="AP44" s="49"/>
      <x:c r="AQ44" s="48" t="n">
        <x:f>A44</x:f>
        <x:v>-0.65</x:v>
      </x:c>
      <x:c r="AR44" s="48" t="n">
        <x:f>0</x:f>
        <x:v>0</x:v>
      </x:c>
      <x:c r="AS44" s="48" t="n">
        <x: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(0.45*SIN(2*PI()*((((Inputs!$I$6+(((A44)+1)/2)*(Inputs!$J$6-Inputs!$I$6)))/Inputs!$C$49)+Inputs!$C$47*0.137))+0.35*COS(2*PI()*(((Inputs!$C$6)/Inputs!$C$50)+Inputs!$C$47*0.173))+0.20*SIN(2*PI()*((((Inputs!$I$6+(((A44)+1)/2)*(Inputs!$J$6-Inputs!$I$6)))+(Inputs!$C$6))/(0.5*(Inputs!$C$49+Inputs!$C$50))+Inputs!$C$47*0.097)))+0.30*(2*((SIN((((Inputs!$I$6+(((A44)+1)/2)*(Inputs!$J$6-Inputs!$I$6)))*12.9898+(Inputs!$C$6)*78.233+Inputs!$C$47*37.719))*43758.5453)-INT((SIN((((Inputs!$I$6+(((A44)+1)/2)*(Inputs!$J$6-Inputs!$I$6)))*12.9898+(Inputs!$C$6)*78.233+Inputs!$C$47*37.719))*43758.5453)))-1))),NA())</x:f>
        <x:v>184.54420924136062</x:v>
      </x:c>
      <x:c r="AT44" s="48" t="n">
        <x: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(0.45*SIN(2*PI()*((((Inputs!$I$7+(((A44)+1)/2)*(Inputs!$J$7-Inputs!$I$7)))/Inputs!$C$49)+Inputs!$C$47*0.137))+0.35*COS(2*PI()*(((Inputs!$C$6)/Inputs!$C$50)+Inputs!$C$47*0.173))+0.20*SIN(2*PI()*((((Inputs!$I$7+(((A44)+1)/2)*(Inputs!$J$7-Inputs!$I$7)))+(Inputs!$C$6))/(0.5*(Inputs!$C$49+Inputs!$C$50))+Inputs!$C$47*0.097)))+0.30*(2*((SIN((((Inputs!$I$7+(((A44)+1)/2)*(Inputs!$J$7-Inputs!$I$7)))*12.9898+(Inputs!$C$6)*78.233+Inputs!$C$47*37.719))*43758.5453)-INT((SIN((((Inputs!$I$7+(((A44)+1)/2)*(Inputs!$J$7-Inputs!$I$7)))*12.9898+(Inputs!$C$6)*78.233+Inputs!$C$47*37.719))*43758.5453)))-1))),NA())</x:f>
        <x:v>175.19977595405177</x:v>
      </x:c>
      <x:c r="AU44" s="48" t="n">
        <x: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(0.45*SIN(2*PI()*((((Inputs!$I$8+(((A44)+1)/2)*(Inputs!$J$8-Inputs!$I$8)))/Inputs!$C$49)+Inputs!$C$47*0.137))+0.35*COS(2*PI()*(((Inputs!$C$6)/Inputs!$C$50)+Inputs!$C$47*0.173))+0.20*SIN(2*PI()*((((Inputs!$I$8+(((A44)+1)/2)*(Inputs!$J$8-Inputs!$I$8)))+(Inputs!$C$6))/(0.5*(Inputs!$C$49+Inputs!$C$50))+Inputs!$C$47*0.097)))+0.30*(2*((SIN((((Inputs!$I$8+(((A44)+1)/2)*(Inputs!$J$8-Inputs!$I$8)))*12.9898+(Inputs!$C$6)*78.233+Inputs!$C$47*37.719))*43758.5453)-INT((SIN((((Inputs!$I$8+(((A44)+1)/2)*(Inputs!$J$8-Inputs!$I$8)))*12.9898+(Inputs!$C$6)*78.233+Inputs!$C$47*37.719))*43758.5453)))-1))),NA())</x:f>
        <x:v>168.3306347152109</x:v>
      </x:c>
      <x:c r="AV44" s="48" t="n">
        <x: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(0.45*SIN(2*PI()*((((Inputs!$I$9+(((A44)+1)/2)*(Inputs!$J$9-Inputs!$I$9)))/Inputs!$C$49)+Inputs!$C$47*0.137))+0.35*COS(2*PI()*(((Inputs!$C$6)/Inputs!$C$50)+Inputs!$C$47*0.173))+0.20*SIN(2*PI()*((((Inputs!$I$9+(((A44)+1)/2)*(Inputs!$J$9-Inputs!$I$9)))+(Inputs!$C$6))/(0.5*(Inputs!$C$49+Inputs!$C$50))+Inputs!$C$47*0.097)))+0.30*(2*((SIN((((Inputs!$I$9+(((A44)+1)/2)*(Inputs!$J$9-Inputs!$I$9)))*12.9898+(Inputs!$C$6)*78.233+Inputs!$C$47*37.719))*43758.5453)-INT((SIN((((Inputs!$I$9+(((A44)+1)/2)*(Inputs!$J$9-Inputs!$I$9)))*12.9898+(Inputs!$C$6)*78.233+Inputs!$C$47*37.719))*43758.5453)))-1))),NA())</x:f>
        <x:v>168.3306347152109</x:v>
      </x:c>
      <x:c r="AW44" s="49"/>
      <x:c r="AX44" s="48" t="n">
        <x:f>A44</x:f>
        <x:v>-0.65</x:v>
      </x:c>
      <x:c r="AY44" s="48" t="n">
        <x:f>0</x:f>
        <x:v>0</x:v>
      </x:c>
      <x:c r="AZ44" s="48" t="n">
        <x:f>IF(OR(Inputs!$F$6=TRUE,Inputs!$F$6="TRUE",Inputs!$F$6=1),(Inputs!$H$6+Inputs!$L$6*(((Inputs!$I$6+(((A44)+1)/2)*(Inputs!$J$6-Inputs!$I$6)))/Inputs!$K$6)^2),NA())</x:f>
        <x:v>401.69</x:v>
      </x:c>
      <x:c r="BA44" s="48" t="n">
        <x:f>IF(OR(Inputs!$F$7=TRUE,Inputs!$F$7="TRUE",Inputs!$F$7=1),(Inputs!$H$7+Inputs!$L$7*(((Inputs!$I$7+(((A44)+1)/2)*(Inputs!$J$7-Inputs!$I$7)))/Inputs!$K$7)^2),NA())</x:f>
        <x:v>189.2125</x:v>
      </x:c>
      <x:c r="BB44" s="48" t="n">
        <x:f>IF(OR(Inputs!$F$8=TRUE,Inputs!$F$8="TRUE",Inputs!$F$8=1),(Inputs!$H$8+Inputs!$L$8*(((Inputs!$I$8+(((A44)+1)/2)*(Inputs!$J$8-Inputs!$I$8)))/Inputs!$K$8)^2),NA())</x:f>
        <x:v>442.71250000000003</x:v>
      </x:c>
      <x:c r="BC44" s="48" t="n">
        <x:f>IF(OR(Inputs!$F$9=TRUE,Inputs!$F$9="TRUE",Inputs!$F$9=1),(Inputs!$H$9+Inputs!$L$9*(((Inputs!$I$9+(((A44)+1)/2)*(Inputs!$J$9-Inputs!$I$9)))/Inputs!$K$9)^2),NA())</x:f>
        <x:v>436.93750000000006</x:v>
      </x:c>
      <x:c r="BD44" s="49"/>
      <x:c r="BE44" s="48" t="n">
        <x:f>A44</x:f>
        <x:v>-0.65</x:v>
      </x:c>
      <x:c r="BF44" s="48" t="n">
        <x:f>0</x:f>
        <x:v>0</x:v>
      </x:c>
      <x:c r="BG44" s="48"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BH44" s="48"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BI44" s="48"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BJ44" s="48"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row>
    <x:row r="45">
      <x:c r="A45" s="48" t="n">
        <x:f>ROUND(-1+43*2/240,3)</x:f>
        <x:v>-0.642</x:v>
      </x:c>
      <x:c r="B45" s="48" t="n">
        <x:f>IF(OR(Inputs!$F$6=TRUE,Inputs!$F$6="TRUE",Inputs!$F$6=1),(Inputs!$H$6+Inputs!$L$6*(((Inputs!$I$6+(((A45)+1)/2)*(Inputs!$J$6-Inputs!$I$6)))/Inputs!$K$6)^2),NA())</x:f>
        <x:v>401.648656</x:v>
      </x:c>
      <x:c r="C45" s="48" t="n">
        <x:f>IF(OR(Inputs!$F$7=TRUE,Inputs!$F$7="TRUE",Inputs!$F$7=1),(Inputs!$H$7+Inputs!$L$7*(((Inputs!$I$7+(((A45)+1)/2)*(Inputs!$J$7-Inputs!$I$7)))/Inputs!$K$7)^2),NA())</x:f>
        <x:v>185.43986</x:v>
      </x:c>
      <x:c r="D45" s="48" t="n">
        <x:f>IF(OR(Inputs!$F$8=TRUE,Inputs!$F$8="TRUE",Inputs!$F$8=1),(Inputs!$H$8+Inputs!$L$8*(((Inputs!$I$8+(((A45)+1)/2)*(Inputs!$J$8-Inputs!$I$8)))/Inputs!$K$8)^2),NA())</x:f>
        <x:v>432.73826</x:v>
      </x:c>
      <x:c r="E45" s="48" t="n">
        <x:f>IF(OR(Inputs!$F$9=TRUE,Inputs!$F$9="TRUE",Inputs!$F$9=1),(Inputs!$H$9+Inputs!$L$9*(((Inputs!$I$9+(((A45)+1)/2)*(Inputs!$J$9-Inputs!$I$9)))/Inputs!$K$9)^2),NA())</x:f>
        <x:v>426.85990000000004</x:v>
      </x:c>
      <x:c r="F45" s="49"/>
      <x:c r="G45" s="48" t="n">
        <x:f>A45</x:f>
        <x:v>-0.642</x:v>
      </x:c>
      <x:c r="H45" s="48"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I45" s="48"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J45" s="48"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K45" s="48"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c r="L45" s="49"/>
      <x:c r="M45" s="48" t="n">
        <x:f>A45</x:f>
        <x:v>-0.642</x:v>
      </x:c>
      <x:c r="N45" s="48" t="n">
        <x: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x:f>
        <x:v>327.4179585006213</x:v>
      </x:c>
      <x:c r="O45" s="48" t="n">
        <x: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x:f>
        <x:v>2563.3555763674917</x:v>
      </x:c>
      <x:c r="P45" s="48" t="n">
        <x: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x:f>
        <x:v>3198.9689250336646</x:v>
      </x:c>
      <x:c r="Q45" s="48" t="n">
        <x: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x:f>
        <x:v>3211.390329149706</x:v>
      </x:c>
      <x:c r="R45" s="49"/>
      <x:c r="S45" s="48" t="n">
        <x:f>A45</x:f>
        <x:v>-0.642</x:v>
      </x:c>
      <x:c r="T45" s="48" t="n">
        <x:f>(Inputs!$I$6+(((A45)+1)/2)*(Inputs!$J$6-Inputs!$I$6))</x:f>
        <x:v>-38.519999999999996</x:v>
      </x:c>
      <x:c r="U45" s="48" t="n">
        <x:f>(Inputs!$I$7+(((A45)+1)/2)*(Inputs!$J$7-Inputs!$I$7))</x:f>
        <x:v>-256.8</x:v>
      </x:c>
      <x:c r="V45" s="48" t="n">
        <x:f>(Inputs!$I$8+(((A45)+1)/2)*(Inputs!$J$8-Inputs!$I$8))</x:f>
        <x:v>-513.6</x:v>
      </x:c>
      <x:c r="W45" s="48" t="n">
        <x:f>(Inputs!$I$9+(((A45)+1)/2)*(Inputs!$J$9-Inputs!$I$9))</x:f>
        <x:v>-513.6</x:v>
      </x:c>
      <x:c r="X45" s="49"/>
      <x:c r="Y45" s="48" t="n">
        <x:f>A45</x:f>
        <x:v>-0.642</x:v>
      </x:c>
      <x:c r="Z45" s="48" t="n">
        <x:f>(Inputs!$H$6+Inputs!$L$6*(((Inputs!$I$6+(((A45)+1)/2)*(Inputs!$J$6-Inputs!$I$6)))/Inputs!$K$6)^2)</x:f>
        <x:v>401.648656</x:v>
      </x:c>
      <x:c r="AA45" s="48" t="n">
        <x:f>(Inputs!$H$7+Inputs!$L$7*(((Inputs!$I$7+(((A45)+1)/2)*(Inputs!$J$7-Inputs!$I$7)))/Inputs!$K$7)^2)</x:f>
        <x:v>185.43986</x:v>
      </x:c>
      <x:c r="AB45" s="48" t="n">
        <x:f>(Inputs!$H$8+Inputs!$L$8*(((Inputs!$I$8+(((A45)+1)/2)*(Inputs!$J$8-Inputs!$I$8)))/Inputs!$K$8)^2)</x:f>
        <x:v>432.73826</x:v>
      </x:c>
      <x:c r="AC45" s="48" t="n">
        <x:f>(Inputs!$H$9+Inputs!$L$9*(((Inputs!$I$9+(((A45)+1)/2)*(Inputs!$J$9-Inputs!$I$9)))/Inputs!$K$9)^2)</x:f>
        <x:v>426.85990000000004</x:v>
      </x:c>
      <x:c r="AD45" s="49"/>
      <x:c r="AE45" s="48" t="n">
        <x:f>A45</x:f>
        <x:v>-0.642</x:v>
      </x:c>
      <x:c r="AF45" s="48" t="n">
        <x:f>(((SQRT((Inputs!$C$52+((Inputs!$H$6+Inputs!$L$6*(((Inputs!$I$6+(((A45)+1)/2)*(Inputs!$J$6-Inputs!$I$6)))/Inputs!$K$6)^2)))^2+Inputs!$C$52^2-2*(Inputs!$C$52+((Inputs!$H$6+Inputs!$L$6*(((Inputs!$I$6+(((A45)+1)/2)*(Inputs!$J$6-Inputs!$I$6)))/Inputs!$K$6)^2)))*Inputs!$C$52*COS(SQRT(((Inputs!$I$6+(((A45)+1)/2)*(Inputs!$J$6-Inputs!$I$6)))^2+Inputs!$C$6^2)/Inputs!$C$52)))-((Inputs!$H$6+Inputs!$L$6*(((Inputs!$I$6+(((A45)+1)/2)*(Inputs!$J$6-Inputs!$I$6)))/Inputs!$K$6)^2)))*1000/Inputs!$C$12)</x:f>
        <x:v>1846.6447074484392</x:v>
      </x:c>
      <x:c r="AG45" s="48" t="n">
        <x:f>(((SQRT((Inputs!$C$52+((Inputs!$H$7+Inputs!$L$7*(((Inputs!$I$7+(((A45)+1)/2)*(Inputs!$J$7-Inputs!$I$7)))/Inputs!$K$7)^2)))^2+Inputs!$C$52^2-2*(Inputs!$C$52+((Inputs!$H$7+Inputs!$L$7*(((Inputs!$I$7+(((A45)+1)/2)*(Inputs!$J$7-Inputs!$I$7)))/Inputs!$K$7)^2)))*Inputs!$C$52*COS(SQRT(((Inputs!$I$7+(((A45)+1)/2)*(Inputs!$J$7-Inputs!$I$7)))^2+Inputs!$C$6^2)/Inputs!$C$52)))-((Inputs!$H$7+Inputs!$L$7*(((Inputs!$I$7+(((A45)+1)/2)*(Inputs!$J$7-Inputs!$I$7)))/Inputs!$K$7)^2)))*1000/Inputs!$C$12)</x:f>
        <x:v>81042.4799287612</x:v>
      </x:c>
      <x:c r="AH45" s="48" t="n">
        <x:f>(((SQRT((Inputs!$C$52+((Inputs!$H$8+Inputs!$L$8*(((Inputs!$I$8+(((A45)+1)/2)*(Inputs!$J$8-Inputs!$I$8)))/Inputs!$K$8)^2)))^2+Inputs!$C$52^2-2*(Inputs!$C$52+((Inputs!$H$8+Inputs!$L$8*(((Inputs!$I$8+(((A45)+1)/2)*(Inputs!$J$8-Inputs!$I$8)))/Inputs!$K$8)^2)))*Inputs!$C$52*COS(SQRT(((Inputs!$I$8+(((A45)+1)/2)*(Inputs!$J$8-Inputs!$I$8)))^2+Inputs!$C$6^2)/Inputs!$C$52)))-((Inputs!$H$8+Inputs!$L$8*(((Inputs!$I$8+(((A45)+1)/2)*(Inputs!$J$8-Inputs!$I$8)))/Inputs!$K$8)^2)))*1000/Inputs!$C$12)</x:f>
        <x:v>162760.77509026113</x:v>
      </x:c>
      <x:c r="AI45" s="48" t="n">
        <x:f>(((SQRT((Inputs!$C$52+((Inputs!$H$9+Inputs!$L$9*(((Inputs!$I$9+(((A45)+1)/2)*(Inputs!$J$9-Inputs!$I$9)))/Inputs!$K$9)^2)))^2+Inputs!$C$52^2-2*(Inputs!$C$52+((Inputs!$H$9+Inputs!$L$9*(((Inputs!$I$9+(((A45)+1)/2)*(Inputs!$J$9-Inputs!$I$9)))/Inputs!$K$9)^2)))*Inputs!$C$52*COS(SQRT(((Inputs!$I$9+(((A45)+1)/2)*(Inputs!$J$9-Inputs!$I$9)))^2+Inputs!$C$6^2)/Inputs!$C$52)))-((Inputs!$H$9+Inputs!$L$9*(((Inputs!$I$9+(((A45)+1)/2)*(Inputs!$J$9-Inputs!$I$9)))/Inputs!$K$9)^2)))*1000/Inputs!$C$12)</x:f>
        <x:v>163708.00491582943</x:v>
      </x:c>
      <x:c r="AJ45" s="49"/>
      <x:c r="AK45" s="48" t="n">
        <x:f>A45</x:f>
        <x:v>-0.642</x:v>
      </x:c>
      <x:c r="AL45" s="48" t="n">
        <x: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x:f>
        <x:v>327.4179585006213</x:v>
      </x:c>
      <x:c r="AM45" s="48" t="n">
        <x: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x:f>
        <x:v>2563.3555763674917</x:v>
      </x:c>
      <x:c r="AN45" s="48" t="n">
        <x: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x:f>
        <x:v>3198.9689250336646</x:v>
      </x:c>
      <x:c r="AO45" s="48" t="n">
        <x: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x:f>
        <x:v>3211.390329149706</x:v>
      </x:c>
      <x:c r="AP45" s="49"/>
      <x:c r="AQ45" s="48" t="n">
        <x:f>A45</x:f>
        <x:v>-0.642</x:v>
      </x:c>
      <x:c r="AR45" s="48" t="n">
        <x:f>0</x:f>
        <x:v>0</x:v>
      </x:c>
      <x:c r="AS45" s="48" t="n">
        <x: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(0.45*SIN(2*PI()*((((Inputs!$I$6+(((A45)+1)/2)*(Inputs!$J$6-Inputs!$I$6)))/Inputs!$C$49)+Inputs!$C$47*0.137))+0.35*COS(2*PI()*(((Inputs!$C$6)/Inputs!$C$50)+Inputs!$C$47*0.173))+0.20*SIN(2*PI()*((((Inputs!$I$6+(((A45)+1)/2)*(Inputs!$J$6-Inputs!$I$6)))+(Inputs!$C$6))/(0.5*(Inputs!$C$49+Inputs!$C$50))+Inputs!$C$47*0.097)))+0.30*(2*((SIN((((Inputs!$I$6+(((A45)+1)/2)*(Inputs!$J$6-Inputs!$I$6)))*12.9898+(Inputs!$C$6)*78.233+Inputs!$C$47*37.719))*43758.5453)-INT((SIN((((Inputs!$I$6+(((A45)+1)/2)*(Inputs!$J$6-Inputs!$I$6)))*12.9898+(Inputs!$C$6)*78.233+Inputs!$C$47*37.719))*43758.5453)))-1))),NA())</x:f>
        <x:v>207.43387159269426</x:v>
      </x:c>
      <x:c r="AT45" s="48" t="n">
        <x: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(0.45*SIN(2*PI()*((((Inputs!$I$7+(((A45)+1)/2)*(Inputs!$J$7-Inputs!$I$7)))/Inputs!$C$49)+Inputs!$C$47*0.137))+0.35*COS(2*PI()*(((Inputs!$C$6)/Inputs!$C$50)+Inputs!$C$47*0.173))+0.20*SIN(2*PI()*((((Inputs!$I$7+(((A45)+1)/2)*(Inputs!$J$7-Inputs!$I$7)))+(Inputs!$C$6))/(0.5*(Inputs!$C$49+Inputs!$C$50))+Inputs!$C$47*0.097)))+0.30*(2*((SIN((((Inputs!$I$7+(((A45)+1)/2)*(Inputs!$J$7-Inputs!$I$7)))*12.9898+(Inputs!$C$6)*78.233+Inputs!$C$47*37.719))*43758.5453)-INT((SIN((((Inputs!$I$7+(((A45)+1)/2)*(Inputs!$J$7-Inputs!$I$7)))*12.9898+(Inputs!$C$6)*78.233+Inputs!$C$47*37.719))*43758.5453)))-1))),NA())</x:f>
        <x:v>105.45369627834019</x:v>
      </x:c>
      <x:c r="AU45" s="48" t="n">
        <x: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(0.45*SIN(2*PI()*((((Inputs!$I$8+(((A45)+1)/2)*(Inputs!$J$8-Inputs!$I$8)))/Inputs!$C$49)+Inputs!$C$47*0.137))+0.35*COS(2*PI()*(((Inputs!$C$6)/Inputs!$C$50)+Inputs!$C$47*0.173))+0.20*SIN(2*PI()*((((Inputs!$I$8+(((A45)+1)/2)*(Inputs!$J$8-Inputs!$I$8)))+(Inputs!$C$6))/(0.5*(Inputs!$C$49+Inputs!$C$50))+Inputs!$C$47*0.097)))+0.30*(2*((SIN((((Inputs!$I$8+(((A45)+1)/2)*(Inputs!$J$8-Inputs!$I$8)))*12.9898+(Inputs!$C$6)*78.233+Inputs!$C$47*37.719))*43758.5453)-INT((SIN((((Inputs!$I$8+(((A45)+1)/2)*(Inputs!$J$8-Inputs!$I$8)))*12.9898+(Inputs!$C$6)*78.233+Inputs!$C$47*37.719))*43758.5453)))-1))),NA())</x:f>
        <x:v>163.94457717807984</x:v>
      </x:c>
      <x:c r="AV45" s="48" t="n">
        <x: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(0.45*SIN(2*PI()*((((Inputs!$I$9+(((A45)+1)/2)*(Inputs!$J$9-Inputs!$I$9)))/Inputs!$C$49)+Inputs!$C$47*0.137))+0.35*COS(2*PI()*(((Inputs!$C$6)/Inputs!$C$50)+Inputs!$C$47*0.173))+0.20*SIN(2*PI()*((((Inputs!$I$9+(((A45)+1)/2)*(Inputs!$J$9-Inputs!$I$9)))+(Inputs!$C$6))/(0.5*(Inputs!$C$49+Inputs!$C$50))+Inputs!$C$47*0.097)))+0.30*(2*((SIN((((Inputs!$I$9+(((A45)+1)/2)*(Inputs!$J$9-Inputs!$I$9)))*12.9898+(Inputs!$C$6)*78.233+Inputs!$C$47*37.719))*43758.5453)-INT((SIN((((Inputs!$I$9+(((A45)+1)/2)*(Inputs!$J$9-Inputs!$I$9)))*12.9898+(Inputs!$C$6)*78.233+Inputs!$C$47*37.719))*43758.5453)))-1))),NA())</x:f>
        <x:v>163.94457717807984</x:v>
      </x:c>
      <x:c r="AW45" s="49"/>
      <x:c r="AX45" s="48" t="n">
        <x:f>A45</x:f>
        <x:v>-0.642</x:v>
      </x:c>
      <x:c r="AY45" s="48" t="n">
        <x:f>0</x:f>
        <x:v>0</x:v>
      </x:c>
      <x:c r="AZ45" s="48" t="n">
        <x:f>IF(OR(Inputs!$F$6=TRUE,Inputs!$F$6="TRUE",Inputs!$F$6=1),(Inputs!$H$6+Inputs!$L$6*(((Inputs!$I$6+(((A45)+1)/2)*(Inputs!$J$6-Inputs!$I$6)))/Inputs!$K$6)^2),NA())</x:f>
        <x:v>401.648656</x:v>
      </x:c>
      <x:c r="BA45" s="48" t="n">
        <x:f>IF(OR(Inputs!$F$7=TRUE,Inputs!$F$7="TRUE",Inputs!$F$7=1),(Inputs!$H$7+Inputs!$L$7*(((Inputs!$I$7+(((A45)+1)/2)*(Inputs!$J$7-Inputs!$I$7)))/Inputs!$K$7)^2),NA())</x:f>
        <x:v>185.43986</x:v>
      </x:c>
      <x:c r="BB45" s="48" t="n">
        <x:f>IF(OR(Inputs!$F$8=TRUE,Inputs!$F$8="TRUE",Inputs!$F$8=1),(Inputs!$H$8+Inputs!$L$8*(((Inputs!$I$8+(((A45)+1)/2)*(Inputs!$J$8-Inputs!$I$8)))/Inputs!$K$8)^2),NA())</x:f>
        <x:v>432.73826</x:v>
      </x:c>
      <x:c r="BC45" s="48" t="n">
        <x:f>IF(OR(Inputs!$F$9=TRUE,Inputs!$F$9="TRUE",Inputs!$F$9=1),(Inputs!$H$9+Inputs!$L$9*(((Inputs!$I$9+(((A45)+1)/2)*(Inputs!$J$9-Inputs!$I$9)))/Inputs!$K$9)^2),NA())</x:f>
        <x:v>426.85990000000004</x:v>
      </x:c>
      <x:c r="BD45" s="49"/>
      <x:c r="BE45" s="48" t="n">
        <x:f>A45</x:f>
        <x:v>-0.642</x:v>
      </x:c>
      <x:c r="BF45" s="48" t="n">
        <x:f>0</x:f>
        <x:v>0</x:v>
      </x:c>
      <x:c r="BG45" s="48"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BH45" s="48"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BI45" s="48"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BJ45" s="48"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row>
    <x:row r="46">
      <x:c r="A46" s="48" t="n">
        <x:f>ROUND(-1+44*2/240,3)</x:f>
        <x:v>-0.633</x:v>
      </x:c>
      <x:c r="B46" s="48" t="n">
        <x:f>IF(OR(Inputs!$F$6=TRUE,Inputs!$F$6="TRUE",Inputs!$F$6=1),(Inputs!$H$6+Inputs!$L$6*(((Inputs!$I$6+(((A46)+1)/2)*(Inputs!$J$6-Inputs!$I$6)))/Inputs!$K$6)^2),NA())</x:f>
        <x:v>401.602756</x:v>
      </x:c>
      <x:c r="C46" s="48" t="n">
        <x:f>IF(OR(Inputs!$F$7=TRUE,Inputs!$F$7="TRUE",Inputs!$F$7=1),(Inputs!$H$7+Inputs!$L$7*(((Inputs!$I$7+(((A46)+1)/2)*(Inputs!$J$7-Inputs!$I$7)))/Inputs!$K$7)^2),NA())</x:f>
        <x:v>181.251485</x:v>
      </x:c>
      <x:c r="D46" s="48" t="n">
        <x:f>IF(OR(Inputs!$F$8=TRUE,Inputs!$F$8="TRUE",Inputs!$F$8=1),(Inputs!$H$8+Inputs!$L$8*(((Inputs!$I$8+(((A46)+1)/2)*(Inputs!$J$8-Inputs!$I$8)))/Inputs!$K$8)^2),NA())</x:f>
        <x:v>421.664885</x:v>
      </x:c>
      <x:c r="E46" s="48" t="n">
        <x:f>IF(OR(Inputs!$F$9=TRUE,Inputs!$F$9="TRUE",Inputs!$F$9=1),(Inputs!$H$9+Inputs!$L$9*(((Inputs!$I$9+(((A46)+1)/2)*(Inputs!$J$9-Inputs!$I$9)))/Inputs!$K$9)^2),NA())</x:f>
        <x:v>415.671775</x:v>
      </x:c>
      <x:c r="F46" s="49"/>
      <x:c r="G46" s="48" t="n">
        <x:f>A46</x:f>
        <x:v>-0.633</x:v>
      </x:c>
      <x:c r="H46" s="48"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I46" s="48"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J46" s="48"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K46" s="48"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c r="L46" s="49"/>
      <x:c r="M46" s="48" t="n">
        <x:f>A46</x:f>
        <x:v>-0.633</x:v>
      </x:c>
      <x:c r="N46" s="48" t="n">
        <x: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x:f>
        <x:v>322.89189375400963</x:v>
      </x:c>
      <x:c r="O46" s="48" t="n">
        <x: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x:f>
        <x:v>2541.825013157391</x:v>
      </x:c>
      <x:c r="P46" s="48" t="n">
        <x: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x:f>
        <x:v>3164.465405255286</x:v>
      </x:c>
      <x:c r="Q46" s="48" t="n">
        <x: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x:f>
        <x:v>3176.3004946503356</x:v>
      </x:c>
      <x:c r="R46" s="49"/>
      <x:c r="S46" s="48" t="n">
        <x:f>A46</x:f>
        <x:v>-0.633</x:v>
      </x:c>
      <x:c r="T46" s="48" t="n">
        <x:f>(Inputs!$I$6+(((A46)+1)/2)*(Inputs!$J$6-Inputs!$I$6))</x:f>
        <x:v>-37.980000000000004</x:v>
      </x:c>
      <x:c r="U46" s="48" t="n">
        <x:f>(Inputs!$I$7+(((A46)+1)/2)*(Inputs!$J$7-Inputs!$I$7))</x:f>
        <x:v>-253.2</x:v>
      </x:c>
      <x:c r="V46" s="48" t="n">
        <x:f>(Inputs!$I$8+(((A46)+1)/2)*(Inputs!$J$8-Inputs!$I$8))</x:f>
        <x:v>-506.4</x:v>
      </x:c>
      <x:c r="W46" s="48" t="n">
        <x:f>(Inputs!$I$9+(((A46)+1)/2)*(Inputs!$J$9-Inputs!$I$9))</x:f>
        <x:v>-506.4</x:v>
      </x:c>
      <x:c r="X46" s="49"/>
      <x:c r="Y46" s="48" t="n">
        <x:f>A46</x:f>
        <x:v>-0.633</x:v>
      </x:c>
      <x:c r="Z46" s="48" t="n">
        <x:f>(Inputs!$H$6+Inputs!$L$6*(((Inputs!$I$6+(((A46)+1)/2)*(Inputs!$J$6-Inputs!$I$6)))/Inputs!$K$6)^2)</x:f>
        <x:v>401.602756</x:v>
      </x:c>
      <x:c r="AA46" s="48" t="n">
        <x:f>(Inputs!$H$7+Inputs!$L$7*(((Inputs!$I$7+(((A46)+1)/2)*(Inputs!$J$7-Inputs!$I$7)))/Inputs!$K$7)^2)</x:f>
        <x:v>181.251485</x:v>
      </x:c>
      <x:c r="AB46" s="48" t="n">
        <x:f>(Inputs!$H$8+Inputs!$L$8*(((Inputs!$I$8+(((A46)+1)/2)*(Inputs!$J$8-Inputs!$I$8)))/Inputs!$K$8)^2)</x:f>
        <x:v>421.664885</x:v>
      </x:c>
      <x:c r="AC46" s="48" t="n">
        <x:f>(Inputs!$H$9+Inputs!$L$9*(((Inputs!$I$9+(((A46)+1)/2)*(Inputs!$J$9-Inputs!$I$9)))/Inputs!$K$9)^2)</x:f>
        <x:v>415.671775</x:v>
      </x:c>
      <x:c r="AD46" s="49"/>
      <x:c r="AE46" s="48" t="n">
        <x:f>A46</x:f>
        <x:v>-0.633</x:v>
      </x:c>
      <x:c r="AF46" s="48" t="n">
        <x:f>(((SQRT((Inputs!$C$52+((Inputs!$H$6+Inputs!$L$6*(((Inputs!$I$6+(((A46)+1)/2)*(Inputs!$J$6-Inputs!$I$6)))/Inputs!$K$6)^2)))^2+Inputs!$C$52^2-2*(Inputs!$C$52+((Inputs!$H$6+Inputs!$L$6*(((Inputs!$I$6+(((A46)+1)/2)*(Inputs!$J$6-Inputs!$I$6)))/Inputs!$K$6)^2)))*Inputs!$C$52*COS(SQRT(((Inputs!$I$6+(((A46)+1)/2)*(Inputs!$J$6-Inputs!$I$6)))^2+Inputs!$C$6^2)/Inputs!$C$52)))-((Inputs!$H$6+Inputs!$L$6*(((Inputs!$I$6+(((A46)+1)/2)*(Inputs!$J$6-Inputs!$I$6)))/Inputs!$K$6)^2)))*1000/Inputs!$C$12)</x:f>
        <x:v>1810.7796160089886</x:v>
      </x:c>
      <x:c r="AG46" s="48" t="n">
        <x:f>(((SQRT((Inputs!$C$52+((Inputs!$H$7+Inputs!$L$7*(((Inputs!$I$7+(((A46)+1)/2)*(Inputs!$J$7-Inputs!$I$7)))/Inputs!$K$7)^2)))^2+Inputs!$C$52^2-2*(Inputs!$C$52+((Inputs!$H$7+Inputs!$L$7*(((Inputs!$I$7+(((A46)+1)/2)*(Inputs!$J$7-Inputs!$I$7)))/Inputs!$K$7)^2)))*Inputs!$C$52*COS(SQRT(((Inputs!$I$7+(((A46)+1)/2)*(Inputs!$J$7-Inputs!$I$7)))^2+Inputs!$C$6^2)/Inputs!$C$52)))-((Inputs!$H$7+Inputs!$L$7*(((Inputs!$I$7+(((A46)+1)/2)*(Inputs!$J$7-Inputs!$I$7)))/Inputs!$K$7)^2)))*1000/Inputs!$C$12)</x:f>
        <x:v>80168.92644540376</x:v>
      </x:c>
      <x:c r="AH46" s="48" t="n">
        <x:f>(((SQRT((Inputs!$C$52+((Inputs!$H$8+Inputs!$L$8*(((Inputs!$I$8+(((A46)+1)/2)*(Inputs!$J$8-Inputs!$I$8)))/Inputs!$K$8)^2)))^2+Inputs!$C$52^2-2*(Inputs!$C$52+((Inputs!$H$8+Inputs!$L$8*(((Inputs!$I$8+(((A46)+1)/2)*(Inputs!$J$8-Inputs!$I$8)))/Inputs!$K$8)^2)))*Inputs!$C$52*COS(SQRT(((Inputs!$I$8+(((A46)+1)/2)*(Inputs!$J$8-Inputs!$I$8)))^2+Inputs!$C$6^2)/Inputs!$C$52)))-((Inputs!$H$8+Inputs!$L$8*(((Inputs!$I$8+(((A46)+1)/2)*(Inputs!$J$8-Inputs!$I$8)))/Inputs!$K$8)^2)))*1000/Inputs!$C$12)</x:f>
        <x:v>160938.14162452042</x:v>
      </x:c>
      <x:c r="AI46" s="48" t="n">
        <x:f>(((SQRT((Inputs!$C$52+((Inputs!$H$9+Inputs!$L$9*(((Inputs!$I$9+(((A46)+1)/2)*(Inputs!$J$9-Inputs!$I$9)))/Inputs!$K$9)^2)))^2+Inputs!$C$52^2-2*(Inputs!$C$52+((Inputs!$H$9+Inputs!$L$9*(((Inputs!$I$9+(((A46)+1)/2)*(Inputs!$J$9-Inputs!$I$9)))/Inputs!$K$9)^2)))*Inputs!$C$52*COS(SQRT(((Inputs!$I$9+(((A46)+1)/2)*(Inputs!$J$9-Inputs!$I$9)))^2+Inputs!$C$6^2)/Inputs!$C$52)))-((Inputs!$H$9+Inputs!$L$9*(((Inputs!$I$9+(((A46)+1)/2)*(Inputs!$J$9-Inputs!$I$9)))/Inputs!$K$9)^2)))*1000/Inputs!$C$12)</x:f>
        <x:v>161919.1760910091</x:v>
      </x:c>
      <x:c r="AJ46" s="49"/>
      <x:c r="AK46" s="48" t="n">
        <x:f>A46</x:f>
        <x:v>-0.633</x:v>
      </x:c>
      <x:c r="AL46" s="48" t="n">
        <x: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x:f>
        <x:v>322.89189375400963</x:v>
      </x:c>
      <x:c r="AM46" s="48" t="n">
        <x: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x:f>
        <x:v>2541.825013157391</x:v>
      </x:c>
      <x:c r="AN46" s="48" t="n">
        <x: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x:f>
        <x:v>3164.465405255286</x:v>
      </x:c>
      <x:c r="AO46" s="48" t="n">
        <x: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x:f>
        <x:v>3176.3004946503356</x:v>
      </x:c>
      <x:c r="AP46" s="49"/>
      <x:c r="AQ46" s="48" t="n">
        <x:f>A46</x:f>
        <x:v>-0.633</x:v>
      </x:c>
      <x:c r="AR46" s="48" t="n">
        <x:f>0</x:f>
        <x:v>0</x:v>
      </x:c>
      <x:c r="AS46" s="48" t="n">
        <x: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(0.45*SIN(2*PI()*((((Inputs!$I$6+(((A46)+1)/2)*(Inputs!$J$6-Inputs!$I$6)))/Inputs!$C$49)+Inputs!$C$47*0.137))+0.35*COS(2*PI()*(((Inputs!$C$6)/Inputs!$C$50)+Inputs!$C$47*0.173))+0.20*SIN(2*PI()*((((Inputs!$I$6+(((A46)+1)/2)*(Inputs!$J$6-Inputs!$I$6)))+(Inputs!$C$6))/(0.5*(Inputs!$C$49+Inputs!$C$50))+Inputs!$C$47*0.097)))+0.30*(2*((SIN((((Inputs!$I$6+(((A46)+1)/2)*(Inputs!$J$6-Inputs!$I$6)))*12.9898+(Inputs!$C$6)*78.233+Inputs!$C$47*37.719))*43758.5453)-INT((SIN((((Inputs!$I$6+(((A46)+1)/2)*(Inputs!$J$6-Inputs!$I$6)))*12.9898+(Inputs!$C$6)*78.233+Inputs!$C$47*37.719))*43758.5453)))-1))),NA())</x:f>
        <x:v>221.80669101467785</x:v>
      </x:c>
      <x:c r="AT46" s="48" t="n">
        <x: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(0.45*SIN(2*PI()*((((Inputs!$I$7+(((A46)+1)/2)*(Inputs!$J$7-Inputs!$I$7)))/Inputs!$C$49)+Inputs!$C$47*0.137))+0.35*COS(2*PI()*(((Inputs!$C$6)/Inputs!$C$50)+Inputs!$C$47*0.173))+0.20*SIN(2*PI()*((((Inputs!$I$7+(((A46)+1)/2)*(Inputs!$J$7-Inputs!$I$7)))+(Inputs!$C$6))/(0.5*(Inputs!$C$49+Inputs!$C$50))+Inputs!$C$47*0.097)))+0.30*(2*((SIN((((Inputs!$I$7+(((A46)+1)/2)*(Inputs!$J$7-Inputs!$I$7)))*12.9898+(Inputs!$C$6)*78.233+Inputs!$C$47*37.719))*43758.5453)-INT((SIN((((Inputs!$I$7+(((A46)+1)/2)*(Inputs!$J$7-Inputs!$I$7)))*12.9898+(Inputs!$C$6)*78.233+Inputs!$C$47*37.719))*43758.5453)))-1))),NA())</x:f>
        <x:v>99.71643975295198</x:v>
      </x:c>
      <x:c r="AU46" s="48" t="n">
        <x: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(0.45*SIN(2*PI()*((((Inputs!$I$8+(((A46)+1)/2)*(Inputs!$J$8-Inputs!$I$8)))/Inputs!$C$49)+Inputs!$C$47*0.137))+0.35*COS(2*PI()*(((Inputs!$C$6)/Inputs!$C$50)+Inputs!$C$47*0.173))+0.20*SIN(2*PI()*((((Inputs!$I$8+(((A46)+1)/2)*(Inputs!$J$8-Inputs!$I$8)))+(Inputs!$C$6))/(0.5*(Inputs!$C$49+Inputs!$C$50))+Inputs!$C$47*0.097)))+0.30*(2*((SIN((((Inputs!$I$8+(((A46)+1)/2)*(Inputs!$J$8-Inputs!$I$8)))*12.9898+(Inputs!$C$6)*78.233+Inputs!$C$47*37.719))*43758.5453)-INT((SIN((((Inputs!$I$8+(((A46)+1)/2)*(Inputs!$J$8-Inputs!$I$8)))*12.9898+(Inputs!$C$6)*78.233+Inputs!$C$47*37.719))*43758.5453)))-1))),NA())</x:f>
        <x:v>62.16832576320465</x:v>
      </x:c>
      <x:c r="AV46" s="48" t="n">
        <x: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(0.45*SIN(2*PI()*((((Inputs!$I$9+(((A46)+1)/2)*(Inputs!$J$9-Inputs!$I$9)))/Inputs!$C$49)+Inputs!$C$47*0.137))+0.35*COS(2*PI()*(((Inputs!$C$6)/Inputs!$C$50)+Inputs!$C$47*0.173))+0.20*SIN(2*PI()*((((Inputs!$I$9+(((A46)+1)/2)*(Inputs!$J$9-Inputs!$I$9)))+(Inputs!$C$6))/(0.5*(Inputs!$C$49+Inputs!$C$50))+Inputs!$C$47*0.097)))+0.30*(2*((SIN((((Inputs!$I$9+(((A46)+1)/2)*(Inputs!$J$9-Inputs!$I$9)))*12.9898+(Inputs!$C$6)*78.233+Inputs!$C$47*37.719))*43758.5453)-INT((SIN((((Inputs!$I$9+(((A46)+1)/2)*(Inputs!$J$9-Inputs!$I$9)))*12.9898+(Inputs!$C$6)*78.233+Inputs!$C$47*37.719))*43758.5453)))-1))),NA())</x:f>
        <x:v>62.16832576320465</x:v>
      </x:c>
      <x:c r="AW46" s="49"/>
      <x:c r="AX46" s="48" t="n">
        <x:f>A46</x:f>
        <x:v>-0.633</x:v>
      </x:c>
      <x:c r="AY46" s="48" t="n">
        <x:f>0</x:f>
        <x:v>0</x:v>
      </x:c>
      <x:c r="AZ46" s="48" t="n">
        <x:f>IF(OR(Inputs!$F$6=TRUE,Inputs!$F$6="TRUE",Inputs!$F$6=1),(Inputs!$H$6+Inputs!$L$6*(((Inputs!$I$6+(((A46)+1)/2)*(Inputs!$J$6-Inputs!$I$6)))/Inputs!$K$6)^2),NA())</x:f>
        <x:v>401.602756</x:v>
      </x:c>
      <x:c r="BA46" s="48" t="n">
        <x:f>IF(OR(Inputs!$F$7=TRUE,Inputs!$F$7="TRUE",Inputs!$F$7=1),(Inputs!$H$7+Inputs!$L$7*(((Inputs!$I$7+(((A46)+1)/2)*(Inputs!$J$7-Inputs!$I$7)))/Inputs!$K$7)^2),NA())</x:f>
        <x:v>181.251485</x:v>
      </x:c>
      <x:c r="BB46" s="48" t="n">
        <x:f>IF(OR(Inputs!$F$8=TRUE,Inputs!$F$8="TRUE",Inputs!$F$8=1),(Inputs!$H$8+Inputs!$L$8*(((Inputs!$I$8+(((A46)+1)/2)*(Inputs!$J$8-Inputs!$I$8)))/Inputs!$K$8)^2),NA())</x:f>
        <x:v>421.664885</x:v>
      </x:c>
      <x:c r="BC46" s="48" t="n">
        <x:f>IF(OR(Inputs!$F$9=TRUE,Inputs!$F$9="TRUE",Inputs!$F$9=1),(Inputs!$H$9+Inputs!$L$9*(((Inputs!$I$9+(((A46)+1)/2)*(Inputs!$J$9-Inputs!$I$9)))/Inputs!$K$9)^2),NA())</x:f>
        <x:v>415.671775</x:v>
      </x:c>
      <x:c r="BD46" s="49"/>
      <x:c r="BE46" s="48" t="n">
        <x:f>A46</x:f>
        <x:v>-0.633</x:v>
      </x:c>
      <x:c r="BF46" s="48" t="n">
        <x:f>0</x:f>
        <x:v>0</x:v>
      </x:c>
      <x:c r="BG46" s="48"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BH46" s="48"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BI46" s="48"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BJ46" s="48"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row>
    <x:row r="47">
      <x:c r="A47" s="48" t="n">
        <x:f>ROUND(-1+45*2/240,3)</x:f>
        <x:v>-0.625</x:v>
      </x:c>
      <x:c r="B47" s="48" t="n">
        <x:f>IF(OR(Inputs!$F$6=TRUE,Inputs!$F$6="TRUE",Inputs!$F$6=1),(Inputs!$H$6+Inputs!$L$6*(((Inputs!$I$6+(((A47)+1)/2)*(Inputs!$J$6-Inputs!$I$6)))/Inputs!$K$6)^2),NA())</x:f>
        <x:v>401.5625</x:v>
      </x:c>
      <x:c r="C47" s="48" t="n">
        <x:f>IF(OR(Inputs!$F$7=TRUE,Inputs!$F$7="TRUE",Inputs!$F$7=1),(Inputs!$H$7+Inputs!$L$7*(((Inputs!$I$7+(((A47)+1)/2)*(Inputs!$J$7-Inputs!$I$7)))/Inputs!$K$7)^2),NA())</x:f>
        <x:v>177.578125</x:v>
      </x:c>
      <x:c r="D47" s="48" t="n">
        <x:f>IF(OR(Inputs!$F$8=TRUE,Inputs!$F$8="TRUE",Inputs!$F$8=1),(Inputs!$H$8+Inputs!$L$8*(((Inputs!$I$8+(((A47)+1)/2)*(Inputs!$J$8-Inputs!$I$8)))/Inputs!$K$8)^2),NA())</x:f>
        <x:v>411.953125</x:v>
      </x:c>
      <x:c r="E47" s="48" t="n">
        <x:f>IF(OR(Inputs!$F$9=TRUE,Inputs!$F$9="TRUE",Inputs!$F$9=1),(Inputs!$H$9+Inputs!$L$9*(((Inputs!$I$9+(((A47)+1)/2)*(Inputs!$J$9-Inputs!$I$9)))/Inputs!$K$9)^2),NA())</x:f>
        <x:v>405.859375</x:v>
      </x:c>
      <x:c r="F47" s="49"/>
      <x:c r="G47" s="48" t="n">
        <x:f>A47</x:f>
        <x:v>-0.625</x:v>
      </x:c>
      <x:c r="H47" s="48"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I47" s="48"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J47" s="48"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K47" s="48"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c r="L47" s="49"/>
      <x:c r="M47" s="48" t="n">
        <x:f>A47</x:f>
        <x:v>-0.625</x:v>
      </x:c>
      <x:c r="N47" s="48" t="n">
        <x: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x:f>
        <x:v>318.86649388508926</x:v>
      </x:c>
      <x:c r="O47" s="48" t="n">
        <x: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x:f>
        <x:v>2522.8127112245124</x:v>
      </x:c>
      <x:c r="P47" s="48" t="n">
        <x: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x:f>
        <x:v>3133.9425203265596</x:v>
      </x:c>
      <x:c r="Q47" s="48" t="n">
        <x: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x:f>
        <x:v>3145.2550966793397</x:v>
      </x:c>
      <x:c r="R47" s="49"/>
      <x:c r="S47" s="48" t="n">
        <x:f>A47</x:f>
        <x:v>-0.625</x:v>
      </x:c>
      <x:c r="T47" s="48" t="n">
        <x:f>(Inputs!$I$6+(((A47)+1)/2)*(Inputs!$J$6-Inputs!$I$6))</x:f>
        <x:v>-37.5</x:v>
      </x:c>
      <x:c r="U47" s="48" t="n">
        <x:f>(Inputs!$I$7+(((A47)+1)/2)*(Inputs!$J$7-Inputs!$I$7))</x:f>
        <x:v>-250</x:v>
      </x:c>
      <x:c r="V47" s="48" t="n">
        <x:f>(Inputs!$I$8+(((A47)+1)/2)*(Inputs!$J$8-Inputs!$I$8))</x:f>
        <x:v>-500</x:v>
      </x:c>
      <x:c r="W47" s="48" t="n">
        <x:f>(Inputs!$I$9+(((A47)+1)/2)*(Inputs!$J$9-Inputs!$I$9))</x:f>
        <x:v>-500</x:v>
      </x:c>
      <x:c r="X47" s="49"/>
      <x:c r="Y47" s="48" t="n">
        <x:f>A47</x:f>
        <x:v>-0.625</x:v>
      </x:c>
      <x:c r="Z47" s="48" t="n">
        <x:f>(Inputs!$H$6+Inputs!$L$6*(((Inputs!$I$6+(((A47)+1)/2)*(Inputs!$J$6-Inputs!$I$6)))/Inputs!$K$6)^2)</x:f>
        <x:v>401.5625</x:v>
      </x:c>
      <x:c r="AA47" s="48" t="n">
        <x:f>(Inputs!$H$7+Inputs!$L$7*(((Inputs!$I$7+(((A47)+1)/2)*(Inputs!$J$7-Inputs!$I$7)))/Inputs!$K$7)^2)</x:f>
        <x:v>177.578125</x:v>
      </x:c>
      <x:c r="AB47" s="48" t="n">
        <x:f>(Inputs!$H$8+Inputs!$L$8*(((Inputs!$I$8+(((A47)+1)/2)*(Inputs!$J$8-Inputs!$I$8)))/Inputs!$K$8)^2)</x:f>
        <x:v>411.953125</x:v>
      </x:c>
      <x:c r="AC47" s="48" t="n">
        <x:f>(Inputs!$H$9+Inputs!$L$9*(((Inputs!$I$9+(((A47)+1)/2)*(Inputs!$J$9-Inputs!$I$9)))/Inputs!$K$9)^2)</x:f>
        <x:v>405.859375</x:v>
      </x:c>
      <x:c r="AD47" s="49"/>
      <x:c r="AE47" s="48" t="n">
        <x:f>A47</x:f>
        <x:v>-0.625</x:v>
      </x:c>
      <x:c r="AF47" s="48" t="n">
        <x:f>(((SQRT((Inputs!$C$52+((Inputs!$H$6+Inputs!$L$6*(((Inputs!$I$6+(((A47)+1)/2)*(Inputs!$J$6-Inputs!$I$6)))/Inputs!$K$6)^2)))^2+Inputs!$C$52^2-2*(Inputs!$C$52+((Inputs!$H$6+Inputs!$L$6*(((Inputs!$I$6+(((A47)+1)/2)*(Inputs!$J$6-Inputs!$I$6)))/Inputs!$K$6)^2)))*Inputs!$C$52*COS(SQRT(((Inputs!$I$6+(((A47)+1)/2)*(Inputs!$J$6-Inputs!$I$6)))^2+Inputs!$C$6^2)/Inputs!$C$52)))-((Inputs!$H$6+Inputs!$L$6*(((Inputs!$I$6+(((A47)+1)/2)*(Inputs!$J$6-Inputs!$I$6)))/Inputs!$K$6)^2)))*1000/Inputs!$C$12)</x:f>
        <x:v>1779.3145540322525</x:v>
      </x:c>
      <x:c r="AG47" s="48" t="n">
        <x:f>(((SQRT((Inputs!$C$52+((Inputs!$H$7+Inputs!$L$7*(((Inputs!$I$7+(((A47)+1)/2)*(Inputs!$J$7-Inputs!$I$7)))/Inputs!$K$7)^2)))^2+Inputs!$C$52^2-2*(Inputs!$C$52+((Inputs!$H$7+Inputs!$L$7*(((Inputs!$I$7+(((A47)+1)/2)*(Inputs!$J$7-Inputs!$I$7)))/Inputs!$K$7)^2)))*Inputs!$C$52*COS(SQRT(((Inputs!$I$7+(((A47)+1)/2)*(Inputs!$J$7-Inputs!$I$7)))^2+Inputs!$C$6^2)/Inputs!$C$52)))-((Inputs!$H$7+Inputs!$L$7*(((Inputs!$I$7+(((A47)+1)/2)*(Inputs!$J$7-Inputs!$I$7)))/Inputs!$K$7)^2)))*1000/Inputs!$C$12)</x:f>
        <x:v>79387.3209187216</x:v>
      </x:c>
      <x:c r="AH47" s="48" t="n">
        <x:f>(((SQRT((Inputs!$C$52+((Inputs!$H$8+Inputs!$L$8*(((Inputs!$I$8+(((A47)+1)/2)*(Inputs!$J$8-Inputs!$I$8)))/Inputs!$K$8)^2)))^2+Inputs!$C$52^2-2*(Inputs!$C$52+((Inputs!$H$8+Inputs!$L$8*(((Inputs!$I$8+(((A47)+1)/2)*(Inputs!$J$8-Inputs!$I$8)))/Inputs!$K$8)^2)))*Inputs!$C$52*COS(SQRT(((Inputs!$I$8+(((A47)+1)/2)*(Inputs!$J$8-Inputs!$I$8)))^2+Inputs!$C$6^2)/Inputs!$C$52)))-((Inputs!$H$8+Inputs!$L$8*(((Inputs!$I$8+(((A47)+1)/2)*(Inputs!$J$8-Inputs!$I$8)))/Inputs!$K$8)^2)))*1000/Inputs!$C$12)</x:f>
        <x:v>159317.3500156297</x:v>
      </x:c>
      <x:c r="AI47" s="48" t="n">
        <x:f>(((SQRT((Inputs!$C$52+((Inputs!$H$9+Inputs!$L$9*(((Inputs!$I$9+(((A47)+1)/2)*(Inputs!$J$9-Inputs!$I$9)))/Inputs!$K$9)^2)))^2+Inputs!$C$52^2-2*(Inputs!$C$52+((Inputs!$H$9+Inputs!$L$9*(((Inputs!$I$9+(((A47)+1)/2)*(Inputs!$J$9-Inputs!$I$9)))/Inputs!$K$9)^2)))*Inputs!$C$52*COS(SQRT(((Inputs!$I$9+(((A47)+1)/2)*(Inputs!$J$9-Inputs!$I$9)))^2+Inputs!$C$6^2)/Inputs!$C$52)))-((Inputs!$H$9+Inputs!$L$9*(((Inputs!$I$9+(((A47)+1)/2)*(Inputs!$J$9-Inputs!$I$9)))/Inputs!$K$9)^2)))*1000/Inputs!$C$12)</x:f>
        <x:v>160328.91496968584</x:v>
      </x:c>
      <x:c r="AJ47" s="49"/>
      <x:c r="AK47" s="48" t="n">
        <x:f>A47</x:f>
        <x:v>-0.625</x:v>
      </x:c>
      <x:c r="AL47" s="48" t="n">
        <x: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x:f>
        <x:v>318.86649388508926</x:v>
      </x:c>
      <x:c r="AM47" s="48" t="n">
        <x: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x:f>
        <x:v>2522.8127112245124</x:v>
      </x:c>
      <x:c r="AN47" s="48" t="n">
        <x: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x:f>
        <x:v>3133.9425203265596</x:v>
      </x:c>
      <x:c r="AO47" s="48" t="n">
        <x: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x:f>
        <x:v>3145.2550966793397</x:v>
      </x:c>
      <x:c r="AP47" s="49"/>
      <x:c r="AQ47" s="48" t="n">
        <x:f>A47</x:f>
        <x:v>-0.625</x:v>
      </x:c>
      <x:c r="AR47" s="48" t="n">
        <x:f>0</x:f>
        <x:v>0</x:v>
      </x:c>
      <x:c r="AS47" s="48" t="n">
        <x: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(0.45*SIN(2*PI()*((((Inputs!$I$6+(((A47)+1)/2)*(Inputs!$J$6-Inputs!$I$6)))/Inputs!$C$49)+Inputs!$C$47*0.137))+0.35*COS(2*PI()*(((Inputs!$C$6)/Inputs!$C$50)+Inputs!$C$47*0.173))+0.20*SIN(2*PI()*((((Inputs!$I$6+(((A47)+1)/2)*(Inputs!$J$6-Inputs!$I$6)))+(Inputs!$C$6))/(0.5*(Inputs!$C$49+Inputs!$C$50))+Inputs!$C$47*0.097)))+0.30*(2*((SIN((((Inputs!$I$6+(((A47)+1)/2)*(Inputs!$J$6-Inputs!$I$6)))*12.9898+(Inputs!$C$6)*78.233+Inputs!$C$47*37.719))*43758.5453)-INT((SIN((((Inputs!$I$6+(((A47)+1)/2)*(Inputs!$J$6-Inputs!$I$6)))*12.9898+(Inputs!$C$6)*78.233+Inputs!$C$47*37.719))*43758.5453)))-1))),NA())</x:f>
        <x:v>239.1871485288169</x:v>
      </x:c>
      <x:c r="AT47" s="48" t="n">
        <x: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(0.45*SIN(2*PI()*((((Inputs!$I$7+(((A47)+1)/2)*(Inputs!$J$7-Inputs!$I$7)))/Inputs!$C$49)+Inputs!$C$47*0.137))+0.35*COS(2*PI()*(((Inputs!$C$6)/Inputs!$C$50)+Inputs!$C$47*0.173))+0.20*SIN(2*PI()*((((Inputs!$I$7+(((A47)+1)/2)*(Inputs!$J$7-Inputs!$I$7)))+(Inputs!$C$6))/(0.5*(Inputs!$C$49+Inputs!$C$50))+Inputs!$C$47*0.097)))+0.30*(2*((SIN((((Inputs!$I$7+(((A47)+1)/2)*(Inputs!$J$7-Inputs!$I$7)))*12.9898+(Inputs!$C$6)*78.233+Inputs!$C$47*37.719))*43758.5453)-INT((SIN((((Inputs!$I$7+(((A47)+1)/2)*(Inputs!$J$7-Inputs!$I$7)))*12.9898+(Inputs!$C$6)*78.233+Inputs!$C$47*37.719))*43758.5453)))-1))),NA())</x:f>
        <x:v>196.01945683662166</x:v>
      </x:c>
      <x:c r="AU47" s="48" t="n">
        <x: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(0.45*SIN(2*PI()*((((Inputs!$I$8+(((A47)+1)/2)*(Inputs!$J$8-Inputs!$I$8)))/Inputs!$C$49)+Inputs!$C$47*0.137))+0.35*COS(2*PI()*(((Inputs!$C$6)/Inputs!$C$50)+Inputs!$C$47*0.173))+0.20*SIN(2*PI()*((((Inputs!$I$8+(((A47)+1)/2)*(Inputs!$J$8-Inputs!$I$8)))+(Inputs!$C$6))/(0.5*(Inputs!$C$49+Inputs!$C$50))+Inputs!$C$47*0.097)))+0.30*(2*((SIN((((Inputs!$I$8+(((A47)+1)/2)*(Inputs!$J$8-Inputs!$I$8)))*12.9898+(Inputs!$C$6)*78.233+Inputs!$C$47*37.719))*43758.5453)-INT((SIN((((Inputs!$I$8+(((A47)+1)/2)*(Inputs!$J$8-Inputs!$I$8)))*12.9898+(Inputs!$C$6)*78.233+Inputs!$C$47*37.719))*43758.5453)))-1))),NA())</x:f>
        <x:v>219.11341659274927</x:v>
      </x:c>
      <x:c r="AV47" s="48" t="n">
        <x: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(0.45*SIN(2*PI()*((((Inputs!$I$9+(((A47)+1)/2)*(Inputs!$J$9-Inputs!$I$9)))/Inputs!$C$49)+Inputs!$C$47*0.137))+0.35*COS(2*PI()*(((Inputs!$C$6)/Inputs!$C$50)+Inputs!$C$47*0.173))+0.20*SIN(2*PI()*((((Inputs!$I$9+(((A47)+1)/2)*(Inputs!$J$9-Inputs!$I$9)))+(Inputs!$C$6))/(0.5*(Inputs!$C$49+Inputs!$C$50))+Inputs!$C$47*0.097)))+0.30*(2*((SIN((((Inputs!$I$9+(((A47)+1)/2)*(Inputs!$J$9-Inputs!$I$9)))*12.9898+(Inputs!$C$6)*78.233+Inputs!$C$47*37.719))*43758.5453)-INT((SIN((((Inputs!$I$9+(((A47)+1)/2)*(Inputs!$J$9-Inputs!$I$9)))*12.9898+(Inputs!$C$6)*78.233+Inputs!$C$47*37.719))*43758.5453)))-1))),NA())</x:f>
        <x:v>219.11341659274927</x:v>
      </x:c>
      <x:c r="AW47" s="49"/>
      <x:c r="AX47" s="48" t="n">
        <x:f>A47</x:f>
        <x:v>-0.625</x:v>
      </x:c>
      <x:c r="AY47" s="48" t="n">
        <x:f>0</x:f>
        <x:v>0</x:v>
      </x:c>
      <x:c r="AZ47" s="48" t="n">
        <x:f>IF(OR(Inputs!$F$6=TRUE,Inputs!$F$6="TRUE",Inputs!$F$6=1),(Inputs!$H$6+Inputs!$L$6*(((Inputs!$I$6+(((A47)+1)/2)*(Inputs!$J$6-Inputs!$I$6)))/Inputs!$K$6)^2),NA())</x:f>
        <x:v>401.5625</x:v>
      </x:c>
      <x:c r="BA47" s="48" t="n">
        <x:f>IF(OR(Inputs!$F$7=TRUE,Inputs!$F$7="TRUE",Inputs!$F$7=1),(Inputs!$H$7+Inputs!$L$7*(((Inputs!$I$7+(((A47)+1)/2)*(Inputs!$J$7-Inputs!$I$7)))/Inputs!$K$7)^2),NA())</x:f>
        <x:v>177.578125</x:v>
      </x:c>
      <x:c r="BB47" s="48" t="n">
        <x:f>IF(OR(Inputs!$F$8=TRUE,Inputs!$F$8="TRUE",Inputs!$F$8=1),(Inputs!$H$8+Inputs!$L$8*(((Inputs!$I$8+(((A47)+1)/2)*(Inputs!$J$8-Inputs!$I$8)))/Inputs!$K$8)^2),NA())</x:f>
        <x:v>411.953125</x:v>
      </x:c>
      <x:c r="BC47" s="48" t="n">
        <x:f>IF(OR(Inputs!$F$9=TRUE,Inputs!$F$9="TRUE",Inputs!$F$9=1),(Inputs!$H$9+Inputs!$L$9*(((Inputs!$I$9+(((A47)+1)/2)*(Inputs!$J$9-Inputs!$I$9)))/Inputs!$K$9)^2),NA())</x:f>
        <x:v>405.859375</x:v>
      </x:c>
      <x:c r="BD47" s="49"/>
      <x:c r="BE47" s="48" t="n">
        <x:f>A47</x:f>
        <x:v>-0.625</x:v>
      </x:c>
      <x:c r="BF47" s="48" t="n">
        <x:f>0</x:f>
        <x:v>0</x:v>
      </x:c>
      <x:c r="BG47" s="48"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BH47" s="48"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BI47" s="48"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BJ47" s="48"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row>
    <x:row r="48">
      <x:c r="A48" s="48" t="n">
        <x:f>ROUND(-1+46*2/240,3)</x:f>
        <x:v>-0.617</x:v>
      </x:c>
      <x:c r="B48" s="48" t="n">
        <x:f>IF(OR(Inputs!$F$6=TRUE,Inputs!$F$6="TRUE",Inputs!$F$6=1),(Inputs!$H$6+Inputs!$L$6*(((Inputs!$I$6+(((A48)+1)/2)*(Inputs!$J$6-Inputs!$I$6)))/Inputs!$K$6)^2),NA())</x:f>
        <x:v>401.522756</x:v>
      </x:c>
      <x:c r="C48" s="48" t="n">
        <x:f>IF(OR(Inputs!$F$7=TRUE,Inputs!$F$7="TRUE",Inputs!$F$7=1),(Inputs!$H$7+Inputs!$L$7*(((Inputs!$I$7+(((A48)+1)/2)*(Inputs!$J$7-Inputs!$I$7)))/Inputs!$K$7)^2),NA())</x:f>
        <x:v>173.951485</x:v>
      </x:c>
      <x:c r="D48" s="48" t="n">
        <x:f>IF(OR(Inputs!$F$8=TRUE,Inputs!$F$8="TRUE",Inputs!$F$8=1),(Inputs!$H$8+Inputs!$L$8*(((Inputs!$I$8+(((A48)+1)/2)*(Inputs!$J$8-Inputs!$I$8)))/Inputs!$K$8)^2),NA())</x:f>
        <x:v>402.364885</x:v>
      </x:c>
      <x:c r="E48" s="48" t="n">
        <x:f>IF(OR(Inputs!$F$9=TRUE,Inputs!$F$9="TRUE",Inputs!$F$9=1),(Inputs!$H$9+Inputs!$L$9*(((Inputs!$I$9+(((A48)+1)/2)*(Inputs!$J$9-Inputs!$I$9)))/Inputs!$K$9)^2),NA())</x:f>
        <x:v>396.171775</x:v>
      </x:c>
      <x:c r="F48" s="49"/>
      <x:c r="G48" s="48" t="n">
        <x:f>A48</x:f>
        <x:v>-0.617</x:v>
      </x:c>
      <x:c r="H48" s="48"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I48" s="48"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J48" s="48"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K48" s="48"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c r="L48" s="49"/>
      <x:c r="M48" s="48" t="n">
        <x:f>A48</x:f>
        <x:v>-0.617</x:v>
      </x:c>
      <x:c r="N48" s="48" t="n">
        <x: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x:f>
        <x:v>314.839019118417</x:v>
      </x:c>
      <x:c r="O48" s="48" t="n">
        <x: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x:f>
        <x:v>2503.920414508494</x:v>
      </x:c>
      <x:c r="P48" s="48" t="n">
        <x: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x:f>
        <x:v>3103.561961816302</x:v>
      </x:c>
      <x:c r="Q48" s="48" t="n">
        <x: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x:f>
        <x:v>3114.3508857654206</x:v>
      </x:c>
      <x:c r="R48" s="49"/>
      <x:c r="S48" s="48" t="n">
        <x:f>A48</x:f>
        <x:v>-0.617</x:v>
      </x:c>
      <x:c r="T48" s="48" t="n">
        <x:f>(Inputs!$I$6+(((A48)+1)/2)*(Inputs!$J$6-Inputs!$I$6))</x:f>
        <x:v>-37.019999999999996</x:v>
      </x:c>
      <x:c r="U48" s="48" t="n">
        <x:f>(Inputs!$I$7+(((A48)+1)/2)*(Inputs!$J$7-Inputs!$I$7))</x:f>
        <x:v>-246.8</x:v>
      </x:c>
      <x:c r="V48" s="48" t="n">
        <x:f>(Inputs!$I$8+(((A48)+1)/2)*(Inputs!$J$8-Inputs!$I$8))</x:f>
        <x:v>-493.6</x:v>
      </x:c>
      <x:c r="W48" s="48" t="n">
        <x:f>(Inputs!$I$9+(((A48)+1)/2)*(Inputs!$J$9-Inputs!$I$9))</x:f>
        <x:v>-493.6</x:v>
      </x:c>
      <x:c r="X48" s="49"/>
      <x:c r="Y48" s="48" t="n">
        <x:f>A48</x:f>
        <x:v>-0.617</x:v>
      </x:c>
      <x:c r="Z48" s="48" t="n">
        <x:f>(Inputs!$H$6+Inputs!$L$6*(((Inputs!$I$6+(((A48)+1)/2)*(Inputs!$J$6-Inputs!$I$6)))/Inputs!$K$6)^2)</x:f>
        <x:v>401.522756</x:v>
      </x:c>
      <x:c r="AA48" s="48" t="n">
        <x:f>(Inputs!$H$7+Inputs!$L$7*(((Inputs!$I$7+(((A48)+1)/2)*(Inputs!$J$7-Inputs!$I$7)))/Inputs!$K$7)^2)</x:f>
        <x:v>173.951485</x:v>
      </x:c>
      <x:c r="AB48" s="48" t="n">
        <x:f>(Inputs!$H$8+Inputs!$L$8*(((Inputs!$I$8+(((A48)+1)/2)*(Inputs!$J$8-Inputs!$I$8)))/Inputs!$K$8)^2)</x:f>
        <x:v>402.364885</x:v>
      </x:c>
      <x:c r="AC48" s="48" t="n">
        <x:f>(Inputs!$H$9+Inputs!$L$9*(((Inputs!$I$9+(((A48)+1)/2)*(Inputs!$J$9-Inputs!$I$9)))/Inputs!$K$9)^2)</x:f>
        <x:v>396.171775</x:v>
      </x:c>
      <x:c r="AD48" s="49"/>
      <x:c r="AE48" s="48" t="n">
        <x:f>A48</x:f>
        <x:v>-0.617</x:v>
      </x:c>
      <x:c r="AF48" s="48" t="n">
        <x:f>(((SQRT((Inputs!$C$52+((Inputs!$H$6+Inputs!$L$6*(((Inputs!$I$6+(((A48)+1)/2)*(Inputs!$J$6-Inputs!$I$6)))/Inputs!$K$6)^2)))^2+Inputs!$C$52^2-2*(Inputs!$C$52+((Inputs!$H$6+Inputs!$L$6*(((Inputs!$I$6+(((A48)+1)/2)*(Inputs!$J$6-Inputs!$I$6)))/Inputs!$K$6)^2)))*Inputs!$C$52*COS(SQRT(((Inputs!$I$6+(((A48)+1)/2)*(Inputs!$J$6-Inputs!$I$6)))^2+Inputs!$C$6^2)/Inputs!$C$52)))-((Inputs!$H$6+Inputs!$L$6*(((Inputs!$I$6+(((A48)+1)/2)*(Inputs!$J$6-Inputs!$I$6)))/Inputs!$K$6)^2)))*1000/Inputs!$C$12)</x:f>
        <x:v>1748.2404649752737</x:v>
      </x:c>
      <x:c r="AG48" s="48" t="n">
        <x:f>(((SQRT((Inputs!$C$52+((Inputs!$H$7+Inputs!$L$7*(((Inputs!$I$7+(((A48)+1)/2)*(Inputs!$J$7-Inputs!$I$7)))/Inputs!$K$7)^2)))^2+Inputs!$C$52^2-2*(Inputs!$C$52+((Inputs!$H$7+Inputs!$L$7*(((Inputs!$I$7+(((A48)+1)/2)*(Inputs!$J$7-Inputs!$I$7)))/Inputs!$K$7)^2)))*Inputs!$C$52*COS(SQRT(((Inputs!$I$7+(((A48)+1)/2)*(Inputs!$J$7-Inputs!$I$7)))^2+Inputs!$C$6^2)/Inputs!$C$52)))-((Inputs!$H$7+Inputs!$L$7*(((Inputs!$I$7+(((A48)+1)/2)*(Inputs!$J$7-Inputs!$I$7)))/Inputs!$K$7)^2)))*1000/Inputs!$C$12)</x:f>
        <x:v>78600.76304697616</x:v>
      </x:c>
      <x:c r="AH48" s="48" t="n">
        <x:f>(((SQRT((Inputs!$C$52+((Inputs!$H$8+Inputs!$L$8*(((Inputs!$I$8+(((A48)+1)/2)*(Inputs!$J$8-Inputs!$I$8)))/Inputs!$K$8)^2)))^2+Inputs!$C$52^2-2*(Inputs!$C$52+((Inputs!$H$8+Inputs!$L$8*(((Inputs!$I$8+(((A48)+1)/2)*(Inputs!$J$8-Inputs!$I$8)))/Inputs!$K$8)^2)))*Inputs!$C$52*COS(SQRT(((Inputs!$I$8+(((A48)+1)/2)*(Inputs!$J$8-Inputs!$I$8)))^2+Inputs!$C$6^2)/Inputs!$C$52)))-((Inputs!$H$8+Inputs!$L$8*(((Inputs!$I$8+(((A48)+1)/2)*(Inputs!$J$8-Inputs!$I$8)))/Inputs!$K$8)^2)))*1000/Inputs!$C$12)</x:f>
        <x:v>157695.59672146325</x:v>
      </x:c>
      <x:c r="AI48" s="48" t="n">
        <x:f>(((SQRT((Inputs!$C$52+((Inputs!$H$9+Inputs!$L$9*(((Inputs!$I$9+(((A48)+1)/2)*(Inputs!$J$9-Inputs!$I$9)))/Inputs!$K$9)^2)))^2+Inputs!$C$52^2-2*(Inputs!$C$52+((Inputs!$H$9+Inputs!$L$9*(((Inputs!$I$9+(((A48)+1)/2)*(Inputs!$J$9-Inputs!$I$9)))/Inputs!$K$9)^2)))*Inputs!$C$52*COS(SQRT(((Inputs!$I$9+(((A48)+1)/2)*(Inputs!$J$9-Inputs!$I$9)))^2+Inputs!$C$6^2)/Inputs!$C$52)))-((Inputs!$H$9+Inputs!$L$9*(((Inputs!$I$9+(((A48)+1)/2)*(Inputs!$J$9-Inputs!$I$9)))/Inputs!$K$9)^2)))*1000/Inputs!$C$12)</x:f>
        <x:v>158738.14855245073</x:v>
      </x:c>
      <x:c r="AJ48" s="49"/>
      <x:c r="AK48" s="48" t="n">
        <x:f>A48</x:f>
        <x:v>-0.617</x:v>
      </x:c>
      <x:c r="AL48" s="48" t="n">
        <x: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x:f>
        <x:v>314.839019118417</x:v>
      </x:c>
      <x:c r="AM48" s="48" t="n">
        <x: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x:f>
        <x:v>2503.920414508494</x:v>
      </x:c>
      <x:c r="AN48" s="48" t="n">
        <x: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x:f>
        <x:v>3103.561961816302</x:v>
      </x:c>
      <x:c r="AO48" s="48" t="n">
        <x: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x:f>
        <x:v>3114.3508857654206</x:v>
      </x:c>
      <x:c r="AP48" s="49"/>
      <x:c r="AQ48" s="48" t="n">
        <x:f>A48</x:f>
        <x:v>-0.617</x:v>
      </x:c>
      <x:c r="AR48" s="48" t="n">
        <x:f>0</x:f>
        <x:v>0</x:v>
      </x:c>
      <x:c r="AS48" s="48" t="n">
        <x: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(0.45*SIN(2*PI()*((((Inputs!$I$6+(((A48)+1)/2)*(Inputs!$J$6-Inputs!$I$6)))/Inputs!$C$49)+Inputs!$C$47*0.137))+0.35*COS(2*PI()*(((Inputs!$C$6)/Inputs!$C$50)+Inputs!$C$47*0.173))+0.20*SIN(2*PI()*((((Inputs!$I$6+(((A48)+1)/2)*(Inputs!$J$6-Inputs!$I$6)))+(Inputs!$C$6))/(0.5*(Inputs!$C$49+Inputs!$C$50))+Inputs!$C$47*0.097)))+0.30*(2*((SIN((((Inputs!$I$6+(((A48)+1)/2)*(Inputs!$J$6-Inputs!$I$6)))*12.9898+(Inputs!$C$6)*78.233+Inputs!$C$47*37.719))*43758.5453)-INT((SIN((((Inputs!$I$6+(((A48)+1)/2)*(Inputs!$J$6-Inputs!$I$6)))*12.9898+(Inputs!$C$6)*78.233+Inputs!$C$47*37.719))*43758.5453)))-1))),NA())</x:f>
        <x:v>229.91270151811244</x:v>
      </x:c>
      <x:c r="AT48" s="48" t="n">
        <x: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(0.45*SIN(2*PI()*((((Inputs!$I$7+(((A48)+1)/2)*(Inputs!$J$7-Inputs!$I$7)))/Inputs!$C$49)+Inputs!$C$47*0.137))+0.35*COS(2*PI()*(((Inputs!$C$6)/Inputs!$C$50)+Inputs!$C$47*0.173))+0.20*SIN(2*PI()*((((Inputs!$I$7+(((A48)+1)/2)*(Inputs!$J$7-Inputs!$I$7)))+(Inputs!$C$6))/(0.5*(Inputs!$C$49+Inputs!$C$50))+Inputs!$C$47*0.097)))+0.30*(2*((SIN((((Inputs!$I$7+(((A48)+1)/2)*(Inputs!$J$7-Inputs!$I$7)))*12.9898+(Inputs!$C$6)*78.233+Inputs!$C$47*37.719))*43758.5453)-INT((SIN((((Inputs!$I$7+(((A48)+1)/2)*(Inputs!$J$7-Inputs!$I$7)))*12.9898+(Inputs!$C$6)*78.233+Inputs!$C$47*37.719))*43758.5453)))-1))),NA())</x:f>
        <x:v>211.86545609886312</x:v>
      </x:c>
      <x:c r="AU48" s="48" t="n">
        <x: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(0.45*SIN(2*PI()*((((Inputs!$I$8+(((A48)+1)/2)*(Inputs!$J$8-Inputs!$I$8)))/Inputs!$C$49)+Inputs!$C$47*0.137))+0.35*COS(2*PI()*(((Inputs!$C$6)/Inputs!$C$50)+Inputs!$C$47*0.173))+0.20*SIN(2*PI()*((((Inputs!$I$8+(((A48)+1)/2)*(Inputs!$J$8-Inputs!$I$8)))+(Inputs!$C$6))/(0.5*(Inputs!$C$49+Inputs!$C$50))+Inputs!$C$47*0.097)))+0.30*(2*((SIN((((Inputs!$I$8+(((A48)+1)/2)*(Inputs!$J$8-Inputs!$I$8)))*12.9898+(Inputs!$C$6)*78.233+Inputs!$C$47*37.719))*43758.5453)-INT((SIN((((Inputs!$I$8+(((A48)+1)/2)*(Inputs!$J$8-Inputs!$I$8)))*12.9898+(Inputs!$C$6)*78.233+Inputs!$C$47*37.719))*43758.5453)))-1))),NA())</x:f>
        <x:v>99.982990803907</x:v>
      </x:c>
      <x:c r="AV48" s="48" t="n">
        <x: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(0.45*SIN(2*PI()*((((Inputs!$I$9+(((A48)+1)/2)*(Inputs!$J$9-Inputs!$I$9)))/Inputs!$C$49)+Inputs!$C$47*0.137))+0.35*COS(2*PI()*(((Inputs!$C$6)/Inputs!$C$50)+Inputs!$C$47*0.173))+0.20*SIN(2*PI()*((((Inputs!$I$9+(((A48)+1)/2)*(Inputs!$J$9-Inputs!$I$9)))+(Inputs!$C$6))/(0.5*(Inputs!$C$49+Inputs!$C$50))+Inputs!$C$47*0.097)))+0.30*(2*((SIN((((Inputs!$I$9+(((A48)+1)/2)*(Inputs!$J$9-Inputs!$I$9)))*12.9898+(Inputs!$C$6)*78.233+Inputs!$C$47*37.719))*43758.5453)-INT((SIN((((Inputs!$I$9+(((A48)+1)/2)*(Inputs!$J$9-Inputs!$I$9)))*12.9898+(Inputs!$C$6)*78.233+Inputs!$C$47*37.719))*43758.5453)))-1))),NA())</x:f>
        <x:v>99.982990803907</x:v>
      </x:c>
      <x:c r="AW48" s="49"/>
      <x:c r="AX48" s="48" t="n">
        <x:f>A48</x:f>
        <x:v>-0.617</x:v>
      </x:c>
      <x:c r="AY48" s="48" t="n">
        <x:f>0</x:f>
        <x:v>0</x:v>
      </x:c>
      <x:c r="AZ48" s="48" t="n">
        <x:f>IF(OR(Inputs!$F$6=TRUE,Inputs!$F$6="TRUE",Inputs!$F$6=1),(Inputs!$H$6+Inputs!$L$6*(((Inputs!$I$6+(((A48)+1)/2)*(Inputs!$J$6-Inputs!$I$6)))/Inputs!$K$6)^2),NA())</x:f>
        <x:v>401.522756</x:v>
      </x:c>
      <x:c r="BA48" s="48" t="n">
        <x:f>IF(OR(Inputs!$F$7=TRUE,Inputs!$F$7="TRUE",Inputs!$F$7=1),(Inputs!$H$7+Inputs!$L$7*(((Inputs!$I$7+(((A48)+1)/2)*(Inputs!$J$7-Inputs!$I$7)))/Inputs!$K$7)^2),NA())</x:f>
        <x:v>173.951485</x:v>
      </x:c>
      <x:c r="BB48" s="48" t="n">
        <x:f>IF(OR(Inputs!$F$8=TRUE,Inputs!$F$8="TRUE",Inputs!$F$8=1),(Inputs!$H$8+Inputs!$L$8*(((Inputs!$I$8+(((A48)+1)/2)*(Inputs!$J$8-Inputs!$I$8)))/Inputs!$K$8)^2),NA())</x:f>
        <x:v>402.364885</x:v>
      </x:c>
      <x:c r="BC48" s="48" t="n">
        <x:f>IF(OR(Inputs!$F$9=TRUE,Inputs!$F$9="TRUE",Inputs!$F$9=1),(Inputs!$H$9+Inputs!$L$9*(((Inputs!$I$9+(((A48)+1)/2)*(Inputs!$J$9-Inputs!$I$9)))/Inputs!$K$9)^2),NA())</x:f>
        <x:v>396.171775</x:v>
      </x:c>
      <x:c r="BD48" s="49"/>
      <x:c r="BE48" s="48" t="n">
        <x:f>A48</x:f>
        <x:v>-0.617</x:v>
      </x:c>
      <x:c r="BF48" s="48" t="n">
        <x:f>0</x:f>
        <x:v>0</x:v>
      </x:c>
      <x:c r="BG48" s="48"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BH48" s="48"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BI48" s="48"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BJ48" s="48"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row>
    <x:row r="49">
      <x:c r="A49" s="48" t="n">
        <x:f>ROUND(-1+47*2/240,3)</x:f>
        <x:v>-0.608</x:v>
      </x:c>
      <x:c r="B49" s="48" t="n">
        <x:f>IF(OR(Inputs!$F$6=TRUE,Inputs!$F$6="TRUE",Inputs!$F$6=1),(Inputs!$H$6+Inputs!$L$6*(((Inputs!$I$6+(((A49)+1)/2)*(Inputs!$J$6-Inputs!$I$6)))/Inputs!$K$6)^2),NA())</x:f>
        <x:v>401.478656</x:v>
      </x:c>
      <x:c r="C49" s="48" t="n">
        <x:f>IF(OR(Inputs!$F$7=TRUE,Inputs!$F$7="TRUE",Inputs!$F$7=1),(Inputs!$H$7+Inputs!$L$7*(((Inputs!$I$7+(((A49)+1)/2)*(Inputs!$J$7-Inputs!$I$7)))/Inputs!$K$7)^2),NA())</x:f>
        <x:v>169.92736</x:v>
      </x:c>
      <x:c r="D49" s="48" t="n">
        <x:f>IF(OR(Inputs!$F$8=TRUE,Inputs!$F$8="TRUE",Inputs!$F$8=1),(Inputs!$H$8+Inputs!$L$8*(((Inputs!$I$8+(((A49)+1)/2)*(Inputs!$J$8-Inputs!$I$8)))/Inputs!$K$8)^2),NA())</x:f>
        <x:v>391.72576</x:v>
      </x:c>
      <x:c r="E49" s="48" t="n">
        <x:f>IF(OR(Inputs!$F$9=TRUE,Inputs!$F$9="TRUE",Inputs!$F$9=1),(Inputs!$H$9+Inputs!$L$9*(((Inputs!$I$9+(((A49)+1)/2)*(Inputs!$J$9-Inputs!$I$9)))/Inputs!$K$9)^2),NA())</x:f>
        <x:v>385.4224</x:v>
      </x:c>
      <x:c r="F49" s="49"/>
      <x:c r="G49" s="48" t="n">
        <x:f>A49</x:f>
        <x:v>-0.608</x:v>
      </x:c>
      <x:c r="H49" s="48"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I49" s="48"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J49" s="48"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K49" s="48"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c r="L49" s="49"/>
      <x:c r="M49" s="48" t="n">
        <x:f>A49</x:f>
        <x:v>-0.608</x:v>
      </x:c>
      <x:c r="N49" s="48" t="n">
        <x: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x:f>
        <x:v>310.3056599289165</x:v>
      </x:c>
      <x:c r="O49" s="48" t="n">
        <x: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x:f>
        <x:v>2482.811695413021</x:v>
      </x:c>
      <x:c r="P49" s="48" t="n">
        <x: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x:f>
        <x:v>3069.558919314523</x:v>
      </x:c>
      <x:c r="Q49" s="48" t="n">
        <x: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x:f>
        <x:v>3079.757537303962</x:v>
      </x:c>
      <x:c r="R49" s="49"/>
      <x:c r="S49" s="48" t="n">
        <x:f>A49</x:f>
        <x:v>-0.608</x:v>
      </x:c>
      <x:c r="T49" s="48" t="n">
        <x:f>(Inputs!$I$6+(((A49)+1)/2)*(Inputs!$J$6-Inputs!$I$6))</x:f>
        <x:v>-36.480000000000004</x:v>
      </x:c>
      <x:c r="U49" s="48" t="n">
        <x:f>(Inputs!$I$7+(((A49)+1)/2)*(Inputs!$J$7-Inputs!$I$7))</x:f>
        <x:v>-243.2</x:v>
      </x:c>
      <x:c r="V49" s="48" t="n">
        <x:f>(Inputs!$I$8+(((A49)+1)/2)*(Inputs!$J$8-Inputs!$I$8))</x:f>
        <x:v>-486.4</x:v>
      </x:c>
      <x:c r="W49" s="48" t="n">
        <x:f>(Inputs!$I$9+(((A49)+1)/2)*(Inputs!$J$9-Inputs!$I$9))</x:f>
        <x:v>-486.4</x:v>
      </x:c>
      <x:c r="X49" s="49"/>
      <x:c r="Y49" s="48" t="n">
        <x:f>A49</x:f>
        <x:v>-0.608</x:v>
      </x:c>
      <x:c r="Z49" s="48" t="n">
        <x:f>(Inputs!$H$6+Inputs!$L$6*(((Inputs!$I$6+(((A49)+1)/2)*(Inputs!$J$6-Inputs!$I$6)))/Inputs!$K$6)^2)</x:f>
        <x:v>401.478656</x:v>
      </x:c>
      <x:c r="AA49" s="48" t="n">
        <x:f>(Inputs!$H$7+Inputs!$L$7*(((Inputs!$I$7+(((A49)+1)/2)*(Inputs!$J$7-Inputs!$I$7)))/Inputs!$K$7)^2)</x:f>
        <x:v>169.92736</x:v>
      </x:c>
      <x:c r="AB49" s="48" t="n">
        <x:f>(Inputs!$H$8+Inputs!$L$8*(((Inputs!$I$8+(((A49)+1)/2)*(Inputs!$J$8-Inputs!$I$8)))/Inputs!$K$8)^2)</x:f>
        <x:v>391.72576</x:v>
      </x:c>
      <x:c r="AC49" s="48" t="n">
        <x:f>(Inputs!$H$9+Inputs!$L$9*(((Inputs!$I$9+(((A49)+1)/2)*(Inputs!$J$9-Inputs!$I$9)))/Inputs!$K$9)^2)</x:f>
        <x:v>385.4224</x:v>
      </x:c>
      <x:c r="AD49" s="49"/>
      <x:c r="AE49" s="48" t="n">
        <x:f>A49</x:f>
        <x:v>-0.608</x:v>
      </x:c>
      <x:c r="AF49" s="48" t="n">
        <x:f>(((SQRT((Inputs!$C$52+((Inputs!$H$6+Inputs!$L$6*(((Inputs!$I$6+(((A49)+1)/2)*(Inputs!$J$6-Inputs!$I$6)))/Inputs!$K$6)^2)))^2+Inputs!$C$52^2-2*(Inputs!$C$52+((Inputs!$H$6+Inputs!$L$6*(((Inputs!$I$6+(((A49)+1)/2)*(Inputs!$J$6-Inputs!$I$6)))/Inputs!$K$6)^2)))*Inputs!$C$52*COS(SQRT(((Inputs!$I$6+(((A49)+1)/2)*(Inputs!$J$6-Inputs!$I$6)))^2+Inputs!$C$6^2)/Inputs!$C$52)))-((Inputs!$H$6+Inputs!$L$6*(((Inputs!$I$6+(((A49)+1)/2)*(Inputs!$J$6-Inputs!$I$6)))/Inputs!$K$6)^2)))*1000/Inputs!$C$12)</x:f>
        <x:v>1713.749882332817</x:v>
      </x:c>
      <x:c r="AG49" s="48" t="n">
        <x:f>(((SQRT((Inputs!$C$52+((Inputs!$H$7+Inputs!$L$7*(((Inputs!$I$7+(((A49)+1)/2)*(Inputs!$J$7-Inputs!$I$7)))/Inputs!$K$7)^2)))^2+Inputs!$C$52^2-2*(Inputs!$C$52+((Inputs!$H$7+Inputs!$L$7*(((Inputs!$I$7+(((A49)+1)/2)*(Inputs!$J$7-Inputs!$I$7)))/Inputs!$K$7)^2)))*Inputs!$C$52*COS(SQRT(((Inputs!$I$7+(((A49)+1)/2)*(Inputs!$J$7-Inputs!$I$7)))^2+Inputs!$C$6^2)/Inputs!$C$52)))-((Inputs!$H$7+Inputs!$L$7*(((Inputs!$I$7+(((A49)+1)/2)*(Inputs!$J$7-Inputs!$I$7)))/Inputs!$K$7)^2)))*1000/Inputs!$C$12)</x:f>
        <x:v>77709.79695059505</x:v>
      </x:c>
      <x:c r="AH49" s="48" t="n">
        <x:f>(((SQRT((Inputs!$C$52+((Inputs!$H$8+Inputs!$L$8*(((Inputs!$I$8+(((A49)+1)/2)*(Inputs!$J$8-Inputs!$I$8)))/Inputs!$K$8)^2)))^2+Inputs!$C$52^2-2*(Inputs!$C$52+((Inputs!$H$8+Inputs!$L$8*(((Inputs!$I$8+(((A49)+1)/2)*(Inputs!$J$8-Inputs!$I$8)))/Inputs!$K$8)^2)))*Inputs!$C$52*COS(SQRT(((Inputs!$I$8+(((A49)+1)/2)*(Inputs!$J$8-Inputs!$I$8)))^2+Inputs!$C$6^2)/Inputs!$C$52)))-((Inputs!$H$8+Inputs!$L$8*(((Inputs!$I$8+(((A49)+1)/2)*(Inputs!$J$8-Inputs!$I$8)))/Inputs!$K$8)^2)))*1000/Inputs!$C$12)</x:f>
        <x:v>155869.57061769368</x:v>
      </x:c>
      <x:c r="AI49" s="48" t="n">
        <x:f>(((SQRT((Inputs!$C$52+((Inputs!$H$9+Inputs!$L$9*(((Inputs!$I$9+(((A49)+1)/2)*(Inputs!$J$9-Inputs!$I$9)))/Inputs!$K$9)^2)))^2+Inputs!$C$52^2-2*(Inputs!$C$52+((Inputs!$H$9+Inputs!$L$9*(((Inputs!$I$9+(((A49)+1)/2)*(Inputs!$J$9-Inputs!$I$9)))/Inputs!$K$9)^2)))*Inputs!$C$52*COS(SQRT(((Inputs!$I$9+(((A49)+1)/2)*(Inputs!$J$9-Inputs!$I$9)))^2+Inputs!$C$6^2)/Inputs!$C$52)))-((Inputs!$H$9+Inputs!$L$9*(((Inputs!$I$9+(((A49)+1)/2)*(Inputs!$J$9-Inputs!$I$9)))/Inputs!$K$9)^2)))*1000/Inputs!$C$12)</x:f>
        <x:v>156947.53120706117</x:v>
      </x:c>
      <x:c r="AJ49" s="49"/>
      <x:c r="AK49" s="48" t="n">
        <x:f>A49</x:f>
        <x:v>-0.608</x:v>
      </x:c>
      <x:c r="AL49" s="48" t="n">
        <x: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x:f>
        <x:v>310.3056599289165</x:v>
      </x:c>
      <x:c r="AM49" s="48" t="n">
        <x: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x:f>
        <x:v>2482.811695413021</x:v>
      </x:c>
      <x:c r="AN49" s="48" t="n">
        <x: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x:f>
        <x:v>3069.558919314523</x:v>
      </x:c>
      <x:c r="AO49" s="48" t="n">
        <x: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x:f>
        <x:v>3079.757537303962</x:v>
      </x:c>
      <x:c r="AP49" s="49"/>
      <x:c r="AQ49" s="48" t="n">
        <x:f>A49</x:f>
        <x:v>-0.608</x:v>
      </x:c>
      <x:c r="AR49" s="48" t="n">
        <x:f>0</x:f>
        <x:v>0</x:v>
      </x:c>
      <x:c r="AS49" s="48" t="n">
        <x: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(0.45*SIN(2*PI()*((((Inputs!$I$6+(((A49)+1)/2)*(Inputs!$J$6-Inputs!$I$6)))/Inputs!$C$49)+Inputs!$C$47*0.137))+0.35*COS(2*PI()*(((Inputs!$C$6)/Inputs!$C$50)+Inputs!$C$47*0.173))+0.20*SIN(2*PI()*((((Inputs!$I$6+(((A49)+1)/2)*(Inputs!$J$6-Inputs!$I$6)))+(Inputs!$C$6))/(0.5*(Inputs!$C$49+Inputs!$C$50))+Inputs!$C$47*0.097)))+0.30*(2*((SIN((((Inputs!$I$6+(((A49)+1)/2)*(Inputs!$J$6-Inputs!$I$6)))*12.9898+(Inputs!$C$6)*78.233+Inputs!$C$47*37.719))*43758.5453)-INT((SIN((((Inputs!$I$6+(((A49)+1)/2)*(Inputs!$J$6-Inputs!$I$6)))*12.9898+(Inputs!$C$6)*78.233+Inputs!$C$47*37.719))*43758.5453)))-1))),NA())</x:f>
        <x:v>251.17538260809548</x:v>
      </x:c>
      <x:c r="AT49" s="48" t="n">
        <x: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(0.45*SIN(2*PI()*((((Inputs!$I$7+(((A49)+1)/2)*(Inputs!$J$7-Inputs!$I$7)))/Inputs!$C$49)+Inputs!$C$47*0.137))+0.35*COS(2*PI()*(((Inputs!$C$6)/Inputs!$C$50)+Inputs!$C$47*0.173))+0.20*SIN(2*PI()*((((Inputs!$I$7+(((A49)+1)/2)*(Inputs!$J$7-Inputs!$I$7)))+(Inputs!$C$6))/(0.5*(Inputs!$C$49+Inputs!$C$50))+Inputs!$C$47*0.097)))+0.30*(2*((SIN((((Inputs!$I$7+(((A49)+1)/2)*(Inputs!$J$7-Inputs!$I$7)))*12.9898+(Inputs!$C$6)*78.233+Inputs!$C$47*37.719))*43758.5453)-INT((SIN((((Inputs!$I$7+(((A49)+1)/2)*(Inputs!$J$7-Inputs!$I$7)))*12.9898+(Inputs!$C$6)*78.233+Inputs!$C$47*37.719))*43758.5453)))-1))),NA())</x:f>
        <x:v>117.54168733327995</x:v>
      </x:c>
      <x:c r="AU49" s="48" t="n">
        <x: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(0.45*SIN(2*PI()*((((Inputs!$I$8+(((A49)+1)/2)*(Inputs!$J$8-Inputs!$I$8)))/Inputs!$C$49)+Inputs!$C$47*0.137))+0.35*COS(2*PI()*(((Inputs!$C$6)/Inputs!$C$50)+Inputs!$C$47*0.173))+0.20*SIN(2*PI()*((((Inputs!$I$8+(((A49)+1)/2)*(Inputs!$J$8-Inputs!$I$8)))+(Inputs!$C$6))/(0.5*(Inputs!$C$49+Inputs!$C$50))+Inputs!$C$47*0.097)))+0.30*(2*((SIN((((Inputs!$I$8+(((A49)+1)/2)*(Inputs!$J$8-Inputs!$I$8)))*12.9898+(Inputs!$C$6)*78.233+Inputs!$C$47*37.719))*43758.5453)-INT((SIN((((Inputs!$I$8+(((A49)+1)/2)*(Inputs!$J$8-Inputs!$I$8)))*12.9898+(Inputs!$C$6)*78.233+Inputs!$C$47*37.719))*43758.5453)))-1))),NA())</x:f>
        <x:v>155.64899651393102</x:v>
      </x:c>
      <x:c r="AV49" s="48" t="n">
        <x: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(0.45*SIN(2*PI()*((((Inputs!$I$9+(((A49)+1)/2)*(Inputs!$J$9-Inputs!$I$9)))/Inputs!$C$49)+Inputs!$C$47*0.137))+0.35*COS(2*PI()*(((Inputs!$C$6)/Inputs!$C$50)+Inputs!$C$47*0.173))+0.20*SIN(2*PI()*((((Inputs!$I$9+(((A49)+1)/2)*(Inputs!$J$9-Inputs!$I$9)))+(Inputs!$C$6))/(0.5*(Inputs!$C$49+Inputs!$C$50))+Inputs!$C$47*0.097)))+0.30*(2*((SIN((((Inputs!$I$9+(((A49)+1)/2)*(Inputs!$J$9-Inputs!$I$9)))*12.9898+(Inputs!$C$6)*78.233+Inputs!$C$47*37.719))*43758.5453)-INT((SIN((((Inputs!$I$9+(((A49)+1)/2)*(Inputs!$J$9-Inputs!$I$9)))*12.9898+(Inputs!$C$6)*78.233+Inputs!$C$47*37.719))*43758.5453)))-1))),NA())</x:f>
        <x:v>155.64899651393102</x:v>
      </x:c>
      <x:c r="AW49" s="49"/>
      <x:c r="AX49" s="48" t="n">
        <x:f>A49</x:f>
        <x:v>-0.608</x:v>
      </x:c>
      <x:c r="AY49" s="48" t="n">
        <x:f>0</x:f>
        <x:v>0</x:v>
      </x:c>
      <x:c r="AZ49" s="48" t="n">
        <x:f>IF(OR(Inputs!$F$6=TRUE,Inputs!$F$6="TRUE",Inputs!$F$6=1),(Inputs!$H$6+Inputs!$L$6*(((Inputs!$I$6+(((A49)+1)/2)*(Inputs!$J$6-Inputs!$I$6)))/Inputs!$K$6)^2),NA())</x:f>
        <x:v>401.478656</x:v>
      </x:c>
      <x:c r="BA49" s="48" t="n">
        <x:f>IF(OR(Inputs!$F$7=TRUE,Inputs!$F$7="TRUE",Inputs!$F$7=1),(Inputs!$H$7+Inputs!$L$7*(((Inputs!$I$7+(((A49)+1)/2)*(Inputs!$J$7-Inputs!$I$7)))/Inputs!$K$7)^2),NA())</x:f>
        <x:v>169.92736</x:v>
      </x:c>
      <x:c r="BB49" s="48" t="n">
        <x:f>IF(OR(Inputs!$F$8=TRUE,Inputs!$F$8="TRUE",Inputs!$F$8=1),(Inputs!$H$8+Inputs!$L$8*(((Inputs!$I$8+(((A49)+1)/2)*(Inputs!$J$8-Inputs!$I$8)))/Inputs!$K$8)^2),NA())</x:f>
        <x:v>391.72576</x:v>
      </x:c>
      <x:c r="BC49" s="48" t="n">
        <x:f>IF(OR(Inputs!$F$9=TRUE,Inputs!$F$9="TRUE",Inputs!$F$9=1),(Inputs!$H$9+Inputs!$L$9*(((Inputs!$I$9+(((A49)+1)/2)*(Inputs!$J$9-Inputs!$I$9)))/Inputs!$K$9)^2),NA())</x:f>
        <x:v>385.4224</x:v>
      </x:c>
      <x:c r="BD49" s="49"/>
      <x:c r="BE49" s="48" t="n">
        <x:f>A49</x:f>
        <x:v>-0.608</x:v>
      </x:c>
      <x:c r="BF49" s="48" t="n">
        <x:f>0</x:f>
        <x:v>0</x:v>
      </x:c>
      <x:c r="BG49" s="48"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BH49" s="48"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BI49" s="48"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BJ49" s="48"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row>
    <x:row r="50">
      <x:c r="A50" s="48" t="n">
        <x:f>ROUND(-1+48*2/240,3)</x:f>
        <x:v>-0.6</x:v>
      </x:c>
      <x:c r="B50" s="48" t="n">
        <x:f>IF(OR(Inputs!$F$6=TRUE,Inputs!$F$6="TRUE",Inputs!$F$6=1),(Inputs!$H$6+Inputs!$L$6*(((Inputs!$I$6+(((A50)+1)/2)*(Inputs!$J$6-Inputs!$I$6)))/Inputs!$K$6)^2),NA())</x:f>
        <x:v>401.44</x:v>
      </x:c>
      <x:c r="C50" s="48" t="n">
        <x:f>IF(OR(Inputs!$F$7=TRUE,Inputs!$F$7="TRUE",Inputs!$F$7=1),(Inputs!$H$7+Inputs!$L$7*(((Inputs!$I$7+(((A50)+1)/2)*(Inputs!$J$7-Inputs!$I$7)))/Inputs!$K$7)^2),NA())</x:f>
        <x:v>166.4</x:v>
      </x:c>
      <x:c r="D50" s="48" t="n">
        <x:f>IF(OR(Inputs!$F$8=TRUE,Inputs!$F$8="TRUE",Inputs!$F$8=1),(Inputs!$H$8+Inputs!$L$8*(((Inputs!$I$8+(((A50)+1)/2)*(Inputs!$J$8-Inputs!$I$8)))/Inputs!$K$8)^2),NA())</x:f>
        <x:v>382.4</x:v>
      </x:c>
      <x:c r="E50" s="48" t="n">
        <x:f>IF(OR(Inputs!$F$9=TRUE,Inputs!$F$9="TRUE",Inputs!$F$9=1),(Inputs!$H$9+Inputs!$L$9*(((Inputs!$I$9+(((A50)+1)/2)*(Inputs!$J$9-Inputs!$I$9)))/Inputs!$K$9)^2),NA())</x:f>
        <x:v>376</x:v>
      </x:c>
      <x:c r="F50" s="49"/>
      <x:c r="G50" s="48" t="n">
        <x:f>A50</x:f>
        <x:v>-0.6</x:v>
      </x:c>
      <x:c r="H50" s="48"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I50" s="48"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J50" s="48"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K50" s="48"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c r="L50" s="49"/>
      <x:c r="M50" s="48" t="n">
        <x:f>A50</x:f>
        <x:v>-0.6</x:v>
      </x:c>
      <x:c r="N50" s="48" t="n">
        <x: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x:f>
        <x:v>306.2738563044615</x:v>
      </x:c>
      <x:c r="O50" s="48" t="n">
        <x: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x:f>
        <x:v>2464.1788169406414</x:v>
      </x:c>
      <x:c r="P50" s="48" t="n">
        <x: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x:f>
        <x:v>3039.4941303040473</x:v>
      </x:c>
      <x:c r="Q50" s="48" t="n">
        <x: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x:f>
        <x:v>3049.167127652456</x:v>
      </x:c>
      <x:c r="R50" s="49"/>
      <x:c r="S50" s="48" t="n">
        <x:f>A50</x:f>
        <x:v>-0.6</x:v>
      </x:c>
      <x:c r="T50" s="48" t="n">
        <x:f>(Inputs!$I$6+(((A50)+1)/2)*(Inputs!$J$6-Inputs!$I$6))</x:f>
        <x:v>-36</x:v>
      </x:c>
      <x:c r="U50" s="48" t="n">
        <x:f>(Inputs!$I$7+(((A50)+1)/2)*(Inputs!$J$7-Inputs!$I$7))</x:f>
        <x:v>-240</x:v>
      </x:c>
      <x:c r="V50" s="48" t="n">
        <x:f>(Inputs!$I$8+(((A50)+1)/2)*(Inputs!$J$8-Inputs!$I$8))</x:f>
        <x:v>-480</x:v>
      </x:c>
      <x:c r="W50" s="48" t="n">
        <x:f>(Inputs!$I$9+(((A50)+1)/2)*(Inputs!$J$9-Inputs!$I$9))</x:f>
        <x:v>-480</x:v>
      </x:c>
      <x:c r="X50" s="49"/>
      <x:c r="Y50" s="48" t="n">
        <x:f>A50</x:f>
        <x:v>-0.6</x:v>
      </x:c>
      <x:c r="Z50" s="48" t="n">
        <x:f>(Inputs!$H$6+Inputs!$L$6*(((Inputs!$I$6+(((A50)+1)/2)*(Inputs!$J$6-Inputs!$I$6)))/Inputs!$K$6)^2)</x:f>
        <x:v>401.44</x:v>
      </x:c>
      <x:c r="AA50" s="48" t="n">
        <x:f>(Inputs!$H$7+Inputs!$L$7*(((Inputs!$I$7+(((A50)+1)/2)*(Inputs!$J$7-Inputs!$I$7)))/Inputs!$K$7)^2)</x:f>
        <x:v>166.4</x:v>
      </x:c>
      <x:c r="AB50" s="48" t="n">
        <x:f>(Inputs!$H$8+Inputs!$L$8*(((Inputs!$I$8+(((A50)+1)/2)*(Inputs!$J$8-Inputs!$I$8)))/Inputs!$K$8)^2)</x:f>
        <x:v>382.4</x:v>
      </x:c>
      <x:c r="AC50" s="48" t="n">
        <x:f>(Inputs!$H$9+Inputs!$L$9*(((Inputs!$I$9+(((A50)+1)/2)*(Inputs!$J$9-Inputs!$I$9)))/Inputs!$K$9)^2)</x:f>
        <x:v>376</x:v>
      </x:c>
      <x:c r="AD50" s="49"/>
      <x:c r="AE50" s="48" t="n">
        <x:f>A50</x:f>
        <x:v>-0.6</x:v>
      </x:c>
      <x:c r="AF50" s="48" t="n">
        <x:f>(((SQRT((Inputs!$C$52+((Inputs!$H$6+Inputs!$L$6*(((Inputs!$I$6+(((A50)+1)/2)*(Inputs!$J$6-Inputs!$I$6)))/Inputs!$K$6)^2)))^2+Inputs!$C$52^2-2*(Inputs!$C$52+((Inputs!$H$6+Inputs!$L$6*(((Inputs!$I$6+(((A50)+1)/2)*(Inputs!$J$6-Inputs!$I$6)))/Inputs!$K$6)^2)))*Inputs!$C$52*COS(SQRT(((Inputs!$I$6+(((A50)+1)/2)*(Inputs!$J$6-Inputs!$I$6)))^2+Inputs!$C$6^2)/Inputs!$C$52)))-((Inputs!$H$6+Inputs!$L$6*(((Inputs!$I$6+(((A50)+1)/2)*(Inputs!$J$6-Inputs!$I$6)))/Inputs!$K$6)^2)))*1000/Inputs!$C$12)</x:f>
        <x:v>1683.507760020096</x:v>
      </x:c>
      <x:c r="AG50" s="48" t="n">
        <x:f>(((SQRT((Inputs!$C$52+((Inputs!$H$7+Inputs!$L$7*(((Inputs!$I$7+(((A50)+1)/2)*(Inputs!$J$7-Inputs!$I$7)))/Inputs!$K$7)^2)))^2+Inputs!$C$52^2-2*(Inputs!$C$52+((Inputs!$H$7+Inputs!$L$7*(((Inputs!$I$7+(((A50)+1)/2)*(Inputs!$J$7-Inputs!$I$7)))/Inputs!$K$7)^2)))*Inputs!$C$52*COS(SQRT(((Inputs!$I$7+(((A50)+1)/2)*(Inputs!$J$7-Inputs!$I$7)))^2+Inputs!$C$6^2)/Inputs!$C$52)))-((Inputs!$H$7+Inputs!$L$7*(((Inputs!$I$7+(((A50)+1)/2)*(Inputs!$J$7-Inputs!$I$7)))/Inputs!$K$7)^2)))*1000/Inputs!$C$12)</x:f>
        <x:v>76912.26327711933</x:v>
      </x:c>
      <x:c r="AH50" s="48" t="n">
        <x:f>(((SQRT((Inputs!$C$52+((Inputs!$H$8+Inputs!$L$8*(((Inputs!$I$8+(((A50)+1)/2)*(Inputs!$J$8-Inputs!$I$8)))/Inputs!$K$8)^2)))^2+Inputs!$C$52^2-2*(Inputs!$C$52+((Inputs!$H$8+Inputs!$L$8*(((Inputs!$I$8+(((A50)+1)/2)*(Inputs!$J$8-Inputs!$I$8)))/Inputs!$K$8)^2)))*Inputs!$C$52*COS(SQRT(((Inputs!$I$8+(((A50)+1)/2)*(Inputs!$J$8-Inputs!$I$8)))^2+Inputs!$C$6^2)/Inputs!$C$52)))-((Inputs!$H$8+Inputs!$L$8*(((Inputs!$I$8+(((A50)+1)/2)*(Inputs!$J$8-Inputs!$I$8)))/Inputs!$K$8)^2)))*1000/Inputs!$C$12)</x:f>
        <x:v>154244.68572170875</x:v>
      </x:c>
      <x:c r="AI50" s="48" t="n">
        <x:f>(((SQRT((Inputs!$C$52+((Inputs!$H$9+Inputs!$L$9*(((Inputs!$I$9+(((A50)+1)/2)*(Inputs!$J$9-Inputs!$I$9)))/Inputs!$K$9)^2)))^2+Inputs!$C$52^2-2*(Inputs!$C$52+((Inputs!$H$9+Inputs!$L$9*(((Inputs!$I$9+(((A50)+1)/2)*(Inputs!$J$9-Inputs!$I$9)))/Inputs!$K$9)^2)))*Inputs!$C$52*COS(SQRT(((Inputs!$I$9+(((A50)+1)/2)*(Inputs!$J$9-Inputs!$I$9)))^2+Inputs!$C$6^2)/Inputs!$C$52)))-((Inputs!$H$9+Inputs!$L$9*(((Inputs!$I$9+(((A50)+1)/2)*(Inputs!$J$9-Inputs!$I$9)))/Inputs!$K$9)^2)))*1000/Inputs!$C$12)</x:f>
        <x:v>155354.61064431272</x:v>
      </x:c>
      <x:c r="AJ50" s="49"/>
      <x:c r="AK50" s="48" t="n">
        <x:f>A50</x:f>
        <x:v>-0.6</x:v>
      </x:c>
      <x:c r="AL50" s="48" t="n">
        <x: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x:f>
        <x:v>306.2738563044615</x:v>
      </x:c>
      <x:c r="AM50" s="48" t="n">
        <x: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x:f>
        <x:v>2464.1788169406414</x:v>
      </x:c>
      <x:c r="AN50" s="48" t="n">
        <x: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x:f>
        <x:v>3039.4941303040473</x:v>
      </x:c>
      <x:c r="AO50" s="48" t="n">
        <x: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x:f>
        <x:v>3049.167127652456</x:v>
      </x:c>
      <x:c r="AP50" s="49"/>
      <x:c r="AQ50" s="48" t="n">
        <x:f>A50</x:f>
        <x:v>-0.6</x:v>
      </x:c>
      <x:c r="AR50" s="48" t="n">
        <x:f>0</x:f>
        <x:v>0</x:v>
      </x:c>
      <x:c r="AS50" s="48" t="n">
        <x: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(0.45*SIN(2*PI()*((((Inputs!$I$6+(((A50)+1)/2)*(Inputs!$J$6-Inputs!$I$6)))/Inputs!$C$49)+Inputs!$C$47*0.137))+0.35*COS(2*PI()*(((Inputs!$C$6)/Inputs!$C$50)+Inputs!$C$47*0.173))+0.20*SIN(2*PI()*((((Inputs!$I$6+(((A50)+1)/2)*(Inputs!$J$6-Inputs!$I$6)))+(Inputs!$C$6))/(0.5*(Inputs!$C$49+Inputs!$C$50))+Inputs!$C$47*0.097)))+0.30*(2*((SIN((((Inputs!$I$6+(((A50)+1)/2)*(Inputs!$J$6-Inputs!$I$6)))*12.9898+(Inputs!$C$6)*78.233+Inputs!$C$47*37.719))*43758.5453)-INT((SIN((((Inputs!$I$6+(((A50)+1)/2)*(Inputs!$J$6-Inputs!$I$6)))*12.9898+(Inputs!$C$6)*78.233+Inputs!$C$47*37.719))*43758.5453)))-1))),NA())</x:f>
        <x:v>273.24610443212225</x:v>
      </x:c>
      <x:c r="AT50" s="48" t="n">
        <x: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(0.45*SIN(2*PI()*((((Inputs!$I$7+(((A50)+1)/2)*(Inputs!$J$7-Inputs!$I$7)))/Inputs!$C$49)+Inputs!$C$47*0.137))+0.35*COS(2*PI()*(((Inputs!$C$6)/Inputs!$C$50)+Inputs!$C$47*0.173))+0.20*SIN(2*PI()*((((Inputs!$I$7+(((A50)+1)/2)*(Inputs!$J$7-Inputs!$I$7)))+(Inputs!$C$6))/(0.5*(Inputs!$C$49+Inputs!$C$50))+Inputs!$C$47*0.097)))+0.30*(2*((SIN((((Inputs!$I$7+(((A50)+1)/2)*(Inputs!$J$7-Inputs!$I$7)))*12.9898+(Inputs!$C$6)*78.233+Inputs!$C$47*37.719))*43758.5453)-INT((SIN((((Inputs!$I$7+(((A50)+1)/2)*(Inputs!$J$7-Inputs!$I$7)))*12.9898+(Inputs!$C$6)*78.233+Inputs!$C$47*37.719))*43758.5453)))-1))),NA())</x:f>
        <x:v>69.60354848630779</x:v>
      </x:c>
      <x:c r="AU50" s="48" t="n">
        <x: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(0.45*SIN(2*PI()*((((Inputs!$I$8+(((A50)+1)/2)*(Inputs!$J$8-Inputs!$I$8)))/Inputs!$C$49)+Inputs!$C$47*0.137))+0.35*COS(2*PI()*(((Inputs!$C$6)/Inputs!$C$50)+Inputs!$C$47*0.173))+0.20*SIN(2*PI()*((((Inputs!$I$8+(((A50)+1)/2)*(Inputs!$J$8-Inputs!$I$8)))+(Inputs!$C$6))/(0.5*(Inputs!$C$49+Inputs!$C$50))+Inputs!$C$47*0.097)))+0.30*(2*((SIN((((Inputs!$I$8+(((A50)+1)/2)*(Inputs!$J$8-Inputs!$I$8)))*12.9898+(Inputs!$C$6)*78.233+Inputs!$C$47*37.719))*43758.5453)-INT((SIN((((Inputs!$I$8+(((A50)+1)/2)*(Inputs!$J$8-Inputs!$I$8)))*12.9898+(Inputs!$C$6)*78.233+Inputs!$C$47*37.719))*43758.5453)))-1))),NA())</x:f>
        <x:v>194.43846107375953</x:v>
      </x:c>
      <x:c r="AV50" s="48" t="n">
        <x: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(0.45*SIN(2*PI()*((((Inputs!$I$9+(((A50)+1)/2)*(Inputs!$J$9-Inputs!$I$9)))/Inputs!$C$49)+Inputs!$C$47*0.137))+0.35*COS(2*PI()*(((Inputs!$C$6)/Inputs!$C$50)+Inputs!$C$47*0.173))+0.20*SIN(2*PI()*((((Inputs!$I$9+(((A50)+1)/2)*(Inputs!$J$9-Inputs!$I$9)))+(Inputs!$C$6))/(0.5*(Inputs!$C$49+Inputs!$C$50))+Inputs!$C$47*0.097)))+0.30*(2*((SIN((((Inputs!$I$9+(((A50)+1)/2)*(Inputs!$J$9-Inputs!$I$9)))*12.9898+(Inputs!$C$6)*78.233+Inputs!$C$47*37.719))*43758.5453)-INT((SIN((((Inputs!$I$9+(((A50)+1)/2)*(Inputs!$J$9-Inputs!$I$9)))*12.9898+(Inputs!$C$6)*78.233+Inputs!$C$47*37.719))*43758.5453)))-1))),NA())</x:f>
        <x:v>194.43846107375953</x:v>
      </x:c>
      <x:c r="AW50" s="49"/>
      <x:c r="AX50" s="48" t="n">
        <x:f>A50</x:f>
        <x:v>-0.6</x:v>
      </x:c>
      <x:c r="AY50" s="48" t="n">
        <x:f>0</x:f>
        <x:v>0</x:v>
      </x:c>
      <x:c r="AZ50" s="48" t="n">
        <x:f>IF(OR(Inputs!$F$6=TRUE,Inputs!$F$6="TRUE",Inputs!$F$6=1),(Inputs!$H$6+Inputs!$L$6*(((Inputs!$I$6+(((A50)+1)/2)*(Inputs!$J$6-Inputs!$I$6)))/Inputs!$K$6)^2),NA())</x:f>
        <x:v>401.44</x:v>
      </x:c>
      <x:c r="BA50" s="48" t="n">
        <x:f>IF(OR(Inputs!$F$7=TRUE,Inputs!$F$7="TRUE",Inputs!$F$7=1),(Inputs!$H$7+Inputs!$L$7*(((Inputs!$I$7+(((A50)+1)/2)*(Inputs!$J$7-Inputs!$I$7)))/Inputs!$K$7)^2),NA())</x:f>
        <x:v>166.4</x:v>
      </x:c>
      <x:c r="BB50" s="48" t="n">
        <x:f>IF(OR(Inputs!$F$8=TRUE,Inputs!$F$8="TRUE",Inputs!$F$8=1),(Inputs!$H$8+Inputs!$L$8*(((Inputs!$I$8+(((A50)+1)/2)*(Inputs!$J$8-Inputs!$I$8)))/Inputs!$K$8)^2),NA())</x:f>
        <x:v>382.4</x:v>
      </x:c>
      <x:c r="BC50" s="48" t="n">
        <x:f>IF(OR(Inputs!$F$9=TRUE,Inputs!$F$9="TRUE",Inputs!$F$9=1),(Inputs!$H$9+Inputs!$L$9*(((Inputs!$I$9+(((A50)+1)/2)*(Inputs!$J$9-Inputs!$I$9)))/Inputs!$K$9)^2),NA())</x:f>
        <x:v>376</x:v>
      </x:c>
      <x:c r="BD50" s="49"/>
      <x:c r="BE50" s="48" t="n">
        <x:f>A50</x:f>
        <x:v>-0.6</x:v>
      </x:c>
      <x:c r="BF50" s="48" t="n">
        <x:f>0</x:f>
        <x:v>0</x:v>
      </x:c>
      <x:c r="BG50" s="48"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BH50" s="48"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BI50" s="48"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BJ50" s="48"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row>
    <x:row r="51">
      <x:c r="A51" s="48" t="n">
        <x:f>ROUND(-1+49*2/240,3)</x:f>
        <x:v>-0.592</x:v>
      </x:c>
      <x:c r="B51" s="48" t="n">
        <x:f>IF(OR(Inputs!$F$6=TRUE,Inputs!$F$6="TRUE",Inputs!$F$6=1),(Inputs!$H$6+Inputs!$L$6*(((Inputs!$I$6+(((A51)+1)/2)*(Inputs!$J$6-Inputs!$I$6)))/Inputs!$K$6)^2),NA())</x:f>
        <x:v>401.401856</x:v>
      </x:c>
      <x:c r="C51" s="48" t="n">
        <x:f>IF(OR(Inputs!$F$7=TRUE,Inputs!$F$7="TRUE",Inputs!$F$7=1),(Inputs!$H$7+Inputs!$L$7*(((Inputs!$I$7+(((A51)+1)/2)*(Inputs!$J$7-Inputs!$I$7)))/Inputs!$K$7)^2),NA())</x:f>
        <x:v>162.91935999999998</x:v>
      </x:c>
      <x:c r="D51" s="48" t="n">
        <x:f>IF(OR(Inputs!$F$8=TRUE,Inputs!$F$8="TRUE",Inputs!$F$8=1),(Inputs!$H$8+Inputs!$L$8*(((Inputs!$I$8+(((A51)+1)/2)*(Inputs!$J$8-Inputs!$I$8)))/Inputs!$K$8)^2),NA())</x:f>
        <x:v>373.19775999999996</x:v>
      </x:c>
      <x:c r="E51" s="48" t="n">
        <x:f>IF(OR(Inputs!$F$9=TRUE,Inputs!$F$9="TRUE",Inputs!$F$9=1),(Inputs!$H$9+Inputs!$L$9*(((Inputs!$I$9+(((A51)+1)/2)*(Inputs!$J$9-Inputs!$I$9)))/Inputs!$K$9)^2),NA())</x:f>
        <x:v>366.70239999999995</x:v>
      </x:c>
      <x:c r="F51" s="49"/>
      <x:c r="G51" s="48" t="n">
        <x:f>A51</x:f>
        <x:v>-0.592</x:v>
      </x:c>
      <x:c r="H51" s="48"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I51" s="48"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J51" s="48"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K51" s="48"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c r="L51" s="49"/>
      <x:c r="M51" s="48" t="n">
        <x:f>A51</x:f>
        <x:v>-0.592</x:v>
      </x:c>
      <x:c r="N51" s="48" t="n">
        <x: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x:f>
        <x:v>302.2400535496661</x:v>
      </x:c>
      <x:c r="O51" s="48" t="n">
        <x: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x:f>
        <x:v>2445.6699934567796</x:v>
      </x:c>
      <x:c r="P51" s="48" t="n">
        <x: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x:f>
        <x:v>3009.5843898456515</x:v>
      </x:c>
      <x:c r="Q51" s="48" t="n">
        <x: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x:f>
        <x:v>3018.731079142167</x:v>
      </x:c>
      <x:c r="R51" s="49"/>
      <x:c r="S51" s="48" t="n">
        <x:f>A51</x:f>
        <x:v>-0.592</x:v>
      </x:c>
      <x:c r="T51" s="48" t="n">
        <x:f>(Inputs!$I$6+(((A51)+1)/2)*(Inputs!$J$6-Inputs!$I$6))</x:f>
        <x:v>-35.519999999999996</x:v>
      </x:c>
      <x:c r="U51" s="48" t="n">
        <x:f>(Inputs!$I$7+(((A51)+1)/2)*(Inputs!$J$7-Inputs!$I$7))</x:f>
        <x:v>-236.79999999999998</x:v>
      </x:c>
      <x:c r="V51" s="48" t="n">
        <x:f>(Inputs!$I$8+(((A51)+1)/2)*(Inputs!$J$8-Inputs!$I$8))</x:f>
        <x:v>-473.59999999999997</x:v>
      </x:c>
      <x:c r="W51" s="48" t="n">
        <x:f>(Inputs!$I$9+(((A51)+1)/2)*(Inputs!$J$9-Inputs!$I$9))</x:f>
        <x:v>-473.59999999999997</x:v>
      </x:c>
      <x:c r="X51" s="49"/>
      <x:c r="Y51" s="48" t="n">
        <x:f>A51</x:f>
        <x:v>-0.592</x:v>
      </x:c>
      <x:c r="Z51" s="48" t="n">
        <x:f>(Inputs!$H$6+Inputs!$L$6*(((Inputs!$I$6+(((A51)+1)/2)*(Inputs!$J$6-Inputs!$I$6)))/Inputs!$K$6)^2)</x:f>
        <x:v>401.401856</x:v>
      </x:c>
      <x:c r="AA51" s="48" t="n">
        <x:f>(Inputs!$H$7+Inputs!$L$7*(((Inputs!$I$7+(((A51)+1)/2)*(Inputs!$J$7-Inputs!$I$7)))/Inputs!$K$7)^2)</x:f>
        <x:v>162.91935999999998</x:v>
      </x:c>
      <x:c r="AB51" s="48" t="n">
        <x:f>(Inputs!$H$8+Inputs!$L$8*(((Inputs!$I$8+(((A51)+1)/2)*(Inputs!$J$8-Inputs!$I$8)))/Inputs!$K$8)^2)</x:f>
        <x:v>373.19775999999996</x:v>
      </x:c>
      <x:c r="AC51" s="48" t="n">
        <x:f>(Inputs!$H$9+Inputs!$L$9*(((Inputs!$I$9+(((A51)+1)/2)*(Inputs!$J$9-Inputs!$I$9)))/Inputs!$K$9)^2)</x:f>
        <x:v>366.70239999999995</x:v>
      </x:c>
      <x:c r="AD51" s="49"/>
      <x:c r="AE51" s="48" t="n">
        <x:f>A51</x:f>
        <x:v>-0.592</x:v>
      </x:c>
      <x:c r="AF51" s="48" t="n">
        <x:f>(((SQRT((Inputs!$C$52+((Inputs!$H$6+Inputs!$L$6*(((Inputs!$I$6+(((A51)+1)/2)*(Inputs!$J$6-Inputs!$I$6)))/Inputs!$K$6)^2)))^2+Inputs!$C$52^2-2*(Inputs!$C$52+((Inputs!$H$6+Inputs!$L$6*(((Inputs!$I$6+(((A51)+1)/2)*(Inputs!$J$6-Inputs!$I$6)))/Inputs!$K$6)^2)))*Inputs!$C$52*COS(SQRT(((Inputs!$I$6+(((A51)+1)/2)*(Inputs!$J$6-Inputs!$I$6)))^2+Inputs!$C$6^2)/Inputs!$C$52)))-((Inputs!$H$6+Inputs!$L$6*(((Inputs!$I$6+(((A51)+1)/2)*(Inputs!$J$6-Inputs!$I$6)))/Inputs!$K$6)^2)))*1000/Inputs!$C$12)</x:f>
        <x:v>1653.657683530185</x:v>
      </x:c>
      <x:c r="AG51" s="48" t="n">
        <x:f>(((SQRT((Inputs!$C$52+((Inputs!$H$7+Inputs!$L$7*(((Inputs!$I$7+(((A51)+1)/2)*(Inputs!$J$7-Inputs!$I$7)))/Inputs!$K$7)^2)))^2+Inputs!$C$52^2-2*(Inputs!$C$52+((Inputs!$H$7+Inputs!$L$7*(((Inputs!$I$7+(((A51)+1)/2)*(Inputs!$J$7-Inputs!$I$7)))/Inputs!$K$7)^2)))*Inputs!$C$52*COS(SQRT(((Inputs!$I$7+(((A51)+1)/2)*(Inputs!$J$7-Inputs!$I$7)))^2+Inputs!$C$6^2)/Inputs!$C$52)))-((Inputs!$H$7+Inputs!$L$7*(((Inputs!$I$7+(((A51)+1)/2)*(Inputs!$J$7-Inputs!$I$7)))/Inputs!$K$7)^2)))*1000/Inputs!$C$12)</x:f>
        <x:v>76109.34865154205</x:v>
      </x:c>
      <x:c r="AH51" s="48" t="n">
        <x:f>(((SQRT((Inputs!$C$52+((Inputs!$H$8+Inputs!$L$8*(((Inputs!$I$8+(((A51)+1)/2)*(Inputs!$J$8-Inputs!$I$8)))/Inputs!$K$8)^2)))^2+Inputs!$C$52^2-2*(Inputs!$C$52+((Inputs!$H$8+Inputs!$L$8*(((Inputs!$I$8+(((A51)+1)/2)*(Inputs!$J$8-Inputs!$I$8)))/Inputs!$K$8)^2)))*Inputs!$C$52*COS(SQRT(((Inputs!$I$8+(((A51)+1)/2)*(Inputs!$J$8-Inputs!$I$8)))^2+Inputs!$C$6^2)/Inputs!$C$52)))-((Inputs!$H$8+Inputs!$L$8*(((Inputs!$I$8+(((A51)+1)/2)*(Inputs!$J$8-Inputs!$I$8)))/Inputs!$K$8)^2)))*1000/Inputs!$C$12)</x:f>
        <x:v>152617.79546593592</x:v>
      </x:c>
      <x:c r="AI51" s="48" t="n">
        <x:f>(((SQRT((Inputs!$C$52+((Inputs!$H$9+Inputs!$L$9*(((Inputs!$I$9+(((A51)+1)/2)*(Inputs!$J$9-Inputs!$I$9)))/Inputs!$K$9)^2)))^2+Inputs!$C$52^2-2*(Inputs!$C$52+((Inputs!$H$9+Inputs!$L$9*(((Inputs!$I$9+(((A51)+1)/2)*(Inputs!$J$9-Inputs!$I$9)))/Inputs!$K$9)^2)))*Inputs!$C$52*COS(SQRT(((Inputs!$I$9+(((A51)+1)/2)*(Inputs!$J$9-Inputs!$I$9)))^2+Inputs!$C$6^2)/Inputs!$C$52)))-((Inputs!$H$9+Inputs!$L$9*(((Inputs!$I$9+(((A51)+1)/2)*(Inputs!$J$9-Inputs!$I$9)))/Inputs!$K$9)^2)))*1000/Inputs!$C$12)</x:f>
        <x:v>153760.14759370088</x:v>
      </x:c>
      <x:c r="AJ51" s="49"/>
      <x:c r="AK51" s="48" t="n">
        <x:f>A51</x:f>
        <x:v>-0.592</x:v>
      </x:c>
      <x:c r="AL51" s="48" t="n">
        <x: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x:f>
        <x:v>302.2400535496661</x:v>
      </x:c>
      <x:c r="AM51" s="48" t="n">
        <x: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x:f>
        <x:v>2445.6699934567796</x:v>
      </x:c>
      <x:c r="AN51" s="48" t="n">
        <x: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x:f>
        <x:v>3009.5843898456515</x:v>
      </x:c>
      <x:c r="AO51" s="48" t="n">
        <x: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x:f>
        <x:v>3018.731079142167</x:v>
      </x:c>
      <x:c r="AP51" s="49"/>
      <x:c r="AQ51" s="48" t="n">
        <x:f>A51</x:f>
        <x:v>-0.592</x:v>
      </x:c>
      <x:c r="AR51" s="48" t="n">
        <x:f>0</x:f>
        <x:v>0</x:v>
      </x:c>
      <x:c r="AS51" s="48" t="n">
        <x: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(0.45*SIN(2*PI()*((((Inputs!$I$6+(((A51)+1)/2)*(Inputs!$J$6-Inputs!$I$6)))/Inputs!$C$49)+Inputs!$C$47*0.137))+0.35*COS(2*PI()*(((Inputs!$C$6)/Inputs!$C$50)+Inputs!$C$47*0.173))+0.20*SIN(2*PI()*((((Inputs!$I$6+(((A51)+1)/2)*(Inputs!$J$6-Inputs!$I$6)))+(Inputs!$C$6))/(0.5*(Inputs!$C$49+Inputs!$C$50))+Inputs!$C$47*0.097)))+0.30*(2*((SIN((((Inputs!$I$6+(((A51)+1)/2)*(Inputs!$J$6-Inputs!$I$6)))*12.9898+(Inputs!$C$6)*78.233+Inputs!$C$47*37.719))*43758.5453)-INT((SIN((((Inputs!$I$6+(((A51)+1)/2)*(Inputs!$J$6-Inputs!$I$6)))*12.9898+(Inputs!$C$6)*78.233+Inputs!$C$47*37.719))*43758.5453)))-1))),NA())</x:f>
        <x:v>278.7581133802063</x:v>
      </x:c>
      <x:c r="AT51" s="48" t="n">
        <x: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(0.45*SIN(2*PI()*((((Inputs!$I$7+(((A51)+1)/2)*(Inputs!$J$7-Inputs!$I$7)))/Inputs!$C$49)+Inputs!$C$47*0.137))+0.35*COS(2*PI()*(((Inputs!$C$6)/Inputs!$C$50)+Inputs!$C$47*0.173))+0.20*SIN(2*PI()*((((Inputs!$I$7+(((A51)+1)/2)*(Inputs!$J$7-Inputs!$I$7)))+(Inputs!$C$6))/(0.5*(Inputs!$C$49+Inputs!$C$50))+Inputs!$C$47*0.097)))+0.30*(2*((SIN((((Inputs!$I$7+(((A51)+1)/2)*(Inputs!$J$7-Inputs!$I$7)))*12.9898+(Inputs!$C$6)*78.233+Inputs!$C$47*37.719))*43758.5453)-INT((SIN((((Inputs!$I$7+(((A51)+1)/2)*(Inputs!$J$7-Inputs!$I$7)))*12.9898+(Inputs!$C$6)*78.233+Inputs!$C$47*37.719))*43758.5453)))-1))),NA())</x:f>
        <x:v>83.6346969575074</x:v>
      </x:c>
      <x:c r="AU51" s="48" t="n">
        <x: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(0.45*SIN(2*PI()*((((Inputs!$I$8+(((A51)+1)/2)*(Inputs!$J$8-Inputs!$I$8)))/Inputs!$C$49)+Inputs!$C$47*0.137))+0.35*COS(2*PI()*(((Inputs!$C$6)/Inputs!$C$50)+Inputs!$C$47*0.173))+0.20*SIN(2*PI()*((((Inputs!$I$8+(((A51)+1)/2)*(Inputs!$J$8-Inputs!$I$8)))+(Inputs!$C$6))/(0.5*(Inputs!$C$49+Inputs!$C$50))+Inputs!$C$47*0.097)))+0.30*(2*((SIN((((Inputs!$I$8+(((A51)+1)/2)*(Inputs!$J$8-Inputs!$I$8)))*12.9898+(Inputs!$C$6)*78.233+Inputs!$C$47*37.719))*43758.5453)-INT((SIN((((Inputs!$I$8+(((A51)+1)/2)*(Inputs!$J$8-Inputs!$I$8)))*12.9898+(Inputs!$C$6)*78.233+Inputs!$C$47*37.719))*43758.5453)))-1))),NA())</x:f>
        <x:v>115.45384072880037</x:v>
      </x:c>
      <x:c r="AV51" s="48" t="n">
        <x: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(0.45*SIN(2*PI()*((((Inputs!$I$9+(((A51)+1)/2)*(Inputs!$J$9-Inputs!$I$9)))/Inputs!$C$49)+Inputs!$C$47*0.137))+0.35*COS(2*PI()*(((Inputs!$C$6)/Inputs!$C$50)+Inputs!$C$47*0.173))+0.20*SIN(2*PI()*((((Inputs!$I$9+(((A51)+1)/2)*(Inputs!$J$9-Inputs!$I$9)))+(Inputs!$C$6))/(0.5*(Inputs!$C$49+Inputs!$C$50))+Inputs!$C$47*0.097)))+0.30*(2*((SIN((((Inputs!$I$9+(((A51)+1)/2)*(Inputs!$J$9-Inputs!$I$9)))*12.9898+(Inputs!$C$6)*78.233+Inputs!$C$47*37.719))*43758.5453)-INT((SIN((((Inputs!$I$9+(((A51)+1)/2)*(Inputs!$J$9-Inputs!$I$9)))*12.9898+(Inputs!$C$6)*78.233+Inputs!$C$47*37.719))*43758.5453)))-1))),NA())</x:f>
        <x:v>115.45384072880037</x:v>
      </x:c>
      <x:c r="AW51" s="49"/>
      <x:c r="AX51" s="48" t="n">
        <x:f>A51</x:f>
        <x:v>-0.592</x:v>
      </x:c>
      <x:c r="AY51" s="48" t="n">
        <x:f>0</x:f>
        <x:v>0</x:v>
      </x:c>
      <x:c r="AZ51" s="48" t="n">
        <x:f>IF(OR(Inputs!$F$6=TRUE,Inputs!$F$6="TRUE",Inputs!$F$6=1),(Inputs!$H$6+Inputs!$L$6*(((Inputs!$I$6+(((A51)+1)/2)*(Inputs!$J$6-Inputs!$I$6)))/Inputs!$K$6)^2),NA())</x:f>
        <x:v>401.401856</x:v>
      </x:c>
      <x:c r="BA51" s="48" t="n">
        <x:f>IF(OR(Inputs!$F$7=TRUE,Inputs!$F$7="TRUE",Inputs!$F$7=1),(Inputs!$H$7+Inputs!$L$7*(((Inputs!$I$7+(((A51)+1)/2)*(Inputs!$J$7-Inputs!$I$7)))/Inputs!$K$7)^2),NA())</x:f>
        <x:v>162.91935999999998</x:v>
      </x:c>
      <x:c r="BB51" s="48" t="n">
        <x:f>IF(OR(Inputs!$F$8=TRUE,Inputs!$F$8="TRUE",Inputs!$F$8=1),(Inputs!$H$8+Inputs!$L$8*(((Inputs!$I$8+(((A51)+1)/2)*(Inputs!$J$8-Inputs!$I$8)))/Inputs!$K$8)^2),NA())</x:f>
        <x:v>373.19775999999996</x:v>
      </x:c>
      <x:c r="BC51" s="48" t="n">
        <x:f>IF(OR(Inputs!$F$9=TRUE,Inputs!$F$9="TRUE",Inputs!$F$9=1),(Inputs!$H$9+Inputs!$L$9*(((Inputs!$I$9+(((A51)+1)/2)*(Inputs!$J$9-Inputs!$I$9)))/Inputs!$K$9)^2),NA())</x:f>
        <x:v>366.70239999999995</x:v>
      </x:c>
      <x:c r="BD51" s="49"/>
      <x:c r="BE51" s="48" t="n">
        <x:f>A51</x:f>
        <x:v>-0.592</x:v>
      </x:c>
      <x:c r="BF51" s="48" t="n">
        <x:f>0</x:f>
        <x:v>0</x:v>
      </x:c>
      <x:c r="BG51" s="48"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BH51" s="48"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BI51" s="48"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BJ51" s="48"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row>
    <x:row r="52">
      <x:c r="A52" s="48" t="n">
        <x:f>ROUND(-1+50*2/240,3)</x:f>
        <x:v>-0.583</x:v>
      </x:c>
      <x:c r="B52" s="48" t="n">
        <x:f>IF(OR(Inputs!$F$6=TRUE,Inputs!$F$6="TRUE",Inputs!$F$6=1),(Inputs!$H$6+Inputs!$L$6*(((Inputs!$I$6+(((A52)+1)/2)*(Inputs!$J$6-Inputs!$I$6)))/Inputs!$K$6)^2),NA())</x:f>
        <x:v>401.359556</x:v>
      </x:c>
      <x:c r="C52" s="48" t="n">
        <x:f>IF(OR(Inputs!$F$7=TRUE,Inputs!$F$7="TRUE",Inputs!$F$7=1),(Inputs!$H$7+Inputs!$L$7*(((Inputs!$I$7+(((A52)+1)/2)*(Inputs!$J$7-Inputs!$I$7)))/Inputs!$K$7)^2),NA())</x:f>
        <x:v>159.059485</x:v>
      </x:c>
      <x:c r="D52" s="48" t="n">
        <x:f>IF(OR(Inputs!$F$8=TRUE,Inputs!$F$8="TRUE",Inputs!$F$8=1),(Inputs!$H$8+Inputs!$L$8*(((Inputs!$I$8+(((A52)+1)/2)*(Inputs!$J$8-Inputs!$I$8)))/Inputs!$K$8)^2),NA())</x:f>
        <x:v>362.99288499999994</x:v>
      </x:c>
      <x:c r="E52" s="48" t="n">
        <x:f>IF(OR(Inputs!$F$9=TRUE,Inputs!$F$9="TRUE",Inputs!$F$9=1),(Inputs!$H$9+Inputs!$L$9*(((Inputs!$I$9+(((A52)+1)/2)*(Inputs!$J$9-Inputs!$I$9)))/Inputs!$K$9)^2),NA())</x:f>
        <x:v>356.39177499999994</x:v>
      </x:c>
      <x:c r="F52" s="49"/>
      <x:c r="G52" s="48" t="n">
        <x:f>A52</x:f>
        <x:v>-0.583</x:v>
      </x:c>
      <x:c r="H52" s="48"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I52" s="48"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J52" s="48"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K52" s="48"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c r="L52" s="49"/>
      <x:c r="M52" s="48" t="n">
        <x:f>A52</x:f>
        <x:v>-0.583</x:v>
      </x:c>
      <x:c r="N52" s="48" t="n">
        <x: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x:f>
        <x:v>297.69966628322584</x:v>
      </x:c>
      <x:c r="O52" s="48" t="n">
        <x: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x:f>
        <x:v>2424.99733210815</x:v>
      </x:c>
      <x:c r="P52" s="48" t="n">
        <x: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x:f>
        <x:v>2976.126550200458</x:v>
      </x:c>
      <x:c r="Q52" s="48" t="n">
        <x: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x:f>
        <x:v>2984.6805343023443</x:v>
      </x:c>
      <x:c r="R52" s="49"/>
      <x:c r="S52" s="48" t="n">
        <x:f>A52</x:f>
        <x:v>-0.583</x:v>
      </x:c>
      <x:c r="T52" s="48" t="n">
        <x:f>(Inputs!$I$6+(((A52)+1)/2)*(Inputs!$J$6-Inputs!$I$6))</x:f>
        <x:v>-34.98</x:v>
      </x:c>
      <x:c r="U52" s="48" t="n">
        <x:f>(Inputs!$I$7+(((A52)+1)/2)*(Inputs!$J$7-Inputs!$I$7))</x:f>
        <x:v>-233.2</x:v>
      </x:c>
      <x:c r="V52" s="48" t="n">
        <x:f>(Inputs!$I$8+(((A52)+1)/2)*(Inputs!$J$8-Inputs!$I$8))</x:f>
        <x:v>-466.4</x:v>
      </x:c>
      <x:c r="W52" s="48" t="n">
        <x:f>(Inputs!$I$9+(((A52)+1)/2)*(Inputs!$J$9-Inputs!$I$9))</x:f>
        <x:v>-466.4</x:v>
      </x:c>
      <x:c r="X52" s="49"/>
      <x:c r="Y52" s="48" t="n">
        <x:f>A52</x:f>
        <x:v>-0.583</x:v>
      </x:c>
      <x:c r="Z52" s="48" t="n">
        <x:f>(Inputs!$H$6+Inputs!$L$6*(((Inputs!$I$6+(((A52)+1)/2)*(Inputs!$J$6-Inputs!$I$6)))/Inputs!$K$6)^2)</x:f>
        <x:v>401.359556</x:v>
      </x:c>
      <x:c r="AA52" s="48" t="n">
        <x:f>(Inputs!$H$7+Inputs!$L$7*(((Inputs!$I$7+(((A52)+1)/2)*(Inputs!$J$7-Inputs!$I$7)))/Inputs!$K$7)^2)</x:f>
        <x:v>159.059485</x:v>
      </x:c>
      <x:c r="AB52" s="48" t="n">
        <x:f>(Inputs!$H$8+Inputs!$L$8*(((Inputs!$I$8+(((A52)+1)/2)*(Inputs!$J$8-Inputs!$I$8)))/Inputs!$K$8)^2)</x:f>
        <x:v>362.99288499999994</x:v>
      </x:c>
      <x:c r="AC52" s="48" t="n">
        <x:f>(Inputs!$H$9+Inputs!$L$9*(((Inputs!$I$9+(((A52)+1)/2)*(Inputs!$J$9-Inputs!$I$9)))/Inputs!$K$9)^2)</x:f>
        <x:v>356.39177499999994</x:v>
      </x:c>
      <x:c r="AD52" s="49"/>
      <x:c r="AE52" s="48" t="n">
        <x:f>A52</x:f>
        <x:v>-0.583</x:v>
      </x:c>
      <x:c r="AF52" s="48" t="n">
        <x:f>(((SQRT((Inputs!$C$52+((Inputs!$H$6+Inputs!$L$6*(((Inputs!$I$6+(((A52)+1)/2)*(Inputs!$J$6-Inputs!$I$6)))/Inputs!$K$6)^2)))^2+Inputs!$C$52^2-2*(Inputs!$C$52+((Inputs!$H$6+Inputs!$L$6*(((Inputs!$I$6+(((A52)+1)/2)*(Inputs!$J$6-Inputs!$I$6)))/Inputs!$K$6)^2)))*Inputs!$C$52*COS(SQRT(((Inputs!$I$6+(((A52)+1)/2)*(Inputs!$J$6-Inputs!$I$6)))^2+Inputs!$C$6^2)/Inputs!$C$52)))-((Inputs!$H$6+Inputs!$L$6*(((Inputs!$I$6+(((A52)+1)/2)*(Inputs!$J$6-Inputs!$I$6)))/Inputs!$K$6)^2)))*1000/Inputs!$C$12)</x:f>
        <x:v>1620.5453815524222</x:v>
      </x:c>
      <x:c r="AG52" s="48" t="n">
        <x:f>(((SQRT((Inputs!$C$52+((Inputs!$H$7+Inputs!$L$7*(((Inputs!$I$7+(((A52)+1)/2)*(Inputs!$J$7-Inputs!$I$7)))/Inputs!$K$7)^2)))^2+Inputs!$C$52^2-2*(Inputs!$C$52+((Inputs!$H$7+Inputs!$L$7*(((Inputs!$I$7+(((A52)+1)/2)*(Inputs!$J$7-Inputs!$I$7)))/Inputs!$K$7)^2)))*Inputs!$C$52*COS(SQRT(((Inputs!$I$7+(((A52)+1)/2)*(Inputs!$J$7-Inputs!$I$7)))^2+Inputs!$C$6^2)/Inputs!$C$52)))-((Inputs!$H$7+Inputs!$L$7*(((Inputs!$I$7+(((A52)+1)/2)*(Inputs!$J$7-Inputs!$I$7)))/Inputs!$K$7)^2)))*1000/Inputs!$C$12)</x:f>
        <x:v>75199.46333335825</x:v>
      </x:c>
      <x:c r="AH52" s="48" t="n">
        <x:f>(((SQRT((Inputs!$C$52+((Inputs!$H$8+Inputs!$L$8*(((Inputs!$I$8+(((A52)+1)/2)*(Inputs!$J$8-Inputs!$I$8)))/Inputs!$K$8)^2)))^2+Inputs!$C$52^2-2*(Inputs!$C$52+((Inputs!$H$8+Inputs!$L$8*(((Inputs!$I$8+(((A52)+1)/2)*(Inputs!$J$8-Inputs!$I$8)))/Inputs!$K$8)^2)))*Inputs!$C$52*COS(SQRT(((Inputs!$I$8+(((A52)+1)/2)*(Inputs!$J$8-Inputs!$I$8)))^2+Inputs!$C$6^2)/Inputs!$C$52)))-((Inputs!$H$8+Inputs!$L$8*(((Inputs!$I$8+(((A52)+1)/2)*(Inputs!$J$8-Inputs!$I$8)))/Inputs!$K$8)^2)))*1000/Inputs!$C$12)</x:f>
        <x:v>150784.7067774796</x:v>
      </x:c>
      <x:c r="AI52" s="48" t="n">
        <x:f>(((SQRT((Inputs!$C$52+((Inputs!$H$9+Inputs!$L$9*(((Inputs!$I$9+(((A52)+1)/2)*(Inputs!$J$9-Inputs!$I$9)))/Inputs!$K$9)^2)))^2+Inputs!$C$52^2-2*(Inputs!$C$52+((Inputs!$H$9+Inputs!$L$9*(((Inputs!$I$9+(((A52)+1)/2)*(Inputs!$J$9-Inputs!$I$9)))/Inputs!$K$9)^2)))*Inputs!$C$52*COS(SQRT(((Inputs!$I$9+(((A52)+1)/2)*(Inputs!$J$9-Inputs!$I$9)))^2+Inputs!$C$6^2)/Inputs!$C$52)))-((Inputs!$H$9+Inputs!$L$9*(((Inputs!$I$9+(((A52)+1)/2)*(Inputs!$J$9-Inputs!$I$9)))/Inputs!$K$9)^2)))*1000/Inputs!$C$12)</x:f>
        <x:v>151964.09446013547</x:v>
      </x:c>
      <x:c r="AJ52" s="49"/>
      <x:c r="AK52" s="48" t="n">
        <x:f>A52</x:f>
        <x:v>-0.583</x:v>
      </x:c>
      <x:c r="AL52" s="48" t="n">
        <x: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x:f>
        <x:v>297.69966628322584</x:v>
      </x:c>
      <x:c r="AM52" s="48" t="n">
        <x: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x:f>
        <x:v>2424.99733210815</x:v>
      </x:c>
      <x:c r="AN52" s="48" t="n">
        <x: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x:f>
        <x:v>2976.126550200458</x:v>
      </x:c>
      <x:c r="AO52" s="48" t="n">
        <x: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x:f>
        <x:v>2984.6805343023443</x:v>
      </x:c>
      <x:c r="AP52" s="49"/>
      <x:c r="AQ52" s="48" t="n">
        <x:f>A52</x:f>
        <x:v>-0.583</x:v>
      </x:c>
      <x:c r="AR52" s="48" t="n">
        <x:f>0</x:f>
        <x:v>0</x:v>
      </x:c>
      <x:c r="AS52" s="48" t="n">
        <x: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(0.45*SIN(2*PI()*((((Inputs!$I$6+(((A52)+1)/2)*(Inputs!$J$6-Inputs!$I$6)))/Inputs!$C$49)+Inputs!$C$47*0.137))+0.35*COS(2*PI()*(((Inputs!$C$6)/Inputs!$C$50)+Inputs!$C$47*0.173))+0.20*SIN(2*PI()*((((Inputs!$I$6+(((A52)+1)/2)*(Inputs!$J$6-Inputs!$I$6)))+(Inputs!$C$6))/(0.5*(Inputs!$C$49+Inputs!$C$50))+Inputs!$C$47*0.097)))+0.30*(2*((SIN((((Inputs!$I$6+(((A52)+1)/2)*(Inputs!$J$6-Inputs!$I$6)))*12.9898+(Inputs!$C$6)*78.233+Inputs!$C$47*37.719))*43758.5453)-INT((SIN((((Inputs!$I$6+(((A52)+1)/2)*(Inputs!$J$6-Inputs!$I$6)))*12.9898+(Inputs!$C$6)*78.233+Inputs!$C$47*37.719))*43758.5453)))-1))),NA())</x:f>
        <x:v>291.40358146269375</x:v>
      </x:c>
      <x:c r="AT52" s="48" t="n">
        <x: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(0.45*SIN(2*PI()*((((Inputs!$I$7+(((A52)+1)/2)*(Inputs!$J$7-Inputs!$I$7)))/Inputs!$C$49)+Inputs!$C$47*0.137))+0.35*COS(2*PI()*(((Inputs!$C$6)/Inputs!$C$50)+Inputs!$C$47*0.173))+0.20*SIN(2*PI()*((((Inputs!$I$7+(((A52)+1)/2)*(Inputs!$J$7-Inputs!$I$7)))+(Inputs!$C$6))/(0.5*(Inputs!$C$49+Inputs!$C$50))+Inputs!$C$47*0.097)))+0.30*(2*((SIN((((Inputs!$I$7+(((A52)+1)/2)*(Inputs!$J$7-Inputs!$I$7)))*12.9898+(Inputs!$C$6)*78.233+Inputs!$C$47*37.719))*43758.5453)-INT((SIN((((Inputs!$I$7+(((A52)+1)/2)*(Inputs!$J$7-Inputs!$I$7)))*12.9898+(Inputs!$C$6)*78.233+Inputs!$C$47*37.719))*43758.5453)))-1))),NA())</x:f>
        <x:v>147.04921781546284</x:v>
      </x:c>
      <x:c r="AU52" s="48" t="n">
        <x: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(0.45*SIN(2*PI()*((((Inputs!$I$8+(((A52)+1)/2)*(Inputs!$J$8-Inputs!$I$8)))/Inputs!$C$49)+Inputs!$C$47*0.137))+0.35*COS(2*PI()*(((Inputs!$C$6)/Inputs!$C$50)+Inputs!$C$47*0.173))+0.20*SIN(2*PI()*((((Inputs!$I$8+(((A52)+1)/2)*(Inputs!$J$8-Inputs!$I$8)))+(Inputs!$C$6))/(0.5*(Inputs!$C$49+Inputs!$C$50))+Inputs!$C$47*0.097)))+0.30*(2*((SIN((((Inputs!$I$8+(((A52)+1)/2)*(Inputs!$J$8-Inputs!$I$8)))*12.9898+(Inputs!$C$6)*78.233+Inputs!$C$47*37.719))*43758.5453)-INT((SIN((((Inputs!$I$8+(((A52)+1)/2)*(Inputs!$J$8-Inputs!$I$8)))*12.9898+(Inputs!$C$6)*78.233+Inputs!$C$47*37.719))*43758.5453)))-1))),NA())</x:f>
        <x:v>195.8125842564638</x:v>
      </x:c>
      <x:c r="AV52" s="48" t="n">
        <x: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(0.45*SIN(2*PI()*((((Inputs!$I$9+(((A52)+1)/2)*(Inputs!$J$9-Inputs!$I$9)))/Inputs!$C$49)+Inputs!$C$47*0.137))+0.35*COS(2*PI()*(((Inputs!$C$6)/Inputs!$C$50)+Inputs!$C$47*0.173))+0.20*SIN(2*PI()*((((Inputs!$I$9+(((A52)+1)/2)*(Inputs!$J$9-Inputs!$I$9)))+(Inputs!$C$6))/(0.5*(Inputs!$C$49+Inputs!$C$50))+Inputs!$C$47*0.097)))+0.30*(2*((SIN((((Inputs!$I$9+(((A52)+1)/2)*(Inputs!$J$9-Inputs!$I$9)))*12.9898+(Inputs!$C$6)*78.233+Inputs!$C$47*37.719))*43758.5453)-INT((SIN((((Inputs!$I$9+(((A52)+1)/2)*(Inputs!$J$9-Inputs!$I$9)))*12.9898+(Inputs!$C$6)*78.233+Inputs!$C$47*37.719))*43758.5453)))-1))),NA())</x:f>
        <x:v>195.8125842564638</x:v>
      </x:c>
      <x:c r="AW52" s="49"/>
      <x:c r="AX52" s="48" t="n">
        <x:f>A52</x:f>
        <x:v>-0.583</x:v>
      </x:c>
      <x:c r="AY52" s="48" t="n">
        <x:f>0</x:f>
        <x:v>0</x:v>
      </x:c>
      <x:c r="AZ52" s="48" t="n">
        <x:f>IF(OR(Inputs!$F$6=TRUE,Inputs!$F$6="TRUE",Inputs!$F$6=1),(Inputs!$H$6+Inputs!$L$6*(((Inputs!$I$6+(((A52)+1)/2)*(Inputs!$J$6-Inputs!$I$6)))/Inputs!$K$6)^2),NA())</x:f>
        <x:v>401.359556</x:v>
      </x:c>
      <x:c r="BA52" s="48" t="n">
        <x:f>IF(OR(Inputs!$F$7=TRUE,Inputs!$F$7="TRUE",Inputs!$F$7=1),(Inputs!$H$7+Inputs!$L$7*(((Inputs!$I$7+(((A52)+1)/2)*(Inputs!$J$7-Inputs!$I$7)))/Inputs!$K$7)^2),NA())</x:f>
        <x:v>159.059485</x:v>
      </x:c>
      <x:c r="BB52" s="48" t="n">
        <x:f>IF(OR(Inputs!$F$8=TRUE,Inputs!$F$8="TRUE",Inputs!$F$8=1),(Inputs!$H$8+Inputs!$L$8*(((Inputs!$I$8+(((A52)+1)/2)*(Inputs!$J$8-Inputs!$I$8)))/Inputs!$K$8)^2),NA())</x:f>
        <x:v>362.99288499999994</x:v>
      </x:c>
      <x:c r="BC52" s="48" t="n">
        <x:f>IF(OR(Inputs!$F$9=TRUE,Inputs!$F$9="TRUE",Inputs!$F$9=1),(Inputs!$H$9+Inputs!$L$9*(((Inputs!$I$9+(((A52)+1)/2)*(Inputs!$J$9-Inputs!$I$9)))/Inputs!$K$9)^2),NA())</x:f>
        <x:v>356.39177499999994</x:v>
      </x:c>
      <x:c r="BD52" s="49"/>
      <x:c r="BE52" s="48" t="n">
        <x:f>A52</x:f>
        <x:v>-0.583</x:v>
      </x:c>
      <x:c r="BF52" s="48" t="n">
        <x:f>0</x:f>
        <x:v>0</x:v>
      </x:c>
      <x:c r="BG52" s="48"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BH52" s="48"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BI52" s="48"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BJ52" s="48"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row>
    <x:row r="53">
      <x:c r="A53" s="48" t="n">
        <x:f>ROUND(-1+51*2/240,3)</x:f>
        <x:v>-0.575</x:v>
      </x:c>
      <x:c r="B53" s="48" t="n">
        <x:f>IF(OR(Inputs!$F$6=TRUE,Inputs!$F$6="TRUE",Inputs!$F$6=1),(Inputs!$H$6+Inputs!$L$6*(((Inputs!$I$6+(((A53)+1)/2)*(Inputs!$J$6-Inputs!$I$6)))/Inputs!$K$6)^2),NA())</x:f>
        <x:v>401.3225</x:v>
      </x:c>
      <x:c r="C53" s="48" t="n">
        <x:f>IF(OR(Inputs!$F$7=TRUE,Inputs!$F$7="TRUE",Inputs!$F$7=1),(Inputs!$H$7+Inputs!$L$7*(((Inputs!$I$7+(((A53)+1)/2)*(Inputs!$J$7-Inputs!$I$7)))/Inputs!$K$7)^2),NA())</x:f>
        <x:v>155.67812499999997</x:v>
      </x:c>
      <x:c r="D53" s="48" t="n">
        <x:f>IF(OR(Inputs!$F$8=TRUE,Inputs!$F$8="TRUE",Inputs!$F$8=1),(Inputs!$H$8+Inputs!$L$8*(((Inputs!$I$8+(((A53)+1)/2)*(Inputs!$J$8-Inputs!$I$8)))/Inputs!$K$8)^2),NA())</x:f>
        <x:v>354.05312499999997</x:v>
      </x:c>
      <x:c r="E53" s="48" t="n">
        <x:f>IF(OR(Inputs!$F$9=TRUE,Inputs!$F$9="TRUE",Inputs!$F$9=1),(Inputs!$H$9+Inputs!$L$9*(((Inputs!$I$9+(((A53)+1)/2)*(Inputs!$J$9-Inputs!$I$9)))/Inputs!$K$9)^2),NA())</x:f>
        <x:v>347.35937499999994</x:v>
      </x:c>
      <x:c r="F53" s="49"/>
      <x:c r="G53" s="48" t="n">
        <x:f>A53</x:f>
        <x:v>-0.575</x:v>
      </x:c>
      <x:c r="H53" s="48"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I53" s="48"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J53" s="48"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K53" s="48"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c r="L53" s="49"/>
      <x:c r="M53" s="48" t="n">
        <x:f>A53</x:f>
        <x:v>-0.575</x:v>
      </x:c>
      <x:c r="N53" s="48" t="n">
        <x: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x:f>
        <x:v>293.66169659029333</x:v>
      </x:c>
      <x:c r="O53" s="48" t="n">
        <x: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x:f>
        <x:v>2406.7560024234062</x:v>
      </x:c>
      <x:c r="P53" s="48" t="n">
        <x: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x:f>
        <x:v>2946.5604806953743</x:v>
      </x:c>
      <x:c r="Q53" s="48" t="n">
        <x: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x:f>
        <x:v>2954.587280170598</x:v>
      </x:c>
      <x:c r="R53" s="49"/>
      <x:c r="S53" s="48" t="n">
        <x:f>A53</x:f>
        <x:v>-0.575</x:v>
      </x:c>
      <x:c r="T53" s="48" t="n">
        <x:f>(Inputs!$I$6+(((A53)+1)/2)*(Inputs!$J$6-Inputs!$I$6))</x:f>
        <x:v>-34.5</x:v>
      </x:c>
      <x:c r="U53" s="48" t="n">
        <x:f>(Inputs!$I$7+(((A53)+1)/2)*(Inputs!$J$7-Inputs!$I$7))</x:f>
        <x:v>-229.99999999999997</x:v>
      </x:c>
      <x:c r="V53" s="48" t="n">
        <x:f>(Inputs!$I$8+(((A53)+1)/2)*(Inputs!$J$8-Inputs!$I$8))</x:f>
        <x:v>-459.99999999999994</x:v>
      </x:c>
      <x:c r="W53" s="48" t="n">
        <x:f>(Inputs!$I$9+(((A53)+1)/2)*(Inputs!$J$9-Inputs!$I$9))</x:f>
        <x:v>-459.99999999999994</x:v>
      </x:c>
      <x:c r="X53" s="49"/>
      <x:c r="Y53" s="48" t="n">
        <x:f>A53</x:f>
        <x:v>-0.575</x:v>
      </x:c>
      <x:c r="Z53" s="48" t="n">
        <x:f>(Inputs!$H$6+Inputs!$L$6*(((Inputs!$I$6+(((A53)+1)/2)*(Inputs!$J$6-Inputs!$I$6)))/Inputs!$K$6)^2)</x:f>
        <x:v>401.3225</x:v>
      </x:c>
      <x:c r="AA53" s="48" t="n">
        <x:f>(Inputs!$H$7+Inputs!$L$7*(((Inputs!$I$7+(((A53)+1)/2)*(Inputs!$J$7-Inputs!$I$7)))/Inputs!$K$7)^2)</x:f>
        <x:v>155.67812499999997</x:v>
      </x:c>
      <x:c r="AB53" s="48" t="n">
        <x:f>(Inputs!$H$8+Inputs!$L$8*(((Inputs!$I$8+(((A53)+1)/2)*(Inputs!$J$8-Inputs!$I$8)))/Inputs!$K$8)^2)</x:f>
        <x:v>354.05312499999997</x:v>
      </x:c>
      <x:c r="AC53" s="48" t="n">
        <x:f>(Inputs!$H$9+Inputs!$L$9*(((Inputs!$I$9+(((A53)+1)/2)*(Inputs!$J$9-Inputs!$I$9)))/Inputs!$K$9)^2)</x:f>
        <x:v>347.35937499999994</x:v>
      </x:c>
      <x:c r="AD53" s="49"/>
      <x:c r="AE53" s="48" t="n">
        <x:f>A53</x:f>
        <x:v>-0.575</x:v>
      </x:c>
      <x:c r="AF53" s="48" t="n">
        <x:f>(((SQRT((Inputs!$C$52+((Inputs!$H$6+Inputs!$L$6*(((Inputs!$I$6+(((A53)+1)/2)*(Inputs!$J$6-Inputs!$I$6)))/Inputs!$K$6)^2)))^2+Inputs!$C$52^2-2*(Inputs!$C$52+((Inputs!$H$6+Inputs!$L$6*(((Inputs!$I$6+(((A53)+1)/2)*(Inputs!$J$6-Inputs!$I$6)))/Inputs!$K$6)^2)))*Inputs!$C$52*COS(SQRT(((Inputs!$I$6+(((A53)+1)/2)*(Inputs!$J$6-Inputs!$I$6)))^2+Inputs!$C$6^2)/Inputs!$C$52)))-((Inputs!$H$6+Inputs!$L$6*(((Inputs!$I$6+(((A53)+1)/2)*(Inputs!$J$6-Inputs!$I$6)))/Inputs!$K$6)^2)))*1000/Inputs!$C$12)</x:f>
        <x:v>1591.5295091914868</x:v>
      </x:c>
      <x:c r="AG53" s="48" t="n">
        <x:f>(((SQRT((Inputs!$C$52+((Inputs!$H$7+Inputs!$L$7*(((Inputs!$I$7+(((A53)+1)/2)*(Inputs!$J$7-Inputs!$I$7)))/Inputs!$K$7)^2)))^2+Inputs!$C$52^2-2*(Inputs!$C$52+((Inputs!$H$7+Inputs!$L$7*(((Inputs!$I$7+(((A53)+1)/2)*(Inputs!$J$7-Inputs!$I$7)))/Inputs!$K$7)^2)))*Inputs!$C$52*COS(SQRT(((Inputs!$I$7+(((A53)+1)/2)*(Inputs!$J$7-Inputs!$I$7)))^2+Inputs!$C$6^2)/Inputs!$C$52)))-((Inputs!$H$7+Inputs!$L$7*(((Inputs!$I$7+(((A53)+1)/2)*(Inputs!$J$7-Inputs!$I$7)))/Inputs!$K$7)^2)))*1000/Inputs!$C$12)</x:f>
        <x:v>74384.64751339745</x:v>
      </x:c>
      <x:c r="AH53" s="48" t="n">
        <x:f>(((SQRT((Inputs!$C$52+((Inputs!$H$8+Inputs!$L$8*(((Inputs!$I$8+(((A53)+1)/2)*(Inputs!$J$8-Inputs!$I$8)))/Inputs!$K$8)^2)))^2+Inputs!$C$52^2-2*(Inputs!$C$52+((Inputs!$H$8+Inputs!$L$8*(((Inputs!$I$8+(((A53)+1)/2)*(Inputs!$J$8-Inputs!$I$8)))/Inputs!$K$8)^2)))*Inputs!$C$52*COS(SQRT(((Inputs!$I$8+(((A53)+1)/2)*(Inputs!$J$8-Inputs!$I$8)))^2+Inputs!$C$6^2)/Inputs!$C$52)))-((Inputs!$H$8+Inputs!$L$8*(((Inputs!$I$8+(((A53)+1)/2)*(Inputs!$J$8-Inputs!$I$8)))/Inputs!$K$8)^2)))*1000/Inputs!$C$12)</x:f>
        <x:v>149152.37048042755</x:v>
      </x:c>
      <x:c r="AI53" s="48" t="n">
        <x:f>(((SQRT((Inputs!$C$52+((Inputs!$H$9+Inputs!$L$9*(((Inputs!$I$9+(((A53)+1)/2)*(Inputs!$J$9-Inputs!$I$9)))/Inputs!$K$9)^2)))^2+Inputs!$C$52^2-2*(Inputs!$C$52+((Inputs!$H$9+Inputs!$L$9*(((Inputs!$I$9+(((A53)+1)/2)*(Inputs!$J$9-Inputs!$I$9)))/Inputs!$K$9)^2)))*Inputs!$C$52*COS(SQRT(((Inputs!$I$9+(((A53)+1)/2)*(Inputs!$J$9-Inputs!$I$9)))^2+Inputs!$C$6^2)/Inputs!$C$52)))-((Inputs!$H$9+Inputs!$L$9*(((Inputs!$I$9+(((A53)+1)/2)*(Inputs!$J$9-Inputs!$I$9)))/Inputs!$K$9)^2)))*1000/Inputs!$C$12)</x:f>
        <x:v>150365.17297367667</x:v>
      </x:c>
      <x:c r="AJ53" s="49"/>
      <x:c r="AK53" s="48" t="n">
        <x:f>A53</x:f>
        <x:v>-0.575</x:v>
      </x:c>
      <x:c r="AL53" s="48" t="n">
        <x: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x:f>
        <x:v>293.66169659029333</x:v>
      </x:c>
      <x:c r="AM53" s="48" t="n">
        <x: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x:f>
        <x:v>2406.7560024234062</x:v>
      </x:c>
      <x:c r="AN53" s="48" t="n">
        <x: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x:f>
        <x:v>2946.5604806953743</x:v>
      </x:c>
      <x:c r="AO53" s="48" t="n">
        <x: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x:f>
        <x:v>2954.587280170598</x:v>
      </x:c>
      <x:c r="AP53" s="49"/>
      <x:c r="AQ53" s="48" t="n">
        <x:f>A53</x:f>
        <x:v>-0.575</x:v>
      </x:c>
      <x:c r="AR53" s="48" t="n">
        <x:f>0</x:f>
        <x:v>0</x:v>
      </x:c>
      <x:c r="AS53" s="48" t="n">
        <x: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(0.45*SIN(2*PI()*((((Inputs!$I$6+(((A53)+1)/2)*(Inputs!$J$6-Inputs!$I$6)))/Inputs!$C$49)+Inputs!$C$47*0.137))+0.35*COS(2*PI()*(((Inputs!$C$6)/Inputs!$C$50)+Inputs!$C$47*0.173))+0.20*SIN(2*PI()*((((Inputs!$I$6+(((A53)+1)/2)*(Inputs!$J$6-Inputs!$I$6)))+(Inputs!$C$6))/(0.5*(Inputs!$C$49+Inputs!$C$50))+Inputs!$C$47*0.097)))+0.30*(2*((SIN((((Inputs!$I$6+(((A53)+1)/2)*(Inputs!$J$6-Inputs!$I$6)))*12.9898+(Inputs!$C$6)*78.233+Inputs!$C$47*37.719))*43758.5453)-INT((SIN((((Inputs!$I$6+(((A53)+1)/2)*(Inputs!$J$6-Inputs!$I$6)))*12.9898+(Inputs!$C$6)*78.233+Inputs!$C$47*37.719))*43758.5453)))-1))),NA())</x:f>
        <x:v>316.314878049505</x:v>
      </x:c>
      <x:c r="AT53" s="48" t="n">
        <x: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(0.45*SIN(2*PI()*((((Inputs!$I$7+(((A53)+1)/2)*(Inputs!$J$7-Inputs!$I$7)))/Inputs!$C$49)+Inputs!$C$47*0.137))+0.35*COS(2*PI()*(((Inputs!$C$6)/Inputs!$C$50)+Inputs!$C$47*0.173))+0.20*SIN(2*PI()*((((Inputs!$I$7+(((A53)+1)/2)*(Inputs!$J$7-Inputs!$I$7)))+(Inputs!$C$6))/(0.5*(Inputs!$C$49+Inputs!$C$50))+Inputs!$C$47*0.097)))+0.30*(2*((SIN((((Inputs!$I$7+(((A53)+1)/2)*(Inputs!$J$7-Inputs!$I$7)))*12.9898+(Inputs!$C$6)*78.233+Inputs!$C$47*37.719))*43758.5453)-INT((SIN((((Inputs!$I$7+(((A53)+1)/2)*(Inputs!$J$7-Inputs!$I$7)))*12.9898+(Inputs!$C$6)*78.233+Inputs!$C$47*37.719))*43758.5453)))-1))),NA())</x:f>
        <x:v>191.33740398954353</x:v>
      </x:c>
      <x:c r="AU53" s="48" t="n">
        <x: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(0.45*SIN(2*PI()*((((Inputs!$I$8+(((A53)+1)/2)*(Inputs!$J$8-Inputs!$I$8)))/Inputs!$C$49)+Inputs!$C$47*0.137))+0.35*COS(2*PI()*(((Inputs!$C$6)/Inputs!$C$50)+Inputs!$C$47*0.173))+0.20*SIN(2*PI()*((((Inputs!$I$8+(((A53)+1)/2)*(Inputs!$J$8-Inputs!$I$8)))+(Inputs!$C$6))/(0.5*(Inputs!$C$49+Inputs!$C$50))+Inputs!$C$47*0.097)))+0.30*(2*((SIN((((Inputs!$I$8+(((A53)+1)/2)*(Inputs!$J$8-Inputs!$I$8)))*12.9898+(Inputs!$C$6)*78.233+Inputs!$C$47*37.719))*43758.5453)-INT((SIN((((Inputs!$I$8+(((A53)+1)/2)*(Inputs!$J$8-Inputs!$I$8)))*12.9898+(Inputs!$C$6)*78.233+Inputs!$C$47*37.719))*43758.5453)))-1))),NA())</x:f>
        <x:v>165.06402099993767</x:v>
      </x:c>
      <x:c r="AV53" s="48" t="n">
        <x: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(0.45*SIN(2*PI()*((((Inputs!$I$9+(((A53)+1)/2)*(Inputs!$J$9-Inputs!$I$9)))/Inputs!$C$49)+Inputs!$C$47*0.137))+0.35*COS(2*PI()*(((Inputs!$C$6)/Inputs!$C$50)+Inputs!$C$47*0.173))+0.20*SIN(2*PI()*((((Inputs!$I$9+(((A53)+1)/2)*(Inputs!$J$9-Inputs!$I$9)))+(Inputs!$C$6))/(0.5*(Inputs!$C$49+Inputs!$C$50))+Inputs!$C$47*0.097)))+0.30*(2*((SIN((((Inputs!$I$9+(((A53)+1)/2)*(Inputs!$J$9-Inputs!$I$9)))*12.9898+(Inputs!$C$6)*78.233+Inputs!$C$47*37.719))*43758.5453)-INT((SIN((((Inputs!$I$9+(((A53)+1)/2)*(Inputs!$J$9-Inputs!$I$9)))*12.9898+(Inputs!$C$6)*78.233+Inputs!$C$47*37.719))*43758.5453)))-1))),NA())</x:f>
        <x:v>165.06402099993767</x:v>
      </x:c>
      <x:c r="AW53" s="49"/>
      <x:c r="AX53" s="48" t="n">
        <x:f>A53</x:f>
        <x:v>-0.575</x:v>
      </x:c>
      <x:c r="AY53" s="48" t="n">
        <x:f>0</x:f>
        <x:v>0</x:v>
      </x:c>
      <x:c r="AZ53" s="48" t="n">
        <x:f>IF(OR(Inputs!$F$6=TRUE,Inputs!$F$6="TRUE",Inputs!$F$6=1),(Inputs!$H$6+Inputs!$L$6*(((Inputs!$I$6+(((A53)+1)/2)*(Inputs!$J$6-Inputs!$I$6)))/Inputs!$K$6)^2),NA())</x:f>
        <x:v>401.3225</x:v>
      </x:c>
      <x:c r="BA53" s="48" t="n">
        <x:f>IF(OR(Inputs!$F$7=TRUE,Inputs!$F$7="TRUE",Inputs!$F$7=1),(Inputs!$H$7+Inputs!$L$7*(((Inputs!$I$7+(((A53)+1)/2)*(Inputs!$J$7-Inputs!$I$7)))/Inputs!$K$7)^2),NA())</x:f>
        <x:v>155.67812499999997</x:v>
      </x:c>
      <x:c r="BB53" s="48" t="n">
        <x:f>IF(OR(Inputs!$F$8=TRUE,Inputs!$F$8="TRUE",Inputs!$F$8=1),(Inputs!$H$8+Inputs!$L$8*(((Inputs!$I$8+(((A53)+1)/2)*(Inputs!$J$8-Inputs!$I$8)))/Inputs!$K$8)^2),NA())</x:f>
        <x:v>354.05312499999997</x:v>
      </x:c>
      <x:c r="BC53" s="48" t="n">
        <x:f>IF(OR(Inputs!$F$9=TRUE,Inputs!$F$9="TRUE",Inputs!$F$9=1),(Inputs!$H$9+Inputs!$L$9*(((Inputs!$I$9+(((A53)+1)/2)*(Inputs!$J$9-Inputs!$I$9)))/Inputs!$K$9)^2),NA())</x:f>
        <x:v>347.35937499999994</x:v>
      </x:c>
      <x:c r="BD53" s="49"/>
      <x:c r="BE53" s="48" t="n">
        <x:f>A53</x:f>
        <x:v>-0.575</x:v>
      </x:c>
      <x:c r="BF53" s="48" t="n">
        <x:f>0</x:f>
        <x:v>0</x:v>
      </x:c>
      <x:c r="BG53" s="48"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BH53" s="48"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BI53" s="48"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BJ53" s="48"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row>
    <x:row r="54">
      <x:c r="A54" s="48" t="n">
        <x:f>ROUND(-1+52*2/240,3)</x:f>
        <x:v>-0.567</x:v>
      </x:c>
      <x:c r="B54" s="48" t="n">
        <x:f>IF(OR(Inputs!$F$6=TRUE,Inputs!$F$6="TRUE",Inputs!$F$6=1),(Inputs!$H$6+Inputs!$L$6*(((Inputs!$I$6+(((A54)+1)/2)*(Inputs!$J$6-Inputs!$I$6)))/Inputs!$K$6)^2),NA())</x:f>
        <x:v>401.285956</x:v>
      </x:c>
      <x:c r="C54" s="48" t="n">
        <x:f>IF(OR(Inputs!$F$7=TRUE,Inputs!$F$7="TRUE",Inputs!$F$7=1),(Inputs!$H$7+Inputs!$L$7*(((Inputs!$I$7+(((A54)+1)/2)*(Inputs!$J$7-Inputs!$I$7)))/Inputs!$K$7)^2),NA())</x:f>
        <x:v>152.343485</x:v>
      </x:c>
      <x:c r="D54" s="48" t="n">
        <x:f>IF(OR(Inputs!$F$8=TRUE,Inputs!$F$8="TRUE",Inputs!$F$8=1),(Inputs!$H$8+Inputs!$L$8*(((Inputs!$I$8+(((A54)+1)/2)*(Inputs!$J$8-Inputs!$I$8)))/Inputs!$K$8)^2),NA())</x:f>
        <x:v>345.236885</x:v>
      </x:c>
      <x:c r="E54" s="48" t="n">
        <x:f>IF(OR(Inputs!$F$9=TRUE,Inputs!$F$9="TRUE",Inputs!$F$9=1),(Inputs!$H$9+Inputs!$L$9*(((Inputs!$I$9+(((A54)+1)/2)*(Inputs!$J$9-Inputs!$I$9)))/Inputs!$K$9)^2),NA())</x:f>
        <x:v>338.451775</x:v>
      </x:c>
      <x:c r="F54" s="49"/>
      <x:c r="G54" s="48" t="n">
        <x:f>A54</x:f>
        <x:v>-0.567</x:v>
      </x:c>
      <x:c r="H54" s="48"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I54" s="48"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J54" s="48"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K54" s="48"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c r="L54" s="49"/>
      <x:c r="M54" s="48" t="n">
        <x:f>A54</x:f>
        <x:v>-0.567</x:v>
      </x:c>
      <x:c r="N54" s="48" t="n">
        <x: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x:f>
        <x:v>289.6218043882279</x:v>
      </x:c>
      <x:c r="O54" s="48" t="n">
        <x: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x:f>
        <x:v>2388.642234104056</x:v>
      </x:c>
      <x:c r="P54" s="48" t="n">
        <x: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x:f>
        <x:v>2917.162994299878</x:v>
      </x:c>
      <x:c r="Q54" s="48" t="n">
        <x: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x:f>
        <x:v>2924.662502834148</x:v>
      </x:c>
      <x:c r="R54" s="49"/>
      <x:c r="S54" s="48" t="n">
        <x:f>A54</x:f>
        <x:v>-0.567</x:v>
      </x:c>
      <x:c r="T54" s="48" t="n">
        <x:f>(Inputs!$I$6+(((A54)+1)/2)*(Inputs!$J$6-Inputs!$I$6))</x:f>
        <x:v>-34.019999999999996</x:v>
      </x:c>
      <x:c r="U54" s="48" t="n">
        <x:f>(Inputs!$I$7+(((A54)+1)/2)*(Inputs!$J$7-Inputs!$I$7))</x:f>
        <x:v>-226.79999999999998</x:v>
      </x:c>
      <x:c r="V54" s="48" t="n">
        <x:f>(Inputs!$I$8+(((A54)+1)/2)*(Inputs!$J$8-Inputs!$I$8))</x:f>
        <x:v>-453.59999999999997</x:v>
      </x:c>
      <x:c r="W54" s="48" t="n">
        <x:f>(Inputs!$I$9+(((A54)+1)/2)*(Inputs!$J$9-Inputs!$I$9))</x:f>
        <x:v>-453.59999999999997</x:v>
      </x:c>
      <x:c r="X54" s="49"/>
      <x:c r="Y54" s="48" t="n">
        <x:f>A54</x:f>
        <x:v>-0.567</x:v>
      </x:c>
      <x:c r="Z54" s="48" t="n">
        <x:f>(Inputs!$H$6+Inputs!$L$6*(((Inputs!$I$6+(((A54)+1)/2)*(Inputs!$J$6-Inputs!$I$6)))/Inputs!$K$6)^2)</x:f>
        <x:v>401.285956</x:v>
      </x:c>
      <x:c r="AA54" s="48" t="n">
        <x:f>(Inputs!$H$7+Inputs!$L$7*(((Inputs!$I$7+(((A54)+1)/2)*(Inputs!$J$7-Inputs!$I$7)))/Inputs!$K$7)^2)</x:f>
        <x:v>152.343485</x:v>
      </x:c>
      <x:c r="AB54" s="48" t="n">
        <x:f>(Inputs!$H$8+Inputs!$L$8*(((Inputs!$I$8+(((A54)+1)/2)*(Inputs!$J$8-Inputs!$I$8)))/Inputs!$K$8)^2)</x:f>
        <x:v>345.236885</x:v>
      </x:c>
      <x:c r="AC54" s="48" t="n">
        <x:f>(Inputs!$H$9+Inputs!$L$9*(((Inputs!$I$9+(((A54)+1)/2)*(Inputs!$J$9-Inputs!$I$9)))/Inputs!$K$9)^2)</x:f>
        <x:v>338.451775</x:v>
      </x:c>
      <x:c r="AD54" s="49"/>
      <x:c r="AE54" s="48" t="n">
        <x:f>A54</x:f>
        <x:v>-0.567</x:v>
      </x:c>
      <x:c r="AF54" s="48" t="n">
        <x:f>(((SQRT((Inputs!$C$52+((Inputs!$H$6+Inputs!$L$6*(((Inputs!$I$6+(((A54)+1)/2)*(Inputs!$J$6-Inputs!$I$6)))/Inputs!$K$6)^2)))^2+Inputs!$C$52^2-2*(Inputs!$C$52+((Inputs!$H$6+Inputs!$L$6*(((Inputs!$I$6+(((A54)+1)/2)*(Inputs!$J$6-Inputs!$I$6)))/Inputs!$K$6)^2)))*Inputs!$C$52*COS(SQRT(((Inputs!$I$6+(((A54)+1)/2)*(Inputs!$J$6-Inputs!$I$6)))^2+Inputs!$C$6^2)/Inputs!$C$52)))-((Inputs!$H$6+Inputs!$L$6*(((Inputs!$I$6+(((A54)+1)/2)*(Inputs!$J$6-Inputs!$I$6)))/Inputs!$K$6)^2)))*1000/Inputs!$C$12)</x:f>
        <x:v>1562.9067154259183</x:v>
      </x:c>
      <x:c r="AG54" s="48" t="n">
        <x:f>(((SQRT((Inputs!$C$52+((Inputs!$H$7+Inputs!$L$7*(((Inputs!$I$7+(((A54)+1)/2)*(Inputs!$J$7-Inputs!$I$7)))/Inputs!$K$7)^2)))^2+Inputs!$C$52^2-2*(Inputs!$C$52+((Inputs!$H$7+Inputs!$L$7*(((Inputs!$I$7+(((A54)+1)/2)*(Inputs!$J$7-Inputs!$I$7)))/Inputs!$K$7)^2)))*Inputs!$C$52*COS(SQRT(((Inputs!$I$7+(((A54)+1)/2)*(Inputs!$J$7-Inputs!$I$7)))^2+Inputs!$C$6^2)/Inputs!$C$52)))-((Inputs!$H$7+Inputs!$L$7*(((Inputs!$I$7+(((A54)+1)/2)*(Inputs!$J$7-Inputs!$I$7)))/Inputs!$K$7)^2)))*1000/Inputs!$C$12)</x:f>
        <x:v>73564.00880956366</x:v>
      </x:c>
      <x:c r="AH54" s="48" t="n">
        <x:f>(((SQRT((Inputs!$C$52+((Inputs!$H$8+Inputs!$L$8*(((Inputs!$I$8+(((A54)+1)/2)*(Inputs!$J$8-Inputs!$I$8)))/Inputs!$K$8)^2)))^2+Inputs!$C$52^2-2*(Inputs!$C$52+((Inputs!$H$8+Inputs!$L$8*(((Inputs!$I$8+(((A54)+1)/2)*(Inputs!$J$8-Inputs!$I$8)))/Inputs!$K$8)^2)))*Inputs!$C$52*COS(SQRT(((Inputs!$I$8+(((A54)+1)/2)*(Inputs!$J$8-Inputs!$I$8)))^2+Inputs!$C$6^2)/Inputs!$C$52)))-((Inputs!$H$8+Inputs!$L$8*(((Inputs!$I$8+(((A54)+1)/2)*(Inputs!$J$8-Inputs!$I$8)))/Inputs!$K$8)^2)))*1000/Inputs!$C$12)</x:f>
        <x:v>147516.89294631965</x:v>
      </x:c>
      <x:c r="AI54" s="48" t="n">
        <x:f>(((SQRT((Inputs!$C$52+((Inputs!$H$9+Inputs!$L$9*(((Inputs!$I$9+(((A54)+1)/2)*(Inputs!$J$9-Inputs!$I$9)))/Inputs!$K$9)^2)))^2+Inputs!$C$52^2-2*(Inputs!$C$52+((Inputs!$H$9+Inputs!$L$9*(((Inputs!$I$9+(((A54)+1)/2)*(Inputs!$J$9-Inputs!$I$9)))/Inputs!$K$9)^2)))*Inputs!$C$52*COS(SQRT(((Inputs!$I$9+(((A54)+1)/2)*(Inputs!$J$9-Inputs!$I$9)))^2+Inputs!$C$6^2)/Inputs!$C$52)))-((Inputs!$H$9+Inputs!$L$9*(((Inputs!$I$9+(((A54)+1)/2)*(Inputs!$J$9-Inputs!$I$9)))/Inputs!$K$9)^2)))*1000/Inputs!$C$12)</x:f>
        <x:v>148763.57599227005</x:v>
      </x:c>
      <x:c r="AJ54" s="49"/>
      <x:c r="AK54" s="48" t="n">
        <x:f>A54</x:f>
        <x:v>-0.567</x:v>
      </x:c>
      <x:c r="AL54" s="48" t="n">
        <x: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x:f>
        <x:v>289.6218043882279</x:v>
      </x:c>
      <x:c r="AM54" s="48" t="n">
        <x: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x:f>
        <x:v>2388.642234104056</x:v>
      </x:c>
      <x:c r="AN54" s="48" t="n">
        <x: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x:f>
        <x:v>2917.162994299878</x:v>
      </x:c>
      <x:c r="AO54" s="48" t="n">
        <x: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x:f>
        <x:v>2924.662502834148</x:v>
      </x:c>
      <x:c r="AP54" s="49"/>
      <x:c r="AQ54" s="48" t="n">
        <x:f>A54</x:f>
        <x:v>-0.567</x:v>
      </x:c>
      <x:c r="AR54" s="48" t="n">
        <x:f>0</x:f>
        <x:v>0</x:v>
      </x:c>
      <x:c r="AS54" s="48" t="n">
        <x: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(0.45*SIN(2*PI()*((((Inputs!$I$6+(((A54)+1)/2)*(Inputs!$J$6-Inputs!$I$6)))/Inputs!$C$49)+Inputs!$C$47*0.137))+0.35*COS(2*PI()*(((Inputs!$C$6)/Inputs!$C$50)+Inputs!$C$47*0.173))+0.20*SIN(2*PI()*((((Inputs!$I$6+(((A54)+1)/2)*(Inputs!$J$6-Inputs!$I$6)))+(Inputs!$C$6))/(0.5*(Inputs!$C$49+Inputs!$C$50))+Inputs!$C$47*0.097)))+0.30*(2*((SIN((((Inputs!$I$6+(((A54)+1)/2)*(Inputs!$J$6-Inputs!$I$6)))*12.9898+(Inputs!$C$6)*78.233+Inputs!$C$47*37.719))*43758.5453)-INT((SIN((((Inputs!$I$6+(((A54)+1)/2)*(Inputs!$J$6-Inputs!$I$6)))*12.9898+(Inputs!$C$6)*78.233+Inputs!$C$47*37.719))*43758.5453)))-1))),NA())</x:f>
        <x:v>311.83376355089536</x:v>
      </x:c>
      <x:c r="AT54" s="48" t="n">
        <x: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(0.45*SIN(2*PI()*((((Inputs!$I$7+(((A54)+1)/2)*(Inputs!$J$7-Inputs!$I$7)))/Inputs!$C$49)+Inputs!$C$47*0.137))+0.35*COS(2*PI()*(((Inputs!$C$6)/Inputs!$C$50)+Inputs!$C$47*0.173))+0.20*SIN(2*PI()*((((Inputs!$I$7+(((A54)+1)/2)*(Inputs!$J$7-Inputs!$I$7)))+(Inputs!$C$6))/(0.5*(Inputs!$C$49+Inputs!$C$50))+Inputs!$C$47*0.097)))+0.30*(2*((SIN((((Inputs!$I$7+(((A54)+1)/2)*(Inputs!$J$7-Inputs!$I$7)))*12.9898+(Inputs!$C$6)*78.233+Inputs!$C$47*37.719))*43758.5453)-INT((SIN((((Inputs!$I$7+(((A54)+1)/2)*(Inputs!$J$7-Inputs!$I$7)))*12.9898+(Inputs!$C$6)*78.233+Inputs!$C$47*37.719))*43758.5453)))-1))),NA())</x:f>
        <x:v>164.6012238855945</x:v>
      </x:c>
      <x:c r="AU54" s="48" t="n">
        <x: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(0.45*SIN(2*PI()*((((Inputs!$I$8+(((A54)+1)/2)*(Inputs!$J$8-Inputs!$I$8)))/Inputs!$C$49)+Inputs!$C$47*0.137))+0.35*COS(2*PI()*(((Inputs!$C$6)/Inputs!$C$50)+Inputs!$C$47*0.173))+0.20*SIN(2*PI()*((((Inputs!$I$8+(((A54)+1)/2)*(Inputs!$J$8-Inputs!$I$8)))+(Inputs!$C$6))/(0.5*(Inputs!$C$49+Inputs!$C$50))+Inputs!$C$47*0.097)))+0.30*(2*((SIN((((Inputs!$I$8+(((A54)+1)/2)*(Inputs!$J$8-Inputs!$I$8)))*12.9898+(Inputs!$C$6)*78.233+Inputs!$C$47*37.719))*43758.5453)-INT((SIN((((Inputs!$I$8+(((A54)+1)/2)*(Inputs!$J$8-Inputs!$I$8)))*12.9898+(Inputs!$C$6)*78.233+Inputs!$C$47*37.719))*43758.5453)))-1))),NA())</x:f>
        <x:v>103.85429106132455</x:v>
      </x:c>
      <x:c r="AV54" s="48" t="n">
        <x: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(0.45*SIN(2*PI()*((((Inputs!$I$9+(((A54)+1)/2)*(Inputs!$J$9-Inputs!$I$9)))/Inputs!$C$49)+Inputs!$C$47*0.137))+0.35*COS(2*PI()*(((Inputs!$C$6)/Inputs!$C$50)+Inputs!$C$47*0.173))+0.20*SIN(2*PI()*((((Inputs!$I$9+(((A54)+1)/2)*(Inputs!$J$9-Inputs!$I$9)))+(Inputs!$C$6))/(0.5*(Inputs!$C$49+Inputs!$C$50))+Inputs!$C$47*0.097)))+0.30*(2*((SIN((((Inputs!$I$9+(((A54)+1)/2)*(Inputs!$J$9-Inputs!$I$9)))*12.9898+(Inputs!$C$6)*78.233+Inputs!$C$47*37.719))*43758.5453)-INT((SIN((((Inputs!$I$9+(((A54)+1)/2)*(Inputs!$J$9-Inputs!$I$9)))*12.9898+(Inputs!$C$6)*78.233+Inputs!$C$47*37.719))*43758.5453)))-1))),NA())</x:f>
        <x:v>103.85429106132455</x:v>
      </x:c>
      <x:c r="AW54" s="49"/>
      <x:c r="AX54" s="48" t="n">
        <x:f>A54</x:f>
        <x:v>-0.567</x:v>
      </x:c>
      <x:c r="AY54" s="48" t="n">
        <x:f>0</x:f>
        <x:v>0</x:v>
      </x:c>
      <x:c r="AZ54" s="48" t="n">
        <x:f>IF(OR(Inputs!$F$6=TRUE,Inputs!$F$6="TRUE",Inputs!$F$6=1),(Inputs!$H$6+Inputs!$L$6*(((Inputs!$I$6+(((A54)+1)/2)*(Inputs!$J$6-Inputs!$I$6)))/Inputs!$K$6)^2),NA())</x:f>
        <x:v>401.285956</x:v>
      </x:c>
      <x:c r="BA54" s="48" t="n">
        <x:f>IF(OR(Inputs!$F$7=TRUE,Inputs!$F$7="TRUE",Inputs!$F$7=1),(Inputs!$H$7+Inputs!$L$7*(((Inputs!$I$7+(((A54)+1)/2)*(Inputs!$J$7-Inputs!$I$7)))/Inputs!$K$7)^2),NA())</x:f>
        <x:v>152.343485</x:v>
      </x:c>
      <x:c r="BB54" s="48" t="n">
        <x:f>IF(OR(Inputs!$F$8=TRUE,Inputs!$F$8="TRUE",Inputs!$F$8=1),(Inputs!$H$8+Inputs!$L$8*(((Inputs!$I$8+(((A54)+1)/2)*(Inputs!$J$8-Inputs!$I$8)))/Inputs!$K$8)^2),NA())</x:f>
        <x:v>345.236885</x:v>
      </x:c>
      <x:c r="BC54" s="48" t="n">
        <x:f>IF(OR(Inputs!$F$9=TRUE,Inputs!$F$9="TRUE",Inputs!$F$9=1),(Inputs!$H$9+Inputs!$L$9*(((Inputs!$I$9+(((A54)+1)/2)*(Inputs!$J$9-Inputs!$I$9)))/Inputs!$K$9)^2),NA())</x:f>
        <x:v>338.451775</x:v>
      </x:c>
      <x:c r="BD54" s="49"/>
      <x:c r="BE54" s="48" t="n">
        <x:f>A54</x:f>
        <x:v>-0.567</x:v>
      </x:c>
      <x:c r="BF54" s="48" t="n">
        <x:f>0</x:f>
        <x:v>0</x:v>
      </x:c>
      <x:c r="BG54" s="48"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BH54" s="48"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BI54" s="48"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BJ54" s="48"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row>
    <x:row r="55">
      <x:c r="A55" s="48" t="n">
        <x:f>ROUND(-1+53*2/240,3)</x:f>
        <x:v>-0.558</x:v>
      </x:c>
      <x:c r="B55" s="48" t="n">
        <x:f>IF(OR(Inputs!$F$6=TRUE,Inputs!$F$6="TRUE",Inputs!$F$6=1),(Inputs!$H$6+Inputs!$L$6*(((Inputs!$I$6+(((A55)+1)/2)*(Inputs!$J$6-Inputs!$I$6)))/Inputs!$K$6)^2),NA())</x:f>
        <x:v>401.245456</x:v>
      </x:c>
      <x:c r="C55" s="48" t="n">
        <x:f>IF(OR(Inputs!$F$7=TRUE,Inputs!$F$7="TRUE",Inputs!$F$7=1),(Inputs!$H$7+Inputs!$L$7*(((Inputs!$I$7+(((A55)+1)/2)*(Inputs!$J$7-Inputs!$I$7)))/Inputs!$K$7)^2),NA())</x:f>
        <x:v>148.64786000000004</x:v>
      </x:c>
      <x:c r="D55" s="48" t="n">
        <x:f>IF(OR(Inputs!$F$8=TRUE,Inputs!$F$8="TRUE",Inputs!$F$8=1),(Inputs!$H$8+Inputs!$L$8*(((Inputs!$I$8+(((A55)+1)/2)*(Inputs!$J$8-Inputs!$I$8)))/Inputs!$K$8)^2),NA())</x:f>
        <x:v>335.4662600000001</x:v>
      </x:c>
      <x:c r="E55" s="48" t="n">
        <x:f>IF(OR(Inputs!$F$9=TRUE,Inputs!$F$9="TRUE",Inputs!$F$9=1),(Inputs!$H$9+Inputs!$L$9*(((Inputs!$I$9+(((A55)+1)/2)*(Inputs!$J$9-Inputs!$I$9)))/Inputs!$K$9)^2),NA())</x:f>
        <x:v>328.57990000000007</x:v>
      </x:c>
      <x:c r="F55" s="49"/>
      <x:c r="G55" s="48" t="n">
        <x:f>A55</x:f>
        <x:v>-0.558</x:v>
      </x:c>
      <x:c r="H55" s="48"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I55" s="48"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J55" s="48"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K55" s="48"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c r="L55" s="49"/>
      <x:c r="M55" s="48" t="n">
        <x:f>A55</x:f>
        <x:v>-0.558</x:v>
      </x:c>
      <x:c r="N55" s="48" t="n">
        <x: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x:f>
        <x:v>285.07465841232926</x:v>
      </x:c>
      <x:c r="O55" s="48" t="n">
        <x: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x:f>
        <x:v>2368.4179263142755</x:v>
      </x:c>
      <x:c r="P55" s="48" t="n">
        <x: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x:f>
        <x:v>2884.297936066611</x:v>
      </x:c>
      <x:c r="Q55" s="48" t="n">
        <x: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x:f>
        <x:v>2891.204386911474</x:v>
      </x:c>
      <x:c r="R55" s="49"/>
      <x:c r="S55" s="48" t="n">
        <x:f>A55</x:f>
        <x:v>-0.558</x:v>
      </x:c>
      <x:c r="T55" s="48" t="n">
        <x:f>(Inputs!$I$6+(((A55)+1)/2)*(Inputs!$J$6-Inputs!$I$6))</x:f>
        <x:v>-33.480000000000004</x:v>
      </x:c>
      <x:c r="U55" s="48" t="n">
        <x:f>(Inputs!$I$7+(((A55)+1)/2)*(Inputs!$J$7-Inputs!$I$7))</x:f>
        <x:v>-223.20000000000002</x:v>
      </x:c>
      <x:c r="V55" s="48" t="n">
        <x:f>(Inputs!$I$8+(((A55)+1)/2)*(Inputs!$J$8-Inputs!$I$8))</x:f>
        <x:v>-446.40000000000003</x:v>
      </x:c>
      <x:c r="W55" s="48" t="n">
        <x:f>(Inputs!$I$9+(((A55)+1)/2)*(Inputs!$J$9-Inputs!$I$9))</x:f>
        <x:v>-446.40000000000003</x:v>
      </x:c>
      <x:c r="X55" s="49"/>
      <x:c r="Y55" s="48" t="n">
        <x:f>A55</x:f>
        <x:v>-0.558</x:v>
      </x:c>
      <x:c r="Z55" s="48" t="n">
        <x:f>(Inputs!$H$6+Inputs!$L$6*(((Inputs!$I$6+(((A55)+1)/2)*(Inputs!$J$6-Inputs!$I$6)))/Inputs!$K$6)^2)</x:f>
        <x:v>401.245456</x:v>
      </x:c>
      <x:c r="AA55" s="48" t="n">
        <x:f>(Inputs!$H$7+Inputs!$L$7*(((Inputs!$I$7+(((A55)+1)/2)*(Inputs!$J$7-Inputs!$I$7)))/Inputs!$K$7)^2)</x:f>
        <x:v>148.64786000000004</x:v>
      </x:c>
      <x:c r="AB55" s="48" t="n">
        <x:f>(Inputs!$H$8+Inputs!$L$8*(((Inputs!$I$8+(((A55)+1)/2)*(Inputs!$J$8-Inputs!$I$8)))/Inputs!$K$8)^2)</x:f>
        <x:v>335.4662600000001</x:v>
      </x:c>
      <x:c r="AC55" s="48" t="n">
        <x:f>(Inputs!$H$9+Inputs!$L$9*(((Inputs!$I$9+(((A55)+1)/2)*(Inputs!$J$9-Inputs!$I$9)))/Inputs!$K$9)^2)</x:f>
        <x:v>328.57990000000007</x:v>
      </x:c>
      <x:c r="AD55" s="49"/>
      <x:c r="AE55" s="48" t="n">
        <x:f>A55</x:f>
        <x:v>-0.558</x:v>
      </x:c>
      <x:c r="AF55" s="48" t="n">
        <x:f>(((SQRT((Inputs!$C$52+((Inputs!$H$6+Inputs!$L$6*(((Inputs!$I$6+(((A55)+1)/2)*(Inputs!$J$6-Inputs!$I$6)))/Inputs!$K$6)^2)))^2+Inputs!$C$52^2-2*(Inputs!$C$52+((Inputs!$H$6+Inputs!$L$6*(((Inputs!$I$6+(((A55)+1)/2)*(Inputs!$J$6-Inputs!$I$6)))/Inputs!$K$6)^2)))*Inputs!$C$52*COS(SQRT(((Inputs!$I$6+(((A55)+1)/2)*(Inputs!$J$6-Inputs!$I$6)))^2+Inputs!$C$6^2)/Inputs!$C$52)))-((Inputs!$H$6+Inputs!$L$6*(((Inputs!$I$6+(((A55)+1)/2)*(Inputs!$J$6-Inputs!$I$6)))/Inputs!$K$6)^2)))*1000/Inputs!$C$12)</x:f>
        <x:v>1531.1763248895636</x:v>
      </x:c>
      <x:c r="AG55" s="48" t="n">
        <x:f>(((SQRT((Inputs!$C$52+((Inputs!$H$7+Inputs!$L$7*(((Inputs!$I$7+(((A55)+1)/2)*(Inputs!$J$7-Inputs!$I$7)))/Inputs!$K$7)^2)))^2+Inputs!$C$52^2-2*(Inputs!$C$52+((Inputs!$H$7+Inputs!$L$7*(((Inputs!$I$7+(((A55)+1)/2)*(Inputs!$J$7-Inputs!$I$7)))/Inputs!$K$7)^2)))*Inputs!$C$52*COS(SQRT(((Inputs!$I$7+(((A55)+1)/2)*(Inputs!$J$7-Inputs!$I$7)))^2+Inputs!$C$6^2)/Inputs!$C$52)))-((Inputs!$H$7+Inputs!$L$7*(((Inputs!$I$7+(((A55)+1)/2)*(Inputs!$J$7-Inputs!$I$7)))/Inputs!$K$7)^2)))*1000/Inputs!$C$12)</x:f>
        <x:v>72633.65091218191</x:v>
      </x:c>
      <x:c r="AH55" s="48" t="n">
        <x:f>(((SQRT((Inputs!$C$52+((Inputs!$H$8+Inputs!$L$8*(((Inputs!$I$8+(((A55)+1)/2)*(Inputs!$J$8-Inputs!$I$8)))/Inputs!$K$8)^2)))^2+Inputs!$C$52^2-2*(Inputs!$C$52+((Inputs!$H$8+Inputs!$L$8*(((Inputs!$I$8+(((A55)+1)/2)*(Inputs!$J$8-Inputs!$I$8)))/Inputs!$K$8)^2)))*Inputs!$C$52*COS(SQRT(((Inputs!$I$8+(((A55)+1)/2)*(Inputs!$J$8-Inputs!$I$8)))^2+Inputs!$C$6^2)/Inputs!$C$52)))-((Inputs!$H$8+Inputs!$L$8*(((Inputs!$I$8+(((A55)+1)/2)*(Inputs!$J$8-Inputs!$I$8)))/Inputs!$K$8)^2)))*1000/Inputs!$C$12)</x:f>
        <x:v>145672.74759155032</x:v>
      </x:c>
      <x:c r="AI55" s="48" t="n">
        <x:f>(((SQRT((Inputs!$C$52+((Inputs!$H$9+Inputs!$L$9*(((Inputs!$I$9+(((A55)+1)/2)*(Inputs!$J$9-Inputs!$I$9)))/Inputs!$K$9)^2)))^2+Inputs!$C$52^2-2*(Inputs!$C$52+((Inputs!$H$9+Inputs!$L$9*(((Inputs!$I$9+(((A55)+1)/2)*(Inputs!$J$9-Inputs!$I$9)))/Inputs!$K$9)^2)))*Inputs!$C$52*COS(SQRT(((Inputs!$I$9+(((A55)+1)/2)*(Inputs!$J$9-Inputs!$I$9)))^2+Inputs!$C$6^2)/Inputs!$C$52)))-((Inputs!$H$9+Inputs!$L$9*(((Inputs!$I$9+(((A55)+1)/2)*(Inputs!$J$9-Inputs!$I$9)))/Inputs!$K$9)^2)))*1000/Inputs!$C$12)</x:f>
        <x:v>146958.10294394437</x:v>
      </x:c>
      <x:c r="AJ55" s="49"/>
      <x:c r="AK55" s="48" t="n">
        <x:f>A55</x:f>
        <x:v>-0.558</x:v>
      </x:c>
      <x:c r="AL55" s="48" t="n">
        <x: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x:f>
        <x:v>285.07465841232926</x:v>
      </x:c>
      <x:c r="AM55" s="48" t="n">
        <x: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x:f>
        <x:v>2368.4179263142755</x:v>
      </x:c>
      <x:c r="AN55" s="48" t="n">
        <x: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x:f>
        <x:v>2884.297936066611</x:v>
      </x:c>
      <x:c r="AO55" s="48" t="n">
        <x: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x:f>
        <x:v>2891.204386911474</x:v>
      </x:c>
      <x:c r="AP55" s="49"/>
      <x:c r="AQ55" s="48" t="n">
        <x:f>A55</x:f>
        <x:v>-0.558</x:v>
      </x:c>
      <x:c r="AR55" s="48" t="n">
        <x:f>0</x:f>
        <x:v>0</x:v>
      </x:c>
      <x:c r="AS55" s="48" t="n">
        <x: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(0.45*SIN(2*PI()*((((Inputs!$I$6+(((A55)+1)/2)*(Inputs!$J$6-Inputs!$I$6)))/Inputs!$C$49)+Inputs!$C$47*0.137))+0.35*COS(2*PI()*(((Inputs!$C$6)/Inputs!$C$50)+Inputs!$C$47*0.173))+0.20*SIN(2*PI()*((((Inputs!$I$6+(((A55)+1)/2)*(Inputs!$J$6-Inputs!$I$6)))+(Inputs!$C$6))/(0.5*(Inputs!$C$49+Inputs!$C$50))+Inputs!$C$47*0.097)))+0.30*(2*((SIN((((Inputs!$I$6+(((A55)+1)/2)*(Inputs!$J$6-Inputs!$I$6)))*12.9898+(Inputs!$C$6)*78.233+Inputs!$C$47*37.719))*43758.5453)-INT((SIN((((Inputs!$I$6+(((A55)+1)/2)*(Inputs!$J$6-Inputs!$I$6)))*12.9898+(Inputs!$C$6)*78.233+Inputs!$C$47*37.719))*43758.5453)))-1))),NA())</x:f>
        <x:v>339.5699423794875</x:v>
      </x:c>
      <x:c r="AT55" s="48" t="n">
        <x: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(0.45*SIN(2*PI()*((((Inputs!$I$7+(((A55)+1)/2)*(Inputs!$J$7-Inputs!$I$7)))/Inputs!$C$49)+Inputs!$C$47*0.137))+0.35*COS(2*PI()*(((Inputs!$C$6)/Inputs!$C$50)+Inputs!$C$47*0.173))+0.20*SIN(2*PI()*((((Inputs!$I$7+(((A55)+1)/2)*(Inputs!$J$7-Inputs!$I$7)))+(Inputs!$C$6))/(0.5*(Inputs!$C$49+Inputs!$C$50))+Inputs!$C$47*0.097)))+0.30*(2*((SIN((((Inputs!$I$7+(((A55)+1)/2)*(Inputs!$J$7-Inputs!$I$7)))*12.9898+(Inputs!$C$6)*78.233+Inputs!$C$47*37.719))*43758.5453)-INT((SIN((((Inputs!$I$7+(((A55)+1)/2)*(Inputs!$J$7-Inputs!$I$7)))*12.9898+(Inputs!$C$6)*78.233+Inputs!$C$47*37.719))*43758.5453)))-1))),NA())</x:f>
        <x:v>74.90030040313073</x:v>
      </x:c>
      <x:c r="AU55" s="48" t="n">
        <x: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(0.45*SIN(2*PI()*((((Inputs!$I$8+(((A55)+1)/2)*(Inputs!$J$8-Inputs!$I$8)))/Inputs!$C$49)+Inputs!$C$47*0.137))+0.35*COS(2*PI()*(((Inputs!$C$6)/Inputs!$C$50)+Inputs!$C$47*0.173))+0.20*SIN(2*PI()*((((Inputs!$I$8+(((A55)+1)/2)*(Inputs!$J$8-Inputs!$I$8)))+(Inputs!$C$6))/(0.5*(Inputs!$C$49+Inputs!$C$50))+Inputs!$C$47*0.097)))+0.30*(2*((SIN((((Inputs!$I$8+(((A55)+1)/2)*(Inputs!$J$8-Inputs!$I$8)))*12.9898+(Inputs!$C$6)*78.233+Inputs!$C$47*37.719))*43758.5453)-INT((SIN((((Inputs!$I$8+(((A55)+1)/2)*(Inputs!$J$8-Inputs!$I$8)))*12.9898+(Inputs!$C$6)*78.233+Inputs!$C$47*37.719))*43758.5453)))-1))),NA())</x:f>
        <x:v>163.0323565171826</x:v>
      </x:c>
      <x:c r="AV55" s="48" t="n">
        <x: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(0.45*SIN(2*PI()*((((Inputs!$I$9+(((A55)+1)/2)*(Inputs!$J$9-Inputs!$I$9)))/Inputs!$C$49)+Inputs!$C$47*0.137))+0.35*COS(2*PI()*(((Inputs!$C$6)/Inputs!$C$50)+Inputs!$C$47*0.173))+0.20*SIN(2*PI()*((((Inputs!$I$9+(((A55)+1)/2)*(Inputs!$J$9-Inputs!$I$9)))+(Inputs!$C$6))/(0.5*(Inputs!$C$49+Inputs!$C$50))+Inputs!$C$47*0.097)))+0.30*(2*((SIN((((Inputs!$I$9+(((A55)+1)/2)*(Inputs!$J$9-Inputs!$I$9)))*12.9898+(Inputs!$C$6)*78.233+Inputs!$C$47*37.719))*43758.5453)-INT((SIN((((Inputs!$I$9+(((A55)+1)/2)*(Inputs!$J$9-Inputs!$I$9)))*12.9898+(Inputs!$C$6)*78.233+Inputs!$C$47*37.719))*43758.5453)))-1))),NA())</x:f>
        <x:v>163.0323565171826</x:v>
      </x:c>
      <x:c r="AW55" s="49"/>
      <x:c r="AX55" s="48" t="n">
        <x:f>A55</x:f>
        <x:v>-0.558</x:v>
      </x:c>
      <x:c r="AY55" s="48" t="n">
        <x:f>0</x:f>
        <x:v>0</x:v>
      </x:c>
      <x:c r="AZ55" s="48" t="n">
        <x:f>IF(OR(Inputs!$F$6=TRUE,Inputs!$F$6="TRUE",Inputs!$F$6=1),(Inputs!$H$6+Inputs!$L$6*(((Inputs!$I$6+(((A55)+1)/2)*(Inputs!$J$6-Inputs!$I$6)))/Inputs!$K$6)^2),NA())</x:f>
        <x:v>401.245456</x:v>
      </x:c>
      <x:c r="BA55" s="48" t="n">
        <x:f>IF(OR(Inputs!$F$7=TRUE,Inputs!$F$7="TRUE",Inputs!$F$7=1),(Inputs!$H$7+Inputs!$L$7*(((Inputs!$I$7+(((A55)+1)/2)*(Inputs!$J$7-Inputs!$I$7)))/Inputs!$K$7)^2),NA())</x:f>
        <x:v>148.64786000000004</x:v>
      </x:c>
      <x:c r="BB55" s="48" t="n">
        <x:f>IF(OR(Inputs!$F$8=TRUE,Inputs!$F$8="TRUE",Inputs!$F$8=1),(Inputs!$H$8+Inputs!$L$8*(((Inputs!$I$8+(((A55)+1)/2)*(Inputs!$J$8-Inputs!$I$8)))/Inputs!$K$8)^2),NA())</x:f>
        <x:v>335.4662600000001</x:v>
      </x:c>
      <x:c r="BC55" s="48" t="n">
        <x:f>IF(OR(Inputs!$F$9=TRUE,Inputs!$F$9="TRUE",Inputs!$F$9=1),(Inputs!$H$9+Inputs!$L$9*(((Inputs!$I$9+(((A55)+1)/2)*(Inputs!$J$9-Inputs!$I$9)))/Inputs!$K$9)^2),NA())</x:f>
        <x:v>328.57990000000007</x:v>
      </x:c>
      <x:c r="BD55" s="49"/>
      <x:c r="BE55" s="48" t="n">
        <x:f>A55</x:f>
        <x:v>-0.558</x:v>
      </x:c>
      <x:c r="BF55" s="48" t="n">
        <x:f>0</x:f>
        <x:v>0</x:v>
      </x:c>
      <x:c r="BG55" s="48"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BH55" s="48"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BI55" s="48"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BJ55" s="48"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row>
    <x:row r="56">
      <x:c r="A56" s="48" t="n">
        <x:f>ROUND(-1+54*2/240,3)</x:f>
        <x:v>-0.55</x:v>
      </x:c>
      <x:c r="B56" s="48" t="n">
        <x:f>IF(OR(Inputs!$F$6=TRUE,Inputs!$F$6="TRUE",Inputs!$F$6=1),(Inputs!$H$6+Inputs!$L$6*(((Inputs!$I$6+(((A56)+1)/2)*(Inputs!$J$6-Inputs!$I$6)))/Inputs!$K$6)^2),NA())</x:f>
        <x:v>401.21</x:v>
      </x:c>
      <x:c r="C56" s="48" t="n">
        <x:f>IF(OR(Inputs!$F$7=TRUE,Inputs!$F$7="TRUE",Inputs!$F$7=1),(Inputs!$H$7+Inputs!$L$7*(((Inputs!$I$7+(((A56)+1)/2)*(Inputs!$J$7-Inputs!$I$7)))/Inputs!$K$7)^2),NA())</x:f>
        <x:v>145.41250000000002</x:v>
      </x:c>
      <x:c r="D56" s="48" t="n">
        <x:f>IF(OR(Inputs!$F$8=TRUE,Inputs!$F$8="TRUE",Inputs!$F$8=1),(Inputs!$H$8+Inputs!$L$8*(((Inputs!$I$8+(((A56)+1)/2)*(Inputs!$J$8-Inputs!$I$8)))/Inputs!$K$8)^2),NA())</x:f>
        <x:v>326.9125</x:v>
      </x:c>
      <x:c r="E56" s="48" t="n">
        <x:f>IF(OR(Inputs!$F$9=TRUE,Inputs!$F$9="TRUE",Inputs!$F$9=1),(Inputs!$H$9+Inputs!$L$9*(((Inputs!$I$9+(((A56)+1)/2)*(Inputs!$J$9-Inputs!$I$9)))/Inputs!$K$9)^2),NA())</x:f>
        <x:v>319.93750000000006</x:v>
      </x:c>
      <x:c r="F56" s="49"/>
      <x:c r="G56" s="48" t="n">
        <x:f>A56</x:f>
        <x:v>-0.55</x:v>
      </x:c>
      <x:c r="H56" s="48"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I56" s="48"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J56" s="48"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K56" s="48"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c r="L56" s="49"/>
      <x:c r="M56" s="48" t="n">
        <x:f>A56</x:f>
        <x:v>-0.55</x:v>
      </x:c>
      <x:c r="N56" s="48" t="n">
        <x: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x:f>
        <x:v>281.03076297523637</x:v>
      </x:c>
      <x:c r="O56" s="48" t="n">
        <x: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x:f>
        <x:v>2350.578340639019</x:v>
      </x:c>
      <x:c r="P56" s="48" t="n">
        <x: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x:f>
        <x:v>2855.273723910822</x:v>
      </x:c>
      <x:c r="Q56" s="48" t="n">
        <x: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x:f>
        <x:v>2861.653402048311</x:v>
      </x:c>
      <x:c r="R56" s="49"/>
      <x:c r="S56" s="48" t="n">
        <x:f>A56</x:f>
        <x:v>-0.55</x:v>
      </x:c>
      <x:c r="T56" s="48" t="n">
        <x:f>(Inputs!$I$6+(((A56)+1)/2)*(Inputs!$J$6-Inputs!$I$6))</x:f>
        <x:v>-33</x:v>
      </x:c>
      <x:c r="U56" s="48" t="n">
        <x:f>(Inputs!$I$7+(((A56)+1)/2)*(Inputs!$J$7-Inputs!$I$7))</x:f>
        <x:v>-220.00000000000003</x:v>
      </x:c>
      <x:c r="V56" s="48" t="n">
        <x:f>(Inputs!$I$8+(((A56)+1)/2)*(Inputs!$J$8-Inputs!$I$8))</x:f>
        <x:v>-440.00000000000006</x:v>
      </x:c>
      <x:c r="W56" s="48" t="n">
        <x:f>(Inputs!$I$9+(((A56)+1)/2)*(Inputs!$J$9-Inputs!$I$9))</x:f>
        <x:v>-440.00000000000006</x:v>
      </x:c>
      <x:c r="X56" s="49"/>
      <x:c r="Y56" s="48" t="n">
        <x:f>A56</x:f>
        <x:v>-0.55</x:v>
      </x:c>
      <x:c r="Z56" s="48" t="n">
        <x:f>(Inputs!$H$6+Inputs!$L$6*(((Inputs!$I$6+(((A56)+1)/2)*(Inputs!$J$6-Inputs!$I$6)))/Inputs!$K$6)^2)</x:f>
        <x:v>401.21</x:v>
      </x:c>
      <x:c r="AA56" s="48" t="n">
        <x:f>(Inputs!$H$7+Inputs!$L$7*(((Inputs!$I$7+(((A56)+1)/2)*(Inputs!$J$7-Inputs!$I$7)))/Inputs!$K$7)^2)</x:f>
        <x:v>145.41250000000002</x:v>
      </x:c>
      <x:c r="AB56" s="48" t="n">
        <x:f>(Inputs!$H$8+Inputs!$L$8*(((Inputs!$I$8+(((A56)+1)/2)*(Inputs!$J$8-Inputs!$I$8)))/Inputs!$K$8)^2)</x:f>
        <x:v>326.9125</x:v>
      </x:c>
      <x:c r="AC56" s="48" t="n">
        <x:f>(Inputs!$H$9+Inputs!$L$9*(((Inputs!$I$9+(((A56)+1)/2)*(Inputs!$J$9-Inputs!$I$9)))/Inputs!$K$9)^2)</x:f>
        <x:v>319.93750000000006</x:v>
      </x:c>
      <x:c r="AD56" s="49"/>
      <x:c r="AE56" s="48" t="n">
        <x:f>A56</x:f>
        <x:v>-0.55</x:v>
      </x:c>
      <x:c r="AF56" s="48" t="n">
        <x:f>(((SQRT((Inputs!$C$52+((Inputs!$H$6+Inputs!$L$6*(((Inputs!$I$6+(((A56)+1)/2)*(Inputs!$J$6-Inputs!$I$6)))/Inputs!$K$6)^2)))^2+Inputs!$C$52^2-2*(Inputs!$C$52+((Inputs!$H$6+Inputs!$L$6*(((Inputs!$I$6+(((A56)+1)/2)*(Inputs!$J$6-Inputs!$I$6)))/Inputs!$K$6)^2)))*Inputs!$C$52*COS(SQRT(((Inputs!$I$6+(((A56)+1)/2)*(Inputs!$J$6-Inputs!$I$6)))^2+Inputs!$C$6^2)/Inputs!$C$52)))-((Inputs!$H$6+Inputs!$L$6*(((Inputs!$I$6+(((A56)+1)/2)*(Inputs!$J$6-Inputs!$I$6)))/Inputs!$K$6)^2)))*1000/Inputs!$C$12)</x:f>
        <x:v>1503.3898868855904</x:v>
      </x:c>
      <x:c r="AG56" s="48" t="n">
        <x:f>(((SQRT((Inputs!$C$52+((Inputs!$H$7+Inputs!$L$7*(((Inputs!$I$7+(((A56)+1)/2)*(Inputs!$J$7-Inputs!$I$7)))/Inputs!$K$7)^2)))^2+Inputs!$C$52^2-2*(Inputs!$C$52+((Inputs!$H$7+Inputs!$L$7*(((Inputs!$I$7+(((A56)+1)/2)*(Inputs!$J$7-Inputs!$I$7)))/Inputs!$K$7)^2)))*Inputs!$C$52*COS(SQRT(((Inputs!$I$7+(((A56)+1)/2)*(Inputs!$J$7-Inputs!$I$7)))^2+Inputs!$C$6^2)/Inputs!$C$52)))-((Inputs!$H$7+Inputs!$L$7*(((Inputs!$I$7+(((A56)+1)/2)*(Inputs!$J$7-Inputs!$I$7)))/Inputs!$K$7)^2)))*1000/Inputs!$C$12)</x:f>
        <x:v>71800.15955667125</x:v>
      </x:c>
      <x:c r="AH56" s="48" t="n">
        <x:f>(((SQRT((Inputs!$C$52+((Inputs!$H$8+Inputs!$L$8*(((Inputs!$I$8+(((A56)+1)/2)*(Inputs!$J$8-Inputs!$I$8)))/Inputs!$K$8)^2)))^2+Inputs!$C$52^2-2*(Inputs!$C$52+((Inputs!$H$8+Inputs!$L$8*(((Inputs!$I$8+(((A56)+1)/2)*(Inputs!$J$8-Inputs!$I$8)))/Inputs!$K$8)^2)))*Inputs!$C$52*COS(SQRT(((Inputs!$I$8+(((A56)+1)/2)*(Inputs!$J$8-Inputs!$I$8)))^2+Inputs!$C$6^2)/Inputs!$C$52)))-((Inputs!$H$8+Inputs!$L$8*(((Inputs!$I$8+(((A56)+1)/2)*(Inputs!$J$8-Inputs!$I$8)))/Inputs!$K$8)^2)))*1000/Inputs!$C$12)</x:f>
        <x:v>144029.30762810478</x:v>
      </x:c>
      <x:c r="AI56" s="48" t="n">
        <x:f>(((SQRT((Inputs!$C$52+((Inputs!$H$9+Inputs!$L$9*(((Inputs!$I$9+(((A56)+1)/2)*(Inputs!$J$9-Inputs!$I$9)))/Inputs!$K$9)^2)))^2+Inputs!$C$52^2-2*(Inputs!$C$52+((Inputs!$H$9+Inputs!$L$9*(((Inputs!$I$9+(((A56)+1)/2)*(Inputs!$J$9-Inputs!$I$9)))/Inputs!$K$9)^2)))*Inputs!$C$52*COS(SQRT(((Inputs!$I$9+(((A56)+1)/2)*(Inputs!$J$9-Inputs!$I$9)))^2+Inputs!$C$6^2)/Inputs!$C$52)))-((Inputs!$H$9+Inputs!$L$9*(((Inputs!$I$9+(((A56)+1)/2)*(Inputs!$J$9-Inputs!$I$9)))/Inputs!$K$9)^2)))*1000/Inputs!$C$12)</x:f>
        <x:v>145349.53259232538</x:v>
      </x:c>
      <x:c r="AJ56" s="49"/>
      <x:c r="AK56" s="48" t="n">
        <x:f>A56</x:f>
        <x:v>-0.55</x:v>
      </x:c>
      <x:c r="AL56" s="48" t="n">
        <x: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x:f>
        <x:v>281.03076297523637</x:v>
      </x:c>
      <x:c r="AM56" s="48" t="n">
        <x: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x:f>
        <x:v>2350.578340639019</x:v>
      </x:c>
      <x:c r="AN56" s="48" t="n">
        <x: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x:f>
        <x:v>2855.273723910822</x:v>
      </x:c>
      <x:c r="AO56" s="48" t="n">
        <x: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x:f>
        <x:v>2861.653402048311</x:v>
      </x:c>
      <x:c r="AP56" s="49"/>
      <x:c r="AQ56" s="48" t="n">
        <x:f>A56</x:f>
        <x:v>-0.55</x:v>
      </x:c>
      <x:c r="AR56" s="48" t="n">
        <x:f>0</x:f>
        <x:v>0</x:v>
      </x:c>
      <x:c r="AS56" s="48" t="n">
        <x: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(0.45*SIN(2*PI()*((((Inputs!$I$6+(((A56)+1)/2)*(Inputs!$J$6-Inputs!$I$6)))/Inputs!$C$49)+Inputs!$C$47*0.137))+0.35*COS(2*PI()*(((Inputs!$C$6)/Inputs!$C$50)+Inputs!$C$47*0.173))+0.20*SIN(2*PI()*((((Inputs!$I$6+(((A56)+1)/2)*(Inputs!$J$6-Inputs!$I$6)))+(Inputs!$C$6))/(0.5*(Inputs!$C$49+Inputs!$C$50))+Inputs!$C$47*0.097)))+0.30*(2*((SIN((((Inputs!$I$6+(((A56)+1)/2)*(Inputs!$J$6-Inputs!$I$6)))*12.9898+(Inputs!$C$6)*78.233+Inputs!$C$47*37.719))*43758.5453)-INT((SIN((((Inputs!$I$6+(((A56)+1)/2)*(Inputs!$J$6-Inputs!$I$6)))*12.9898+(Inputs!$C$6)*78.233+Inputs!$C$47*37.719))*43758.5453)))-1))),NA())</x:f>
        <x:v>342.0571204684842</x:v>
      </x:c>
      <x:c r="AT56" s="48" t="n">
        <x: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(0.45*SIN(2*PI()*((((Inputs!$I$7+(((A56)+1)/2)*(Inputs!$J$7-Inputs!$I$7)))/Inputs!$C$49)+Inputs!$C$47*0.137))+0.35*COS(2*PI()*(((Inputs!$C$6)/Inputs!$C$50)+Inputs!$C$47*0.173))+0.20*SIN(2*PI()*((((Inputs!$I$7+(((A56)+1)/2)*(Inputs!$J$7-Inputs!$I$7)))+(Inputs!$C$6))/(0.5*(Inputs!$C$49+Inputs!$C$50))+Inputs!$C$47*0.097)))+0.30*(2*((SIN((((Inputs!$I$7+(((A56)+1)/2)*(Inputs!$J$7-Inputs!$I$7)))*12.9898+(Inputs!$C$6)*78.233+Inputs!$C$47*37.719))*43758.5453)-INT((SIN((((Inputs!$I$7+(((A56)+1)/2)*(Inputs!$J$7-Inputs!$I$7)))*12.9898+(Inputs!$C$6)*78.233+Inputs!$C$47*37.719))*43758.5453)))-1))),NA())</x:f>
        <x:v>59.092313072187835</x:v>
      </x:c>
      <x:c r="AU56" s="48" t="n">
        <x: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(0.45*SIN(2*PI()*((((Inputs!$I$8+(((A56)+1)/2)*(Inputs!$J$8-Inputs!$I$8)))/Inputs!$C$49)+Inputs!$C$47*0.137))+0.35*COS(2*PI()*(((Inputs!$C$6)/Inputs!$C$50)+Inputs!$C$47*0.173))+0.20*SIN(2*PI()*((((Inputs!$I$8+(((A56)+1)/2)*(Inputs!$J$8-Inputs!$I$8)))+(Inputs!$C$6))/(0.5*(Inputs!$C$49+Inputs!$C$50))+Inputs!$C$47*0.097)))+0.30*(2*((SIN((((Inputs!$I$8+(((A56)+1)/2)*(Inputs!$J$8-Inputs!$I$8)))*12.9898+(Inputs!$C$6)*78.233+Inputs!$C$47*37.719))*43758.5453)-INT((SIN((((Inputs!$I$8+(((A56)+1)/2)*(Inputs!$J$8-Inputs!$I$8)))*12.9898+(Inputs!$C$6)*78.233+Inputs!$C$47*37.719))*43758.5453)))-1))),NA())</x:f>
        <x:v>150.94769857103955</x:v>
      </x:c>
      <x:c r="AV56" s="48" t="n">
        <x: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(0.45*SIN(2*PI()*((((Inputs!$I$9+(((A56)+1)/2)*(Inputs!$J$9-Inputs!$I$9)))/Inputs!$C$49)+Inputs!$C$47*0.137))+0.35*COS(2*PI()*(((Inputs!$C$6)/Inputs!$C$50)+Inputs!$C$47*0.173))+0.20*SIN(2*PI()*((((Inputs!$I$9+(((A56)+1)/2)*(Inputs!$J$9-Inputs!$I$9)))+(Inputs!$C$6))/(0.5*(Inputs!$C$49+Inputs!$C$50))+Inputs!$C$47*0.097)))+0.30*(2*((SIN((((Inputs!$I$9+(((A56)+1)/2)*(Inputs!$J$9-Inputs!$I$9)))*12.9898+(Inputs!$C$6)*78.233+Inputs!$C$47*37.719))*43758.5453)-INT((SIN((((Inputs!$I$9+(((A56)+1)/2)*(Inputs!$J$9-Inputs!$I$9)))*12.9898+(Inputs!$C$6)*78.233+Inputs!$C$47*37.719))*43758.5453)))-1))),NA())</x:f>
        <x:v>150.94769857103955</x:v>
      </x:c>
      <x:c r="AW56" s="49"/>
      <x:c r="AX56" s="48" t="n">
        <x:f>A56</x:f>
        <x:v>-0.55</x:v>
      </x:c>
      <x:c r="AY56" s="48" t="n">
        <x:f>0</x:f>
        <x:v>0</x:v>
      </x:c>
      <x:c r="AZ56" s="48" t="n">
        <x:f>IF(OR(Inputs!$F$6=TRUE,Inputs!$F$6="TRUE",Inputs!$F$6=1),(Inputs!$H$6+Inputs!$L$6*(((Inputs!$I$6+(((A56)+1)/2)*(Inputs!$J$6-Inputs!$I$6)))/Inputs!$K$6)^2),NA())</x:f>
        <x:v>401.21</x:v>
      </x:c>
      <x:c r="BA56" s="48" t="n">
        <x:f>IF(OR(Inputs!$F$7=TRUE,Inputs!$F$7="TRUE",Inputs!$F$7=1),(Inputs!$H$7+Inputs!$L$7*(((Inputs!$I$7+(((A56)+1)/2)*(Inputs!$J$7-Inputs!$I$7)))/Inputs!$K$7)^2),NA())</x:f>
        <x:v>145.41250000000002</x:v>
      </x:c>
      <x:c r="BB56" s="48" t="n">
        <x:f>IF(OR(Inputs!$F$8=TRUE,Inputs!$F$8="TRUE",Inputs!$F$8=1),(Inputs!$H$8+Inputs!$L$8*(((Inputs!$I$8+(((A56)+1)/2)*(Inputs!$J$8-Inputs!$I$8)))/Inputs!$K$8)^2),NA())</x:f>
        <x:v>326.9125</x:v>
      </x:c>
      <x:c r="BC56" s="48" t="n">
        <x:f>IF(OR(Inputs!$F$9=TRUE,Inputs!$F$9="TRUE",Inputs!$F$9=1),(Inputs!$H$9+Inputs!$L$9*(((Inputs!$I$9+(((A56)+1)/2)*(Inputs!$J$9-Inputs!$I$9)))/Inputs!$K$9)^2),NA())</x:f>
        <x:v>319.93750000000006</x:v>
      </x:c>
      <x:c r="BD56" s="49"/>
      <x:c r="BE56" s="48" t="n">
        <x:f>A56</x:f>
        <x:v>-0.55</x:v>
      </x:c>
      <x:c r="BF56" s="48" t="n">
        <x:f>0</x:f>
        <x:v>0</x:v>
      </x:c>
      <x:c r="BG56" s="48"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BH56" s="48"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BI56" s="48"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BJ56" s="48"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row>
    <x:row r="57">
      <x:c r="A57" s="48" t="n">
        <x:f>ROUND(-1+55*2/240,3)</x:f>
        <x:v>-0.542</x:v>
      </x:c>
      <x:c r="B57" s="48" t="n">
        <x:f>IF(OR(Inputs!$F$6=TRUE,Inputs!$F$6="TRUE",Inputs!$F$6=1),(Inputs!$H$6+Inputs!$L$6*(((Inputs!$I$6+(((A57)+1)/2)*(Inputs!$J$6-Inputs!$I$6)))/Inputs!$K$6)^2),NA())</x:f>
        <x:v>401.175056</x:v>
      </x:c>
      <x:c r="C57" s="48" t="n">
        <x:f>IF(OR(Inputs!$F$7=TRUE,Inputs!$F$7="TRUE",Inputs!$F$7=1),(Inputs!$H$7+Inputs!$L$7*(((Inputs!$I$7+(((A57)+1)/2)*(Inputs!$J$7-Inputs!$I$7)))/Inputs!$K$7)^2),NA())</x:f>
        <x:v>142.22386</x:v>
      </x:c>
      <x:c r="D57" s="48" t="n">
        <x:f>IF(OR(Inputs!$F$8=TRUE,Inputs!$F$8="TRUE",Inputs!$F$8=1),(Inputs!$H$8+Inputs!$L$8*(((Inputs!$I$8+(((A57)+1)/2)*(Inputs!$J$8-Inputs!$I$8)))/Inputs!$K$8)^2),NA())</x:f>
        <x:v>318.48226</x:v>
      </x:c>
      <x:c r="E57" s="48" t="n">
        <x:f>IF(OR(Inputs!$F$9=TRUE,Inputs!$F$9="TRUE",Inputs!$F$9=1),(Inputs!$H$9+Inputs!$L$9*(((Inputs!$I$9+(((A57)+1)/2)*(Inputs!$J$9-Inputs!$I$9)))/Inputs!$K$9)^2),NA())</x:f>
        <x:v>311.41990000000004</x:v>
      </x:c>
      <x:c r="F57" s="49"/>
      <x:c r="G57" s="48" t="n">
        <x:f>A57</x:f>
        <x:v>-0.542</x:v>
      </x:c>
      <x:c r="H57" s="48"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I57" s="48"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J57" s="48"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K57" s="48"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c r="L57" s="49"/>
      <x:c r="M57" s="48" t="n">
        <x:f>A57</x:f>
        <x:v>-0.542</x:v>
      </x:c>
      <x:c r="N57" s="48" t="n">
        <x: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x:f>
        <x:v>276.9850224748036</x:v>
      </x:c>
      <x:c r="O57" s="48" t="n">
        <x: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x:f>
        <x:v>2332.869046895027</x:v>
      </x:c>
      <x:c r="P57" s="48" t="n">
        <x: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x:f>
        <x:v>2826.432412599972</x:v>
      </x:c>
      <x:c r="Q57" s="48" t="n">
        <x: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x:f>
        <x:v>2832.2859502946644</x:v>
      </x:c>
      <x:c r="R57" s="49"/>
      <x:c r="S57" s="48" t="n">
        <x:f>A57</x:f>
        <x:v>-0.542</x:v>
      </x:c>
      <x:c r="T57" s="48" t="n">
        <x:f>(Inputs!$I$6+(((A57)+1)/2)*(Inputs!$J$6-Inputs!$I$6))</x:f>
        <x:v>-32.52</x:v>
      </x:c>
      <x:c r="U57" s="48" t="n">
        <x:f>(Inputs!$I$7+(((A57)+1)/2)*(Inputs!$J$7-Inputs!$I$7))</x:f>
        <x:v>-216.8</x:v>
      </x:c>
      <x:c r="V57" s="48" t="n">
        <x:f>(Inputs!$I$8+(((A57)+1)/2)*(Inputs!$J$8-Inputs!$I$8))</x:f>
        <x:v>-433.6</x:v>
      </x:c>
      <x:c r="W57" s="48" t="n">
        <x:f>(Inputs!$I$9+(((A57)+1)/2)*(Inputs!$J$9-Inputs!$I$9))</x:f>
        <x:v>-433.6</x:v>
      </x:c>
      <x:c r="X57" s="49"/>
      <x:c r="Y57" s="48" t="n">
        <x:f>A57</x:f>
        <x:v>-0.542</x:v>
      </x:c>
      <x:c r="Z57" s="48" t="n">
        <x:f>(Inputs!$H$6+Inputs!$L$6*(((Inputs!$I$6+(((A57)+1)/2)*(Inputs!$J$6-Inputs!$I$6)))/Inputs!$K$6)^2)</x:f>
        <x:v>401.175056</x:v>
      </x:c>
      <x:c r="AA57" s="48" t="n">
        <x:f>(Inputs!$H$7+Inputs!$L$7*(((Inputs!$I$7+(((A57)+1)/2)*(Inputs!$J$7-Inputs!$I$7)))/Inputs!$K$7)^2)</x:f>
        <x:v>142.22386</x:v>
      </x:c>
      <x:c r="AB57" s="48" t="n">
        <x:f>(Inputs!$H$8+Inputs!$L$8*(((Inputs!$I$8+(((A57)+1)/2)*(Inputs!$J$8-Inputs!$I$8)))/Inputs!$K$8)^2)</x:f>
        <x:v>318.48226</x:v>
      </x:c>
      <x:c r="AC57" s="48" t="n">
        <x:f>(Inputs!$H$9+Inputs!$L$9*(((Inputs!$I$9+(((A57)+1)/2)*(Inputs!$J$9-Inputs!$I$9)))/Inputs!$K$9)^2)</x:f>
        <x:v>311.41990000000004</x:v>
      </x:c>
      <x:c r="AD57" s="49"/>
      <x:c r="AE57" s="48" t="n">
        <x:f>A57</x:f>
        <x:v>-0.542</x:v>
      </x:c>
      <x:c r="AF57" s="48" t="n">
        <x:f>(((SQRT((Inputs!$C$52+((Inputs!$H$6+Inputs!$L$6*(((Inputs!$I$6+(((A57)+1)/2)*(Inputs!$J$6-Inputs!$I$6)))/Inputs!$K$6)^2)))^2+Inputs!$C$52^2-2*(Inputs!$C$52+((Inputs!$H$6+Inputs!$L$6*(((Inputs!$I$6+(((A57)+1)/2)*(Inputs!$J$6-Inputs!$I$6)))/Inputs!$K$6)^2)))*Inputs!$C$52*COS(SQRT(((Inputs!$I$6+(((A57)+1)/2)*(Inputs!$J$6-Inputs!$I$6)))^2+Inputs!$C$6^2)/Inputs!$C$52)))-((Inputs!$H$6+Inputs!$L$6*(((Inputs!$I$6+(((A57)+1)/2)*(Inputs!$J$6-Inputs!$I$6)))/Inputs!$K$6)^2)))*1000/Inputs!$C$12)</x:f>
        <x:v>1475.9975196772957</x:v>
      </x:c>
      <x:c r="AG57" s="48" t="n">
        <x:f>(((SQRT((Inputs!$C$52+((Inputs!$H$7+Inputs!$L$7*(((Inputs!$I$7+(((A57)+1)/2)*(Inputs!$J$7-Inputs!$I$7)))/Inputs!$K$7)^2)))^2+Inputs!$C$52^2-2*(Inputs!$C$52+((Inputs!$H$7+Inputs!$L$7*(((Inputs!$I$7+(((A57)+1)/2)*(Inputs!$J$7-Inputs!$I$7)))/Inputs!$K$7)^2)))*Inputs!$C$52*COS(SQRT(((Inputs!$I$7+(((A57)+1)/2)*(Inputs!$J$7-Inputs!$I$7)))^2+Inputs!$C$6^2)/Inputs!$C$52)))-((Inputs!$H$7+Inputs!$L$7*(((Inputs!$I$7+(((A57)+1)/2)*(Inputs!$J$7-Inputs!$I$7)))/Inputs!$K$7)^2)))*1000/Inputs!$C$12)</x:f>
        <x:v>70960.39235808824</x:v>
      </x:c>
      <x:c r="AH57" s="48" t="n">
        <x:f>(((SQRT((Inputs!$C$52+((Inputs!$H$8+Inputs!$L$8*(((Inputs!$I$8+(((A57)+1)/2)*(Inputs!$J$8-Inputs!$I$8)))/Inputs!$K$8)^2)))^2+Inputs!$C$52^2-2*(Inputs!$C$52+((Inputs!$H$8+Inputs!$L$8*(((Inputs!$I$8+(((A57)+1)/2)*(Inputs!$J$8-Inputs!$I$8)))/Inputs!$K$8)^2)))*Inputs!$C$52*COS(SQRT(((Inputs!$I$8+(((A57)+1)/2)*(Inputs!$J$8-Inputs!$I$8)))^2+Inputs!$C$6^2)/Inputs!$C$52)))-((Inputs!$H$8+Inputs!$L$8*(((Inputs!$I$8+(((A57)+1)/2)*(Inputs!$J$8-Inputs!$I$8)))/Inputs!$K$8)^2)))*1000/Inputs!$C$12)</x:f>
        <x:v>142381.4927287517</x:v>
      </x:c>
      <x:c r="AI57" s="48" t="n">
        <x:f>(((SQRT((Inputs!$C$52+((Inputs!$H$9+Inputs!$L$9*(((Inputs!$I$9+(((A57)+1)/2)*(Inputs!$J$9-Inputs!$I$9)))/Inputs!$K$9)^2)))^2+Inputs!$C$52^2-2*(Inputs!$C$52+((Inputs!$H$9+Inputs!$L$9*(((Inputs!$I$9+(((A57)+1)/2)*(Inputs!$J$9-Inputs!$I$9)))/Inputs!$K$9)^2)))*Inputs!$C$52*COS(SQRT(((Inputs!$I$9+(((A57)+1)/2)*(Inputs!$J$9-Inputs!$I$9)))^2+Inputs!$C$6^2)/Inputs!$C$52)))-((Inputs!$H$9+Inputs!$L$9*(((Inputs!$I$9+(((A57)+1)/2)*(Inputs!$J$9-Inputs!$I$9)))/Inputs!$K$9)^2)))*1000/Inputs!$C$12)</x:f>
        <x:v>143737.05130179538</x:v>
      </x:c>
      <x:c r="AJ57" s="49"/>
      <x:c r="AK57" s="48" t="n">
        <x:f>A57</x:f>
        <x:v>-0.542</x:v>
      </x:c>
      <x:c r="AL57" s="48" t="n">
        <x: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x:f>
        <x:v>276.9850224748036</x:v>
      </x:c>
      <x:c r="AM57" s="48" t="n">
        <x: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x:f>
        <x:v>2332.869046895027</x:v>
      </x:c>
      <x:c r="AN57" s="48" t="n">
        <x: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x:f>
        <x:v>2826.432412599972</x:v>
      </x:c>
      <x:c r="AO57" s="48" t="n">
        <x: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x:f>
        <x:v>2832.2859502946644</x:v>
      </x:c>
      <x:c r="AP57" s="49"/>
      <x:c r="AQ57" s="48" t="n">
        <x:f>A57</x:f>
        <x:v>-0.542</x:v>
      </x:c>
      <x:c r="AR57" s="48" t="n">
        <x:f>0</x:f>
        <x:v>0</x:v>
      </x:c>
      <x:c r="AS57" s="48" t="n">
        <x: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(0.45*SIN(2*PI()*((((Inputs!$I$6+(((A57)+1)/2)*(Inputs!$J$6-Inputs!$I$6)))/Inputs!$C$49)+Inputs!$C$47*0.137))+0.35*COS(2*PI()*(((Inputs!$C$6)/Inputs!$C$50)+Inputs!$C$47*0.173))+0.20*SIN(2*PI()*((((Inputs!$I$6+(((A57)+1)/2)*(Inputs!$J$6-Inputs!$I$6)))+(Inputs!$C$6))/(0.5*(Inputs!$C$49+Inputs!$C$50))+Inputs!$C$47*0.097)))+0.30*(2*((SIN((((Inputs!$I$6+(((A57)+1)/2)*(Inputs!$J$6-Inputs!$I$6)))*12.9898+(Inputs!$C$6)*78.233+Inputs!$C$47*37.719))*43758.5453)-INT((SIN((((Inputs!$I$6+(((A57)+1)/2)*(Inputs!$J$6-Inputs!$I$6)))*12.9898+(Inputs!$C$6)*78.233+Inputs!$C$47*37.719))*43758.5453)))-1))),NA())</x:f>
        <x:v>334.10969838197406</x:v>
      </x:c>
      <x:c r="AT57" s="48" t="n">
        <x: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(0.45*SIN(2*PI()*((((Inputs!$I$7+(((A57)+1)/2)*(Inputs!$J$7-Inputs!$I$7)))/Inputs!$C$49)+Inputs!$C$47*0.137))+0.35*COS(2*PI()*(((Inputs!$C$6)/Inputs!$C$50)+Inputs!$C$47*0.173))+0.20*SIN(2*PI()*((((Inputs!$I$7+(((A57)+1)/2)*(Inputs!$J$7-Inputs!$I$7)))+(Inputs!$C$6))/(0.5*(Inputs!$C$49+Inputs!$C$50))+Inputs!$C$47*0.097)))+0.30*(2*((SIN((((Inputs!$I$7+(((A57)+1)/2)*(Inputs!$J$7-Inputs!$I$7)))*12.9898+(Inputs!$C$6)*78.233+Inputs!$C$47*37.719))*43758.5453)-INT((SIN((((Inputs!$I$7+(((A57)+1)/2)*(Inputs!$J$7-Inputs!$I$7)))*12.9898+(Inputs!$C$6)*78.233+Inputs!$C$47*37.719))*43758.5453)))-1))),NA())</x:f>
        <x:v>133.800812179081</x:v>
      </x:c>
      <x:c r="AU57" s="48" t="n">
        <x: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(0.45*SIN(2*PI()*((((Inputs!$I$8+(((A57)+1)/2)*(Inputs!$J$8-Inputs!$I$8)))/Inputs!$C$49)+Inputs!$C$47*0.137))+0.35*COS(2*PI()*(((Inputs!$C$6)/Inputs!$C$50)+Inputs!$C$47*0.173))+0.20*SIN(2*PI()*((((Inputs!$I$8+(((A57)+1)/2)*(Inputs!$J$8-Inputs!$I$8)))+(Inputs!$C$6))/(0.5*(Inputs!$C$49+Inputs!$C$50))+Inputs!$C$47*0.097)))+0.30*(2*((SIN((((Inputs!$I$8+(((A57)+1)/2)*(Inputs!$J$8-Inputs!$I$8)))*12.9898+(Inputs!$C$6)*78.233+Inputs!$C$47*37.719))*43758.5453)-INT((SIN((((Inputs!$I$8+(((A57)+1)/2)*(Inputs!$J$8-Inputs!$I$8)))*12.9898+(Inputs!$C$6)*78.233+Inputs!$C$47*37.719))*43758.5453)))-1))),NA())</x:f>
        <x:v>65.40122120167689</x:v>
      </x:c>
      <x:c r="AV57" s="48" t="n">
        <x: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(0.45*SIN(2*PI()*((((Inputs!$I$9+(((A57)+1)/2)*(Inputs!$J$9-Inputs!$I$9)))/Inputs!$C$49)+Inputs!$C$47*0.137))+0.35*COS(2*PI()*(((Inputs!$C$6)/Inputs!$C$50)+Inputs!$C$47*0.173))+0.20*SIN(2*PI()*((((Inputs!$I$9+(((A57)+1)/2)*(Inputs!$J$9-Inputs!$I$9)))+(Inputs!$C$6))/(0.5*(Inputs!$C$49+Inputs!$C$50))+Inputs!$C$47*0.097)))+0.30*(2*((SIN((((Inputs!$I$9+(((A57)+1)/2)*(Inputs!$J$9-Inputs!$I$9)))*12.9898+(Inputs!$C$6)*78.233+Inputs!$C$47*37.719))*43758.5453)-INT((SIN((((Inputs!$I$9+(((A57)+1)/2)*(Inputs!$J$9-Inputs!$I$9)))*12.9898+(Inputs!$C$6)*78.233+Inputs!$C$47*37.719))*43758.5453)))-1))),NA())</x:f>
        <x:v>65.40122120167689</x:v>
      </x:c>
      <x:c r="AW57" s="49"/>
      <x:c r="AX57" s="48" t="n">
        <x:f>A57</x:f>
        <x:v>-0.542</x:v>
      </x:c>
      <x:c r="AY57" s="48" t="n">
        <x:f>0</x:f>
        <x:v>0</x:v>
      </x:c>
      <x:c r="AZ57" s="48" t="n">
        <x:f>IF(OR(Inputs!$F$6=TRUE,Inputs!$F$6="TRUE",Inputs!$F$6=1),(Inputs!$H$6+Inputs!$L$6*(((Inputs!$I$6+(((A57)+1)/2)*(Inputs!$J$6-Inputs!$I$6)))/Inputs!$K$6)^2),NA())</x:f>
        <x:v>401.175056</x:v>
      </x:c>
      <x:c r="BA57" s="48" t="n">
        <x:f>IF(OR(Inputs!$F$7=TRUE,Inputs!$F$7="TRUE",Inputs!$F$7=1),(Inputs!$H$7+Inputs!$L$7*(((Inputs!$I$7+(((A57)+1)/2)*(Inputs!$J$7-Inputs!$I$7)))/Inputs!$K$7)^2),NA())</x:f>
        <x:v>142.22386</x:v>
      </x:c>
      <x:c r="BB57" s="48" t="n">
        <x:f>IF(OR(Inputs!$F$8=TRUE,Inputs!$F$8="TRUE",Inputs!$F$8=1),(Inputs!$H$8+Inputs!$L$8*(((Inputs!$I$8+(((A57)+1)/2)*(Inputs!$J$8-Inputs!$I$8)))/Inputs!$K$8)^2),NA())</x:f>
        <x:v>318.48226</x:v>
      </x:c>
      <x:c r="BC57" s="48" t="n">
        <x:f>IF(OR(Inputs!$F$9=TRUE,Inputs!$F$9="TRUE",Inputs!$F$9=1),(Inputs!$H$9+Inputs!$L$9*(((Inputs!$I$9+(((A57)+1)/2)*(Inputs!$J$9-Inputs!$I$9)))/Inputs!$K$9)^2),NA())</x:f>
        <x:v>311.41990000000004</x:v>
      </x:c>
      <x:c r="BD57" s="49"/>
      <x:c r="BE57" s="48" t="n">
        <x:f>A57</x:f>
        <x:v>-0.542</x:v>
      </x:c>
      <x:c r="BF57" s="48" t="n">
        <x:f>0</x:f>
        <x:v>0</x:v>
      </x:c>
      <x:c r="BG57" s="48"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BH57" s="48"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BI57" s="48"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BJ57" s="48"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row>
    <x:row r="58">
      <x:c r="A58" s="48" t="n">
        <x:f>ROUND(-1+56*2/240,3)</x:f>
        <x:v>-0.533</x:v>
      </x:c>
      <x:c r="B58" s="48" t="n">
        <x:f>IF(OR(Inputs!$F$6=TRUE,Inputs!$F$6="TRUE",Inputs!$F$6=1),(Inputs!$H$6+Inputs!$L$6*(((Inputs!$I$6+(((A58)+1)/2)*(Inputs!$J$6-Inputs!$I$6)))/Inputs!$K$6)^2),NA())</x:f>
        <x:v>401.136356</x:v>
      </x:c>
      <x:c r="C58" s="48" t="n">
        <x:f>IF(OR(Inputs!$F$7=TRUE,Inputs!$F$7="TRUE",Inputs!$F$7=1),(Inputs!$H$7+Inputs!$L$7*(((Inputs!$I$7+(((A58)+1)/2)*(Inputs!$J$7-Inputs!$I$7)))/Inputs!$K$7)^2),NA())</x:f>
        <x:v>138.69248500000003</x:v>
      </x:c>
      <x:c r="D58" s="48" t="n">
        <x:f>IF(OR(Inputs!$F$8=TRUE,Inputs!$F$8="TRUE",Inputs!$F$8=1),(Inputs!$H$8+Inputs!$L$8*(((Inputs!$I$8+(((A58)+1)/2)*(Inputs!$J$8-Inputs!$I$8)))/Inputs!$K$8)^2),NA())</x:f>
        <x:v>309.145885</x:v>
      </x:c>
      <x:c r="E58" s="48" t="n">
        <x:f>IF(OR(Inputs!$F$9=TRUE,Inputs!$F$9="TRUE",Inputs!$F$9=1),(Inputs!$H$9+Inputs!$L$9*(((Inputs!$I$9+(((A58)+1)/2)*(Inputs!$J$9-Inputs!$I$9)))/Inputs!$K$9)^2),NA())</x:f>
        <x:v>301.986775</x:v>
      </x:c>
      <x:c r="F58" s="49"/>
      <x:c r="G58" s="48" t="n">
        <x:f>A58</x:f>
        <x:v>-0.533</x:v>
      </x:c>
      <x:c r="H58" s="48"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I58" s="48"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J58" s="48"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K58" s="48"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c r="L58" s="49"/>
      <x:c r="M58" s="48" t="n">
        <x:f>A58</x:f>
        <x:v>-0.533</x:v>
      </x:c>
      <x:c r="N58" s="48" t="n">
        <x: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x:f>
        <x:v>272.4313900557615</x:v>
      </x:c>
      <x:c r="O58" s="48" t="n">
        <x: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x:f>
        <x:v>2313.102650934928</x:v>
      </x:c>
      <x:c r="P58" s="48" t="n">
        <x: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x:f>
        <x:v>2794.2104632719</x:v>
      </x:c>
      <x:c r="Q58" s="48" t="n">
        <x: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x:f>
        <x:v>2799.47319210135</x:v>
      </x:c>
      <x:c r="R58" s="49"/>
      <x:c r="S58" s="48" t="n">
        <x:f>A58</x:f>
        <x:v>-0.533</x:v>
      </x:c>
      <x:c r="T58" s="48" t="n">
        <x:f>(Inputs!$I$6+(((A58)+1)/2)*(Inputs!$J$6-Inputs!$I$6))</x:f>
        <x:v>-31.98</x:v>
      </x:c>
      <x:c r="U58" s="48" t="n">
        <x:f>(Inputs!$I$7+(((A58)+1)/2)*(Inputs!$J$7-Inputs!$I$7))</x:f>
        <x:v>-213.20000000000002</x:v>
      </x:c>
      <x:c r="V58" s="48" t="n">
        <x:f>(Inputs!$I$8+(((A58)+1)/2)*(Inputs!$J$8-Inputs!$I$8))</x:f>
        <x:v>-426.40000000000003</x:v>
      </x:c>
      <x:c r="W58" s="48" t="n">
        <x:f>(Inputs!$I$9+(((A58)+1)/2)*(Inputs!$J$9-Inputs!$I$9))</x:f>
        <x:v>-426.40000000000003</x:v>
      </x:c>
      <x:c r="X58" s="49"/>
      <x:c r="Y58" s="48" t="n">
        <x:f>A58</x:f>
        <x:v>-0.533</x:v>
      </x:c>
      <x:c r="Z58" s="48" t="n">
        <x:f>(Inputs!$H$6+Inputs!$L$6*(((Inputs!$I$6+(((A58)+1)/2)*(Inputs!$J$6-Inputs!$I$6)))/Inputs!$K$6)^2)</x:f>
        <x:v>401.136356</x:v>
      </x:c>
      <x:c r="AA58" s="48" t="n">
        <x:f>(Inputs!$H$7+Inputs!$L$7*(((Inputs!$I$7+(((A58)+1)/2)*(Inputs!$J$7-Inputs!$I$7)))/Inputs!$K$7)^2)</x:f>
        <x:v>138.69248500000003</x:v>
      </x:c>
      <x:c r="AB58" s="48" t="n">
        <x:f>(Inputs!$H$8+Inputs!$L$8*(((Inputs!$I$8+(((A58)+1)/2)*(Inputs!$J$8-Inputs!$I$8)))/Inputs!$K$8)^2)</x:f>
        <x:v>309.145885</x:v>
      </x:c>
      <x:c r="AC58" s="48" t="n">
        <x:f>(Inputs!$H$9+Inputs!$L$9*(((Inputs!$I$9+(((A58)+1)/2)*(Inputs!$J$9-Inputs!$I$9)))/Inputs!$K$9)^2)</x:f>
        <x:v>301.986775</x:v>
      </x:c>
      <x:c r="AD58" s="49"/>
      <x:c r="AE58" s="48" t="n">
        <x:f>A58</x:f>
        <x:v>-0.533</x:v>
      </x:c>
      <x:c r="AF58" s="48" t="n">
        <x:f>(((SQRT((Inputs!$C$52+((Inputs!$H$6+Inputs!$L$6*(((Inputs!$I$6+(((A58)+1)/2)*(Inputs!$J$6-Inputs!$I$6)))/Inputs!$K$6)^2)))^2+Inputs!$C$52^2-2*(Inputs!$C$52+((Inputs!$H$6+Inputs!$L$6*(((Inputs!$I$6+(((A58)+1)/2)*(Inputs!$J$6-Inputs!$I$6)))/Inputs!$K$6)^2)))*Inputs!$C$52*COS(SQRT(((Inputs!$I$6+(((A58)+1)/2)*(Inputs!$J$6-Inputs!$I$6)))^2+Inputs!$C$6^2)/Inputs!$C$52)))-((Inputs!$H$6+Inputs!$L$6*(((Inputs!$I$6+(((A58)+1)/2)*(Inputs!$J$6-Inputs!$I$6)))/Inputs!$K$6)^2)))*1000/Inputs!$C$12)</x:f>
        <x:v>1445.6525287208501</x:v>
      </x:c>
      <x:c r="AG58" s="48" t="n">
        <x:f>(((SQRT((Inputs!$C$52+((Inputs!$H$7+Inputs!$L$7*(((Inputs!$I$7+(((A58)+1)/2)*(Inputs!$J$7-Inputs!$I$7)))/Inputs!$K$7)^2)))^2+Inputs!$C$52^2-2*(Inputs!$C$52+((Inputs!$H$7+Inputs!$L$7*(((Inputs!$I$7+(((A58)+1)/2)*(Inputs!$J$7-Inputs!$I$7)))/Inputs!$K$7)^2)))*Inputs!$C$52*COS(SQRT(((Inputs!$I$7+(((A58)+1)/2)*(Inputs!$J$7-Inputs!$I$7)))^2+Inputs!$C$6^2)/Inputs!$C$52)))-((Inputs!$H$7+Inputs!$L$7*(((Inputs!$I$7+(((A58)+1)/2)*(Inputs!$J$7-Inputs!$I$7)))/Inputs!$K$7)^2)))*1000/Inputs!$C$12)</x:f>
        <x:v>70007.96988248357</x:v>
      </x:c>
      <x:c r="AH58" s="48" t="n">
        <x:f>(((SQRT((Inputs!$C$52+((Inputs!$H$8+Inputs!$L$8*(((Inputs!$I$8+(((A58)+1)/2)*(Inputs!$J$8-Inputs!$I$8)))/Inputs!$K$8)^2)))^2+Inputs!$C$52^2-2*(Inputs!$C$52+((Inputs!$H$8+Inputs!$L$8*(((Inputs!$I$8+(((A58)+1)/2)*(Inputs!$J$8-Inputs!$I$8)))/Inputs!$K$8)^2)))*Inputs!$C$52*COS(SQRT(((Inputs!$I$8+(((A58)+1)/2)*(Inputs!$J$8-Inputs!$I$8)))^2+Inputs!$C$6^2)/Inputs!$C$52)))-((Inputs!$H$8+Inputs!$L$8*(((Inputs!$I$8+(((A58)+1)/2)*(Inputs!$J$8-Inputs!$I$8)))/Inputs!$K$8)^2)))*1000/Inputs!$C$12)</x:f>
        <x:v>140521.95276394088</x:v>
      </x:c>
      <x:c r="AI58" s="48" t="n">
        <x:f>(((SQRT((Inputs!$C$52+((Inputs!$H$9+Inputs!$L$9*(((Inputs!$I$9+(((A58)+1)/2)*(Inputs!$J$9-Inputs!$I$9)))/Inputs!$K$9)^2)))^2+Inputs!$C$52^2-2*(Inputs!$C$52+((Inputs!$H$9+Inputs!$L$9*(((Inputs!$I$9+(((A58)+1)/2)*(Inputs!$J$9-Inputs!$I$9)))/Inputs!$K$9)^2)))*Inputs!$C$52*COS(SQRT(((Inputs!$I$9+(((A58)+1)/2)*(Inputs!$J$9-Inputs!$I$9)))^2+Inputs!$C$6^2)/Inputs!$C$52)))-((Inputs!$H$9+Inputs!$L$9*(((Inputs!$I$9+(((A58)+1)/2)*(Inputs!$J$9-Inputs!$I$9)))/Inputs!$K$9)^2)))*1000/Inputs!$C$12)</x:f>
        <x:v>141917.81409441895</x:v>
      </x:c>
      <x:c r="AJ58" s="49"/>
      <x:c r="AK58" s="48" t="n">
        <x:f>A58</x:f>
        <x:v>-0.533</x:v>
      </x:c>
      <x:c r="AL58" s="48" t="n">
        <x: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x:f>
        <x:v>272.4313900557615</x:v>
      </x:c>
      <x:c r="AM58" s="48" t="n">
        <x: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x:f>
        <x:v>2313.102650934928</x:v>
      </x:c>
      <x:c r="AN58" s="48" t="n">
        <x: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x:f>
        <x:v>2794.2104632719</x:v>
      </x:c>
      <x:c r="AO58" s="48" t="n">
        <x: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x:f>
        <x:v>2799.47319210135</x:v>
      </x:c>
      <x:c r="AP58" s="49"/>
      <x:c r="AQ58" s="48" t="n">
        <x:f>A58</x:f>
        <x:v>-0.533</x:v>
      </x:c>
      <x:c r="AR58" s="48" t="n">
        <x:f>0</x:f>
        <x:v>0</x:v>
      </x:c>
      <x:c r="AS58" s="48" t="n">
        <x: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(0.45*SIN(2*PI()*((((Inputs!$I$6+(((A58)+1)/2)*(Inputs!$J$6-Inputs!$I$6)))/Inputs!$C$49)+Inputs!$C$47*0.137))+0.35*COS(2*PI()*(((Inputs!$C$6)/Inputs!$C$50)+Inputs!$C$47*0.173))+0.20*SIN(2*PI()*((((Inputs!$I$6+(((A58)+1)/2)*(Inputs!$J$6-Inputs!$I$6)))+(Inputs!$C$6))/(0.5*(Inputs!$C$49+Inputs!$C$50))+Inputs!$C$47*0.097)))+0.30*(2*((SIN((((Inputs!$I$6+(((A58)+1)/2)*(Inputs!$J$6-Inputs!$I$6)))*12.9898+(Inputs!$C$6)*78.233+Inputs!$C$47*37.719))*43758.5453)-INT((SIN((((Inputs!$I$6+(((A58)+1)/2)*(Inputs!$J$6-Inputs!$I$6)))*12.9898+(Inputs!$C$6)*78.233+Inputs!$C$47*37.719))*43758.5453)))-1))),NA())</x:f>
        <x:v>356.35230458683765</x:v>
      </x:c>
      <x:c r="AT58" s="48" t="n">
        <x: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(0.45*SIN(2*PI()*((((Inputs!$I$7+(((A58)+1)/2)*(Inputs!$J$7-Inputs!$I$7)))/Inputs!$C$49)+Inputs!$C$47*0.137))+0.35*COS(2*PI()*(((Inputs!$C$6)/Inputs!$C$50)+Inputs!$C$47*0.173))+0.20*SIN(2*PI()*((((Inputs!$I$7+(((A58)+1)/2)*(Inputs!$J$7-Inputs!$I$7)))+(Inputs!$C$6))/(0.5*(Inputs!$C$49+Inputs!$C$50))+Inputs!$C$47*0.097)))+0.30*(2*((SIN((((Inputs!$I$7+(((A58)+1)/2)*(Inputs!$J$7-Inputs!$I$7)))*12.9898+(Inputs!$C$6)*78.233+Inputs!$C$47*37.719))*43758.5453)-INT((SIN((((Inputs!$I$7+(((A58)+1)/2)*(Inputs!$J$7-Inputs!$I$7)))*12.9898+(Inputs!$C$6)*78.233+Inputs!$C$47*37.719))*43758.5453)))-1))),NA())</x:f>
        <x:v>183.48378695917194</x:v>
      </x:c>
      <x:c r="AU58" s="48" t="n">
        <x: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(0.45*SIN(2*PI()*((((Inputs!$I$8+(((A58)+1)/2)*(Inputs!$J$8-Inputs!$I$8)))/Inputs!$C$49)+Inputs!$C$47*0.137))+0.35*COS(2*PI()*(((Inputs!$C$6)/Inputs!$C$50)+Inputs!$C$47*0.173))+0.20*SIN(2*PI()*((((Inputs!$I$8+(((A58)+1)/2)*(Inputs!$J$8-Inputs!$I$8)))+(Inputs!$C$6))/(0.5*(Inputs!$C$49+Inputs!$C$50))+Inputs!$C$47*0.097)))+0.30*(2*((SIN((((Inputs!$I$8+(((A58)+1)/2)*(Inputs!$J$8-Inputs!$I$8)))*12.9898+(Inputs!$C$6)*78.233+Inputs!$C$47*37.719))*43758.5453)-INT((SIN((((Inputs!$I$8+(((A58)+1)/2)*(Inputs!$J$8-Inputs!$I$8)))*12.9898+(Inputs!$C$6)*78.233+Inputs!$C$47*37.719))*43758.5453)))-1))),NA())</x:f>
        <x:v>212.40877485298893</x:v>
      </x:c>
      <x:c r="AV58" s="48" t="n">
        <x: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(0.45*SIN(2*PI()*((((Inputs!$I$9+(((A58)+1)/2)*(Inputs!$J$9-Inputs!$I$9)))/Inputs!$C$49)+Inputs!$C$47*0.137))+0.35*COS(2*PI()*(((Inputs!$C$6)/Inputs!$C$50)+Inputs!$C$47*0.173))+0.20*SIN(2*PI()*((((Inputs!$I$9+(((A58)+1)/2)*(Inputs!$J$9-Inputs!$I$9)))+(Inputs!$C$6))/(0.5*(Inputs!$C$49+Inputs!$C$50))+Inputs!$C$47*0.097)))+0.30*(2*((SIN((((Inputs!$I$9+(((A58)+1)/2)*(Inputs!$J$9-Inputs!$I$9)))*12.9898+(Inputs!$C$6)*78.233+Inputs!$C$47*37.719))*43758.5453)-INT((SIN((((Inputs!$I$9+(((A58)+1)/2)*(Inputs!$J$9-Inputs!$I$9)))*12.9898+(Inputs!$C$6)*78.233+Inputs!$C$47*37.719))*43758.5453)))-1))),NA())</x:f>
        <x:v>212.40877485298893</x:v>
      </x:c>
      <x:c r="AW58" s="49"/>
      <x:c r="AX58" s="48" t="n">
        <x:f>A58</x:f>
        <x:v>-0.533</x:v>
      </x:c>
      <x:c r="AY58" s="48" t="n">
        <x:f>0</x:f>
        <x:v>0</x:v>
      </x:c>
      <x:c r="AZ58" s="48" t="n">
        <x:f>IF(OR(Inputs!$F$6=TRUE,Inputs!$F$6="TRUE",Inputs!$F$6=1),(Inputs!$H$6+Inputs!$L$6*(((Inputs!$I$6+(((A58)+1)/2)*(Inputs!$J$6-Inputs!$I$6)))/Inputs!$K$6)^2),NA())</x:f>
        <x:v>401.136356</x:v>
      </x:c>
      <x:c r="BA58" s="48" t="n">
        <x:f>IF(OR(Inputs!$F$7=TRUE,Inputs!$F$7="TRUE",Inputs!$F$7=1),(Inputs!$H$7+Inputs!$L$7*(((Inputs!$I$7+(((A58)+1)/2)*(Inputs!$J$7-Inputs!$I$7)))/Inputs!$K$7)^2),NA())</x:f>
        <x:v>138.69248500000003</x:v>
      </x:c>
      <x:c r="BB58" s="48" t="n">
        <x:f>IF(OR(Inputs!$F$8=TRUE,Inputs!$F$8="TRUE",Inputs!$F$8=1),(Inputs!$H$8+Inputs!$L$8*(((Inputs!$I$8+(((A58)+1)/2)*(Inputs!$J$8-Inputs!$I$8)))/Inputs!$K$8)^2),NA())</x:f>
        <x:v>309.145885</x:v>
      </x:c>
      <x:c r="BC58" s="48" t="n">
        <x:f>IF(OR(Inputs!$F$9=TRUE,Inputs!$F$9="TRUE",Inputs!$F$9=1),(Inputs!$H$9+Inputs!$L$9*(((Inputs!$I$9+(((A58)+1)/2)*(Inputs!$J$9-Inputs!$I$9)))/Inputs!$K$9)^2),NA())</x:f>
        <x:v>301.986775</x:v>
      </x:c>
      <x:c r="BD58" s="49"/>
      <x:c r="BE58" s="48" t="n">
        <x:f>A58</x:f>
        <x:v>-0.533</x:v>
      </x:c>
      <x:c r="BF58" s="48" t="n">
        <x:f>0</x:f>
        <x:v>0</x:v>
      </x:c>
      <x:c r="BG58" s="48"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BH58" s="48"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BI58" s="48"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BJ58" s="48"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row>
    <x:row r="59">
      <x:c r="A59" s="48" t="n">
        <x:f>ROUND(-1+57*2/240,3)</x:f>
        <x:v>-0.525</x:v>
      </x:c>
      <x:c r="B59" s="48" t="n">
        <x:f>IF(OR(Inputs!$F$6=TRUE,Inputs!$F$6="TRUE",Inputs!$F$6=1),(Inputs!$H$6+Inputs!$L$6*(((Inputs!$I$6+(((A59)+1)/2)*(Inputs!$J$6-Inputs!$I$6)))/Inputs!$K$6)^2),NA())</x:f>
        <x:v>401.1025</x:v>
      </x:c>
      <x:c r="C59" s="48" t="n">
        <x:f>IF(OR(Inputs!$F$7=TRUE,Inputs!$F$7="TRUE",Inputs!$F$7=1),(Inputs!$H$7+Inputs!$L$7*(((Inputs!$I$7+(((A59)+1)/2)*(Inputs!$J$7-Inputs!$I$7)))/Inputs!$K$7)^2),NA())</x:f>
        <x:v>135.603125</x:v>
      </x:c>
      <x:c r="D59" s="48" t="n">
        <x:f>IF(OR(Inputs!$F$8=TRUE,Inputs!$F$8="TRUE",Inputs!$F$8=1),(Inputs!$H$8+Inputs!$L$8*(((Inputs!$I$8+(((A59)+1)/2)*(Inputs!$J$8-Inputs!$I$8)))/Inputs!$K$8)^2),NA())</x:f>
        <x:v>300.97812500000003</x:v>
      </x:c>
      <x:c r="E59" s="48" t="n">
        <x:f>IF(OR(Inputs!$F$9=TRUE,Inputs!$F$9="TRUE",Inputs!$F$9=1),(Inputs!$H$9+Inputs!$L$9*(((Inputs!$I$9+(((A59)+1)/2)*(Inputs!$J$9-Inputs!$I$9)))/Inputs!$K$9)^2),NA())</x:f>
        <x:v>293.734375</x:v>
      </x:c>
      <x:c r="F59" s="49"/>
      <x:c r="G59" s="48" t="n">
        <x:f>A59</x:f>
        <x:v>-0.525</x:v>
      </x:c>
      <x:c r="H59" s="48"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I59" s="48"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J59" s="48"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K59" s="48"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c r="L59" s="49"/>
      <x:c r="M59" s="48" t="n">
        <x:f>A59</x:f>
        <x:v>-0.525</x:v>
      </x:c>
      <x:c r="N59" s="48" t="n">
        <x: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x:f>
        <x:v>268.381811743989</x:v>
      </x:c>
      <x:c r="O59" s="48" t="n">
        <x: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x:f>
        <x:v>2295.6722738105373</x:v>
      </x:c>
      <x:c r="P59" s="48" t="n">
        <x: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x:f>
        <x:v>2765.7736366966515</x:v>
      </x:c>
      <x:c r="Q59" s="48" t="n">
        <x: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x:f>
        <x:v>2770.5125083741054</x:v>
      </x:c>
      <x:c r="R59" s="49"/>
      <x:c r="S59" s="48" t="n">
        <x:f>A59</x:f>
        <x:v>-0.525</x:v>
      </x:c>
      <x:c r="T59" s="48" t="n">
        <x:f>(Inputs!$I$6+(((A59)+1)/2)*(Inputs!$J$6-Inputs!$I$6))</x:f>
        <x:v>-31.5</x:v>
      </x:c>
      <x:c r="U59" s="48" t="n">
        <x:f>(Inputs!$I$7+(((A59)+1)/2)*(Inputs!$J$7-Inputs!$I$7))</x:f>
        <x:v>-210</x:v>
      </x:c>
      <x:c r="V59" s="48" t="n">
        <x:f>(Inputs!$I$8+(((A59)+1)/2)*(Inputs!$J$8-Inputs!$I$8))</x:f>
        <x:v>-420</x:v>
      </x:c>
      <x:c r="W59" s="48" t="n">
        <x:f>(Inputs!$I$9+(((A59)+1)/2)*(Inputs!$J$9-Inputs!$I$9))</x:f>
        <x:v>-420</x:v>
      </x:c>
      <x:c r="X59" s="49"/>
      <x:c r="Y59" s="48" t="n">
        <x:f>A59</x:f>
        <x:v>-0.525</x:v>
      </x:c>
      <x:c r="Z59" s="48" t="n">
        <x:f>(Inputs!$H$6+Inputs!$L$6*(((Inputs!$I$6+(((A59)+1)/2)*(Inputs!$J$6-Inputs!$I$6)))/Inputs!$K$6)^2)</x:f>
        <x:v>401.1025</x:v>
      </x:c>
      <x:c r="AA59" s="48" t="n">
        <x:f>(Inputs!$H$7+Inputs!$L$7*(((Inputs!$I$7+(((A59)+1)/2)*(Inputs!$J$7-Inputs!$I$7)))/Inputs!$K$7)^2)</x:f>
        <x:v>135.603125</x:v>
      </x:c>
      <x:c r="AB59" s="48" t="n">
        <x:f>(Inputs!$H$8+Inputs!$L$8*(((Inputs!$I$8+(((A59)+1)/2)*(Inputs!$J$8-Inputs!$I$8)))/Inputs!$K$8)^2)</x:f>
        <x:v>300.97812500000003</x:v>
      </x:c>
      <x:c r="AC59" s="48" t="n">
        <x:f>(Inputs!$H$9+Inputs!$L$9*(((Inputs!$I$9+(((A59)+1)/2)*(Inputs!$J$9-Inputs!$I$9)))/Inputs!$K$9)^2)</x:f>
        <x:v>293.734375</x:v>
      </x:c>
      <x:c r="AD59" s="49"/>
      <x:c r="AE59" s="48" t="n">
        <x:f>A59</x:f>
        <x:v>-0.525</x:v>
      </x:c>
      <x:c r="AF59" s="48" t="n">
        <x:f>(((SQRT((Inputs!$C$52+((Inputs!$H$6+Inputs!$L$6*(((Inputs!$I$6+(((A59)+1)/2)*(Inputs!$J$6-Inputs!$I$6)))/Inputs!$K$6)^2)))^2+Inputs!$C$52^2-2*(Inputs!$C$52+((Inputs!$H$6+Inputs!$L$6*(((Inputs!$I$6+(((A59)+1)/2)*(Inputs!$J$6-Inputs!$I$6)))/Inputs!$K$6)^2)))*Inputs!$C$52*COS(SQRT(((Inputs!$I$6+(((A59)+1)/2)*(Inputs!$J$6-Inputs!$I$6)))^2+Inputs!$C$6^2)/Inputs!$C$52)))-((Inputs!$H$6+Inputs!$L$6*(((Inputs!$I$6+(((A59)+1)/2)*(Inputs!$J$6-Inputs!$I$6)))/Inputs!$K$6)^2)))*1000/Inputs!$C$12)</x:f>
        <x:v>1419.0985822283808</x:v>
      </x:c>
      <x:c r="AG59" s="48" t="n">
        <x:f>(((SQRT((Inputs!$C$52+((Inputs!$H$7+Inputs!$L$7*(((Inputs!$I$7+(((A59)+1)/2)*(Inputs!$J$7-Inputs!$I$7)))/Inputs!$K$7)^2)))^2+Inputs!$C$52^2-2*(Inputs!$C$52+((Inputs!$H$7+Inputs!$L$7*(((Inputs!$I$7+(((A59)+1)/2)*(Inputs!$J$7-Inputs!$I$7)))/Inputs!$K$7)^2)))*Inputs!$C$52*COS(SQRT(((Inputs!$I$7+(((A59)+1)/2)*(Inputs!$J$7-Inputs!$I$7)))^2+Inputs!$C$6^2)/Inputs!$C$52)))-((Inputs!$H$7+Inputs!$L$7*(((Inputs!$I$7+(((A59)+1)/2)*(Inputs!$J$7-Inputs!$I$7)))/Inputs!$K$7)^2)))*1000/Inputs!$C$12)</x:f>
        <x:v>69154.37833040985</x:v>
      </x:c>
      <x:c r="AH59" s="48" t="n">
        <x:f>(((SQRT((Inputs!$C$52+((Inputs!$H$8+Inputs!$L$8*(((Inputs!$I$8+(((A59)+1)/2)*(Inputs!$J$8-Inputs!$I$8)))/Inputs!$K$8)^2)))^2+Inputs!$C$52^2-2*(Inputs!$C$52+((Inputs!$H$8+Inputs!$L$8*(((Inputs!$I$8+(((A59)+1)/2)*(Inputs!$J$8-Inputs!$I$8)))/Inputs!$K$8)^2)))*Inputs!$C$52*COS(SQRT(((Inputs!$I$8+(((A59)+1)/2)*(Inputs!$J$8-Inputs!$I$8)))^2+Inputs!$C$6^2)/Inputs!$C$52)))-((Inputs!$H$8+Inputs!$L$8*(((Inputs!$I$8+(((A59)+1)/2)*(Inputs!$J$8-Inputs!$I$8)))/Inputs!$K$8)^2)))*1000/Inputs!$C$12)</x:f>
        <x:v>138863.4454390576</x:v>
      </x:c>
      <x:c r="AI59" s="48" t="n">
        <x:f>(((SQRT((Inputs!$C$52+((Inputs!$H$9+Inputs!$L$9*(((Inputs!$I$9+(((A59)+1)/2)*(Inputs!$J$9-Inputs!$I$9)))/Inputs!$K$9)^2)))^2+Inputs!$C$52^2-2*(Inputs!$C$52+((Inputs!$H$9+Inputs!$L$9*(((Inputs!$I$9+(((A59)+1)/2)*(Inputs!$J$9-Inputs!$I$9)))/Inputs!$K$9)^2)))*Inputs!$C$52*COS(SQRT(((Inputs!$I$9+(((A59)+1)/2)*(Inputs!$J$9-Inputs!$I$9)))^2+Inputs!$C$6^2)/Inputs!$C$52)))-((Inputs!$H$9+Inputs!$L$9*(((Inputs!$I$9+(((A59)+1)/2)*(Inputs!$J$9-Inputs!$I$9)))/Inputs!$K$9)^2)))*1000/Inputs!$C$12)</x:f>
        <x:v>140295.619839856</x:v>
      </x:c>
      <x:c r="AJ59" s="49"/>
      <x:c r="AK59" s="48" t="n">
        <x:f>A59</x:f>
        <x:v>-0.525</x:v>
      </x:c>
      <x:c r="AL59" s="48" t="n">
        <x: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x:f>
        <x:v>268.381811743989</x:v>
      </x:c>
      <x:c r="AM59" s="48" t="n">
        <x: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x:f>
        <x:v>2295.6722738105373</x:v>
      </x:c>
      <x:c r="AN59" s="48" t="n">
        <x: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x:f>
        <x:v>2765.7736366966515</x:v>
      </x:c>
      <x:c r="AO59" s="48" t="n">
        <x: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x:f>
        <x:v>2770.5125083741054</x:v>
      </x:c>
      <x:c r="AP59" s="49"/>
      <x:c r="AQ59" s="48" t="n">
        <x:f>A59</x:f>
        <x:v>-0.525</x:v>
      </x:c>
      <x:c r="AR59" s="48" t="n">
        <x:f>0</x:f>
        <x:v>0</x:v>
      </x:c>
      <x:c r="AS59" s="48" t="n">
        <x: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(0.45*SIN(2*PI()*((((Inputs!$I$6+(((A59)+1)/2)*(Inputs!$J$6-Inputs!$I$6)))/Inputs!$C$49)+Inputs!$C$47*0.137))+0.35*COS(2*PI()*(((Inputs!$C$6)/Inputs!$C$50)+Inputs!$C$47*0.173))+0.20*SIN(2*PI()*((((Inputs!$I$6+(((A59)+1)/2)*(Inputs!$J$6-Inputs!$I$6)))+(Inputs!$C$6))/(0.5*(Inputs!$C$49+Inputs!$C$50))+Inputs!$C$47*0.097)))+0.30*(2*((SIN((((Inputs!$I$6+(((A59)+1)/2)*(Inputs!$J$6-Inputs!$I$6)))*12.9898+(Inputs!$C$6)*78.233+Inputs!$C$47*37.719))*43758.5453)-INT((SIN((((Inputs!$I$6+(((A59)+1)/2)*(Inputs!$J$6-Inputs!$I$6)))*12.9898+(Inputs!$C$6)*78.233+Inputs!$C$47*37.719))*43758.5453)))-1))),NA())</x:f>
        <x:v>355.15219987006986</x:v>
      </x:c>
      <x:c r="AT59" s="48" t="n">
        <x: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(0.45*SIN(2*PI()*((((Inputs!$I$7+(((A59)+1)/2)*(Inputs!$J$7-Inputs!$I$7)))/Inputs!$C$49)+Inputs!$C$47*0.137))+0.35*COS(2*PI()*(((Inputs!$C$6)/Inputs!$C$50)+Inputs!$C$47*0.173))+0.20*SIN(2*PI()*((((Inputs!$I$7+(((A59)+1)/2)*(Inputs!$J$7-Inputs!$I$7)))+(Inputs!$C$6))/(0.5*(Inputs!$C$49+Inputs!$C$50))+Inputs!$C$47*0.097)))+0.30*(2*((SIN((((Inputs!$I$7+(((A59)+1)/2)*(Inputs!$J$7-Inputs!$I$7)))*12.9898+(Inputs!$C$6)*78.233+Inputs!$C$47*37.719))*43758.5453)-INT((SIN((((Inputs!$I$7+(((A59)+1)/2)*(Inputs!$J$7-Inputs!$I$7)))*12.9898+(Inputs!$C$6)*78.233+Inputs!$C$47*37.719))*43758.5453)))-1))),NA())</x:f>
        <x:v>174.88445258075103</x:v>
      </x:c>
      <x:c r="AU59" s="48" t="n">
        <x: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(0.45*SIN(2*PI()*((((Inputs!$I$8+(((A59)+1)/2)*(Inputs!$J$8-Inputs!$I$8)))/Inputs!$C$49)+Inputs!$C$47*0.137))+0.35*COS(2*PI()*(((Inputs!$C$6)/Inputs!$C$50)+Inputs!$C$47*0.173))+0.20*SIN(2*PI()*((((Inputs!$I$8+(((A59)+1)/2)*(Inputs!$J$8-Inputs!$I$8)))+(Inputs!$C$6))/(0.5*(Inputs!$C$49+Inputs!$C$50))+Inputs!$C$47*0.097)))+0.30*(2*((SIN((((Inputs!$I$8+(((A59)+1)/2)*(Inputs!$J$8-Inputs!$I$8)))*12.9898+(Inputs!$C$6)*78.233+Inputs!$C$47*37.719))*43758.5453)-INT((SIN((((Inputs!$I$8+(((A59)+1)/2)*(Inputs!$J$8-Inputs!$I$8)))*12.9898+(Inputs!$C$6)*78.233+Inputs!$C$47*37.719))*43758.5453)))-1))),NA())</x:f>
        <x:v>84.2269312547811</x:v>
      </x:c>
      <x:c r="AV59" s="48" t="n">
        <x: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(0.45*SIN(2*PI()*((((Inputs!$I$9+(((A59)+1)/2)*(Inputs!$J$9-Inputs!$I$9)))/Inputs!$C$49)+Inputs!$C$47*0.137))+0.35*COS(2*PI()*(((Inputs!$C$6)/Inputs!$C$50)+Inputs!$C$47*0.173))+0.20*SIN(2*PI()*((((Inputs!$I$9+(((A59)+1)/2)*(Inputs!$J$9-Inputs!$I$9)))+(Inputs!$C$6))/(0.5*(Inputs!$C$49+Inputs!$C$50))+Inputs!$C$47*0.097)))+0.30*(2*((SIN((((Inputs!$I$9+(((A59)+1)/2)*(Inputs!$J$9-Inputs!$I$9)))*12.9898+(Inputs!$C$6)*78.233+Inputs!$C$47*37.719))*43758.5453)-INT((SIN((((Inputs!$I$9+(((A59)+1)/2)*(Inputs!$J$9-Inputs!$I$9)))*12.9898+(Inputs!$C$6)*78.233+Inputs!$C$47*37.719))*43758.5453)))-1))),NA())</x:f>
        <x:v>84.2269312547811</x:v>
      </x:c>
      <x:c r="AW59" s="49"/>
      <x:c r="AX59" s="48" t="n">
        <x:f>A59</x:f>
        <x:v>-0.525</x:v>
      </x:c>
      <x:c r="AY59" s="48" t="n">
        <x:f>0</x:f>
        <x:v>0</x:v>
      </x:c>
      <x:c r="AZ59" s="48" t="n">
        <x:f>IF(OR(Inputs!$F$6=TRUE,Inputs!$F$6="TRUE",Inputs!$F$6=1),(Inputs!$H$6+Inputs!$L$6*(((Inputs!$I$6+(((A59)+1)/2)*(Inputs!$J$6-Inputs!$I$6)))/Inputs!$K$6)^2),NA())</x:f>
        <x:v>401.1025</x:v>
      </x:c>
      <x:c r="BA59" s="48" t="n">
        <x:f>IF(OR(Inputs!$F$7=TRUE,Inputs!$F$7="TRUE",Inputs!$F$7=1),(Inputs!$H$7+Inputs!$L$7*(((Inputs!$I$7+(((A59)+1)/2)*(Inputs!$J$7-Inputs!$I$7)))/Inputs!$K$7)^2),NA())</x:f>
        <x:v>135.603125</x:v>
      </x:c>
      <x:c r="BB59" s="48" t="n">
        <x:f>IF(OR(Inputs!$F$8=TRUE,Inputs!$F$8="TRUE",Inputs!$F$8=1),(Inputs!$H$8+Inputs!$L$8*(((Inputs!$I$8+(((A59)+1)/2)*(Inputs!$J$8-Inputs!$I$8)))/Inputs!$K$8)^2),NA())</x:f>
        <x:v>300.97812500000003</x:v>
      </x:c>
      <x:c r="BC59" s="48" t="n">
        <x:f>IF(OR(Inputs!$F$9=TRUE,Inputs!$F$9="TRUE",Inputs!$F$9=1),(Inputs!$H$9+Inputs!$L$9*(((Inputs!$I$9+(((A59)+1)/2)*(Inputs!$J$9-Inputs!$I$9)))/Inputs!$K$9)^2),NA())</x:f>
        <x:v>293.734375</x:v>
      </x:c>
      <x:c r="BD59" s="49"/>
      <x:c r="BE59" s="48" t="n">
        <x:f>A59</x:f>
        <x:v>-0.525</x:v>
      </x:c>
      <x:c r="BF59" s="48" t="n">
        <x:f>0</x:f>
        <x:v>0</x:v>
      </x:c>
      <x:c r="BG59" s="48"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BH59" s="48"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BI59" s="48"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BJ59" s="48"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row>
    <x:row r="60">
      <x:c r="A60" s="48" t="n">
        <x:f>ROUND(-1+58*2/240,3)</x:f>
        <x:v>-0.517</x:v>
      </x:c>
      <x:c r="B60" s="48" t="n">
        <x:f>IF(OR(Inputs!$F$6=TRUE,Inputs!$F$6="TRUE",Inputs!$F$6=1),(Inputs!$H$6+Inputs!$L$6*(((Inputs!$I$6+(((A60)+1)/2)*(Inputs!$J$6-Inputs!$I$6)))/Inputs!$K$6)^2),NA())</x:f>
        <x:v>401.069156</x:v>
      </x:c>
      <x:c r="C60" s="48" t="n">
        <x:f>IF(OR(Inputs!$F$7=TRUE,Inputs!$F$7="TRUE",Inputs!$F$7=1),(Inputs!$H$7+Inputs!$L$7*(((Inputs!$I$7+(((A60)+1)/2)*(Inputs!$J$7-Inputs!$I$7)))/Inputs!$K$7)^2),NA())</x:f>
        <x:v>132.560485</x:v>
      </x:c>
      <x:c r="D60" s="48" t="n">
        <x:f>IF(OR(Inputs!$F$8=TRUE,Inputs!$F$8="TRUE",Inputs!$F$8=1),(Inputs!$H$8+Inputs!$L$8*(((Inputs!$I$8+(((A60)+1)/2)*(Inputs!$J$8-Inputs!$I$8)))/Inputs!$K$8)^2),NA())</x:f>
        <x:v>292.933885</x:v>
      </x:c>
      <x:c r="E60" s="48" t="n">
        <x:f>IF(OR(Inputs!$F$9=TRUE,Inputs!$F$9="TRUE",Inputs!$F$9=1),(Inputs!$H$9+Inputs!$L$9*(((Inputs!$I$9+(((A60)+1)/2)*(Inputs!$J$9-Inputs!$I$9)))/Inputs!$K$9)^2),NA())</x:f>
        <x:v>285.60677499999997</x:v>
      </x:c>
      <x:c r="F60" s="49"/>
      <x:c r="G60" s="48" t="n">
        <x:f>A60</x:f>
        <x:v>-0.517</x:v>
      </x:c>
      <x:c r="H60" s="48"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I60" s="48"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J60" s="48"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K60" s="48"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c r="L60" s="49"/>
      <x:c r="M60" s="48" t="n">
        <x:f>A60</x:f>
        <x:v>-0.517</x:v>
      </x:c>
      <x:c r="N60" s="48" t="n">
        <x: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x:f>
        <x:v>264.3304666092835</x:v>
      </x:c>
      <x:c r="O60" s="48" t="n">
        <x: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x:f>
        <x:v>2278.3738359403364</x:v>
      </x:c>
      <x:c r="P60" s="48" t="n">
        <x: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x:f>
        <x:v>2737.5347497540224</x:v>
      </x:c>
      <x:c r="Q60" s="48" t="n">
        <x: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x:f>
        <x:v>2741.751327862371</x:v>
      </x:c>
      <x:c r="R60" s="49"/>
      <x:c r="S60" s="48" t="n">
        <x:f>A60</x:f>
        <x:v>-0.517</x:v>
      </x:c>
      <x:c r="T60" s="48" t="n">
        <x:f>(Inputs!$I$6+(((A60)+1)/2)*(Inputs!$J$6-Inputs!$I$6))</x:f>
        <x:v>-31.02</x:v>
      </x:c>
      <x:c r="U60" s="48" t="n">
        <x:f>(Inputs!$I$7+(((A60)+1)/2)*(Inputs!$J$7-Inputs!$I$7))</x:f>
        <x:v>-206.8</x:v>
      </x:c>
      <x:c r="V60" s="48" t="n">
        <x:f>(Inputs!$I$8+(((A60)+1)/2)*(Inputs!$J$8-Inputs!$I$8))</x:f>
        <x:v>-413.6</x:v>
      </x:c>
      <x:c r="W60" s="48" t="n">
        <x:f>(Inputs!$I$9+(((A60)+1)/2)*(Inputs!$J$9-Inputs!$I$9))</x:f>
        <x:v>-413.6</x:v>
      </x:c>
      <x:c r="X60" s="49"/>
      <x:c r="Y60" s="48" t="n">
        <x:f>A60</x:f>
        <x:v>-0.517</x:v>
      </x:c>
      <x:c r="Z60" s="48" t="n">
        <x:f>(Inputs!$H$6+Inputs!$L$6*(((Inputs!$I$6+(((A60)+1)/2)*(Inputs!$J$6-Inputs!$I$6)))/Inputs!$K$6)^2)</x:f>
        <x:v>401.069156</x:v>
      </x:c>
      <x:c r="AA60" s="48" t="n">
        <x:f>(Inputs!$H$7+Inputs!$L$7*(((Inputs!$I$7+(((A60)+1)/2)*(Inputs!$J$7-Inputs!$I$7)))/Inputs!$K$7)^2)</x:f>
        <x:v>132.560485</x:v>
      </x:c>
      <x:c r="AB60" s="48" t="n">
        <x:f>(Inputs!$H$8+Inputs!$L$8*(((Inputs!$I$8+(((A60)+1)/2)*(Inputs!$J$8-Inputs!$I$8)))/Inputs!$K$8)^2)</x:f>
        <x:v>292.933885</x:v>
      </x:c>
      <x:c r="AC60" s="48" t="n">
        <x:f>(Inputs!$H$9+Inputs!$L$9*(((Inputs!$I$9+(((A60)+1)/2)*(Inputs!$J$9-Inputs!$I$9)))/Inputs!$K$9)^2)</x:f>
        <x:v>285.60677499999997</x:v>
      </x:c>
      <x:c r="AD60" s="49"/>
      <x:c r="AE60" s="48" t="n">
        <x:f>A60</x:f>
        <x:v>-0.517</x:v>
      </x:c>
      <x:c r="AF60" s="48" t="n">
        <x:f>(((SQRT((Inputs!$C$52+((Inputs!$H$6+Inputs!$L$6*(((Inputs!$I$6+(((A60)+1)/2)*(Inputs!$J$6-Inputs!$I$6)))/Inputs!$K$6)^2)))^2+Inputs!$C$52^2-2*(Inputs!$C$52+((Inputs!$H$6+Inputs!$L$6*(((Inputs!$I$6+(((A60)+1)/2)*(Inputs!$J$6-Inputs!$I$6)))/Inputs!$K$6)^2)))*Inputs!$C$52*COS(SQRT(((Inputs!$I$6+(((A60)+1)/2)*(Inputs!$J$6-Inputs!$I$6)))^2+Inputs!$C$6^2)/Inputs!$C$52)))-((Inputs!$H$6+Inputs!$L$6*(((Inputs!$I$6+(((A60)+1)/2)*(Inputs!$J$6-Inputs!$I$6)))/Inputs!$K$6)^2)))*1000/Inputs!$C$12)</x:f>
        <x:v>1392.939657729881</x:v>
      </x:c>
      <x:c r="AG60" s="48" t="n">
        <x:f>(((SQRT((Inputs!$C$52+((Inputs!$H$7+Inputs!$L$7*(((Inputs!$I$7+(((A60)+1)/2)*(Inputs!$J$7-Inputs!$I$7)))/Inputs!$K$7)^2)))^2+Inputs!$C$52^2-2*(Inputs!$C$52+((Inputs!$H$7+Inputs!$L$7*(((Inputs!$I$7+(((A60)+1)/2)*(Inputs!$J$7-Inputs!$I$7)))/Inputs!$K$7)^2)))*Inputs!$C$52*COS(SQRT(((Inputs!$I$7+(((A60)+1)/2)*(Inputs!$J$7-Inputs!$I$7)))^2+Inputs!$C$6^2)/Inputs!$C$52)))-((Inputs!$H$7+Inputs!$L$7*(((Inputs!$I$7+(((A60)+1)/2)*(Inputs!$J$7-Inputs!$I$7)))/Inputs!$K$7)^2)))*1000/Inputs!$C$12)</x:f>
        <x:v>68294.05018691234</x:v>
      </x:c>
      <x:c r="AH60" s="48" t="n">
        <x:f>(((SQRT((Inputs!$C$52+((Inputs!$H$8+Inputs!$L$8*(((Inputs!$I$8+(((A60)+1)/2)*(Inputs!$J$8-Inputs!$I$8)))/Inputs!$K$8)^2)))^2+Inputs!$C$52^2-2*(Inputs!$C$52+((Inputs!$H$8+Inputs!$L$8*(((Inputs!$I$8+(((A60)+1)/2)*(Inputs!$J$8-Inputs!$I$8)))/Inputs!$K$8)^2)))*Inputs!$C$52*COS(SQRT(((Inputs!$I$8+(((A60)+1)/2)*(Inputs!$J$8-Inputs!$I$8)))^2+Inputs!$C$6^2)/Inputs!$C$52)))-((Inputs!$H$8+Inputs!$L$8*(((Inputs!$I$8+(((A60)+1)/2)*(Inputs!$J$8-Inputs!$I$8)))/Inputs!$K$8)^2)))*1000/Inputs!$C$12)</x:f>
        <x:v>137199.2263536791</x:v>
      </x:c>
      <x:c r="AI60" s="48" t="n">
        <x:f>(((SQRT((Inputs!$C$52+((Inputs!$H$9+Inputs!$L$9*(((Inputs!$I$9+(((A60)+1)/2)*(Inputs!$J$9-Inputs!$I$9)))/Inputs!$K$9)^2)))^2+Inputs!$C$52^2-2*(Inputs!$C$52+((Inputs!$H$9+Inputs!$L$9*(((Inputs!$I$9+(((A60)+1)/2)*(Inputs!$J$9-Inputs!$I$9)))/Inputs!$K$9)^2)))*Inputs!$C$52*COS(SQRT(((Inputs!$I$9+(((A60)+1)/2)*(Inputs!$J$9-Inputs!$I$9)))^2+Inputs!$C$6^2)/Inputs!$C$52)))-((Inputs!$H$9+Inputs!$L$9*(((Inputs!$I$9+(((A60)+1)/2)*(Inputs!$J$9-Inputs!$I$9)))/Inputs!$K$9)^2)))*1000/Inputs!$C$12)</x:f>
        <x:v>138668.17023633642</x:v>
      </x:c>
      <x:c r="AJ60" s="49"/>
      <x:c r="AK60" s="48" t="n">
        <x:f>A60</x:f>
        <x:v>-0.517</x:v>
      </x:c>
      <x:c r="AL60" s="48" t="n">
        <x: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x:f>
        <x:v>264.3304666092835</x:v>
      </x:c>
      <x:c r="AM60" s="48" t="n">
        <x: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x:f>
        <x:v>2278.3738359403364</x:v>
      </x:c>
      <x:c r="AN60" s="48" t="n">
        <x: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x:f>
        <x:v>2737.5347497540224</x:v>
      </x:c>
      <x:c r="AO60" s="48" t="n">
        <x: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x:f>
        <x:v>2741.751327862371</x:v>
      </x:c>
      <x:c r="AP60" s="49"/>
      <x:c r="AQ60" s="48" t="n">
        <x:f>A60</x:f>
        <x:v>-0.517</x:v>
      </x:c>
      <x:c r="AR60" s="48" t="n">
        <x:f>0</x:f>
        <x:v>0</x:v>
      </x:c>
      <x:c r="AS60" s="48" t="n">
        <x: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(0.45*SIN(2*PI()*((((Inputs!$I$6+(((A60)+1)/2)*(Inputs!$J$6-Inputs!$I$6)))/Inputs!$C$49)+Inputs!$C$47*0.137))+0.35*COS(2*PI()*(((Inputs!$C$6)/Inputs!$C$50)+Inputs!$C$47*0.173))+0.20*SIN(2*PI()*((((Inputs!$I$6+(((A60)+1)/2)*(Inputs!$J$6-Inputs!$I$6)))+(Inputs!$C$6))/(0.5*(Inputs!$C$49+Inputs!$C$50))+Inputs!$C$47*0.097)))+0.30*(2*((SIN((((Inputs!$I$6+(((A60)+1)/2)*(Inputs!$J$6-Inputs!$I$6)))*12.9898+(Inputs!$C$6)*78.233+Inputs!$C$47*37.719))*43758.5453)-INT((SIN((((Inputs!$I$6+(((A60)+1)/2)*(Inputs!$J$6-Inputs!$I$6)))*12.9898+(Inputs!$C$6)*78.233+Inputs!$C$47*37.719))*43758.5453)))-1))),NA())</x:f>
        <x:v>348.41775448813667</x:v>
      </x:c>
      <x:c r="AT60" s="48" t="n">
        <x: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(0.45*SIN(2*PI()*((((Inputs!$I$7+(((A60)+1)/2)*(Inputs!$J$7-Inputs!$I$7)))/Inputs!$C$49)+Inputs!$C$47*0.137))+0.35*COS(2*PI()*(((Inputs!$C$6)/Inputs!$C$50)+Inputs!$C$47*0.173))+0.20*SIN(2*PI()*((((Inputs!$I$7+(((A60)+1)/2)*(Inputs!$J$7-Inputs!$I$7)))+(Inputs!$C$6))/(0.5*(Inputs!$C$49+Inputs!$C$50))+Inputs!$C$47*0.097)))+0.30*(2*((SIN((((Inputs!$I$7+(((A60)+1)/2)*(Inputs!$J$7-Inputs!$I$7)))*12.9898+(Inputs!$C$6)*78.233+Inputs!$C$47*37.719))*43758.5453)-INT((SIN((((Inputs!$I$7+(((A60)+1)/2)*(Inputs!$J$7-Inputs!$I$7)))*12.9898+(Inputs!$C$6)*78.233+Inputs!$C$47*37.719))*43758.5453)))-1))),NA())</x:f>
        <x:v>116.94295620721593</x:v>
      </x:c>
      <x:c r="AU60" s="48" t="n">
        <x: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(0.45*SIN(2*PI()*((((Inputs!$I$8+(((A60)+1)/2)*(Inputs!$J$8-Inputs!$I$8)))/Inputs!$C$49)+Inputs!$C$47*0.137))+0.35*COS(2*PI()*(((Inputs!$C$6)/Inputs!$C$50)+Inputs!$C$47*0.173))+0.20*SIN(2*PI()*((((Inputs!$I$8+(((A60)+1)/2)*(Inputs!$J$8-Inputs!$I$8)))+(Inputs!$C$6))/(0.5*(Inputs!$C$49+Inputs!$C$50))+Inputs!$C$47*0.097)))+0.30*(2*((SIN((((Inputs!$I$8+(((A60)+1)/2)*(Inputs!$J$8-Inputs!$I$8)))*12.9898+(Inputs!$C$6)*78.233+Inputs!$C$47*37.719))*43758.5453)-INT((SIN((((Inputs!$I$8+(((A60)+1)/2)*(Inputs!$J$8-Inputs!$I$8)))*12.9898+(Inputs!$C$6)*78.233+Inputs!$C$47*37.719))*43758.5453)))-1))),NA())</x:f>
        <x:v>156.8605522525044</x:v>
      </x:c>
      <x:c r="AV60" s="48" t="n">
        <x: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(0.45*SIN(2*PI()*((((Inputs!$I$9+(((A60)+1)/2)*(Inputs!$J$9-Inputs!$I$9)))/Inputs!$C$49)+Inputs!$C$47*0.137))+0.35*COS(2*PI()*(((Inputs!$C$6)/Inputs!$C$50)+Inputs!$C$47*0.173))+0.20*SIN(2*PI()*((((Inputs!$I$9+(((A60)+1)/2)*(Inputs!$J$9-Inputs!$I$9)))+(Inputs!$C$6))/(0.5*(Inputs!$C$49+Inputs!$C$50))+Inputs!$C$47*0.097)))+0.30*(2*((SIN((((Inputs!$I$9+(((A60)+1)/2)*(Inputs!$J$9-Inputs!$I$9)))*12.9898+(Inputs!$C$6)*78.233+Inputs!$C$47*37.719))*43758.5453)-INT((SIN((((Inputs!$I$9+(((A60)+1)/2)*(Inputs!$J$9-Inputs!$I$9)))*12.9898+(Inputs!$C$6)*78.233+Inputs!$C$47*37.719))*43758.5453)))-1))),NA())</x:f>
        <x:v>156.8605522525044</x:v>
      </x:c>
      <x:c r="AW60" s="49"/>
      <x:c r="AX60" s="48" t="n">
        <x:f>A60</x:f>
        <x:v>-0.517</x:v>
      </x:c>
      <x:c r="AY60" s="48" t="n">
        <x:f>0</x:f>
        <x:v>0</x:v>
      </x:c>
      <x:c r="AZ60" s="48" t="n">
        <x:f>IF(OR(Inputs!$F$6=TRUE,Inputs!$F$6="TRUE",Inputs!$F$6=1),(Inputs!$H$6+Inputs!$L$6*(((Inputs!$I$6+(((A60)+1)/2)*(Inputs!$J$6-Inputs!$I$6)))/Inputs!$K$6)^2),NA())</x:f>
        <x:v>401.069156</x:v>
      </x:c>
      <x:c r="BA60" s="48" t="n">
        <x:f>IF(OR(Inputs!$F$7=TRUE,Inputs!$F$7="TRUE",Inputs!$F$7=1),(Inputs!$H$7+Inputs!$L$7*(((Inputs!$I$7+(((A60)+1)/2)*(Inputs!$J$7-Inputs!$I$7)))/Inputs!$K$7)^2),NA())</x:f>
        <x:v>132.560485</x:v>
      </x:c>
      <x:c r="BB60" s="48" t="n">
        <x:f>IF(OR(Inputs!$F$8=TRUE,Inputs!$F$8="TRUE",Inputs!$F$8=1),(Inputs!$H$8+Inputs!$L$8*(((Inputs!$I$8+(((A60)+1)/2)*(Inputs!$J$8-Inputs!$I$8)))/Inputs!$K$8)^2),NA())</x:f>
        <x:v>292.933885</x:v>
      </x:c>
      <x:c r="BC60" s="48" t="n">
        <x:f>IF(OR(Inputs!$F$9=TRUE,Inputs!$F$9="TRUE",Inputs!$F$9=1),(Inputs!$H$9+Inputs!$L$9*(((Inputs!$I$9+(((A60)+1)/2)*(Inputs!$J$9-Inputs!$I$9)))/Inputs!$K$9)^2),NA())</x:f>
        <x:v>285.60677499999997</x:v>
      </x:c>
      <x:c r="BD60" s="49"/>
      <x:c r="BE60" s="48" t="n">
        <x:f>A60</x:f>
        <x:v>-0.517</x:v>
      </x:c>
      <x:c r="BF60" s="48" t="n">
        <x:f>0</x:f>
        <x:v>0</x:v>
      </x:c>
      <x:c r="BG60" s="48"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BH60" s="48"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BI60" s="48"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BJ60" s="48"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row>
    <x:row r="61">
      <x:c r="A61" s="48" t="n">
        <x:f>ROUND(-1+59*2/240,3)</x:f>
        <x:v>-0.508</x:v>
      </x:c>
      <x:c r="B61" s="48" t="n">
        <x:f>IF(OR(Inputs!$F$6=TRUE,Inputs!$F$6="TRUE",Inputs!$F$6=1),(Inputs!$H$6+Inputs!$L$6*(((Inputs!$I$6+(((A61)+1)/2)*(Inputs!$J$6-Inputs!$I$6)))/Inputs!$K$6)^2),NA())</x:f>
        <x:v>401.032256</x:v>
      </x:c>
      <x:c r="C61" s="48" t="n">
        <x:f>IF(OR(Inputs!$F$7=TRUE,Inputs!$F$7="TRUE",Inputs!$F$7=1),(Inputs!$H$7+Inputs!$L$7*(((Inputs!$I$7+(((A61)+1)/2)*(Inputs!$J$7-Inputs!$I$7)))/Inputs!$K$7)^2),NA())</x:f>
        <x:v>129.19336</x:v>
      </x:c>
      <x:c r="D61" s="48" t="n">
        <x:f>IF(OR(Inputs!$F$8=TRUE,Inputs!$F$8="TRUE",Inputs!$F$8=1),(Inputs!$H$8+Inputs!$L$8*(((Inputs!$I$8+(((A61)+1)/2)*(Inputs!$J$8-Inputs!$I$8)))/Inputs!$K$8)^2),NA())</x:f>
        <x:v>284.03176</x:v>
      </x:c>
      <x:c r="E61" s="48" t="n">
        <x:f>IF(OR(Inputs!$F$9=TRUE,Inputs!$F$9="TRUE",Inputs!$F$9=1),(Inputs!$H$9+Inputs!$L$9*(((Inputs!$I$9+(((A61)+1)/2)*(Inputs!$J$9-Inputs!$I$9)))/Inputs!$K$9)^2),NA())</x:f>
        <x:v>276.6124</x:v>
      </x:c>
      <x:c r="F61" s="49"/>
      <x:c r="G61" s="48" t="n">
        <x:f>A61</x:f>
        <x:v>-0.508</x:v>
      </x:c>
      <x:c r="H61" s="48"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I61" s="48"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J61" s="48"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K61" s="48"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c r="L61" s="49"/>
      <x:c r="M61" s="48" t="n">
        <x:f>A61</x:f>
        <x:v>-0.508</x:v>
      </x:c>
      <x:c r="N61" s="48" t="n">
        <x: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x:f>
        <x:v>259.7706228068675</x:v>
      </x:c>
      <x:c r="O61" s="48" t="n">
        <x: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x:f>
        <x:v>2259.071087961812</x:v>
      </x:c>
      <x:c r="P61" s="48" t="n">
        <x: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x:f>
        <x:v>2706.008765684096</x:v>
      </x:c>
      <x:c r="Q61" s="48" t="n">
        <x: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x:f>
        <x:v>2709.640063926721</x:v>
      </x:c>
      <x:c r="R61" s="49"/>
      <x:c r="S61" s="48" t="n">
        <x:f>A61</x:f>
        <x:v>-0.508</x:v>
      </x:c>
      <x:c r="T61" s="48" t="n">
        <x:f>(Inputs!$I$6+(((A61)+1)/2)*(Inputs!$J$6-Inputs!$I$6))</x:f>
        <x:v>-30.48</x:v>
      </x:c>
      <x:c r="U61" s="48" t="n">
        <x:f>(Inputs!$I$7+(((A61)+1)/2)*(Inputs!$J$7-Inputs!$I$7))</x:f>
        <x:v>-203.2</x:v>
      </x:c>
      <x:c r="V61" s="48" t="n">
        <x:f>(Inputs!$I$8+(((A61)+1)/2)*(Inputs!$J$8-Inputs!$I$8))</x:f>
        <x:v>-406.4</x:v>
      </x:c>
      <x:c r="W61" s="48" t="n">
        <x:f>(Inputs!$I$9+(((A61)+1)/2)*(Inputs!$J$9-Inputs!$I$9))</x:f>
        <x:v>-406.4</x:v>
      </x:c>
      <x:c r="X61" s="49"/>
      <x:c r="Y61" s="48" t="n">
        <x:f>A61</x:f>
        <x:v>-0.508</x:v>
      </x:c>
      <x:c r="Z61" s="48" t="n">
        <x:f>(Inputs!$H$6+Inputs!$L$6*(((Inputs!$I$6+(((A61)+1)/2)*(Inputs!$J$6-Inputs!$I$6)))/Inputs!$K$6)^2)</x:f>
        <x:v>401.032256</x:v>
      </x:c>
      <x:c r="AA61" s="48" t="n">
        <x:f>(Inputs!$H$7+Inputs!$L$7*(((Inputs!$I$7+(((A61)+1)/2)*(Inputs!$J$7-Inputs!$I$7)))/Inputs!$K$7)^2)</x:f>
        <x:v>129.19336</x:v>
      </x:c>
      <x:c r="AB61" s="48" t="n">
        <x:f>(Inputs!$H$8+Inputs!$L$8*(((Inputs!$I$8+(((A61)+1)/2)*(Inputs!$J$8-Inputs!$I$8)))/Inputs!$K$8)^2)</x:f>
        <x:v>284.03176</x:v>
      </x:c>
      <x:c r="AC61" s="48" t="n">
        <x:f>(Inputs!$H$9+Inputs!$L$9*(((Inputs!$I$9+(((A61)+1)/2)*(Inputs!$J$9-Inputs!$I$9)))/Inputs!$K$9)^2)</x:f>
        <x:v>276.6124</x:v>
      </x:c>
      <x:c r="AD61" s="49"/>
      <x:c r="AE61" s="48" t="n">
        <x:f>A61</x:f>
        <x:v>-0.508</x:v>
      </x:c>
      <x:c r="AF61" s="48" t="n">
        <x:f>(((SQRT((Inputs!$C$52+((Inputs!$H$6+Inputs!$L$6*(((Inputs!$I$6+(((A61)+1)/2)*(Inputs!$J$6-Inputs!$I$6)))/Inputs!$K$6)^2)))^2+Inputs!$C$52^2-2*(Inputs!$C$52+((Inputs!$H$6+Inputs!$L$6*(((Inputs!$I$6+(((A61)+1)/2)*(Inputs!$J$6-Inputs!$I$6)))/Inputs!$K$6)^2)))*Inputs!$C$52*COS(SQRT(((Inputs!$I$6+(((A61)+1)/2)*(Inputs!$J$6-Inputs!$I$6)))^2+Inputs!$C$6^2)/Inputs!$C$52)))-((Inputs!$H$6+Inputs!$L$6*(((Inputs!$I$6+(((A61)+1)/2)*(Inputs!$J$6-Inputs!$I$6)))/Inputs!$K$6)^2)))*1000/Inputs!$C$12)</x:f>
        <x:v>1363.9834103540206</x:v>
      </x:c>
      <x:c r="AG61" s="48" t="n">
        <x:f>(((SQRT((Inputs!$C$52+((Inputs!$H$7+Inputs!$L$7*(((Inputs!$I$7+(((A61)+1)/2)*(Inputs!$J$7-Inputs!$I$7)))/Inputs!$K$7)^2)))^2+Inputs!$C$52^2-2*(Inputs!$C$52+((Inputs!$H$7+Inputs!$L$7*(((Inputs!$I$7+(((A61)+1)/2)*(Inputs!$J$7-Inputs!$I$7)))/Inputs!$K$7)^2)))*Inputs!$C$52*COS(SQRT(((Inputs!$I$7+(((A61)+1)/2)*(Inputs!$J$7-Inputs!$I$7)))^2+Inputs!$C$6^2)/Inputs!$C$52)))-((Inputs!$H$7+Inputs!$L$7*(((Inputs!$I$7+(((A61)+1)/2)*(Inputs!$J$7-Inputs!$I$7)))/Inputs!$K$7)^2)))*1000/Inputs!$C$12)</x:f>
        <x:v>67317.94391860011</x:v>
      </x:c>
      <x:c r="AH61" s="48" t="n">
        <x:f>(((SQRT((Inputs!$C$52+((Inputs!$H$8+Inputs!$L$8*(((Inputs!$I$8+(((A61)+1)/2)*(Inputs!$J$8-Inputs!$I$8)))/Inputs!$K$8)^2)))^2+Inputs!$C$52^2-2*(Inputs!$C$52+((Inputs!$H$8+Inputs!$L$8*(((Inputs!$I$8+(((A61)+1)/2)*(Inputs!$J$8-Inputs!$I$8)))/Inputs!$K$8)^2)))*Inputs!$C$52*COS(SQRT(((Inputs!$I$8+(((A61)+1)/2)*(Inputs!$J$8-Inputs!$I$8)))^2+Inputs!$C$6^2)/Inputs!$C$52)))-((Inputs!$H$8+Inputs!$L$8*(((Inputs!$I$8+(((A61)+1)/2)*(Inputs!$J$8-Inputs!$I$8)))/Inputs!$K$8)^2)))*1000/Inputs!$C$12)</x:f>
        <x:v>135319.591362174</x:v>
      </x:c>
      <x:c r="AI61" s="48" t="n">
        <x:f>(((SQRT((Inputs!$C$52+((Inputs!$H$9+Inputs!$L$9*(((Inputs!$I$9+(((A61)+1)/2)*(Inputs!$J$9-Inputs!$I$9)))/Inputs!$K$9)^2)))^2+Inputs!$C$52^2-2*(Inputs!$C$52+((Inputs!$H$9+Inputs!$L$9*(((Inputs!$I$9+(((A61)+1)/2)*(Inputs!$J$9-Inputs!$I$9)))/Inputs!$K$9)^2)))*Inputs!$C$52*COS(SQRT(((Inputs!$I$9+(((A61)+1)/2)*(Inputs!$J$9-Inputs!$I$9)))^2+Inputs!$C$6^2)/Inputs!$C$52)))-((Inputs!$H$9+Inputs!$L$9*(((Inputs!$I$9+(((A61)+1)/2)*(Inputs!$J$9-Inputs!$I$9)))/Inputs!$K$9)^2)))*1000/Inputs!$C$12)</x:f>
        <x:v>136830.44158266968</x:v>
      </x:c>
      <x:c r="AJ61" s="49"/>
      <x:c r="AK61" s="48" t="n">
        <x:f>A61</x:f>
        <x:v>-0.508</x:v>
      </x:c>
      <x:c r="AL61" s="48" t="n">
        <x: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x:f>
        <x:v>259.7706228068675</x:v>
      </x:c>
      <x:c r="AM61" s="48" t="n">
        <x: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x:f>
        <x:v>2259.071087961812</x:v>
      </x:c>
      <x:c r="AN61" s="48" t="n">
        <x: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x:f>
        <x:v>2706.008765684096</x:v>
      </x:c>
      <x:c r="AO61" s="48" t="n">
        <x: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x:f>
        <x:v>2709.640063926721</x:v>
      </x:c>
      <x:c r="AP61" s="49"/>
      <x:c r="AQ61" s="48" t="n">
        <x:f>A61</x:f>
        <x:v>-0.508</x:v>
      </x:c>
      <x:c r="AR61" s="48" t="n">
        <x:f>0</x:f>
        <x:v>0</x:v>
      </x:c>
      <x:c r="AS61" s="48" t="n">
        <x: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(0.45*SIN(2*PI()*((((Inputs!$I$6+(((A61)+1)/2)*(Inputs!$J$6-Inputs!$I$6)))/Inputs!$C$49)+Inputs!$C$47*0.137))+0.35*COS(2*PI()*(((Inputs!$C$6)/Inputs!$C$50)+Inputs!$C$47*0.173))+0.20*SIN(2*PI()*((((Inputs!$I$6+(((A61)+1)/2)*(Inputs!$J$6-Inputs!$I$6)))+(Inputs!$C$6))/(0.5*(Inputs!$C$49+Inputs!$C$50))+Inputs!$C$47*0.097)))+0.30*(2*((SIN((((Inputs!$I$6+(((A61)+1)/2)*(Inputs!$J$6-Inputs!$I$6)))*12.9898+(Inputs!$C$6)*78.233+Inputs!$C$47*37.719))*43758.5453)-INT((SIN((((Inputs!$I$6+(((A61)+1)/2)*(Inputs!$J$6-Inputs!$I$6)))*12.9898+(Inputs!$C$6)*78.233+Inputs!$C$47*37.719))*43758.5453)))-1))),NA())</x:f>
        <x:v>336.5337904221099</x:v>
      </x:c>
      <x:c r="AT61" s="48" t="n">
        <x: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(0.45*SIN(2*PI()*((((Inputs!$I$7+(((A61)+1)/2)*(Inputs!$J$7-Inputs!$I$7)))/Inputs!$C$49)+Inputs!$C$47*0.137))+0.35*COS(2*PI()*(((Inputs!$C$6)/Inputs!$C$50)+Inputs!$C$47*0.173))+0.20*SIN(2*PI()*((((Inputs!$I$7+(((A61)+1)/2)*(Inputs!$J$7-Inputs!$I$7)))+(Inputs!$C$6))/(0.5*(Inputs!$C$49+Inputs!$C$50))+Inputs!$C$47*0.097)))+0.30*(2*((SIN((((Inputs!$I$7+(((A61)+1)/2)*(Inputs!$J$7-Inputs!$I$7)))*12.9898+(Inputs!$C$6)*78.233+Inputs!$C$47*37.719))*43758.5453)-INT((SIN((((Inputs!$I$7+(((A61)+1)/2)*(Inputs!$J$7-Inputs!$I$7)))*12.9898+(Inputs!$C$6)*78.233+Inputs!$C$47*37.719))*43758.5453)))-1))),NA())</x:f>
        <x:v>96.30405618901038</x:v>
      </x:c>
      <x:c r="AU61" s="48" t="n">
        <x: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(0.45*SIN(2*PI()*((((Inputs!$I$8+(((A61)+1)/2)*(Inputs!$J$8-Inputs!$I$8)))/Inputs!$C$49)+Inputs!$C$47*0.137))+0.35*COS(2*PI()*(((Inputs!$C$6)/Inputs!$C$50)+Inputs!$C$47*0.173))+0.20*SIN(2*PI()*((((Inputs!$I$8+(((A61)+1)/2)*(Inputs!$J$8-Inputs!$I$8)))+(Inputs!$C$6))/(0.5*(Inputs!$C$49+Inputs!$C$50))+Inputs!$C$47*0.097)))+0.30*(2*((SIN((((Inputs!$I$8+(((A61)+1)/2)*(Inputs!$J$8-Inputs!$I$8)))*12.9898+(Inputs!$C$6)*78.233+Inputs!$C$47*37.719))*43758.5453)-INT((SIN((((Inputs!$I$8+(((A61)+1)/2)*(Inputs!$J$8-Inputs!$I$8)))*12.9898+(Inputs!$C$6)*78.233+Inputs!$C$47*37.719))*43758.5453)))-1))),NA())</x:f>
        <x:v>188.6266833438749</x:v>
      </x:c>
      <x:c r="AV61" s="48" t="n">
        <x: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(0.45*SIN(2*PI()*((((Inputs!$I$9+(((A61)+1)/2)*(Inputs!$J$9-Inputs!$I$9)))/Inputs!$C$49)+Inputs!$C$47*0.137))+0.35*COS(2*PI()*(((Inputs!$C$6)/Inputs!$C$50)+Inputs!$C$47*0.173))+0.20*SIN(2*PI()*((((Inputs!$I$9+(((A61)+1)/2)*(Inputs!$J$9-Inputs!$I$9)))+(Inputs!$C$6))/(0.5*(Inputs!$C$49+Inputs!$C$50))+Inputs!$C$47*0.097)))+0.30*(2*((SIN((((Inputs!$I$9+(((A61)+1)/2)*(Inputs!$J$9-Inputs!$I$9)))*12.9898+(Inputs!$C$6)*78.233+Inputs!$C$47*37.719))*43758.5453)-INT((SIN((((Inputs!$I$9+(((A61)+1)/2)*(Inputs!$J$9-Inputs!$I$9)))*12.9898+(Inputs!$C$6)*78.233+Inputs!$C$47*37.719))*43758.5453)))-1))),NA())</x:f>
        <x:v>188.6266833438749</x:v>
      </x:c>
      <x:c r="AW61" s="49"/>
      <x:c r="AX61" s="48" t="n">
        <x:f>A61</x:f>
        <x:v>-0.508</x:v>
      </x:c>
      <x:c r="AY61" s="48" t="n">
        <x:f>0</x:f>
        <x:v>0</x:v>
      </x:c>
      <x:c r="AZ61" s="48" t="n">
        <x:f>IF(OR(Inputs!$F$6=TRUE,Inputs!$F$6="TRUE",Inputs!$F$6=1),(Inputs!$H$6+Inputs!$L$6*(((Inputs!$I$6+(((A61)+1)/2)*(Inputs!$J$6-Inputs!$I$6)))/Inputs!$K$6)^2),NA())</x:f>
        <x:v>401.032256</x:v>
      </x:c>
      <x:c r="BA61" s="48" t="n">
        <x:f>IF(OR(Inputs!$F$7=TRUE,Inputs!$F$7="TRUE",Inputs!$F$7=1),(Inputs!$H$7+Inputs!$L$7*(((Inputs!$I$7+(((A61)+1)/2)*(Inputs!$J$7-Inputs!$I$7)))/Inputs!$K$7)^2),NA())</x:f>
        <x:v>129.19336</x:v>
      </x:c>
      <x:c r="BB61" s="48" t="n">
        <x:f>IF(OR(Inputs!$F$8=TRUE,Inputs!$F$8="TRUE",Inputs!$F$8=1),(Inputs!$H$8+Inputs!$L$8*(((Inputs!$I$8+(((A61)+1)/2)*(Inputs!$J$8-Inputs!$I$8)))/Inputs!$K$8)^2),NA())</x:f>
        <x:v>284.03176</x:v>
      </x:c>
      <x:c r="BC61" s="48" t="n">
        <x:f>IF(OR(Inputs!$F$9=TRUE,Inputs!$F$9="TRUE",Inputs!$F$9=1),(Inputs!$H$9+Inputs!$L$9*(((Inputs!$I$9+(((A61)+1)/2)*(Inputs!$J$9-Inputs!$I$9)))/Inputs!$K$9)^2),NA())</x:f>
        <x:v>276.6124</x:v>
      </x:c>
      <x:c r="BD61" s="49"/>
      <x:c r="BE61" s="48" t="n">
        <x:f>A61</x:f>
        <x:v>-0.508</x:v>
      </x:c>
      <x:c r="BF61" s="48" t="n">
        <x:f>0</x:f>
        <x:v>0</x:v>
      </x:c>
      <x:c r="BG61" s="48"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BH61" s="48"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BI61" s="48"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BJ61" s="48"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row>
    <x:row r="62">
      <x:c r="A62" s="48" t="n">
        <x:f>ROUND(-1+60*2/240,3)</x:f>
        <x:v>-0.5</x:v>
      </x:c>
      <x:c r="B62" s="48" t="n">
        <x:f>IF(OR(Inputs!$F$6=TRUE,Inputs!$F$6="TRUE",Inputs!$F$6=1),(Inputs!$H$6+Inputs!$L$6*(((Inputs!$I$6+(((A62)+1)/2)*(Inputs!$J$6-Inputs!$I$6)))/Inputs!$K$6)^2),NA())</x:f>
        <x:v>401</x:v>
      </x:c>
      <x:c r="C62" s="48" t="n">
        <x:f>IF(OR(Inputs!$F$7=TRUE,Inputs!$F$7="TRUE",Inputs!$F$7=1),(Inputs!$H$7+Inputs!$L$7*(((Inputs!$I$7+(((A62)+1)/2)*(Inputs!$J$7-Inputs!$I$7)))/Inputs!$K$7)^2),NA())</x:f>
        <x:v>126.25</x:v>
      </x:c>
      <x:c r="D62" s="48" t="n">
        <x:f>IF(OR(Inputs!$F$8=TRUE,Inputs!$F$8="TRUE",Inputs!$F$8=1),(Inputs!$H$8+Inputs!$L$8*(((Inputs!$I$8+(((A62)+1)/2)*(Inputs!$J$8-Inputs!$I$8)))/Inputs!$K$8)^2),NA())</x:f>
        <x:v>276.25</x:v>
      </x:c>
      <x:c r="E62" s="48" t="n">
        <x:f>IF(OR(Inputs!$F$9=TRUE,Inputs!$F$9="TRUE",Inputs!$F$9=1),(Inputs!$H$9+Inputs!$L$9*(((Inputs!$I$9+(((A62)+1)/2)*(Inputs!$J$9-Inputs!$I$9)))/Inputs!$K$9)^2),NA())</x:f>
        <x:v>268.75</x:v>
      </x:c>
      <x:c r="F62" s="49"/>
      <x:c r="G62" s="48" t="n">
        <x:f>A62</x:f>
        <x:v>-0.5</x:v>
      </x:c>
      <x:c r="H62" s="48"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I62" s="48"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J62" s="48"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K62" s="48"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c r="L62" s="49"/>
      <x:c r="M62" s="48" t="n">
        <x:f>A62</x:f>
        <x:v>-0.5</x:v>
      </x:c>
      <x:c r="N62" s="48" t="n">
        <x: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x:f>
        <x:v>255.7156069405893</x:v>
      </x:c>
      <x:c r="O62" s="48" t="n">
        <x: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x:f>
        <x:v>2242.053590811741</x:v>
      </x:c>
      <x:c r="P62" s="48" t="n">
        <x: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x:f>
        <x:v>2678.2070044248176</x:v>
      </x:c>
      <x:c r="Q62" s="48" t="n">
        <x: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x:f>
        <x:v>2681.3205118758365</x:v>
      </x:c>
      <x:c r="R62" s="49"/>
      <x:c r="S62" s="48" t="n">
        <x:f>A62</x:f>
        <x:v>-0.5</x:v>
      </x:c>
      <x:c r="T62" s="48" t="n">
        <x:f>(Inputs!$I$6+(((A62)+1)/2)*(Inputs!$J$6-Inputs!$I$6))</x:f>
        <x:v>-30</x:v>
      </x:c>
      <x:c r="U62" s="48" t="n">
        <x:f>(Inputs!$I$7+(((A62)+1)/2)*(Inputs!$J$7-Inputs!$I$7))</x:f>
        <x:v>-200</x:v>
      </x:c>
      <x:c r="V62" s="48" t="n">
        <x:f>(Inputs!$I$8+(((A62)+1)/2)*(Inputs!$J$8-Inputs!$I$8))</x:f>
        <x:v>-400</x:v>
      </x:c>
      <x:c r="W62" s="48" t="n">
        <x:f>(Inputs!$I$9+(((A62)+1)/2)*(Inputs!$J$9-Inputs!$I$9))</x:f>
        <x:v>-400</x:v>
      </x:c>
      <x:c r="X62" s="49"/>
      <x:c r="Y62" s="48" t="n">
        <x:f>A62</x:f>
        <x:v>-0.5</x:v>
      </x:c>
      <x:c r="Z62" s="48" t="n">
        <x:f>(Inputs!$H$6+Inputs!$L$6*(((Inputs!$I$6+(((A62)+1)/2)*(Inputs!$J$6-Inputs!$I$6)))/Inputs!$K$6)^2)</x:f>
        <x:v>401</x:v>
      </x:c>
      <x:c r="AA62" s="48" t="n">
        <x:f>(Inputs!$H$7+Inputs!$L$7*(((Inputs!$I$7+(((A62)+1)/2)*(Inputs!$J$7-Inputs!$I$7)))/Inputs!$K$7)^2)</x:f>
        <x:v>126.25</x:v>
      </x:c>
      <x:c r="AB62" s="48" t="n">
        <x:f>(Inputs!$H$8+Inputs!$L$8*(((Inputs!$I$8+(((A62)+1)/2)*(Inputs!$J$8-Inputs!$I$8)))/Inputs!$K$8)^2)</x:f>
        <x:v>276.25</x:v>
      </x:c>
      <x:c r="AC62" s="48" t="n">
        <x:f>(Inputs!$H$9+Inputs!$L$9*(((Inputs!$I$9+(((A62)+1)/2)*(Inputs!$J$9-Inputs!$I$9)))/Inputs!$K$9)^2)</x:f>
        <x:v>268.75</x:v>
      </x:c>
      <x:c r="AD62" s="49"/>
      <x:c r="AE62" s="48" t="n">
        <x:f>A62</x:f>
        <x:v>-0.5</x:v>
      </x:c>
      <x:c r="AF62" s="48" t="n">
        <x:f>(((SQRT((Inputs!$C$52+((Inputs!$H$6+Inputs!$L$6*(((Inputs!$I$6+(((A62)+1)/2)*(Inputs!$J$6-Inputs!$I$6)))/Inputs!$K$6)^2)))^2+Inputs!$C$52^2-2*(Inputs!$C$52+((Inputs!$H$6+Inputs!$L$6*(((Inputs!$I$6+(((A62)+1)/2)*(Inputs!$J$6-Inputs!$I$6)))/Inputs!$K$6)^2)))*Inputs!$C$52*COS(SQRT(((Inputs!$I$6+(((A62)+1)/2)*(Inputs!$J$6-Inputs!$I$6)))^2+Inputs!$C$6^2)/Inputs!$C$52)))-((Inputs!$H$6+Inputs!$L$6*(((Inputs!$I$6+(((A62)+1)/2)*(Inputs!$J$6-Inputs!$I$6)))/Inputs!$K$6)^2)))*1000/Inputs!$C$12)</x:f>
        <x:v>1338.6648839632076</x:v>
      </x:c>
      <x:c r="AG62" s="48" t="n">
        <x:f>(((SQRT((Inputs!$C$52+((Inputs!$H$7+Inputs!$L$7*(((Inputs!$I$7+(((A62)+1)/2)*(Inputs!$J$7-Inputs!$I$7)))/Inputs!$K$7)^2)))^2+Inputs!$C$52^2-2*(Inputs!$C$52+((Inputs!$H$7+Inputs!$L$7*(((Inputs!$I$7+(((A62)+1)/2)*(Inputs!$J$7-Inputs!$I$7)))/Inputs!$K$7)^2)))*Inputs!$C$52*COS(SQRT(((Inputs!$I$7+(((A62)+1)/2)*(Inputs!$J$7-Inputs!$I$7)))^2+Inputs!$C$6^2)/Inputs!$C$52)))-((Inputs!$H$7+Inputs!$L$7*(((Inputs!$I$7+(((A62)+1)/2)*(Inputs!$J$7-Inputs!$I$7)))/Inputs!$K$7)^2)))*1000/Inputs!$C$12)</x:f>
        <x:v>66442.80760102585</x:v>
      </x:c>
      <x:c r="AH62" s="48" t="n">
        <x:f>(((SQRT((Inputs!$C$52+((Inputs!$H$8+Inputs!$L$8*(((Inputs!$I$8+(((A62)+1)/2)*(Inputs!$J$8-Inputs!$I$8)))/Inputs!$K$8)^2)))^2+Inputs!$C$52^2-2*(Inputs!$C$52+((Inputs!$H$8+Inputs!$L$8*(((Inputs!$I$8+(((A62)+1)/2)*(Inputs!$J$8-Inputs!$I$8)))/Inputs!$K$8)^2)))*Inputs!$C$52*COS(SQRT(((Inputs!$I$8+(((A62)+1)/2)*(Inputs!$J$8-Inputs!$I$8)))^2+Inputs!$C$6^2)/Inputs!$C$52)))-((Inputs!$H$8+Inputs!$L$8*(((Inputs!$I$8+(((A62)+1)/2)*(Inputs!$J$8-Inputs!$I$8)))/Inputs!$K$8)^2)))*1000/Inputs!$C$12)</x:f>
        <x:v>133641.7255249072</x:v>
      </x:c>
      <x:c r="AI62" s="48" t="n">
        <x:f>(((SQRT((Inputs!$C$52+((Inputs!$H$9+Inputs!$L$9*(((Inputs!$I$9+(((A62)+1)/2)*(Inputs!$J$9-Inputs!$I$9)))/Inputs!$K$9)^2)))^2+Inputs!$C$52^2-2*(Inputs!$C$52+((Inputs!$H$9+Inputs!$L$9*(((Inputs!$I$9+(((A62)+1)/2)*(Inputs!$J$9-Inputs!$I$9)))/Inputs!$K$9)^2)))*Inputs!$C$52*COS(SQRT(((Inputs!$I$9+(((A62)+1)/2)*(Inputs!$J$9-Inputs!$I$9)))^2+Inputs!$C$6^2)/Inputs!$C$52)))-((Inputs!$H$9+Inputs!$L$9*(((Inputs!$I$9+(((A62)+1)/2)*(Inputs!$J$9-Inputs!$I$9)))/Inputs!$K$9)^2)))*1000/Inputs!$C$12)</x:f>
        <x:v>135190.30115575515</x:v>
      </x:c>
      <x:c r="AJ62" s="49"/>
      <x:c r="AK62" s="48" t="n">
        <x:f>A62</x:f>
        <x:v>-0.5</x:v>
      </x:c>
      <x:c r="AL62" s="48" t="n">
        <x: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x:f>
        <x:v>255.7156069405893</x:v>
      </x:c>
      <x:c r="AM62" s="48" t="n">
        <x: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x:f>
        <x:v>2242.053590811741</x:v>
      </x:c>
      <x:c r="AN62" s="48" t="n">
        <x: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x:f>
        <x:v>2678.2070044248176</x:v>
      </x:c>
      <x:c r="AO62" s="48" t="n">
        <x: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x:f>
        <x:v>2681.3205118758365</x:v>
      </x:c>
      <x:c r="AP62" s="49"/>
      <x:c r="AQ62" s="48" t="n">
        <x:f>A62</x:f>
        <x:v>-0.5</x:v>
      </x:c>
      <x:c r="AR62" s="48" t="n">
        <x:f>0</x:f>
        <x:v>0</x:v>
      </x:c>
      <x:c r="AS62" s="48" t="n">
        <x: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(0.45*SIN(2*PI()*((((Inputs!$I$6+(((A62)+1)/2)*(Inputs!$J$6-Inputs!$I$6)))/Inputs!$C$49)+Inputs!$C$47*0.137))+0.35*COS(2*PI()*(((Inputs!$C$6)/Inputs!$C$50)+Inputs!$C$47*0.173))+0.20*SIN(2*PI()*((((Inputs!$I$6+(((A62)+1)/2)*(Inputs!$J$6-Inputs!$I$6)))+(Inputs!$C$6))/(0.5*(Inputs!$C$49+Inputs!$C$50))+Inputs!$C$47*0.097)))+0.30*(2*((SIN((((Inputs!$I$6+(((A62)+1)/2)*(Inputs!$J$6-Inputs!$I$6)))*12.9898+(Inputs!$C$6)*78.233+Inputs!$C$47*37.719))*43758.5453)-INT((SIN((((Inputs!$I$6+(((A62)+1)/2)*(Inputs!$J$6-Inputs!$I$6)))*12.9898+(Inputs!$C$6)*78.233+Inputs!$C$47*37.719))*43758.5453)))-1))),NA())</x:f>
        <x:v>336.97644838088075</x:v>
      </x:c>
      <x:c r="AT62" s="48" t="n">
        <x: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(0.45*SIN(2*PI()*((((Inputs!$I$7+(((A62)+1)/2)*(Inputs!$J$7-Inputs!$I$7)))/Inputs!$C$49)+Inputs!$C$47*0.137))+0.35*COS(2*PI()*(((Inputs!$C$6)/Inputs!$C$50)+Inputs!$C$47*0.173))+0.20*SIN(2*PI()*((((Inputs!$I$7+(((A62)+1)/2)*(Inputs!$J$7-Inputs!$I$7)))+(Inputs!$C$6))/(0.5*(Inputs!$C$49+Inputs!$C$50))+Inputs!$C$47*0.097)))+0.30*(2*((SIN((((Inputs!$I$7+(((A62)+1)/2)*(Inputs!$J$7-Inputs!$I$7)))*12.9898+(Inputs!$C$6)*78.233+Inputs!$C$47*37.719))*43758.5453)-INT((SIN((((Inputs!$I$7+(((A62)+1)/2)*(Inputs!$J$7-Inputs!$I$7)))*12.9898+(Inputs!$C$6)*78.233+Inputs!$C$47*37.719))*43758.5453)))-1))),NA())</x:f>
        <x:v>148.2272687423736</x:v>
      </x:c>
      <x:c r="AU62" s="48" t="n">
        <x: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(0.45*SIN(2*PI()*((((Inputs!$I$8+(((A62)+1)/2)*(Inputs!$J$8-Inputs!$I$8)))/Inputs!$C$49)+Inputs!$C$47*0.137))+0.35*COS(2*PI()*(((Inputs!$C$6)/Inputs!$C$50)+Inputs!$C$47*0.173))+0.20*SIN(2*PI()*((((Inputs!$I$8+(((A62)+1)/2)*(Inputs!$J$8-Inputs!$I$8)))+(Inputs!$C$6))/(0.5*(Inputs!$C$49+Inputs!$C$50))+Inputs!$C$47*0.097)))+0.30*(2*((SIN((((Inputs!$I$8+(((A62)+1)/2)*(Inputs!$J$8-Inputs!$I$8)))*12.9898+(Inputs!$C$6)*78.233+Inputs!$C$47*37.719))*43758.5453)-INT((SIN((((Inputs!$I$8+(((A62)+1)/2)*(Inputs!$J$8-Inputs!$I$8)))*12.9898+(Inputs!$C$6)*78.233+Inputs!$C$47*37.719))*43758.5453)))-1))),NA())</x:f>
        <x:v>102.57205251432374</x:v>
      </x:c>
      <x:c r="AV62" s="48" t="n">
        <x: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(0.45*SIN(2*PI()*((((Inputs!$I$9+(((A62)+1)/2)*(Inputs!$J$9-Inputs!$I$9)))/Inputs!$C$49)+Inputs!$C$47*0.137))+0.35*COS(2*PI()*(((Inputs!$C$6)/Inputs!$C$50)+Inputs!$C$47*0.173))+0.20*SIN(2*PI()*((((Inputs!$I$9+(((A62)+1)/2)*(Inputs!$J$9-Inputs!$I$9)))+(Inputs!$C$6))/(0.5*(Inputs!$C$49+Inputs!$C$50))+Inputs!$C$47*0.097)))+0.30*(2*((SIN((((Inputs!$I$9+(((A62)+1)/2)*(Inputs!$J$9-Inputs!$I$9)))*12.9898+(Inputs!$C$6)*78.233+Inputs!$C$47*37.719))*43758.5453)-INT((SIN((((Inputs!$I$9+(((A62)+1)/2)*(Inputs!$J$9-Inputs!$I$9)))*12.9898+(Inputs!$C$6)*78.233+Inputs!$C$47*37.719))*43758.5453)))-1))),NA())</x:f>
        <x:v>102.57205251432374</x:v>
      </x:c>
      <x:c r="AW62" s="49"/>
      <x:c r="AX62" s="48" t="n">
        <x:f>A62</x:f>
        <x:v>-0.5</x:v>
      </x:c>
      <x:c r="AY62" s="48" t="n">
        <x:f>0</x:f>
        <x:v>0</x:v>
      </x:c>
      <x:c r="AZ62" s="48" t="n">
        <x:f>IF(OR(Inputs!$F$6=TRUE,Inputs!$F$6="TRUE",Inputs!$F$6=1),(Inputs!$H$6+Inputs!$L$6*(((Inputs!$I$6+(((A62)+1)/2)*(Inputs!$J$6-Inputs!$I$6)))/Inputs!$K$6)^2),NA())</x:f>
        <x:v>401</x:v>
      </x:c>
      <x:c r="BA62" s="48" t="n">
        <x:f>IF(OR(Inputs!$F$7=TRUE,Inputs!$F$7="TRUE",Inputs!$F$7=1),(Inputs!$H$7+Inputs!$L$7*(((Inputs!$I$7+(((A62)+1)/2)*(Inputs!$J$7-Inputs!$I$7)))/Inputs!$K$7)^2),NA())</x:f>
        <x:v>126.25</x:v>
      </x:c>
      <x:c r="BB62" s="48" t="n">
        <x:f>IF(OR(Inputs!$F$8=TRUE,Inputs!$F$8="TRUE",Inputs!$F$8=1),(Inputs!$H$8+Inputs!$L$8*(((Inputs!$I$8+(((A62)+1)/2)*(Inputs!$J$8-Inputs!$I$8)))/Inputs!$K$8)^2),NA())</x:f>
        <x:v>276.25</x:v>
      </x:c>
      <x:c r="BC62" s="48" t="n">
        <x:f>IF(OR(Inputs!$F$9=TRUE,Inputs!$F$9="TRUE",Inputs!$F$9=1),(Inputs!$H$9+Inputs!$L$9*(((Inputs!$I$9+(((A62)+1)/2)*(Inputs!$J$9-Inputs!$I$9)))/Inputs!$K$9)^2),NA())</x:f>
        <x:v>268.75</x:v>
      </x:c>
      <x:c r="BD62" s="49"/>
      <x:c r="BE62" s="48" t="n">
        <x:f>A62</x:f>
        <x:v>-0.5</x:v>
      </x:c>
      <x:c r="BF62" s="48" t="n">
        <x:f>0</x:f>
        <x:v>0</x:v>
      </x:c>
      <x:c r="BG62" s="48"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BH62" s="48"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BI62" s="48"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BJ62" s="48"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row>
    <x:row r="63">
      <x:c r="A63" s="48" t="n">
        <x:f>ROUND(-1+61*2/240,3)</x:f>
        <x:v>-0.492</x:v>
      </x:c>
      <x:c r="B63" s="48" t="n">
        <x:f>IF(OR(Inputs!$F$6=TRUE,Inputs!$F$6="TRUE",Inputs!$F$6=1),(Inputs!$H$6+Inputs!$L$6*(((Inputs!$I$6+(((A63)+1)/2)*(Inputs!$J$6-Inputs!$I$6)))/Inputs!$K$6)^2),NA())</x:f>
        <x:v>400.968256</x:v>
      </x:c>
      <x:c r="C63" s="48" t="n">
        <x:f>IF(OR(Inputs!$F$7=TRUE,Inputs!$F$7="TRUE",Inputs!$F$7=1),(Inputs!$H$7+Inputs!$L$7*(((Inputs!$I$7+(((A63)+1)/2)*(Inputs!$J$7-Inputs!$I$7)))/Inputs!$K$7)^2),NA())</x:f>
        <x:v>123.35336000000002</x:v>
      </x:c>
      <x:c r="D63" s="48" t="n">
        <x:f>IF(OR(Inputs!$F$8=TRUE,Inputs!$F$8="TRUE",Inputs!$F$8=1),(Inputs!$H$8+Inputs!$L$8*(((Inputs!$I$8+(((A63)+1)/2)*(Inputs!$J$8-Inputs!$I$8)))/Inputs!$K$8)^2),NA())</x:f>
        <x:v>268.59176</x:v>
      </x:c>
      <x:c r="E63" s="48" t="n">
        <x:f>IF(OR(Inputs!$F$9=TRUE,Inputs!$F$9="TRUE",Inputs!$F$9=1),(Inputs!$H$9+Inputs!$L$9*(((Inputs!$I$9+(((A63)+1)/2)*(Inputs!$J$9-Inputs!$I$9)))/Inputs!$K$9)^2),NA())</x:f>
        <x:v>261.01240000000007</x:v>
      </x:c>
      <x:c r="F63" s="49"/>
      <x:c r="G63" s="48" t="n">
        <x:f>A63</x:f>
        <x:v>-0.492</x:v>
      </x:c>
      <x:c r="H63" s="48"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I63" s="48"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J63" s="48"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K63" s="48"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c r="L63" s="49"/>
      <x:c r="M63" s="48" t="n">
        <x:f>A63</x:f>
        <x:v>-0.492</x:v>
      </x:c>
      <x:c r="N63" s="48" t="n">
        <x: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x:f>
        <x:v>251.65890325568003</x:v>
      </x:c>
      <x:c r="O63" s="48" t="n">
        <x: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x:f>
        <x:v>2225.168186472958</x:v>
      </x:c>
      <x:c r="P63" s="48" t="n">
        <x: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x:f>
        <x:v>2650.6188352046966</x:v>
      </x:c>
      <x:c r="Q63" s="48" t="n">
        <x: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x:f>
        <x:v>2653.217284126914</x:v>
      </x:c>
      <x:c r="R63" s="49"/>
      <x:c r="S63" s="48" t="n">
        <x:f>A63</x:f>
        <x:v>-0.492</x:v>
      </x:c>
      <x:c r="T63" s="48" t="n">
        <x:f>(Inputs!$I$6+(((A63)+1)/2)*(Inputs!$J$6-Inputs!$I$6))</x:f>
        <x:v>-29.52</x:v>
      </x:c>
      <x:c r="U63" s="48" t="n">
        <x:f>(Inputs!$I$7+(((A63)+1)/2)*(Inputs!$J$7-Inputs!$I$7))</x:f>
        <x:v>-196.8</x:v>
      </x:c>
      <x:c r="V63" s="48" t="n">
        <x:f>(Inputs!$I$8+(((A63)+1)/2)*(Inputs!$J$8-Inputs!$I$8))</x:f>
        <x:v>-393.6</x:v>
      </x:c>
      <x:c r="W63" s="48" t="n">
        <x:f>(Inputs!$I$9+(((A63)+1)/2)*(Inputs!$J$9-Inputs!$I$9))</x:f>
        <x:v>-393.6</x:v>
      </x:c>
      <x:c r="X63" s="49"/>
      <x:c r="Y63" s="48" t="n">
        <x:f>A63</x:f>
        <x:v>-0.492</x:v>
      </x:c>
      <x:c r="Z63" s="48" t="n">
        <x:f>(Inputs!$H$6+Inputs!$L$6*(((Inputs!$I$6+(((A63)+1)/2)*(Inputs!$J$6-Inputs!$I$6)))/Inputs!$K$6)^2)</x:f>
        <x:v>400.968256</x:v>
      </x:c>
      <x:c r="AA63" s="48" t="n">
        <x:f>(Inputs!$H$7+Inputs!$L$7*(((Inputs!$I$7+(((A63)+1)/2)*(Inputs!$J$7-Inputs!$I$7)))/Inputs!$K$7)^2)</x:f>
        <x:v>123.35336000000002</x:v>
      </x:c>
      <x:c r="AB63" s="48" t="n">
        <x:f>(Inputs!$H$8+Inputs!$L$8*(((Inputs!$I$8+(((A63)+1)/2)*(Inputs!$J$8-Inputs!$I$8)))/Inputs!$K$8)^2)</x:f>
        <x:v>268.59176</x:v>
      </x:c>
      <x:c r="AC63" s="48" t="n">
        <x:f>(Inputs!$H$9+Inputs!$L$9*(((Inputs!$I$9+(((A63)+1)/2)*(Inputs!$J$9-Inputs!$I$9)))/Inputs!$K$9)^2)</x:f>
        <x:v>261.01240000000007</x:v>
      </x:c>
      <x:c r="AD63" s="49"/>
      <x:c r="AE63" s="48" t="n">
        <x:f>A63</x:f>
        <x:v>-0.492</x:v>
      </x:c>
      <x:c r="AF63" s="48" t="n">
        <x:f>(((SQRT((Inputs!$C$52+((Inputs!$H$6+Inputs!$L$6*(((Inputs!$I$6+(((A63)+1)/2)*(Inputs!$J$6-Inputs!$I$6)))/Inputs!$K$6)^2)))^2+Inputs!$C$52^2-2*(Inputs!$C$52+((Inputs!$H$6+Inputs!$L$6*(((Inputs!$I$6+(((A63)+1)/2)*(Inputs!$J$6-Inputs!$I$6)))/Inputs!$K$6)^2)))*Inputs!$C$52*COS(SQRT(((Inputs!$I$6+(((A63)+1)/2)*(Inputs!$J$6-Inputs!$I$6)))^2+Inputs!$C$6^2)/Inputs!$C$52)))-((Inputs!$H$6+Inputs!$L$6*(((Inputs!$I$6+(((A63)+1)/2)*(Inputs!$J$6-Inputs!$I$6)))/Inputs!$K$6)^2)))*1000/Inputs!$C$12)</x:f>
        <x:v>1313.742289353554</x:v>
      </x:c>
      <x:c r="AG63" s="48" t="n">
        <x:f>(((SQRT((Inputs!$C$52+((Inputs!$H$7+Inputs!$L$7*(((Inputs!$I$7+(((A63)+1)/2)*(Inputs!$J$7-Inputs!$I$7)))/Inputs!$K$7)^2)))^2+Inputs!$C$52^2-2*(Inputs!$C$52+((Inputs!$H$7+Inputs!$L$7*(((Inputs!$I$7+(((A63)+1)/2)*(Inputs!$J$7-Inputs!$I$7)))/Inputs!$K$7)^2)))*Inputs!$C$52*COS(SQRT(((Inputs!$I$7+(((A63)+1)/2)*(Inputs!$J$7-Inputs!$I$7)))^2+Inputs!$C$6^2)/Inputs!$C$52)))-((Inputs!$H$7+Inputs!$L$7*(((Inputs!$I$7+(((A63)+1)/2)*(Inputs!$J$7-Inputs!$I$7)))/Inputs!$K$7)^2)))*1000/Inputs!$C$12)</x:f>
        <x:v>65560.47064346341</x:v>
      </x:c>
      <x:c r="AH63" s="48" t="n">
        <x:f>(((SQRT((Inputs!$C$52+((Inputs!$H$8+Inputs!$L$8*(((Inputs!$I$8+(((A63)+1)/2)*(Inputs!$J$8-Inputs!$I$8)))/Inputs!$K$8)^2)))^2+Inputs!$C$52^2-2*(Inputs!$C$52+((Inputs!$H$8+Inputs!$L$8*(((Inputs!$I$8+(((A63)+1)/2)*(Inputs!$J$8-Inputs!$I$8)))/Inputs!$K$8)^2)))*Inputs!$C$52*COS(SQRT(((Inputs!$I$8+(((A63)+1)/2)*(Inputs!$J$8-Inputs!$I$8)))^2+Inputs!$C$6^2)/Inputs!$C$52)))-((Inputs!$H$8+Inputs!$L$8*(((Inputs!$I$8+(((A63)+1)/2)*(Inputs!$J$8-Inputs!$I$8)))/Inputs!$K$8)^2)))*1000/Inputs!$C$12)</x:f>
        <x:v>131956.703259515</x:v>
      </x:c>
      <x:c r="AI63" s="48" t="n">
        <x:f>(((SQRT((Inputs!$C$52+((Inputs!$H$9+Inputs!$L$9*(((Inputs!$I$9+(((A63)+1)/2)*(Inputs!$J$9-Inputs!$I$9)))/Inputs!$K$9)^2)))^2+Inputs!$C$52^2-2*(Inputs!$C$52+((Inputs!$H$9+Inputs!$L$9*(((Inputs!$I$9+(((A63)+1)/2)*(Inputs!$J$9-Inputs!$I$9)))/Inputs!$K$9)^2)))*Inputs!$C$52*COS(SQRT(((Inputs!$I$9+(((A63)+1)/2)*(Inputs!$J$9-Inputs!$I$9)))^2+Inputs!$C$6^2)/Inputs!$C$52)))-((Inputs!$H$9+Inputs!$L$9*(((Inputs!$I$9+(((A63)+1)/2)*(Inputs!$J$9-Inputs!$I$9)))/Inputs!$K$9)^2)))*1000/Inputs!$C$12)</x:f>
        <x:v>133543.445782657</x:v>
      </x:c>
      <x:c r="AJ63" s="49"/>
      <x:c r="AK63" s="48" t="n">
        <x:f>A63</x:f>
        <x:v>-0.492</x:v>
      </x:c>
      <x:c r="AL63" s="48" t="n">
        <x: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x:f>
        <x:v>251.65890325568003</x:v>
      </x:c>
      <x:c r="AM63" s="48" t="n">
        <x: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x:f>
        <x:v>2225.168186472958</x:v>
      </x:c>
      <x:c r="AN63" s="48" t="n">
        <x: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x:f>
        <x:v>2650.6188352046966</x:v>
      </x:c>
      <x:c r="AO63" s="48" t="n">
        <x: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x:f>
        <x:v>2653.217284126914</x:v>
      </x:c>
      <x:c r="AP63" s="49"/>
      <x:c r="AQ63" s="48" t="n">
        <x:f>A63</x:f>
        <x:v>-0.492</x:v>
      </x:c>
      <x:c r="AR63" s="48" t="n">
        <x:f>0</x:f>
        <x:v>0</x:v>
      </x:c>
      <x:c r="AS63" s="48" t="n">
        <x: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(0.45*SIN(2*PI()*((((Inputs!$I$6+(((A63)+1)/2)*(Inputs!$J$6-Inputs!$I$6)))/Inputs!$C$49)+Inputs!$C$47*0.137))+0.35*COS(2*PI()*(((Inputs!$C$6)/Inputs!$C$50)+Inputs!$C$47*0.173))+0.20*SIN(2*PI()*((((Inputs!$I$6+(((A63)+1)/2)*(Inputs!$J$6-Inputs!$I$6)))+(Inputs!$C$6))/(0.5*(Inputs!$C$49+Inputs!$C$50))+Inputs!$C$47*0.097)))+0.30*(2*((SIN((((Inputs!$I$6+(((A63)+1)/2)*(Inputs!$J$6-Inputs!$I$6)))*12.9898+(Inputs!$C$6)*78.233+Inputs!$C$47*37.719))*43758.5453)-INT((SIN((((Inputs!$I$6+(((A63)+1)/2)*(Inputs!$J$6-Inputs!$I$6)))*12.9898+(Inputs!$C$6)*78.233+Inputs!$C$47*37.719))*43758.5453)))-1))),NA())</x:f>
        <x:v>325.29162233376644</x:v>
      </x:c>
      <x:c r="AT63" s="48" t="n">
        <x: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(0.45*SIN(2*PI()*((((Inputs!$I$7+(((A63)+1)/2)*(Inputs!$J$7-Inputs!$I$7)))/Inputs!$C$49)+Inputs!$C$47*0.137))+0.35*COS(2*PI()*(((Inputs!$C$6)/Inputs!$C$50)+Inputs!$C$47*0.173))+0.20*SIN(2*PI()*((((Inputs!$I$7+(((A63)+1)/2)*(Inputs!$J$7-Inputs!$I$7)))+(Inputs!$C$6))/(0.5*(Inputs!$C$49+Inputs!$C$50))+Inputs!$C$47*0.097)))+0.30*(2*((SIN((((Inputs!$I$7+(((A63)+1)/2)*(Inputs!$J$7-Inputs!$I$7)))*12.9898+(Inputs!$C$6)*78.233+Inputs!$C$47*37.719))*43758.5453)-INT((SIN((((Inputs!$I$7+(((A63)+1)/2)*(Inputs!$J$7-Inputs!$I$7)))*12.9898+(Inputs!$C$6)*78.233+Inputs!$C$47*37.719))*43758.5453)))-1))),NA())</x:f>
        <x:v>182.5608679528587</x:v>
      </x:c>
      <x:c r="AU63" s="48" t="n">
        <x: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(0.45*SIN(2*PI()*((((Inputs!$I$8+(((A63)+1)/2)*(Inputs!$J$8-Inputs!$I$8)))/Inputs!$C$49)+Inputs!$C$47*0.137))+0.35*COS(2*PI()*(((Inputs!$C$6)/Inputs!$C$50)+Inputs!$C$47*0.173))+0.20*SIN(2*PI()*((((Inputs!$I$8+(((A63)+1)/2)*(Inputs!$J$8-Inputs!$I$8)))+(Inputs!$C$6))/(0.5*(Inputs!$C$49+Inputs!$C$50))+Inputs!$C$47*0.097)))+0.30*(2*((SIN((((Inputs!$I$8+(((A63)+1)/2)*(Inputs!$J$8-Inputs!$I$8)))*12.9898+(Inputs!$C$6)*78.233+Inputs!$C$47*37.719))*43758.5453)-INT((SIN((((Inputs!$I$8+(((A63)+1)/2)*(Inputs!$J$8-Inputs!$I$8)))*12.9898+(Inputs!$C$6)*78.233+Inputs!$C$47*37.719))*43758.5453)))-1))),NA())</x:f>
        <x:v>217.06648222521574</x:v>
      </x:c>
      <x:c r="AV63" s="48" t="n">
        <x: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(0.45*SIN(2*PI()*((((Inputs!$I$9+(((A63)+1)/2)*(Inputs!$J$9-Inputs!$I$9)))/Inputs!$C$49)+Inputs!$C$47*0.137))+0.35*COS(2*PI()*(((Inputs!$C$6)/Inputs!$C$50)+Inputs!$C$47*0.173))+0.20*SIN(2*PI()*((((Inputs!$I$9+(((A63)+1)/2)*(Inputs!$J$9-Inputs!$I$9)))+(Inputs!$C$6))/(0.5*(Inputs!$C$49+Inputs!$C$50))+Inputs!$C$47*0.097)))+0.30*(2*((SIN((((Inputs!$I$9+(((A63)+1)/2)*(Inputs!$J$9-Inputs!$I$9)))*12.9898+(Inputs!$C$6)*78.233+Inputs!$C$47*37.719))*43758.5453)-INT((SIN((((Inputs!$I$9+(((A63)+1)/2)*(Inputs!$J$9-Inputs!$I$9)))*12.9898+(Inputs!$C$6)*78.233+Inputs!$C$47*37.719))*43758.5453)))-1))),NA())</x:f>
        <x:v>217.06648222521574</x:v>
      </x:c>
      <x:c r="AW63" s="49"/>
      <x:c r="AX63" s="48" t="n">
        <x:f>A63</x:f>
        <x:v>-0.492</x:v>
      </x:c>
      <x:c r="AY63" s="48" t="n">
        <x:f>0</x:f>
        <x:v>0</x:v>
      </x:c>
      <x:c r="AZ63" s="48" t="n">
        <x:f>IF(OR(Inputs!$F$6=TRUE,Inputs!$F$6="TRUE",Inputs!$F$6=1),(Inputs!$H$6+Inputs!$L$6*(((Inputs!$I$6+(((A63)+1)/2)*(Inputs!$J$6-Inputs!$I$6)))/Inputs!$K$6)^2),NA())</x:f>
        <x:v>400.968256</x:v>
      </x:c>
      <x:c r="BA63" s="48" t="n">
        <x:f>IF(OR(Inputs!$F$7=TRUE,Inputs!$F$7="TRUE",Inputs!$F$7=1),(Inputs!$H$7+Inputs!$L$7*(((Inputs!$I$7+(((A63)+1)/2)*(Inputs!$J$7-Inputs!$I$7)))/Inputs!$K$7)^2),NA())</x:f>
        <x:v>123.35336000000002</x:v>
      </x:c>
      <x:c r="BB63" s="48" t="n">
        <x:f>IF(OR(Inputs!$F$8=TRUE,Inputs!$F$8="TRUE",Inputs!$F$8=1),(Inputs!$H$8+Inputs!$L$8*(((Inputs!$I$8+(((A63)+1)/2)*(Inputs!$J$8-Inputs!$I$8)))/Inputs!$K$8)^2),NA())</x:f>
        <x:v>268.59176</x:v>
      </x:c>
      <x:c r="BC63" s="48" t="n">
        <x:f>IF(OR(Inputs!$F$9=TRUE,Inputs!$F$9="TRUE",Inputs!$F$9=1),(Inputs!$H$9+Inputs!$L$9*(((Inputs!$I$9+(((A63)+1)/2)*(Inputs!$J$9-Inputs!$I$9)))/Inputs!$K$9)^2),NA())</x:f>
        <x:v>261.01240000000007</x:v>
      </x:c>
      <x:c r="BD63" s="49"/>
      <x:c r="BE63" s="48" t="n">
        <x:f>A63</x:f>
        <x:v>-0.492</x:v>
      </x:c>
      <x:c r="BF63" s="48" t="n">
        <x:f>0</x:f>
        <x:v>0</x:v>
      </x:c>
      <x:c r="BG63" s="48"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BH63" s="48"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BI63" s="48"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BJ63" s="48"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row>
    <x:row r="64">
      <x:c r="A64" s="48" t="n">
        <x:f>ROUND(-1+62*2/240,3)</x:f>
        <x:v>-0.483</x:v>
      </x:c>
      <x:c r="B64" s="48" t="n">
        <x:f>IF(OR(Inputs!$F$6=TRUE,Inputs!$F$6="TRUE",Inputs!$F$6=1),(Inputs!$H$6+Inputs!$L$6*(((Inputs!$I$6+(((A64)+1)/2)*(Inputs!$J$6-Inputs!$I$6)))/Inputs!$K$6)^2),NA())</x:f>
        <x:v>400.933156</x:v>
      </x:c>
      <x:c r="C64" s="48" t="n">
        <x:f>IF(OR(Inputs!$F$7=TRUE,Inputs!$F$7="TRUE",Inputs!$F$7=1),(Inputs!$H$7+Inputs!$L$7*(((Inputs!$I$7+(((A64)+1)/2)*(Inputs!$J$7-Inputs!$I$7)))/Inputs!$K$7)^2),NA())</x:f>
        <x:v>120.150485</x:v>
      </x:c>
      <x:c r="D64" s="48" t="n">
        <x:f>IF(OR(Inputs!$F$8=TRUE,Inputs!$F$8="TRUE",Inputs!$F$8=1),(Inputs!$H$8+Inputs!$L$8*(((Inputs!$I$8+(((A64)+1)/2)*(Inputs!$J$8-Inputs!$I$8)))/Inputs!$K$8)^2),NA())</x:f>
        <x:v>260.123885</x:v>
      </x:c>
      <x:c r="E64" s="48" t="n">
        <x:f>IF(OR(Inputs!$F$9=TRUE,Inputs!$F$9="TRUE",Inputs!$F$9=1),(Inputs!$H$9+Inputs!$L$9*(((Inputs!$I$9+(((A64)+1)/2)*(Inputs!$J$9-Inputs!$I$9)))/Inputs!$K$9)^2),NA())</x:f>
        <x:v>252.456775</x:v>
      </x:c>
      <x:c r="F64" s="49"/>
      <x:c r="G64" s="48" t="n">
        <x:f>A64</x:f>
        <x:v>-0.483</x:v>
      </x:c>
      <x:c r="H64" s="48"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I64" s="48"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J64" s="48"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K64" s="48"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c r="L64" s="49"/>
      <x:c r="M64" s="48" t="n">
        <x:f>A64</x:f>
        <x:v>-0.483</x:v>
      </x:c>
      <x:c r="N64" s="48" t="n">
        <x: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x:f>
        <x:v>247.0931258151267</x:v>
      </x:c>
      <x:c r="O64" s="48" t="n">
        <x: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x:f>
        <x:v>2206.3295518032787</x:v>
      </x:c>
      <x:c r="P64" s="48" t="n">
        <x: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x:f>
        <x:v>2619.843821578662</x:v>
      </x:c>
      <x:c r="Q64" s="48" t="n">
        <x: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x:f>
        <x:v>2621.8666360326106</x:v>
      </x:c>
      <x:c r="R64" s="49"/>
      <x:c r="S64" s="48" t="n">
        <x:f>A64</x:f>
        <x:v>-0.483</x:v>
      </x:c>
      <x:c r="T64" s="48" t="n">
        <x:f>(Inputs!$I$6+(((A64)+1)/2)*(Inputs!$J$6-Inputs!$I$6))</x:f>
        <x:v>-28.98</x:v>
      </x:c>
      <x:c r="U64" s="48" t="n">
        <x:f>(Inputs!$I$7+(((A64)+1)/2)*(Inputs!$J$7-Inputs!$I$7))</x:f>
        <x:v>-193.2</x:v>
      </x:c>
      <x:c r="V64" s="48" t="n">
        <x:f>(Inputs!$I$8+(((A64)+1)/2)*(Inputs!$J$8-Inputs!$I$8))</x:f>
        <x:v>-386.4</x:v>
      </x:c>
      <x:c r="W64" s="48" t="n">
        <x:f>(Inputs!$I$9+(((A64)+1)/2)*(Inputs!$J$9-Inputs!$I$9))</x:f>
        <x:v>-386.4</x:v>
      </x:c>
      <x:c r="X64" s="49"/>
      <x:c r="Y64" s="48" t="n">
        <x:f>A64</x:f>
        <x:v>-0.483</x:v>
      </x:c>
      <x:c r="Z64" s="48" t="n">
        <x:f>(Inputs!$H$6+Inputs!$L$6*(((Inputs!$I$6+(((A64)+1)/2)*(Inputs!$J$6-Inputs!$I$6)))/Inputs!$K$6)^2)</x:f>
        <x:v>400.933156</x:v>
      </x:c>
      <x:c r="AA64" s="48" t="n">
        <x:f>(Inputs!$H$7+Inputs!$L$7*(((Inputs!$I$7+(((A64)+1)/2)*(Inputs!$J$7-Inputs!$I$7)))/Inputs!$K$7)^2)</x:f>
        <x:v>120.150485</x:v>
      </x:c>
      <x:c r="AB64" s="48" t="n">
        <x:f>(Inputs!$H$8+Inputs!$L$8*(((Inputs!$I$8+(((A64)+1)/2)*(Inputs!$J$8-Inputs!$I$8)))/Inputs!$K$8)^2)</x:f>
        <x:v>260.123885</x:v>
      </x:c>
      <x:c r="AC64" s="48" t="n">
        <x:f>(Inputs!$H$9+Inputs!$L$9*(((Inputs!$I$9+(((A64)+1)/2)*(Inputs!$J$9-Inputs!$I$9)))/Inputs!$K$9)^2)</x:f>
        <x:v>252.456775</x:v>
      </x:c>
      <x:c r="AD64" s="49"/>
      <x:c r="AE64" s="48" t="n">
        <x:f>A64</x:f>
        <x:v>-0.483</x:v>
      </x:c>
      <x:c r="AF64" s="48" t="n">
        <x:f>(((SQRT((Inputs!$C$52+((Inputs!$H$6+Inputs!$L$6*(((Inputs!$I$6+(((A64)+1)/2)*(Inputs!$J$6-Inputs!$I$6)))/Inputs!$K$6)^2)))^2+Inputs!$C$52^2-2*(Inputs!$C$52+((Inputs!$H$6+Inputs!$L$6*(((Inputs!$I$6+(((A64)+1)/2)*(Inputs!$J$6-Inputs!$I$6)))/Inputs!$K$6)^2)))*Inputs!$C$52*COS(SQRT(((Inputs!$I$6+(((A64)+1)/2)*(Inputs!$J$6-Inputs!$I$6)))^2+Inputs!$C$6^2)/Inputs!$C$52)))-((Inputs!$H$6+Inputs!$L$6*(((Inputs!$I$6+(((A64)+1)/2)*(Inputs!$J$6-Inputs!$I$6)))/Inputs!$K$6)^2)))*1000/Inputs!$C$12)</x:f>
        <x:v>1286.1779839771466</x:v>
      </x:c>
      <x:c r="AG64" s="48" t="n">
        <x:f>(((SQRT((Inputs!$C$52+((Inputs!$H$7+Inputs!$L$7*(((Inputs!$I$7+(((A64)+1)/2)*(Inputs!$J$7-Inputs!$I$7)))/Inputs!$K$7)^2)))^2+Inputs!$C$52^2-2*(Inputs!$C$52+((Inputs!$H$7+Inputs!$L$7*(((Inputs!$I$7+(((A64)+1)/2)*(Inputs!$J$7-Inputs!$I$7)))/Inputs!$K$7)^2)))*Inputs!$C$52*COS(SQRT(((Inputs!$I$7+(((A64)+1)/2)*(Inputs!$J$7-Inputs!$I$7)))^2+Inputs!$C$6^2)/Inputs!$C$52)))-((Inputs!$H$7+Inputs!$L$7*(((Inputs!$I$7+(((A64)+1)/2)*(Inputs!$J$7-Inputs!$I$7)))/Inputs!$K$7)^2)))*1000/Inputs!$C$12)</x:f>
        <x:v>64559.0499915129</x:v>
      </x:c>
      <x:c r="AH64" s="48" t="n">
        <x:f>(((SQRT((Inputs!$C$52+((Inputs!$H$8+Inputs!$L$8*(((Inputs!$I$8+(((A64)+1)/2)*(Inputs!$J$8-Inputs!$I$8)))/Inputs!$K$8)^2)))^2+Inputs!$C$52^2-2*(Inputs!$C$52+((Inputs!$H$8+Inputs!$L$8*(((Inputs!$I$8+(((A64)+1)/2)*(Inputs!$J$8-Inputs!$I$8)))/Inputs!$K$8)^2)))*Inputs!$C$52*COS(SQRT(((Inputs!$I$8+(((A64)+1)/2)*(Inputs!$J$8-Inputs!$I$8)))^2+Inputs!$C$6^2)/Inputs!$C$52)))-((Inputs!$H$8+Inputs!$L$8*(((Inputs!$I$8+(((A64)+1)/2)*(Inputs!$J$8-Inputs!$I$8)))/Inputs!$K$8)^2)))*1000/Inputs!$C$12)</x:f>
        <x:v>130051.89381794153</x:v>
      </x:c>
      <x:c r="AI64" s="48" t="n">
        <x:f>(((SQRT((Inputs!$C$52+((Inputs!$H$9+Inputs!$L$9*(((Inputs!$I$9+(((A64)+1)/2)*(Inputs!$J$9-Inputs!$I$9)))/Inputs!$K$9)^2)))^2+Inputs!$C$52^2-2*(Inputs!$C$52+((Inputs!$H$9+Inputs!$L$9*(((Inputs!$I$9+(((A64)+1)/2)*(Inputs!$J$9-Inputs!$I$9)))/Inputs!$K$9)^2)))*Inputs!$C$52*COS(SQRT(((Inputs!$I$9+(((A64)+1)/2)*(Inputs!$J$9-Inputs!$I$9)))^2+Inputs!$C$6^2)/Inputs!$C$52)))-((Inputs!$H$9+Inputs!$L$9*(((Inputs!$I$9+(((A64)+1)/2)*(Inputs!$J$9-Inputs!$I$9)))/Inputs!$K$9)^2)))*1000/Inputs!$C$12)</x:f>
        <x:v>131682.0935215104</x:v>
      </x:c>
      <x:c r="AJ64" s="49"/>
      <x:c r="AK64" s="48" t="n">
        <x:f>A64</x:f>
        <x:v>-0.483</x:v>
      </x:c>
      <x:c r="AL64" s="48" t="n">
        <x: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x:f>
        <x:v>247.0931258151267</x:v>
      </x:c>
      <x:c r="AM64" s="48" t="n">
        <x: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x:f>
        <x:v>2206.3295518032787</x:v>
      </x:c>
      <x:c r="AN64" s="48" t="n">
        <x: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x:f>
        <x:v>2619.843821578662</x:v>
      </x:c>
      <x:c r="AO64" s="48" t="n">
        <x: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x:f>
        <x:v>2621.8666360326106</x:v>
      </x:c>
      <x:c r="AP64" s="49"/>
      <x:c r="AQ64" s="48" t="n">
        <x:f>A64</x:f>
        <x:v>-0.483</x:v>
      </x:c>
      <x:c r="AR64" s="48" t="n">
        <x:f>0</x:f>
        <x:v>0</x:v>
      </x:c>
      <x:c r="AS64" s="48" t="n">
        <x: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(0.45*SIN(2*PI()*((((Inputs!$I$6+(((A64)+1)/2)*(Inputs!$J$6-Inputs!$I$6)))/Inputs!$C$49)+Inputs!$C$47*0.137))+0.35*COS(2*PI()*(((Inputs!$C$6)/Inputs!$C$50)+Inputs!$C$47*0.173))+0.20*SIN(2*PI()*((((Inputs!$I$6+(((A64)+1)/2)*(Inputs!$J$6-Inputs!$I$6)))+(Inputs!$C$6))/(0.5*(Inputs!$C$49+Inputs!$C$50))+Inputs!$C$47*0.097)))+0.30*(2*((SIN((((Inputs!$I$6+(((A64)+1)/2)*(Inputs!$J$6-Inputs!$I$6)))*12.9898+(Inputs!$C$6)*78.233+Inputs!$C$47*37.719))*43758.5453)-INT((SIN((((Inputs!$I$6+(((A64)+1)/2)*(Inputs!$J$6-Inputs!$I$6)))*12.9898+(Inputs!$C$6)*78.233+Inputs!$C$47*37.719))*43758.5453)))-1))),NA())</x:f>
        <x:v>313.3993516115093</x:v>
      </x:c>
      <x:c r="AT64" s="48" t="n">
        <x: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(0.45*SIN(2*PI()*((((Inputs!$I$7+(((A64)+1)/2)*(Inputs!$J$7-Inputs!$I$7)))/Inputs!$C$49)+Inputs!$C$47*0.137))+0.35*COS(2*PI()*(((Inputs!$C$6)/Inputs!$C$50)+Inputs!$C$47*0.173))+0.20*SIN(2*PI()*((((Inputs!$I$7+(((A64)+1)/2)*(Inputs!$J$7-Inputs!$I$7)))+(Inputs!$C$6))/(0.5*(Inputs!$C$49+Inputs!$C$50))+Inputs!$C$47*0.097)))+0.30*(2*((SIN((((Inputs!$I$7+(((A64)+1)/2)*(Inputs!$J$7-Inputs!$I$7)))*12.9898+(Inputs!$C$6)*78.233+Inputs!$C$47*37.719))*43758.5453)-INT((SIN((((Inputs!$I$7+(((A64)+1)/2)*(Inputs!$J$7-Inputs!$I$7)))*12.9898+(Inputs!$C$6)*78.233+Inputs!$C$47*37.719))*43758.5453)))-1))),NA())</x:f>
        <x:v>181.68211217090496</x:v>
      </x:c>
      <x:c r="AU64" s="48" t="n">
        <x: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(0.45*SIN(2*PI()*((((Inputs!$I$8+(((A64)+1)/2)*(Inputs!$J$8-Inputs!$I$8)))/Inputs!$C$49)+Inputs!$C$47*0.137))+0.35*COS(2*PI()*(((Inputs!$C$6)/Inputs!$C$50)+Inputs!$C$47*0.173))+0.20*SIN(2*PI()*((((Inputs!$I$8+(((A64)+1)/2)*(Inputs!$J$8-Inputs!$I$8)))+(Inputs!$C$6))/(0.5*(Inputs!$C$49+Inputs!$C$50))+Inputs!$C$47*0.097)))+0.30*(2*((SIN((((Inputs!$I$8+(((A64)+1)/2)*(Inputs!$J$8-Inputs!$I$8)))*12.9898+(Inputs!$C$6)*78.233+Inputs!$C$47*37.719))*43758.5453)-INT((SIN((((Inputs!$I$8+(((A64)+1)/2)*(Inputs!$J$8-Inputs!$I$8)))*12.9898+(Inputs!$C$6)*78.233+Inputs!$C$47*37.719))*43758.5453)))-1))),NA())</x:f>
        <x:v>119.39759898169983</x:v>
      </x:c>
      <x:c r="AV64" s="48" t="n">
        <x: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(0.45*SIN(2*PI()*((((Inputs!$I$9+(((A64)+1)/2)*(Inputs!$J$9-Inputs!$I$9)))/Inputs!$C$49)+Inputs!$C$47*0.137))+0.35*COS(2*PI()*(((Inputs!$C$6)/Inputs!$C$50)+Inputs!$C$47*0.173))+0.20*SIN(2*PI()*((((Inputs!$I$9+(((A64)+1)/2)*(Inputs!$J$9-Inputs!$I$9)))+(Inputs!$C$6))/(0.5*(Inputs!$C$49+Inputs!$C$50))+Inputs!$C$47*0.097)))+0.30*(2*((SIN((((Inputs!$I$9+(((A64)+1)/2)*(Inputs!$J$9-Inputs!$I$9)))*12.9898+(Inputs!$C$6)*78.233+Inputs!$C$47*37.719))*43758.5453)-INT((SIN((((Inputs!$I$9+(((A64)+1)/2)*(Inputs!$J$9-Inputs!$I$9)))*12.9898+(Inputs!$C$6)*78.233+Inputs!$C$47*37.719))*43758.5453)))-1))),NA())</x:f>
        <x:v>119.39759898169983</x:v>
      </x:c>
      <x:c r="AW64" s="49"/>
      <x:c r="AX64" s="48" t="n">
        <x:f>A64</x:f>
        <x:v>-0.483</x:v>
      </x:c>
      <x:c r="AY64" s="48" t="n">
        <x:f>0</x:f>
        <x:v>0</x:v>
      </x:c>
      <x:c r="AZ64" s="48" t="n">
        <x:f>IF(OR(Inputs!$F$6=TRUE,Inputs!$F$6="TRUE",Inputs!$F$6=1),(Inputs!$H$6+Inputs!$L$6*(((Inputs!$I$6+(((A64)+1)/2)*(Inputs!$J$6-Inputs!$I$6)))/Inputs!$K$6)^2),NA())</x:f>
        <x:v>400.933156</x:v>
      </x:c>
      <x:c r="BA64" s="48" t="n">
        <x:f>IF(OR(Inputs!$F$7=TRUE,Inputs!$F$7="TRUE",Inputs!$F$7=1),(Inputs!$H$7+Inputs!$L$7*(((Inputs!$I$7+(((A64)+1)/2)*(Inputs!$J$7-Inputs!$I$7)))/Inputs!$K$7)^2),NA())</x:f>
        <x:v>120.150485</x:v>
      </x:c>
      <x:c r="BB64" s="48" t="n">
        <x:f>IF(OR(Inputs!$F$8=TRUE,Inputs!$F$8="TRUE",Inputs!$F$8=1),(Inputs!$H$8+Inputs!$L$8*(((Inputs!$I$8+(((A64)+1)/2)*(Inputs!$J$8-Inputs!$I$8)))/Inputs!$K$8)^2),NA())</x:f>
        <x:v>260.123885</x:v>
      </x:c>
      <x:c r="BC64" s="48" t="n">
        <x:f>IF(OR(Inputs!$F$9=TRUE,Inputs!$F$9="TRUE",Inputs!$F$9=1),(Inputs!$H$9+Inputs!$L$9*(((Inputs!$I$9+(((A64)+1)/2)*(Inputs!$J$9-Inputs!$I$9)))/Inputs!$K$9)^2),NA())</x:f>
        <x:v>252.456775</x:v>
      </x:c>
      <x:c r="BD64" s="49"/>
      <x:c r="BE64" s="48" t="n">
        <x:f>A64</x:f>
        <x:v>-0.483</x:v>
      </x:c>
      <x:c r="BF64" s="48" t="n">
        <x:f>0</x:f>
        <x:v>0</x:v>
      </x:c>
      <x:c r="BG64" s="48"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BH64" s="48"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BI64" s="48"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BJ64" s="48"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row>
    <x:row r="65">
      <x:c r="A65" s="48" t="n">
        <x:f>ROUND(-1+63*2/240,3)</x:f>
        <x:v>-0.475</x:v>
      </x:c>
      <x:c r="B65" s="48" t="n">
        <x:f>IF(OR(Inputs!$F$6=TRUE,Inputs!$F$6="TRUE",Inputs!$F$6=1),(Inputs!$H$6+Inputs!$L$6*(((Inputs!$I$6+(((A65)+1)/2)*(Inputs!$J$6-Inputs!$I$6)))/Inputs!$K$6)^2),NA())</x:f>
        <x:v>400.9025</x:v>
      </x:c>
      <x:c r="C65" s="48" t="n">
        <x:f>IF(OR(Inputs!$F$7=TRUE,Inputs!$F$7="TRUE",Inputs!$F$7=1),(Inputs!$H$7+Inputs!$L$7*(((Inputs!$I$7+(((A65)+1)/2)*(Inputs!$J$7-Inputs!$I$7)))/Inputs!$K$7)^2),NA())</x:f>
        <x:v>117.35312499999999</x:v>
      </x:c>
      <x:c r="D65" s="48" t="n">
        <x:f>IF(OR(Inputs!$F$8=TRUE,Inputs!$F$8="TRUE",Inputs!$F$8=1),(Inputs!$H$8+Inputs!$L$8*(((Inputs!$I$8+(((A65)+1)/2)*(Inputs!$J$8-Inputs!$I$8)))/Inputs!$K$8)^2),NA())</x:f>
        <x:v>252.728125</x:v>
      </x:c>
      <x:c r="E65" s="48" t="n">
        <x:f>IF(OR(Inputs!$F$9=TRUE,Inputs!$F$9="TRUE",Inputs!$F$9=1),(Inputs!$H$9+Inputs!$L$9*(((Inputs!$I$9+(((A65)+1)/2)*(Inputs!$J$9-Inputs!$I$9)))/Inputs!$K$9)^2),NA())</x:f>
        <x:v>244.984375</x:v>
      </x:c>
      <x:c r="F65" s="49"/>
      <x:c r="G65" s="48" t="n">
        <x:f>A65</x:f>
        <x:v>-0.475</x:v>
      </x:c>
      <x:c r="H65" s="48"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I65" s="48"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J65" s="48"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K65" s="48"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c r="L65" s="49"/>
      <x:c r="M65" s="48" t="n">
        <x:f>A65</x:f>
        <x:v>-0.475</x:v>
      </x:c>
      <x:c r="N65" s="48" t="n">
        <x: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x:f>
        <x:v>243.0329200684517</x:v>
      </x:c>
      <x:c r="O65" s="48" t="n">
        <x: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x:f>
        <x:v>2189.7233886221143</x:v>
      </x:c>
      <x:c r="P65" s="48" t="n">
        <x: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x:f>
        <x:v>2592.7265593356356</x:v>
      </x:c>
      <x:c r="Q65" s="48" t="n">
        <x: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x:f>
        <x:v>2594.2415995855963</x:v>
      </x:c>
      <x:c r="R65" s="49"/>
      <x:c r="S65" s="48" t="n">
        <x:f>A65</x:f>
        <x:v>-0.475</x:v>
      </x:c>
      <x:c r="T65" s="48" t="n">
        <x:f>(Inputs!$I$6+(((A65)+1)/2)*(Inputs!$J$6-Inputs!$I$6))</x:f>
        <x:v>-28.5</x:v>
      </x:c>
      <x:c r="U65" s="48" t="n">
        <x:f>(Inputs!$I$7+(((A65)+1)/2)*(Inputs!$J$7-Inputs!$I$7))</x:f>
        <x:v>-190</x:v>
      </x:c>
      <x:c r="V65" s="48" t="n">
        <x:f>(Inputs!$I$8+(((A65)+1)/2)*(Inputs!$J$8-Inputs!$I$8))</x:f>
        <x:v>-380</x:v>
      </x:c>
      <x:c r="W65" s="48" t="n">
        <x:f>(Inputs!$I$9+(((A65)+1)/2)*(Inputs!$J$9-Inputs!$I$9))</x:f>
        <x:v>-380</x:v>
      </x:c>
      <x:c r="X65" s="49"/>
      <x:c r="Y65" s="48" t="n">
        <x:f>A65</x:f>
        <x:v>-0.475</x:v>
      </x:c>
      <x:c r="Z65" s="48" t="n">
        <x:f>(Inputs!$H$6+Inputs!$L$6*(((Inputs!$I$6+(((A65)+1)/2)*(Inputs!$J$6-Inputs!$I$6)))/Inputs!$K$6)^2)</x:f>
        <x:v>400.9025</x:v>
      </x:c>
      <x:c r="AA65" s="48" t="n">
        <x:f>(Inputs!$H$7+Inputs!$L$7*(((Inputs!$I$7+(((A65)+1)/2)*(Inputs!$J$7-Inputs!$I$7)))/Inputs!$K$7)^2)</x:f>
        <x:v>117.35312499999999</x:v>
      </x:c>
      <x:c r="AB65" s="48" t="n">
        <x:f>(Inputs!$H$8+Inputs!$L$8*(((Inputs!$I$8+(((A65)+1)/2)*(Inputs!$J$8-Inputs!$I$8)))/Inputs!$K$8)^2)</x:f>
        <x:v>252.728125</x:v>
      </x:c>
      <x:c r="AC65" s="48" t="n">
        <x:f>(Inputs!$H$9+Inputs!$L$9*(((Inputs!$I$9+(((A65)+1)/2)*(Inputs!$J$9-Inputs!$I$9)))/Inputs!$K$9)^2)</x:f>
        <x:v>244.984375</x:v>
      </x:c>
      <x:c r="AD65" s="49"/>
      <x:c r="AE65" s="48" t="n">
        <x:f>A65</x:f>
        <x:v>-0.475</x:v>
      </x:c>
      <x:c r="AF65" s="48" t="n">
        <x:f>(((SQRT((Inputs!$C$52+((Inputs!$H$6+Inputs!$L$6*(((Inputs!$I$6+(((A65)+1)/2)*(Inputs!$J$6-Inputs!$I$6)))/Inputs!$K$6)^2)))^2+Inputs!$C$52^2-2*(Inputs!$C$52+((Inputs!$H$6+Inputs!$L$6*(((Inputs!$I$6+(((A65)+1)/2)*(Inputs!$J$6-Inputs!$I$6)))/Inputs!$K$6)^2)))*Inputs!$C$52*COS(SQRT(((Inputs!$I$6+(((A65)+1)/2)*(Inputs!$J$6-Inputs!$I$6)))^2+Inputs!$C$6^2)/Inputs!$C$52)))-((Inputs!$H$6+Inputs!$L$6*(((Inputs!$I$6+(((A65)+1)/2)*(Inputs!$J$6-Inputs!$I$6)))/Inputs!$K$6)^2)))*1000/Inputs!$C$12)</x:f>
        <x:v>1262.09767644656</x:v>
      </x:c>
      <x:c r="AG65" s="48" t="n">
        <x:f>(((SQRT((Inputs!$C$52+((Inputs!$H$7+Inputs!$L$7*(((Inputs!$I$7+(((A65)+1)/2)*(Inputs!$J$7-Inputs!$I$7)))/Inputs!$K$7)^2)))^2+Inputs!$C$52^2-2*(Inputs!$C$52+((Inputs!$H$7+Inputs!$L$7*(((Inputs!$I$7+(((A65)+1)/2)*(Inputs!$J$7-Inputs!$I$7)))/Inputs!$K$7)^2)))*Inputs!$C$52*COS(SQRT(((Inputs!$I$7+(((A65)+1)/2)*(Inputs!$J$7-Inputs!$I$7)))^2+Inputs!$C$6^2)/Inputs!$C$52)))-((Inputs!$H$7+Inputs!$L$7*(((Inputs!$I$7+(((A65)+1)/2)*(Inputs!$J$7-Inputs!$I$7)))/Inputs!$K$7)^2)))*1000/Inputs!$C$12)</x:f>
        <x:v>63660.92012639475</x:v>
      </x:c>
      <x:c r="AH65" s="48" t="n">
        <x:f>(((SQRT((Inputs!$C$52+((Inputs!$H$8+Inputs!$L$8*(((Inputs!$I$8+(((A65)+1)/2)*(Inputs!$J$8-Inputs!$I$8)))/Inputs!$K$8)^2)))^2+Inputs!$C$52^2-2*(Inputs!$C$52+((Inputs!$H$8+Inputs!$L$8*(((Inputs!$I$8+(((A65)+1)/2)*(Inputs!$J$8-Inputs!$I$8)))/Inputs!$K$8)^2)))*Inputs!$C$52*COS(SQRT(((Inputs!$I$8+(((A65)+1)/2)*(Inputs!$J$8-Inputs!$I$8)))^2+Inputs!$C$6^2)/Inputs!$C$52)))-((Inputs!$H$8+Inputs!$L$8*(((Inputs!$I$8+(((A65)+1)/2)*(Inputs!$J$8-Inputs!$I$8)))/Inputs!$K$8)^2)))*1000/Inputs!$C$12)</x:f>
        <x:v>128350.03703989064</x:v>
      </x:c>
      <x:c r="AI65" s="48" t="n">
        <x:f>(((SQRT((Inputs!$C$52+((Inputs!$H$9+Inputs!$L$9*(((Inputs!$I$9+(((A65)+1)/2)*(Inputs!$J$9-Inputs!$I$9)))/Inputs!$K$9)^2)))^2+Inputs!$C$52^2-2*(Inputs!$C$52+((Inputs!$H$9+Inputs!$L$9*(((Inputs!$I$9+(((A65)+1)/2)*(Inputs!$J$9-Inputs!$I$9)))/Inputs!$K$9)^2)))*Inputs!$C$52*COS(SQRT(((Inputs!$I$9+(((A65)+1)/2)*(Inputs!$J$9-Inputs!$I$9)))^2+Inputs!$C$6^2)/Inputs!$C$52)))-((Inputs!$H$9+Inputs!$L$9*(((Inputs!$I$9+(((A65)+1)/2)*(Inputs!$J$9-Inputs!$I$9)))/Inputs!$K$9)^2)))*1000/Inputs!$C$12)</x:f>
        <x:v>130019.31854284673</x:v>
      </x:c>
      <x:c r="AJ65" s="49"/>
      <x:c r="AK65" s="48" t="n">
        <x:f>A65</x:f>
        <x:v>-0.475</x:v>
      </x:c>
      <x:c r="AL65" s="48" t="n">
        <x: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x:f>
        <x:v>243.0329200684517</x:v>
      </x:c>
      <x:c r="AM65" s="48" t="n">
        <x: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x:f>
        <x:v>2189.7233886221143</x:v>
      </x:c>
      <x:c r="AN65" s="48" t="n">
        <x: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x:f>
        <x:v>2592.7265593356356</x:v>
      </x:c>
      <x:c r="AO65" s="48" t="n">
        <x: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x:f>
        <x:v>2594.2415995855963</x:v>
      </x:c>
      <x:c r="AP65" s="49"/>
      <x:c r="AQ65" s="48" t="n">
        <x:f>A65</x:f>
        <x:v>-0.475</x:v>
      </x:c>
      <x:c r="AR65" s="48" t="n">
        <x:f>0</x:f>
        <x:v>0</x:v>
      </x:c>
      <x:c r="AS65" s="48" t="n">
        <x: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(0.45*SIN(2*PI()*((((Inputs!$I$6+(((A65)+1)/2)*(Inputs!$J$6-Inputs!$I$6)))/Inputs!$C$49)+Inputs!$C$47*0.137))+0.35*COS(2*PI()*(((Inputs!$C$6)/Inputs!$C$50)+Inputs!$C$47*0.173))+0.20*SIN(2*PI()*((((Inputs!$I$6+(((A65)+1)/2)*(Inputs!$J$6-Inputs!$I$6)))+(Inputs!$C$6))/(0.5*(Inputs!$C$49+Inputs!$C$50))+Inputs!$C$47*0.097)))+0.30*(2*((SIN((((Inputs!$I$6+(((A65)+1)/2)*(Inputs!$J$6-Inputs!$I$6)))*12.9898+(Inputs!$C$6)*78.233+Inputs!$C$47*37.719))*43758.5453)-INT((SIN((((Inputs!$I$6+(((A65)+1)/2)*(Inputs!$J$6-Inputs!$I$6)))*12.9898+(Inputs!$C$6)*78.233+Inputs!$C$47*37.719))*43758.5453)))-1))),NA())</x:f>
        <x:v>310.24247262167495</x:v>
      </x:c>
      <x:c r="AT65" s="48" t="n">
        <x: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(0.45*SIN(2*PI()*((((Inputs!$I$7+(((A65)+1)/2)*(Inputs!$J$7-Inputs!$I$7)))/Inputs!$C$49)+Inputs!$C$47*0.137))+0.35*COS(2*PI()*(((Inputs!$C$6)/Inputs!$C$50)+Inputs!$C$47*0.173))+0.20*SIN(2*PI()*((((Inputs!$I$7+(((A65)+1)/2)*(Inputs!$J$7-Inputs!$I$7)))+(Inputs!$C$6))/(0.5*(Inputs!$C$49+Inputs!$C$50))+Inputs!$C$47*0.097)))+0.30*(2*((SIN((((Inputs!$I$7+(((A65)+1)/2)*(Inputs!$J$7-Inputs!$I$7)))*12.9898+(Inputs!$C$6)*78.233+Inputs!$C$47*37.719))*43758.5453)-INT((SIN((((Inputs!$I$7+(((A65)+1)/2)*(Inputs!$J$7-Inputs!$I$7)))*12.9898+(Inputs!$C$6)*78.233+Inputs!$C$47*37.719))*43758.5453)))-1))),NA())</x:f>
        <x:v>192.36525445858373</x:v>
      </x:c>
      <x:c r="AU65" s="48" t="n">
        <x: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(0.45*SIN(2*PI()*((((Inputs!$I$8+(((A65)+1)/2)*(Inputs!$J$8-Inputs!$I$8)))/Inputs!$C$49)+Inputs!$C$47*0.137))+0.35*COS(2*PI()*(((Inputs!$C$6)/Inputs!$C$50)+Inputs!$C$47*0.173))+0.20*SIN(2*PI()*((((Inputs!$I$8+(((A65)+1)/2)*(Inputs!$J$8-Inputs!$I$8)))+(Inputs!$C$6))/(0.5*(Inputs!$C$49+Inputs!$C$50))+Inputs!$C$47*0.097)))+0.30*(2*((SIN((((Inputs!$I$8+(((A65)+1)/2)*(Inputs!$J$8-Inputs!$I$8)))*12.9898+(Inputs!$C$6)*78.233+Inputs!$C$47*37.719))*43758.5453)-INT((SIN((((Inputs!$I$8+(((A65)+1)/2)*(Inputs!$J$8-Inputs!$I$8)))*12.9898+(Inputs!$C$6)*78.233+Inputs!$C$47*37.719))*43758.5453)))-1))),NA())</x:f>
        <x:v>124.30714013426088</x:v>
      </x:c>
      <x:c r="AV65" s="48" t="n">
        <x: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(0.45*SIN(2*PI()*((((Inputs!$I$9+(((A65)+1)/2)*(Inputs!$J$9-Inputs!$I$9)))/Inputs!$C$49)+Inputs!$C$47*0.137))+0.35*COS(2*PI()*(((Inputs!$C$6)/Inputs!$C$50)+Inputs!$C$47*0.173))+0.20*SIN(2*PI()*((((Inputs!$I$9+(((A65)+1)/2)*(Inputs!$J$9-Inputs!$I$9)))+(Inputs!$C$6))/(0.5*(Inputs!$C$49+Inputs!$C$50))+Inputs!$C$47*0.097)))+0.30*(2*((SIN((((Inputs!$I$9+(((A65)+1)/2)*(Inputs!$J$9-Inputs!$I$9)))*12.9898+(Inputs!$C$6)*78.233+Inputs!$C$47*37.719))*43758.5453)-INT((SIN((((Inputs!$I$9+(((A65)+1)/2)*(Inputs!$J$9-Inputs!$I$9)))*12.9898+(Inputs!$C$6)*78.233+Inputs!$C$47*37.719))*43758.5453)))-1))),NA())</x:f>
        <x:v>124.30714013426088</x:v>
      </x:c>
      <x:c r="AW65" s="49"/>
      <x:c r="AX65" s="48" t="n">
        <x:f>A65</x:f>
        <x:v>-0.475</x:v>
      </x:c>
      <x:c r="AY65" s="48" t="n">
        <x:f>0</x:f>
        <x:v>0</x:v>
      </x:c>
      <x:c r="AZ65" s="48" t="n">
        <x:f>IF(OR(Inputs!$F$6=TRUE,Inputs!$F$6="TRUE",Inputs!$F$6=1),(Inputs!$H$6+Inputs!$L$6*(((Inputs!$I$6+(((A65)+1)/2)*(Inputs!$J$6-Inputs!$I$6)))/Inputs!$K$6)^2),NA())</x:f>
        <x:v>400.9025</x:v>
      </x:c>
      <x:c r="BA65" s="48" t="n">
        <x:f>IF(OR(Inputs!$F$7=TRUE,Inputs!$F$7="TRUE",Inputs!$F$7=1),(Inputs!$H$7+Inputs!$L$7*(((Inputs!$I$7+(((A65)+1)/2)*(Inputs!$J$7-Inputs!$I$7)))/Inputs!$K$7)^2),NA())</x:f>
        <x:v>117.35312499999999</x:v>
      </x:c>
      <x:c r="BB65" s="48" t="n">
        <x:f>IF(OR(Inputs!$F$8=TRUE,Inputs!$F$8="TRUE",Inputs!$F$8=1),(Inputs!$H$8+Inputs!$L$8*(((Inputs!$I$8+(((A65)+1)/2)*(Inputs!$J$8-Inputs!$I$8)))/Inputs!$K$8)^2),NA())</x:f>
        <x:v>252.728125</x:v>
      </x:c>
      <x:c r="BC65" s="48" t="n">
        <x:f>IF(OR(Inputs!$F$9=TRUE,Inputs!$F$9="TRUE",Inputs!$F$9=1),(Inputs!$H$9+Inputs!$L$9*(((Inputs!$I$9+(((A65)+1)/2)*(Inputs!$J$9-Inputs!$I$9)))/Inputs!$K$9)^2),NA())</x:f>
        <x:v>244.984375</x:v>
      </x:c>
      <x:c r="BD65" s="49"/>
      <x:c r="BE65" s="48" t="n">
        <x:f>A65</x:f>
        <x:v>-0.475</x:v>
      </x:c>
      <x:c r="BF65" s="48" t="n">
        <x:f>0</x:f>
        <x:v>0</x:v>
      </x:c>
      <x:c r="BG65" s="48"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BH65" s="48"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BI65" s="48"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BJ65" s="48"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row>
    <x:row r="66">
      <x:c r="A66" s="48" t="n">
        <x:f>ROUND(-1+64*2/240,3)</x:f>
        <x:v>-0.467</x:v>
      </x:c>
      <x:c r="B66" s="48" t="n">
        <x:f>IF(OR(Inputs!$F$6=TRUE,Inputs!$F$6="TRUE",Inputs!$F$6=1),(Inputs!$H$6+Inputs!$L$6*(((Inputs!$I$6+(((A66)+1)/2)*(Inputs!$J$6-Inputs!$I$6)))/Inputs!$K$6)^2),NA())</x:f>
        <x:v>400.872356</x:v>
      </x:c>
      <x:c r="C66" s="48" t="n">
        <x:f>IF(OR(Inputs!$F$7=TRUE,Inputs!$F$7="TRUE",Inputs!$F$7=1),(Inputs!$H$7+Inputs!$L$7*(((Inputs!$I$7+(((A66)+1)/2)*(Inputs!$J$7-Inputs!$I$7)))/Inputs!$K$7)^2),NA())</x:f>
        <x:v>114.60248500000003</x:v>
      </x:c>
      <x:c r="D66" s="48" t="n">
        <x:f>IF(OR(Inputs!$F$8=TRUE,Inputs!$F$8="TRUE",Inputs!$F$8=1),(Inputs!$H$8+Inputs!$L$8*(((Inputs!$I$8+(((A66)+1)/2)*(Inputs!$J$8-Inputs!$I$8)))/Inputs!$K$8)^2),NA())</x:f>
        <x:v>245.45588500000008</x:v>
      </x:c>
      <x:c r="E66" s="48" t="n">
        <x:f>IF(OR(Inputs!$F$9=TRUE,Inputs!$F$9="TRUE",Inputs!$F$9=1),(Inputs!$H$9+Inputs!$L$9*(((Inputs!$I$9+(((A66)+1)/2)*(Inputs!$J$9-Inputs!$I$9)))/Inputs!$K$9)^2),NA())</x:f>
        <x:v>237.63677500000009</x:v>
      </x:c>
      <x:c r="F66" s="49"/>
      <x:c r="G66" s="48" t="n">
        <x:f>A66</x:f>
        <x:v>-0.467</x:v>
      </x:c>
      <x:c r="H66" s="48"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I66" s="48"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J66" s="48"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K66" s="48"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c r="L66" s="49"/>
      <x:c r="M66" s="48" t="n">
        <x:f>A66</x:f>
        <x:v>-0.467</x:v>
      </x:c>
      <x:c r="N66" s="48" t="n">
        <x: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x:f>
        <x:v>238.9711062399071</x:v>
      </x:c>
      <x:c r="O66" s="48" t="n">
        <x: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x:f>
        <x:v>2173.247423640167</x:v>
      </x:c>
      <x:c r="P66" s="48" t="n">
        <x: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x:f>
        <x:v>2565.8389850239537</x:v>
      </x:c>
      <x:c r="Q66" s="48" t="n">
        <x: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x:f>
        <x:v>2566.850447041302</x:v>
      </x:c>
      <x:c r="R66" s="49"/>
      <x:c r="S66" s="48" t="n">
        <x:f>A66</x:f>
        <x:v>-0.467</x:v>
      </x:c>
      <x:c r="T66" s="48" t="n">
        <x:f>(Inputs!$I$6+(((A66)+1)/2)*(Inputs!$J$6-Inputs!$I$6))</x:f>
        <x:v>-28.020000000000003</x:v>
      </x:c>
      <x:c r="U66" s="48" t="n">
        <x:f>(Inputs!$I$7+(((A66)+1)/2)*(Inputs!$J$7-Inputs!$I$7))</x:f>
        <x:v>-186.80000000000004</x:v>
      </x:c>
      <x:c r="V66" s="48" t="n">
        <x:f>(Inputs!$I$8+(((A66)+1)/2)*(Inputs!$J$8-Inputs!$I$8))</x:f>
        <x:v>-373.6000000000001</x:v>
      </x:c>
      <x:c r="W66" s="48" t="n">
        <x:f>(Inputs!$I$9+(((A66)+1)/2)*(Inputs!$J$9-Inputs!$I$9))</x:f>
        <x:v>-373.6000000000001</x:v>
      </x:c>
      <x:c r="X66" s="49"/>
      <x:c r="Y66" s="48" t="n">
        <x:f>A66</x:f>
        <x:v>-0.467</x:v>
      </x:c>
      <x:c r="Z66" s="48" t="n">
        <x:f>(Inputs!$H$6+Inputs!$L$6*(((Inputs!$I$6+(((A66)+1)/2)*(Inputs!$J$6-Inputs!$I$6)))/Inputs!$K$6)^2)</x:f>
        <x:v>400.872356</x:v>
      </x:c>
      <x:c r="AA66" s="48" t="n">
        <x:f>(Inputs!$H$7+Inputs!$L$7*(((Inputs!$I$7+(((A66)+1)/2)*(Inputs!$J$7-Inputs!$I$7)))/Inputs!$K$7)^2)</x:f>
        <x:v>114.60248500000003</x:v>
      </x:c>
      <x:c r="AB66" s="48" t="n">
        <x:f>(Inputs!$H$8+Inputs!$L$8*(((Inputs!$I$8+(((A66)+1)/2)*(Inputs!$J$8-Inputs!$I$8)))/Inputs!$K$8)^2)</x:f>
        <x:v>245.45588500000008</x:v>
      </x:c>
      <x:c r="AC66" s="48" t="n">
        <x:f>(Inputs!$H$9+Inputs!$L$9*(((Inputs!$I$9+(((A66)+1)/2)*(Inputs!$J$9-Inputs!$I$9)))/Inputs!$K$9)^2)</x:f>
        <x:v>237.63677500000009</x:v>
      </x:c>
      <x:c r="AD66" s="49"/>
      <x:c r="AE66" s="48" t="n">
        <x:f>A66</x:f>
        <x:v>-0.467</x:v>
      </x:c>
      <x:c r="AF66" s="48" t="n">
        <x:f>(((SQRT((Inputs!$C$52+((Inputs!$H$6+Inputs!$L$6*(((Inputs!$I$6+(((A66)+1)/2)*(Inputs!$J$6-Inputs!$I$6)))/Inputs!$K$6)^2)))^2+Inputs!$C$52^2-2*(Inputs!$C$52+((Inputs!$H$6+Inputs!$L$6*(((Inputs!$I$6+(((A66)+1)/2)*(Inputs!$J$6-Inputs!$I$6)))/Inputs!$K$6)^2)))*Inputs!$C$52*COS(SQRT(((Inputs!$I$6+(((A66)+1)/2)*(Inputs!$J$6-Inputs!$I$6)))^2+Inputs!$C$6^2)/Inputs!$C$52)))-((Inputs!$H$6+Inputs!$L$6*(((Inputs!$I$6+(((A66)+1)/2)*(Inputs!$J$6-Inputs!$I$6)))/Inputs!$K$6)^2)))*1000/Inputs!$C$12)</x:f>
        <x:v>1238.4141686788944</x:v>
      </x:c>
      <x:c r="AG66" s="48" t="n">
        <x:f>(((SQRT((Inputs!$C$52+((Inputs!$H$7+Inputs!$L$7*(((Inputs!$I$7+(((A66)+1)/2)*(Inputs!$J$7-Inputs!$I$7)))/Inputs!$K$7)^2)))^2+Inputs!$C$52^2-2*(Inputs!$C$52+((Inputs!$H$7+Inputs!$L$7*(((Inputs!$I$7+(((A66)+1)/2)*(Inputs!$J$7-Inputs!$I$7)))/Inputs!$K$7)^2)))*Inputs!$C$52*COS(SQRT(((Inputs!$I$7+(((A66)+1)/2)*(Inputs!$J$7-Inputs!$I$7)))^2+Inputs!$C$6^2)/Inputs!$C$52)))-((Inputs!$H$7+Inputs!$L$7*(((Inputs!$I$7+(((A66)+1)/2)*(Inputs!$J$7-Inputs!$I$7)))/Inputs!$K$7)^2)))*1000/Inputs!$C$12)</x:f>
        <x:v>62755.128441167384</x:v>
      </x:c>
      <x:c r="AH66" s="48" t="n">
        <x:f>(((SQRT((Inputs!$C$52+((Inputs!$H$8+Inputs!$L$8*(((Inputs!$I$8+(((A66)+1)/2)*(Inputs!$J$8-Inputs!$I$8)))/Inputs!$K$8)^2)))^2+Inputs!$C$52^2-2*(Inputs!$C$52+((Inputs!$H$8+Inputs!$L$8*(((Inputs!$I$8+(((A66)+1)/2)*(Inputs!$J$8-Inputs!$I$8)))/Inputs!$K$8)^2)))*Inputs!$C$52*COS(SQRT(((Inputs!$I$8+(((A66)+1)/2)*(Inputs!$J$8-Inputs!$I$8)))^2+Inputs!$C$6^2)/Inputs!$C$52)))-((Inputs!$H$8+Inputs!$L$8*(((Inputs!$I$8+(((A66)+1)/2)*(Inputs!$J$8-Inputs!$I$8)))/Inputs!$K$8)^2)))*1000/Inputs!$C$12)</x:f>
        <x:v>126639.46756829675</x:v>
      </x:c>
      <x:c r="AI66" s="48" t="n">
        <x:f>(((SQRT((Inputs!$C$52+((Inputs!$H$9+Inputs!$L$9*(((Inputs!$I$9+(((A66)+1)/2)*(Inputs!$J$9-Inputs!$I$9)))/Inputs!$K$9)^2)))^2+Inputs!$C$52^2-2*(Inputs!$C$52+((Inputs!$H$9+Inputs!$L$9*(((Inputs!$I$9+(((A66)+1)/2)*(Inputs!$J$9-Inputs!$I$9)))/Inputs!$K$9)^2)))*Inputs!$C$52*COS(SQRT(((Inputs!$I$9+(((A66)+1)/2)*(Inputs!$J$9-Inputs!$I$9)))^2+Inputs!$C$6^2)/Inputs!$C$52)))-((Inputs!$H$9+Inputs!$L$9*(((Inputs!$I$9+(((A66)+1)/2)*(Inputs!$J$9-Inputs!$I$9)))/Inputs!$K$9)^2)))*1000/Inputs!$C$12)</x:f>
        <x:v>128348.24821852474</x:v>
      </x:c>
      <x:c r="AJ66" s="49"/>
      <x:c r="AK66" s="48" t="n">
        <x:f>A66</x:f>
        <x:v>-0.467</x:v>
      </x:c>
      <x:c r="AL66" s="48" t="n">
        <x: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x:f>
        <x:v>238.9711062399071</x:v>
      </x:c>
      <x:c r="AM66" s="48" t="n">
        <x: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x:f>
        <x:v>2173.247423640167</x:v>
      </x:c>
      <x:c r="AN66" s="48" t="n">
        <x: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x:f>
        <x:v>2565.8389850239537</x:v>
      </x:c>
      <x:c r="AO66" s="48" t="n">
        <x: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x:f>
        <x:v>2566.850447041302</x:v>
      </x:c>
      <x:c r="AP66" s="49"/>
      <x:c r="AQ66" s="48" t="n">
        <x:f>A66</x:f>
        <x:v>-0.467</x:v>
      </x:c>
      <x:c r="AR66" s="48" t="n">
        <x:f>0</x:f>
        <x:v>0</x:v>
      </x:c>
      <x:c r="AS66" s="48" t="n">
        <x: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(0.45*SIN(2*PI()*((((Inputs!$I$6+(((A66)+1)/2)*(Inputs!$J$6-Inputs!$I$6)))/Inputs!$C$49)+Inputs!$C$47*0.137))+0.35*COS(2*PI()*(((Inputs!$C$6)/Inputs!$C$50)+Inputs!$C$47*0.173))+0.20*SIN(2*PI()*((((Inputs!$I$6+(((A66)+1)/2)*(Inputs!$J$6-Inputs!$I$6)))+(Inputs!$C$6))/(0.5*(Inputs!$C$49+Inputs!$C$50))+Inputs!$C$47*0.097)))+0.30*(2*((SIN((((Inputs!$I$6+(((A66)+1)/2)*(Inputs!$J$6-Inputs!$I$6)))*12.9898+(Inputs!$C$6)*78.233+Inputs!$C$47*37.719))*43758.5453)-INT((SIN((((Inputs!$I$6+(((A66)+1)/2)*(Inputs!$J$6-Inputs!$I$6)))*12.9898+(Inputs!$C$6)*78.233+Inputs!$C$47*37.719))*43758.5453)))-1))),NA())</x:f>
        <x:v>309.7202524852771</x:v>
      </x:c>
      <x:c r="AT66" s="48" t="n">
        <x: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(0.45*SIN(2*PI()*((((Inputs!$I$7+(((A66)+1)/2)*(Inputs!$J$7-Inputs!$I$7)))/Inputs!$C$49)+Inputs!$C$47*0.137))+0.35*COS(2*PI()*(((Inputs!$C$6)/Inputs!$C$50)+Inputs!$C$47*0.173))+0.20*SIN(2*PI()*((((Inputs!$I$7+(((A66)+1)/2)*(Inputs!$J$7-Inputs!$I$7)))+(Inputs!$C$6))/(0.5*(Inputs!$C$49+Inputs!$C$50))+Inputs!$C$47*0.097)))+0.30*(2*((SIN((((Inputs!$I$7+(((A66)+1)/2)*(Inputs!$J$7-Inputs!$I$7)))*12.9898+(Inputs!$C$6)*78.233+Inputs!$C$47*37.719))*43758.5453)-INT((SIN((((Inputs!$I$7+(((A66)+1)/2)*(Inputs!$J$7-Inputs!$I$7)))*12.9898+(Inputs!$C$6)*78.233+Inputs!$C$47*37.719))*43758.5453)))-1))),NA())</x:f>
        <x:v>159.22773232045836</x:v>
      </x:c>
      <x:c r="AU66" s="48" t="n">
        <x: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(0.45*SIN(2*PI()*((((Inputs!$I$8+(((A66)+1)/2)*(Inputs!$J$8-Inputs!$I$8)))/Inputs!$C$49)+Inputs!$C$47*0.137))+0.35*COS(2*PI()*(((Inputs!$C$6)/Inputs!$C$50)+Inputs!$C$47*0.173))+0.20*SIN(2*PI()*((((Inputs!$I$8+(((A66)+1)/2)*(Inputs!$J$8-Inputs!$I$8)))+(Inputs!$C$6))/(0.5*(Inputs!$C$49+Inputs!$C$50))+Inputs!$C$47*0.097)))+0.30*(2*((SIN((((Inputs!$I$8+(((A66)+1)/2)*(Inputs!$J$8-Inputs!$I$8)))*12.9898+(Inputs!$C$6)*78.233+Inputs!$C$47*37.719))*43758.5453)-INT((SIN((((Inputs!$I$8+(((A66)+1)/2)*(Inputs!$J$8-Inputs!$I$8)))*12.9898+(Inputs!$C$6)*78.233+Inputs!$C$47*37.719))*43758.5453)))-1))),NA())</x:f>
        <x:v>169.8404375178821</x:v>
      </x:c>
      <x:c r="AV66" s="48" t="n">
        <x: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(0.45*SIN(2*PI()*((((Inputs!$I$9+(((A66)+1)/2)*(Inputs!$J$9-Inputs!$I$9)))/Inputs!$C$49)+Inputs!$C$47*0.137))+0.35*COS(2*PI()*(((Inputs!$C$6)/Inputs!$C$50)+Inputs!$C$47*0.173))+0.20*SIN(2*PI()*((((Inputs!$I$9+(((A66)+1)/2)*(Inputs!$J$9-Inputs!$I$9)))+(Inputs!$C$6))/(0.5*(Inputs!$C$49+Inputs!$C$50))+Inputs!$C$47*0.097)))+0.30*(2*((SIN((((Inputs!$I$9+(((A66)+1)/2)*(Inputs!$J$9-Inputs!$I$9)))*12.9898+(Inputs!$C$6)*78.233+Inputs!$C$47*37.719))*43758.5453)-INT((SIN((((Inputs!$I$9+(((A66)+1)/2)*(Inputs!$J$9-Inputs!$I$9)))*12.9898+(Inputs!$C$6)*78.233+Inputs!$C$47*37.719))*43758.5453)))-1))),NA())</x:f>
        <x:v>169.8404375178821</x:v>
      </x:c>
      <x:c r="AW66" s="49"/>
      <x:c r="AX66" s="48" t="n">
        <x:f>A66</x:f>
        <x:v>-0.467</x:v>
      </x:c>
      <x:c r="AY66" s="48" t="n">
        <x:f>0</x:f>
        <x:v>0</x:v>
      </x:c>
      <x:c r="AZ66" s="48" t="n">
        <x:f>IF(OR(Inputs!$F$6=TRUE,Inputs!$F$6="TRUE",Inputs!$F$6=1),(Inputs!$H$6+Inputs!$L$6*(((Inputs!$I$6+(((A66)+1)/2)*(Inputs!$J$6-Inputs!$I$6)))/Inputs!$K$6)^2),NA())</x:f>
        <x:v>400.872356</x:v>
      </x:c>
      <x:c r="BA66" s="48" t="n">
        <x:f>IF(OR(Inputs!$F$7=TRUE,Inputs!$F$7="TRUE",Inputs!$F$7=1),(Inputs!$H$7+Inputs!$L$7*(((Inputs!$I$7+(((A66)+1)/2)*(Inputs!$J$7-Inputs!$I$7)))/Inputs!$K$7)^2),NA())</x:f>
        <x:v>114.60248500000003</x:v>
      </x:c>
      <x:c r="BB66" s="48" t="n">
        <x:f>IF(OR(Inputs!$F$8=TRUE,Inputs!$F$8="TRUE",Inputs!$F$8=1),(Inputs!$H$8+Inputs!$L$8*(((Inputs!$I$8+(((A66)+1)/2)*(Inputs!$J$8-Inputs!$I$8)))/Inputs!$K$8)^2),NA())</x:f>
        <x:v>245.45588500000008</x:v>
      </x:c>
      <x:c r="BC66" s="48" t="n">
        <x:f>IF(OR(Inputs!$F$9=TRUE,Inputs!$F$9="TRUE",Inputs!$F$9=1),(Inputs!$H$9+Inputs!$L$9*(((Inputs!$I$9+(((A66)+1)/2)*(Inputs!$J$9-Inputs!$I$9)))/Inputs!$K$9)^2),NA())</x:f>
        <x:v>237.63677500000009</x:v>
      </x:c>
      <x:c r="BD66" s="49"/>
      <x:c r="BE66" s="48" t="n">
        <x:f>A66</x:f>
        <x:v>-0.467</x:v>
      </x:c>
      <x:c r="BF66" s="48" t="n">
        <x:f>0</x:f>
        <x:v>0</x:v>
      </x:c>
      <x:c r="BG66" s="48"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BH66" s="48"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BI66" s="48"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BJ66" s="48"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row>
    <x:row r="67">
      <x:c r="A67" s="48" t="n">
        <x:f>ROUND(-1+65*2/240,3)</x:f>
        <x:v>-0.458</x:v>
      </x:c>
      <x:c r="B67" s="48" t="n">
        <x:f>IF(OR(Inputs!$F$6=TRUE,Inputs!$F$6="TRUE",Inputs!$F$6=1),(Inputs!$H$6+Inputs!$L$6*(((Inputs!$I$6+(((A67)+1)/2)*(Inputs!$J$6-Inputs!$I$6)))/Inputs!$K$6)^2),NA())</x:f>
        <x:v>400.839056</x:v>
      </x:c>
      <x:c r="C67" s="48" t="n">
        <x:f>IF(OR(Inputs!$F$7=TRUE,Inputs!$F$7="TRUE",Inputs!$F$7=1),(Inputs!$H$7+Inputs!$L$7*(((Inputs!$I$7+(((A67)+1)/2)*(Inputs!$J$7-Inputs!$I$7)))/Inputs!$K$7)^2),NA())</x:f>
        <x:v>111.56385999999999</x:v>
      </x:c>
      <x:c r="D67" s="48" t="n">
        <x:f>IF(OR(Inputs!$F$8=TRUE,Inputs!$F$8="TRUE",Inputs!$F$8=1),(Inputs!$H$8+Inputs!$L$8*(((Inputs!$I$8+(((A67)+1)/2)*(Inputs!$J$8-Inputs!$I$8)))/Inputs!$K$8)^2),NA())</x:f>
        <x:v>237.42225999999997</x:v>
      </x:c>
      <x:c r="E67" s="48" t="n">
        <x:f>IF(OR(Inputs!$F$9=TRUE,Inputs!$F$9="TRUE",Inputs!$F$9=1),(Inputs!$H$9+Inputs!$L$9*(((Inputs!$I$9+(((A67)+1)/2)*(Inputs!$J$9-Inputs!$I$9)))/Inputs!$K$9)^2),NA())</x:f>
        <x:v>229.51989999999998</x:v>
      </x:c>
      <x:c r="F67" s="49"/>
      <x:c r="G67" s="48" t="n">
        <x:f>A67</x:f>
        <x:v>-0.458</x:v>
      </x:c>
      <x:c r="H67" s="48"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I67" s="48"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J67" s="48"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K67" s="48"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c r="L67" s="49"/>
      <x:c r="M67" s="48" t="n">
        <x:f>A67</x:f>
        <x:v>-0.458</x:v>
      </x:c>
      <x:c r="N67" s="48" t="n">
        <x: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x:f>
        <x:v>234.39967548141172</x:v>
      </x:c>
      <x:c r="O67" s="48" t="n">
        <x: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x:f>
        <x:v>2154.866139653307</x:v>
      </x:c>
      <x:c r="P67" s="48" t="n">
        <x: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x:f>
        <x:v>2535.8714943942873</x:v>
      </x:c>
      <x:c r="Q67" s="48" t="n">
        <x: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x:f>
        <x:v>2536.322123452319</x:v>
      </x:c>
      <x:c r="R67" s="49"/>
      <x:c r="S67" s="48" t="n">
        <x:f>A67</x:f>
        <x:v>-0.458</x:v>
      </x:c>
      <x:c r="T67" s="48" t="n">
        <x:f>(Inputs!$I$6+(((A67)+1)/2)*(Inputs!$J$6-Inputs!$I$6))</x:f>
        <x:v>-27.479999999999997</x:v>
      </x:c>
      <x:c r="U67" s="48" t="n">
        <x:f>(Inputs!$I$7+(((A67)+1)/2)*(Inputs!$J$7-Inputs!$I$7))</x:f>
        <x:v>-183.2</x:v>
      </x:c>
      <x:c r="V67" s="48" t="n">
        <x:f>(Inputs!$I$8+(((A67)+1)/2)*(Inputs!$J$8-Inputs!$I$8))</x:f>
        <x:v>-366.4</x:v>
      </x:c>
      <x:c r="W67" s="48" t="n">
        <x:f>(Inputs!$I$9+(((A67)+1)/2)*(Inputs!$J$9-Inputs!$I$9))</x:f>
        <x:v>-366.4</x:v>
      </x:c>
      <x:c r="X67" s="49"/>
      <x:c r="Y67" s="48" t="n">
        <x:f>A67</x:f>
        <x:v>-0.458</x:v>
      </x:c>
      <x:c r="Z67" s="48" t="n">
        <x:f>(Inputs!$H$6+Inputs!$L$6*(((Inputs!$I$6+(((A67)+1)/2)*(Inputs!$J$6-Inputs!$I$6)))/Inputs!$K$6)^2)</x:f>
        <x:v>400.839056</x:v>
      </x:c>
      <x:c r="AA67" s="48" t="n">
        <x:f>(Inputs!$H$7+Inputs!$L$7*(((Inputs!$I$7+(((A67)+1)/2)*(Inputs!$J$7-Inputs!$I$7)))/Inputs!$K$7)^2)</x:f>
        <x:v>111.56385999999999</x:v>
      </x:c>
      <x:c r="AB67" s="48" t="n">
        <x:f>(Inputs!$H$8+Inputs!$L$8*(((Inputs!$I$8+(((A67)+1)/2)*(Inputs!$J$8-Inputs!$I$8)))/Inputs!$K$8)^2)</x:f>
        <x:v>237.42225999999997</x:v>
      </x:c>
      <x:c r="AC67" s="48" t="n">
        <x:f>(Inputs!$H$9+Inputs!$L$9*(((Inputs!$I$9+(((A67)+1)/2)*(Inputs!$J$9-Inputs!$I$9)))/Inputs!$K$9)^2)</x:f>
        <x:v>229.51989999999998</x:v>
      </x:c>
      <x:c r="AD67" s="49"/>
      <x:c r="AE67" s="48" t="n">
        <x:f>A67</x:f>
        <x:v>-0.458</x:v>
      </x:c>
      <x:c r="AF67" s="48" t="n">
        <x:f>(((SQRT((Inputs!$C$52+((Inputs!$H$6+Inputs!$L$6*(((Inputs!$I$6+(((A67)+1)/2)*(Inputs!$J$6-Inputs!$I$6)))/Inputs!$K$6)^2)))^2+Inputs!$C$52^2-2*(Inputs!$C$52+((Inputs!$H$6+Inputs!$L$6*(((Inputs!$I$6+(((A67)+1)/2)*(Inputs!$J$6-Inputs!$I$6)))/Inputs!$K$6)^2)))*Inputs!$C$52*COS(SQRT(((Inputs!$I$6+(((A67)+1)/2)*(Inputs!$J$6-Inputs!$I$6)))^2+Inputs!$C$6^2)/Inputs!$C$52)))-((Inputs!$H$6+Inputs!$L$6*(((Inputs!$I$6+(((A67)+1)/2)*(Inputs!$J$6-Inputs!$I$6)))/Inputs!$K$6)^2)))*1000/Inputs!$C$12)</x:f>
        <x:v>1212.244856752564</x:v>
      </x:c>
      <x:c r="AG67" s="48" t="n">
        <x:f>(((SQRT((Inputs!$C$52+((Inputs!$H$7+Inputs!$L$7*(((Inputs!$I$7+(((A67)+1)/2)*(Inputs!$J$7-Inputs!$I$7)))/Inputs!$K$7)^2)))^2+Inputs!$C$52^2-2*(Inputs!$C$52+((Inputs!$H$7+Inputs!$L$7*(((Inputs!$I$7+(((A67)+1)/2)*(Inputs!$J$7-Inputs!$I$7)))/Inputs!$K$7)^2)))*Inputs!$C$52*COS(SQRT(((Inputs!$I$7+(((A67)+1)/2)*(Inputs!$J$7-Inputs!$I$7)))^2+Inputs!$C$6^2)/Inputs!$C$52)))-((Inputs!$H$7+Inputs!$L$7*(((Inputs!$I$7+(((A67)+1)/2)*(Inputs!$J$7-Inputs!$I$7)))/Inputs!$K$7)^2)))*1000/Inputs!$C$12)</x:f>
        <x:v>61726.77320584709</x:v>
      </x:c>
      <x:c r="AH67" s="48" t="n">
        <x:f>(((SQRT((Inputs!$C$52+((Inputs!$H$8+Inputs!$L$8*(((Inputs!$I$8+(((A67)+1)/2)*(Inputs!$J$8-Inputs!$I$8)))/Inputs!$K$8)^2)))^2+Inputs!$C$52^2-2*(Inputs!$C$52+((Inputs!$H$8+Inputs!$L$8*(((Inputs!$I$8+(((A67)+1)/2)*(Inputs!$J$8-Inputs!$I$8)))/Inputs!$K$8)^2)))*Inputs!$C$52*COS(SQRT(((Inputs!$I$8+(((A67)+1)/2)*(Inputs!$J$8-Inputs!$I$8)))^2+Inputs!$C$6^2)/Inputs!$C$52)))-((Inputs!$H$8+Inputs!$L$8*(((Inputs!$I$8+(((A67)+1)/2)*(Inputs!$J$8-Inputs!$I$8)))/Inputs!$K$8)^2)))*1000/Inputs!$C$12)</x:f>
        <x:v>124704.01211642462</x:v>
      </x:c>
      <x:c r="AI67" s="48" t="n">
        <x:f>(((SQRT((Inputs!$C$52+((Inputs!$H$9+Inputs!$L$9*(((Inputs!$I$9+(((A67)+1)/2)*(Inputs!$J$9-Inputs!$I$9)))/Inputs!$K$9)^2)))^2+Inputs!$C$52^2-2*(Inputs!$C$52+((Inputs!$H$9+Inputs!$L$9*(((Inputs!$I$9+(((A67)+1)/2)*(Inputs!$J$9-Inputs!$I$9)))/Inputs!$K$9)^2)))*Inputs!$C$52*COS(SQRT(((Inputs!$I$9+(((A67)+1)/2)*(Inputs!$J$9-Inputs!$I$9)))^2+Inputs!$C$6^2)/Inputs!$C$52)))-((Inputs!$H$9+Inputs!$L$9*(((Inputs!$I$9+(((A67)+1)/2)*(Inputs!$J$9-Inputs!$I$9)))/Inputs!$K$9)^2)))*1000/Inputs!$C$12)</x:f>
        <x:v>126457.71562969436</x:v>
      </x:c>
      <x:c r="AJ67" s="49"/>
      <x:c r="AK67" s="48" t="n">
        <x:f>A67</x:f>
        <x:v>-0.458</x:v>
      </x:c>
      <x:c r="AL67" s="48" t="n">
        <x: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x:f>
        <x:v>234.39967548141172</x:v>
      </x:c>
      <x:c r="AM67" s="48" t="n">
        <x: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x:f>
        <x:v>2154.866139653307</x:v>
      </x:c>
      <x:c r="AN67" s="48" t="n">
        <x: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x:f>
        <x:v>2535.8714943942873</x:v>
      </x:c>
      <x:c r="AO67" s="48" t="n">
        <x: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x:f>
        <x:v>2536.322123452319</x:v>
      </x:c>
      <x:c r="AP67" s="49"/>
      <x:c r="AQ67" s="48" t="n">
        <x:f>A67</x:f>
        <x:v>-0.458</x:v>
      </x:c>
      <x:c r="AR67" s="48" t="n">
        <x:f>0</x:f>
        <x:v>0</x:v>
      </x:c>
      <x:c r="AS67" s="48" t="n">
        <x: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(0.45*SIN(2*PI()*((((Inputs!$I$6+(((A67)+1)/2)*(Inputs!$J$6-Inputs!$I$6)))/Inputs!$C$49)+Inputs!$C$47*0.137))+0.35*COS(2*PI()*(((Inputs!$C$6)/Inputs!$C$50)+Inputs!$C$47*0.173))+0.20*SIN(2*PI()*((((Inputs!$I$6+(((A67)+1)/2)*(Inputs!$J$6-Inputs!$I$6)))+(Inputs!$C$6))/(0.5*(Inputs!$C$49+Inputs!$C$50))+Inputs!$C$47*0.097)))+0.30*(2*((SIN((((Inputs!$I$6+(((A67)+1)/2)*(Inputs!$J$6-Inputs!$I$6)))*12.9898+(Inputs!$C$6)*78.233+Inputs!$C$47*37.719))*43758.5453)-INT((SIN((((Inputs!$I$6+(((A67)+1)/2)*(Inputs!$J$6-Inputs!$I$6)))*12.9898+(Inputs!$C$6)*78.233+Inputs!$C$47*37.719))*43758.5453)))-1))),NA())</x:f>
        <x:v>291.14730692281495</x:v>
      </x:c>
      <x:c r="AT67" s="48" t="n">
        <x: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(0.45*SIN(2*PI()*((((Inputs!$I$7+(((A67)+1)/2)*(Inputs!$J$7-Inputs!$I$7)))/Inputs!$C$49)+Inputs!$C$47*0.137))+0.35*COS(2*PI()*(((Inputs!$C$6)/Inputs!$C$50)+Inputs!$C$47*0.173))+0.20*SIN(2*PI()*((((Inputs!$I$7+(((A67)+1)/2)*(Inputs!$J$7-Inputs!$I$7)))+(Inputs!$C$6))/(0.5*(Inputs!$C$49+Inputs!$C$50))+Inputs!$C$47*0.097)))+0.30*(2*((SIN((((Inputs!$I$7+(((A67)+1)/2)*(Inputs!$J$7-Inputs!$I$7)))*12.9898+(Inputs!$C$6)*78.233+Inputs!$C$47*37.719))*43758.5453)-INT((SIN((((Inputs!$I$7+(((A67)+1)/2)*(Inputs!$J$7-Inputs!$I$7)))*12.9898+(Inputs!$C$6)*78.233+Inputs!$C$47*37.719))*43758.5453)))-1))),NA())</x:f>
        <x:v>87.90272205454784</x:v>
      </x:c>
      <x:c r="AU67" s="48" t="n">
        <x: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(0.45*SIN(2*PI()*((((Inputs!$I$8+(((A67)+1)/2)*(Inputs!$J$8-Inputs!$I$8)))/Inputs!$C$49)+Inputs!$C$47*0.137))+0.35*COS(2*PI()*(((Inputs!$C$6)/Inputs!$C$50)+Inputs!$C$47*0.173))+0.20*SIN(2*PI()*((((Inputs!$I$8+(((A67)+1)/2)*(Inputs!$J$8-Inputs!$I$8)))+(Inputs!$C$6))/(0.5*(Inputs!$C$49+Inputs!$C$50))+Inputs!$C$47*0.097)))+0.30*(2*((SIN((((Inputs!$I$8+(((A67)+1)/2)*(Inputs!$J$8-Inputs!$I$8)))*12.9898+(Inputs!$C$6)*78.233+Inputs!$C$47*37.719))*43758.5453)-INT((SIN((((Inputs!$I$8+(((A67)+1)/2)*(Inputs!$J$8-Inputs!$I$8)))*12.9898+(Inputs!$C$6)*78.233+Inputs!$C$47*37.719))*43758.5453)))-1))),NA())</x:f>
        <x:v>107.46005409193637</x:v>
      </x:c>
      <x:c r="AV67" s="48" t="n">
        <x: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(0.45*SIN(2*PI()*((((Inputs!$I$9+(((A67)+1)/2)*(Inputs!$J$9-Inputs!$I$9)))/Inputs!$C$49)+Inputs!$C$47*0.137))+0.35*COS(2*PI()*(((Inputs!$C$6)/Inputs!$C$50)+Inputs!$C$47*0.173))+0.20*SIN(2*PI()*((((Inputs!$I$9+(((A67)+1)/2)*(Inputs!$J$9-Inputs!$I$9)))+(Inputs!$C$6))/(0.5*(Inputs!$C$49+Inputs!$C$50))+Inputs!$C$47*0.097)))+0.30*(2*((SIN((((Inputs!$I$9+(((A67)+1)/2)*(Inputs!$J$9-Inputs!$I$9)))*12.9898+(Inputs!$C$6)*78.233+Inputs!$C$47*37.719))*43758.5453)-INT((SIN((((Inputs!$I$9+(((A67)+1)/2)*(Inputs!$J$9-Inputs!$I$9)))*12.9898+(Inputs!$C$6)*78.233+Inputs!$C$47*37.719))*43758.5453)))-1))),NA())</x:f>
        <x:v>107.46005409193637</x:v>
      </x:c>
      <x:c r="AW67" s="49"/>
      <x:c r="AX67" s="48" t="n">
        <x:f>A67</x:f>
        <x:v>-0.458</x:v>
      </x:c>
      <x:c r="AY67" s="48" t="n">
        <x:f>0</x:f>
        <x:v>0</x:v>
      </x:c>
      <x:c r="AZ67" s="48" t="n">
        <x:f>IF(OR(Inputs!$F$6=TRUE,Inputs!$F$6="TRUE",Inputs!$F$6=1),(Inputs!$H$6+Inputs!$L$6*(((Inputs!$I$6+(((A67)+1)/2)*(Inputs!$J$6-Inputs!$I$6)))/Inputs!$K$6)^2),NA())</x:f>
        <x:v>400.839056</x:v>
      </x:c>
      <x:c r="BA67" s="48" t="n">
        <x:f>IF(OR(Inputs!$F$7=TRUE,Inputs!$F$7="TRUE",Inputs!$F$7=1),(Inputs!$H$7+Inputs!$L$7*(((Inputs!$I$7+(((A67)+1)/2)*(Inputs!$J$7-Inputs!$I$7)))/Inputs!$K$7)^2),NA())</x:f>
        <x:v>111.56385999999999</x:v>
      </x:c>
      <x:c r="BB67" s="48" t="n">
        <x:f>IF(OR(Inputs!$F$8=TRUE,Inputs!$F$8="TRUE",Inputs!$F$8=1),(Inputs!$H$8+Inputs!$L$8*(((Inputs!$I$8+(((A67)+1)/2)*(Inputs!$J$8-Inputs!$I$8)))/Inputs!$K$8)^2),NA())</x:f>
        <x:v>237.42225999999997</x:v>
      </x:c>
      <x:c r="BC67" s="48" t="n">
        <x:f>IF(OR(Inputs!$F$9=TRUE,Inputs!$F$9="TRUE",Inputs!$F$9=1),(Inputs!$H$9+Inputs!$L$9*(((Inputs!$I$9+(((A67)+1)/2)*(Inputs!$J$9-Inputs!$I$9)))/Inputs!$K$9)^2),NA())</x:f>
        <x:v>229.51989999999998</x:v>
      </x:c>
      <x:c r="BD67" s="49"/>
      <x:c r="BE67" s="48" t="n">
        <x:f>A67</x:f>
        <x:v>-0.458</x:v>
      </x:c>
      <x:c r="BF67" s="48" t="n">
        <x:f>0</x:f>
        <x:v>0</x:v>
      </x:c>
      <x:c r="BG67" s="48"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BH67" s="48"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BI67" s="48"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BJ67" s="48"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row>
    <x:row r="68">
      <x:c r="A68" s="48" t="n">
        <x:f>ROUND(-1+66*2/240,3)</x:f>
        <x:v>-0.45</x:v>
      </x:c>
      <x:c r="B68" s="48" t="n">
        <x:f>IF(OR(Inputs!$F$6=TRUE,Inputs!$F$6="TRUE",Inputs!$F$6=1),(Inputs!$H$6+Inputs!$L$6*(((Inputs!$I$6+(((A68)+1)/2)*(Inputs!$J$6-Inputs!$I$6)))/Inputs!$K$6)^2),NA())</x:f>
        <x:v>400.81</x:v>
      </x:c>
      <x:c r="C68" s="48" t="n">
        <x:f>IF(OR(Inputs!$F$7=TRUE,Inputs!$F$7="TRUE",Inputs!$F$7=1),(Inputs!$H$7+Inputs!$L$7*(((Inputs!$I$7+(((A68)+1)/2)*(Inputs!$J$7-Inputs!$I$7)))/Inputs!$K$7)^2),NA())</x:f>
        <x:v>108.91249999999998</x:v>
      </x:c>
      <x:c r="D68" s="48" t="n">
        <x:f>IF(OR(Inputs!$F$8=TRUE,Inputs!$F$8="TRUE",Inputs!$F$8=1),(Inputs!$H$8+Inputs!$L$8*(((Inputs!$I$8+(((A68)+1)/2)*(Inputs!$J$8-Inputs!$I$8)))/Inputs!$K$8)^2),NA())</x:f>
        <x:v>230.41249999999997</x:v>
      </x:c>
      <x:c r="E68" s="48" t="n">
        <x:f>IF(OR(Inputs!$F$9=TRUE,Inputs!$F$9="TRUE",Inputs!$F$9=1),(Inputs!$H$9+Inputs!$L$9*(((Inputs!$I$9+(((A68)+1)/2)*(Inputs!$J$9-Inputs!$I$9)))/Inputs!$K$9)^2),NA())</x:f>
        <x:v>222.43749999999997</x:v>
      </x:c>
      <x:c r="F68" s="49"/>
      <x:c r="G68" s="48" t="n">
        <x:f>A68</x:f>
        <x:v>-0.45</x:v>
      </x:c>
      <x:c r="H68" s="48"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I68" s="48"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J68" s="48"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K68" s="48"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c r="L68" s="49"/>
      <x:c r="M68" s="48" t="n">
        <x:f>A68</x:f>
        <x:v>-0.45</x:v>
      </x:c>
      <x:c r="N68" s="48" t="n">
        <x: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x:f>
        <x:v>230.33452978340816</x:v>
      </x:c>
      <x:c r="O68" s="48" t="n">
        <x: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x:f>
        <x:v>2138.662614664139</x:v>
      </x:c>
      <x:c r="P68" s="48" t="n">
        <x: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x:f>
        <x:v>2509.4893010076516</x:v>
      </x:c>
      <x:c r="Q68" s="48" t="n">
        <x: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x:f>
        <x:v>2509.44712055247</x:v>
      </x:c>
      <x:c r="R68" s="49"/>
      <x:c r="S68" s="48" t="n">
        <x:f>A68</x:f>
        <x:v>-0.45</x:v>
      </x:c>
      <x:c r="T68" s="48" t="n">
        <x:f>(Inputs!$I$6+(((A68)+1)/2)*(Inputs!$J$6-Inputs!$I$6))</x:f>
        <x:v>-27</x:v>
      </x:c>
      <x:c r="U68" s="48" t="n">
        <x:f>(Inputs!$I$7+(((A68)+1)/2)*(Inputs!$J$7-Inputs!$I$7))</x:f>
        <x:v>-179.99999999999997</x:v>
      </x:c>
      <x:c r="V68" s="48" t="n">
        <x:f>(Inputs!$I$8+(((A68)+1)/2)*(Inputs!$J$8-Inputs!$I$8))</x:f>
        <x:v>-359.99999999999994</x:v>
      </x:c>
      <x:c r="W68" s="48" t="n">
        <x:f>(Inputs!$I$9+(((A68)+1)/2)*(Inputs!$J$9-Inputs!$I$9))</x:f>
        <x:v>-359.99999999999994</x:v>
      </x:c>
      <x:c r="X68" s="49"/>
      <x:c r="Y68" s="48" t="n">
        <x:f>A68</x:f>
        <x:v>-0.45</x:v>
      </x:c>
      <x:c r="Z68" s="48" t="n">
        <x:f>(Inputs!$H$6+Inputs!$L$6*(((Inputs!$I$6+(((A68)+1)/2)*(Inputs!$J$6-Inputs!$I$6)))/Inputs!$K$6)^2)</x:f>
        <x:v>400.81</x:v>
      </x:c>
      <x:c r="AA68" s="48" t="n">
        <x:f>(Inputs!$H$7+Inputs!$L$7*(((Inputs!$I$7+(((A68)+1)/2)*(Inputs!$J$7-Inputs!$I$7)))/Inputs!$K$7)^2)</x:f>
        <x:v>108.91249999999998</x:v>
      </x:c>
      <x:c r="AB68" s="48" t="n">
        <x:f>(Inputs!$H$8+Inputs!$L$8*(((Inputs!$I$8+(((A68)+1)/2)*(Inputs!$J$8-Inputs!$I$8)))/Inputs!$K$8)^2)</x:f>
        <x:v>230.41249999999997</x:v>
      </x:c>
      <x:c r="AC68" s="48" t="n">
        <x:f>(Inputs!$H$9+Inputs!$L$9*(((Inputs!$I$9+(((A68)+1)/2)*(Inputs!$J$9-Inputs!$I$9)))/Inputs!$K$9)^2)</x:f>
        <x:v>222.43749999999997</x:v>
      </x:c>
      <x:c r="AD68" s="49"/>
      <x:c r="AE68" s="48" t="n">
        <x:f>A68</x:f>
        <x:v>-0.45</x:v>
      </x:c>
      <x:c r="AF68" s="48" t="n">
        <x:f>(((SQRT((Inputs!$C$52+((Inputs!$H$6+Inputs!$L$6*(((Inputs!$I$6+(((A68)+1)/2)*(Inputs!$J$6-Inputs!$I$6)))/Inputs!$K$6)^2)))^2+Inputs!$C$52^2-2*(Inputs!$C$52+((Inputs!$H$6+Inputs!$L$6*(((Inputs!$I$6+(((A68)+1)/2)*(Inputs!$J$6-Inputs!$I$6)))/Inputs!$K$6)^2)))*Inputs!$C$52*COS(SQRT(((Inputs!$I$6+(((A68)+1)/2)*(Inputs!$J$6-Inputs!$I$6)))^2+Inputs!$C$6^2)/Inputs!$C$52)))-((Inputs!$H$6+Inputs!$L$6*(((Inputs!$I$6+(((A68)+1)/2)*(Inputs!$J$6-Inputs!$I$6)))/Inputs!$K$6)^2)))*1000/Inputs!$C$12)</x:f>
        <x:v>1189.4054357952016</x:v>
      </x:c>
      <x:c r="AG68" s="48" t="n">
        <x:f>(((SQRT((Inputs!$C$52+((Inputs!$H$7+Inputs!$L$7*(((Inputs!$I$7+(((A68)+1)/2)*(Inputs!$J$7-Inputs!$I$7)))/Inputs!$K$7)^2)))^2+Inputs!$C$52^2-2*(Inputs!$C$52+((Inputs!$H$7+Inputs!$L$7*(((Inputs!$I$7+(((A68)+1)/2)*(Inputs!$J$7-Inputs!$I$7)))/Inputs!$K$7)^2)))*Inputs!$C$52*COS(SQRT(((Inputs!$I$7+(((A68)+1)/2)*(Inputs!$J$7-Inputs!$I$7)))^2+Inputs!$C$6^2)/Inputs!$C$52)))-((Inputs!$H$7+Inputs!$L$7*(((Inputs!$I$7+(((A68)+1)/2)*(Inputs!$J$7-Inputs!$I$7)))/Inputs!$K$7)^2)))*1000/Inputs!$C$12)</x:f>
        <x:v>60804.218334368896</x:v>
      </x:c>
      <x:c r="AH68" s="48" t="n">
        <x:f>(((SQRT((Inputs!$C$52+((Inputs!$H$8+Inputs!$L$8*(((Inputs!$I$8+(((A68)+1)/2)*(Inputs!$J$8-Inputs!$I$8)))/Inputs!$K$8)^2)))^2+Inputs!$C$52^2-2*(Inputs!$C$52+((Inputs!$H$8+Inputs!$L$8*(((Inputs!$I$8+(((A68)+1)/2)*(Inputs!$J$8-Inputs!$I$8)))/Inputs!$K$8)^2)))*Inputs!$C$52*COS(SQRT(((Inputs!$I$8+(((A68)+1)/2)*(Inputs!$J$8-Inputs!$I$8)))^2+Inputs!$C$6^2)/Inputs!$C$52)))-((Inputs!$H$8+Inputs!$L$8*(((Inputs!$I$8+(((A68)+1)/2)*(Inputs!$J$8-Inputs!$I$8)))/Inputs!$K$8)^2)))*1000/Inputs!$C$12)</x:f>
        <x:v>122973.1803924871</x:v>
      </x:c>
      <x:c r="AI68" s="48" t="n">
        <x:f>(((SQRT((Inputs!$C$52+((Inputs!$H$9+Inputs!$L$9*(((Inputs!$I$9+(((A68)+1)/2)*(Inputs!$J$9-Inputs!$I$9)))/Inputs!$K$9)^2)))^2+Inputs!$C$52^2-2*(Inputs!$C$52+((Inputs!$H$9+Inputs!$L$9*(((Inputs!$I$9+(((A68)+1)/2)*(Inputs!$J$9-Inputs!$I$9)))/Inputs!$K$9)^2)))*Inputs!$C$52*COS(SQRT(((Inputs!$I$9+(((A68)+1)/2)*(Inputs!$J$9-Inputs!$I$9)))^2+Inputs!$C$6^2)/Inputs!$C$52)))-((Inputs!$H$9+Inputs!$L$9*(((Inputs!$I$9+(((A68)+1)/2)*(Inputs!$J$9-Inputs!$I$9)))/Inputs!$K$9)^2)))*1000/Inputs!$C$12)</x:f>
        <x:v>124767.23503203207</x:v>
      </x:c>
      <x:c r="AJ68" s="49"/>
      <x:c r="AK68" s="48" t="n">
        <x:f>A68</x:f>
        <x:v>-0.45</x:v>
      </x:c>
      <x:c r="AL68" s="48" t="n">
        <x: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x:f>
        <x:v>230.33452978340816</x:v>
      </x:c>
      <x:c r="AM68" s="48" t="n">
        <x: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x:f>
        <x:v>2138.662614664139</x:v>
      </x:c>
      <x:c r="AN68" s="48" t="n">
        <x: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x:f>
        <x:v>2509.4893010076516</x:v>
      </x:c>
      <x:c r="AO68" s="48" t="n">
        <x: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x:f>
        <x:v>2509.44712055247</x:v>
      </x:c>
      <x:c r="AP68" s="49"/>
      <x:c r="AQ68" s="48" t="n">
        <x:f>A68</x:f>
        <x:v>-0.45</x:v>
      </x:c>
      <x:c r="AR68" s="48" t="n">
        <x:f>0</x:f>
        <x:v>0</x:v>
      </x:c>
      <x:c r="AS68" s="48" t="n">
        <x: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(0.45*SIN(2*PI()*((((Inputs!$I$6+(((A68)+1)/2)*(Inputs!$J$6-Inputs!$I$6)))/Inputs!$C$49)+Inputs!$C$47*0.137))+0.35*COS(2*PI()*(((Inputs!$C$6)/Inputs!$C$50)+Inputs!$C$47*0.173))+0.20*SIN(2*PI()*((((Inputs!$I$6+(((A68)+1)/2)*(Inputs!$J$6-Inputs!$I$6)))+(Inputs!$C$6))/(0.5*(Inputs!$C$49+Inputs!$C$50))+Inputs!$C$47*0.097)))+0.30*(2*((SIN((((Inputs!$I$6+(((A68)+1)/2)*(Inputs!$J$6-Inputs!$I$6)))*12.9898+(Inputs!$C$6)*78.233+Inputs!$C$47*37.719))*43758.5453)-INT((SIN((((Inputs!$I$6+(((A68)+1)/2)*(Inputs!$J$6-Inputs!$I$6)))*12.9898+(Inputs!$C$6)*78.233+Inputs!$C$47*37.719))*43758.5453)))-1))),NA())</x:f>
        <x:v>289.34226854097847</x:v>
      </x:c>
      <x:c r="AT68" s="48" t="n">
        <x: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(0.45*SIN(2*PI()*((((Inputs!$I$7+(((A68)+1)/2)*(Inputs!$J$7-Inputs!$I$7)))/Inputs!$C$49)+Inputs!$C$47*0.137))+0.35*COS(2*PI()*(((Inputs!$C$6)/Inputs!$C$50)+Inputs!$C$47*0.173))+0.20*SIN(2*PI()*((((Inputs!$I$7+(((A68)+1)/2)*(Inputs!$J$7-Inputs!$I$7)))+(Inputs!$C$6))/(0.5*(Inputs!$C$49+Inputs!$C$50))+Inputs!$C$47*0.097)))+0.30*(2*((SIN((((Inputs!$I$7+(((A68)+1)/2)*(Inputs!$J$7-Inputs!$I$7)))*12.9898+(Inputs!$C$6)*78.233+Inputs!$C$47*37.719))*43758.5453)-INT((SIN((((Inputs!$I$7+(((A68)+1)/2)*(Inputs!$J$7-Inputs!$I$7)))*12.9898+(Inputs!$C$6)*78.233+Inputs!$C$47*37.719))*43758.5453)))-1))),NA())</x:f>
        <x:v>141.81143429065708</x:v>
      </x:c>
      <x:c r="AU68" s="48" t="n">
        <x: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(0.45*SIN(2*PI()*((((Inputs!$I$8+(((A68)+1)/2)*(Inputs!$J$8-Inputs!$I$8)))/Inputs!$C$49)+Inputs!$C$47*0.137))+0.35*COS(2*PI()*(((Inputs!$C$6)/Inputs!$C$50)+Inputs!$C$47*0.173))+0.20*SIN(2*PI()*((((Inputs!$I$8+(((A68)+1)/2)*(Inputs!$J$8-Inputs!$I$8)))+(Inputs!$C$6))/(0.5*(Inputs!$C$49+Inputs!$C$50))+Inputs!$C$47*0.097)))+0.30*(2*((SIN((((Inputs!$I$8+(((A68)+1)/2)*(Inputs!$J$8-Inputs!$I$8)))*12.9898+(Inputs!$C$6)*78.233+Inputs!$C$47*37.719))*43758.5453)-INT((SIN((((Inputs!$I$8+(((A68)+1)/2)*(Inputs!$J$8-Inputs!$I$8)))*12.9898+(Inputs!$C$6)*78.233+Inputs!$C$47*37.719))*43758.5453)))-1))),NA())</x:f>
        <x:v>99.30495969282518</x:v>
      </x:c>
      <x:c r="AV68" s="48" t="n">
        <x: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(0.45*SIN(2*PI()*((((Inputs!$I$9+(((A68)+1)/2)*(Inputs!$J$9-Inputs!$I$9)))/Inputs!$C$49)+Inputs!$C$47*0.137))+0.35*COS(2*PI()*(((Inputs!$C$6)/Inputs!$C$50)+Inputs!$C$47*0.173))+0.20*SIN(2*PI()*((((Inputs!$I$9+(((A68)+1)/2)*(Inputs!$J$9-Inputs!$I$9)))+(Inputs!$C$6))/(0.5*(Inputs!$C$49+Inputs!$C$50))+Inputs!$C$47*0.097)))+0.30*(2*((SIN((((Inputs!$I$9+(((A68)+1)/2)*(Inputs!$J$9-Inputs!$I$9)))*12.9898+(Inputs!$C$6)*78.233+Inputs!$C$47*37.719))*43758.5453)-INT((SIN((((Inputs!$I$9+(((A68)+1)/2)*(Inputs!$J$9-Inputs!$I$9)))*12.9898+(Inputs!$C$6)*78.233+Inputs!$C$47*37.719))*43758.5453)))-1))),NA())</x:f>
        <x:v>99.30495969282518</x:v>
      </x:c>
      <x:c r="AW68" s="49"/>
      <x:c r="AX68" s="48" t="n">
        <x:f>A68</x:f>
        <x:v>-0.45</x:v>
      </x:c>
      <x:c r="AY68" s="48" t="n">
        <x:f>0</x:f>
        <x:v>0</x:v>
      </x:c>
      <x:c r="AZ68" s="48" t="n">
        <x:f>IF(OR(Inputs!$F$6=TRUE,Inputs!$F$6="TRUE",Inputs!$F$6=1),(Inputs!$H$6+Inputs!$L$6*(((Inputs!$I$6+(((A68)+1)/2)*(Inputs!$J$6-Inputs!$I$6)))/Inputs!$K$6)^2),NA())</x:f>
        <x:v>400.81</x:v>
      </x:c>
      <x:c r="BA68" s="48" t="n">
        <x:f>IF(OR(Inputs!$F$7=TRUE,Inputs!$F$7="TRUE",Inputs!$F$7=1),(Inputs!$H$7+Inputs!$L$7*(((Inputs!$I$7+(((A68)+1)/2)*(Inputs!$J$7-Inputs!$I$7)))/Inputs!$K$7)^2),NA())</x:f>
        <x:v>108.91249999999998</x:v>
      </x:c>
      <x:c r="BB68" s="48" t="n">
        <x:f>IF(OR(Inputs!$F$8=TRUE,Inputs!$F$8="TRUE",Inputs!$F$8=1),(Inputs!$H$8+Inputs!$L$8*(((Inputs!$I$8+(((A68)+1)/2)*(Inputs!$J$8-Inputs!$I$8)))/Inputs!$K$8)^2),NA())</x:f>
        <x:v>230.41249999999997</x:v>
      </x:c>
      <x:c r="BC68" s="48" t="n">
        <x:f>IF(OR(Inputs!$F$9=TRUE,Inputs!$F$9="TRUE",Inputs!$F$9=1),(Inputs!$H$9+Inputs!$L$9*(((Inputs!$I$9+(((A68)+1)/2)*(Inputs!$J$9-Inputs!$I$9)))/Inputs!$K$9)^2),NA())</x:f>
        <x:v>222.43749999999997</x:v>
      </x:c>
      <x:c r="BD68" s="49"/>
      <x:c r="BE68" s="48" t="n">
        <x:f>A68</x:f>
        <x:v>-0.45</x:v>
      </x:c>
      <x:c r="BF68" s="48" t="n">
        <x:f>0</x:f>
        <x:v>0</x:v>
      </x:c>
      <x:c r="BG68" s="48"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BH68" s="48"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BI68" s="48"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BJ68" s="48"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row>
    <x:row r="69">
      <x:c r="A69" s="48" t="n">
        <x:f>ROUND(-1+67*2/240,3)</x:f>
        <x:v>-0.442</x:v>
      </x:c>
      <x:c r="B69" s="48" t="n">
        <x:f>IF(OR(Inputs!$F$6=TRUE,Inputs!$F$6="TRUE",Inputs!$F$6=1),(Inputs!$H$6+Inputs!$L$6*(((Inputs!$I$6+(((A69)+1)/2)*(Inputs!$J$6-Inputs!$I$6)))/Inputs!$K$6)^2),NA())</x:f>
        <x:v>400.781456</x:v>
      </x:c>
      <x:c r="C69" s="48" t="n">
        <x:f>IF(OR(Inputs!$F$7=TRUE,Inputs!$F$7="TRUE",Inputs!$F$7=1),(Inputs!$H$7+Inputs!$L$7*(((Inputs!$I$7+(((A69)+1)/2)*(Inputs!$J$7-Inputs!$I$7)))/Inputs!$K$7)^2),NA())</x:f>
        <x:v>106.30785999999998</x:v>
      </x:c>
      <x:c r="D69" s="48" t="n">
        <x:f>IF(OR(Inputs!$F$8=TRUE,Inputs!$F$8="TRUE",Inputs!$F$8=1),(Inputs!$H$8+Inputs!$L$8*(((Inputs!$I$8+(((A69)+1)/2)*(Inputs!$J$8-Inputs!$I$8)))/Inputs!$K$8)^2),NA())</x:f>
        <x:v>223.52625999999995</x:v>
      </x:c>
      <x:c r="E69" s="48" t="n">
        <x:f>IF(OR(Inputs!$F$9=TRUE,Inputs!$F$9="TRUE",Inputs!$F$9=1),(Inputs!$H$9+Inputs!$L$9*(((Inputs!$I$9+(((A69)+1)/2)*(Inputs!$J$9-Inputs!$I$9)))/Inputs!$K$9)^2),NA())</x:f>
        <x:v>215.47989999999996</x:v>
      </x:c>
      <x:c r="F69" s="49"/>
      <x:c r="G69" s="48" t="n">
        <x:f>A69</x:f>
        <x:v>-0.442</x:v>
      </x:c>
      <x:c r="H69" s="48"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I69" s="48"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J69" s="48"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K69" s="48"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c r="L69" s="49"/>
      <x:c r="M69" s="48" t="n">
        <x:f>A69</x:f>
        <x:v>-0.442</x:v>
      </x:c>
      <x:c r="N69" s="48" t="n">
        <x: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x:f>
        <x:v>226.26785644062778</x:v>
      </x:c>
      <x:c r="O69" s="48" t="n">
        <x: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x:f>
        <x:v>2122.5845865903175</x:v>
      </x:c>
      <x:c r="P69" s="48" t="n">
        <x: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x:f>
        <x:v>2483.353077122159</x:v>
      </x:c>
      <x:c r="Q69" s="48" t="n">
        <x: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x:f>
        <x:v>2482.824118237223</x:v>
      </x:c>
      <x:c r="R69" s="49"/>
      <x:c r="S69" s="48" t="n">
        <x:f>A69</x:f>
        <x:v>-0.442</x:v>
      </x:c>
      <x:c r="T69" s="48" t="n">
        <x:f>(Inputs!$I$6+(((A69)+1)/2)*(Inputs!$J$6-Inputs!$I$6))</x:f>
        <x:v>-26.519999999999996</x:v>
      </x:c>
      <x:c r="U69" s="48" t="n">
        <x:f>(Inputs!$I$7+(((A69)+1)/2)*(Inputs!$J$7-Inputs!$I$7))</x:f>
        <x:v>-176.79999999999998</x:v>
      </x:c>
      <x:c r="V69" s="48" t="n">
        <x:f>(Inputs!$I$8+(((A69)+1)/2)*(Inputs!$J$8-Inputs!$I$8))</x:f>
        <x:v>-353.59999999999997</x:v>
      </x:c>
      <x:c r="W69" s="48" t="n">
        <x:f>(Inputs!$I$9+(((A69)+1)/2)*(Inputs!$J$9-Inputs!$I$9))</x:f>
        <x:v>-353.59999999999997</x:v>
      </x:c>
      <x:c r="X69" s="49"/>
      <x:c r="Y69" s="48" t="n">
        <x:f>A69</x:f>
        <x:v>-0.442</x:v>
      </x:c>
      <x:c r="Z69" s="48" t="n">
        <x:f>(Inputs!$H$6+Inputs!$L$6*(((Inputs!$I$6+(((A69)+1)/2)*(Inputs!$J$6-Inputs!$I$6)))/Inputs!$K$6)^2)</x:f>
        <x:v>400.781456</x:v>
      </x:c>
      <x:c r="AA69" s="48" t="n">
        <x:f>(Inputs!$H$7+Inputs!$L$7*(((Inputs!$I$7+(((A69)+1)/2)*(Inputs!$J$7-Inputs!$I$7)))/Inputs!$K$7)^2)</x:f>
        <x:v>106.30785999999998</x:v>
      </x:c>
      <x:c r="AB69" s="48" t="n">
        <x:f>(Inputs!$H$8+Inputs!$L$8*(((Inputs!$I$8+(((A69)+1)/2)*(Inputs!$J$8-Inputs!$I$8)))/Inputs!$K$8)^2)</x:f>
        <x:v>223.52625999999995</x:v>
      </x:c>
      <x:c r="AC69" s="48" t="n">
        <x:f>(Inputs!$H$9+Inputs!$L$9*(((Inputs!$I$9+(((A69)+1)/2)*(Inputs!$J$9-Inputs!$I$9)))/Inputs!$K$9)^2)</x:f>
        <x:v>215.47989999999996</x:v>
      </x:c>
      <x:c r="AD69" s="49"/>
      <x:c r="AE69" s="48" t="n">
        <x:f>A69</x:f>
        <x:v>-0.442</x:v>
      </x:c>
      <x:c r="AF69" s="48" t="n">
        <x:f>(((SQRT((Inputs!$C$52+((Inputs!$H$6+Inputs!$L$6*(((Inputs!$I$6+(((A69)+1)/2)*(Inputs!$J$6-Inputs!$I$6)))/Inputs!$K$6)^2)))^2+Inputs!$C$52^2-2*(Inputs!$C$52+((Inputs!$H$6+Inputs!$L$6*(((Inputs!$I$6+(((A69)+1)/2)*(Inputs!$J$6-Inputs!$I$6)))/Inputs!$K$6)^2)))*Inputs!$C$52*COS(SQRT(((Inputs!$I$6+(((A69)+1)/2)*(Inputs!$J$6-Inputs!$I$6)))^2+Inputs!$C$6^2)/Inputs!$C$52)))-((Inputs!$H$6+Inputs!$L$6*(((Inputs!$I$6+(((A69)+1)/2)*(Inputs!$J$6-Inputs!$I$6)))/Inputs!$K$6)^2)))*1000/Inputs!$C$12)</x:f>
        <x:v>1166.9636404009684</x:v>
      </x:c>
      <x:c r="AG69" s="48" t="n">
        <x:f>(((SQRT((Inputs!$C$52+((Inputs!$H$7+Inputs!$L$7*(((Inputs!$I$7+(((A69)+1)/2)*(Inputs!$J$7-Inputs!$I$7)))/Inputs!$K$7)^2)))^2+Inputs!$C$52^2-2*(Inputs!$C$52+((Inputs!$H$7+Inputs!$L$7*(((Inputs!$I$7+(((A69)+1)/2)*(Inputs!$J$7-Inputs!$I$7)))/Inputs!$K$7)^2)))*Inputs!$C$52*COS(SQRT(((Inputs!$I$7+(((A69)+1)/2)*(Inputs!$J$7-Inputs!$I$7)))^2+Inputs!$C$6^2)/Inputs!$C$52)))-((Inputs!$H$7+Inputs!$L$7*(((Inputs!$I$7+(((A69)+1)/2)*(Inputs!$J$7-Inputs!$I$7)))/Inputs!$K$7)^2)))*1000/Inputs!$C$12)</x:f>
        <x:v>59873.55178339641</x:v>
      </x:c>
      <x:c r="AH69" s="48" t="n">
        <x:f>(((SQRT((Inputs!$C$52+((Inputs!$H$8+Inputs!$L$8*(((Inputs!$I$8+(((A69)+1)/2)*(Inputs!$J$8-Inputs!$I$8)))/Inputs!$K$8)^2)))^2+Inputs!$C$52^2-2*(Inputs!$C$52+((Inputs!$H$8+Inputs!$L$8*(((Inputs!$I$8+(((A69)+1)/2)*(Inputs!$J$8-Inputs!$I$8)))/Inputs!$K$8)^2)))*Inputs!$C$52*COS(SQRT(((Inputs!$I$8+(((A69)+1)/2)*(Inputs!$J$8-Inputs!$I$8)))^2+Inputs!$C$6^2)/Inputs!$C$52)))-((Inputs!$H$8+Inputs!$L$8*(((Inputs!$I$8+(((A69)+1)/2)*(Inputs!$J$8-Inputs!$I$8)))/Inputs!$K$8)^2)))*1000/Inputs!$C$12)</x:f>
        <x:v>121231.96584214328</x:v>
      </x:c>
      <x:c r="AI69" s="48" t="n">
        <x:f>(((SQRT((Inputs!$C$52+((Inputs!$H$9+Inputs!$L$9*(((Inputs!$I$9+(((A69)+1)/2)*(Inputs!$J$9-Inputs!$I$9)))/Inputs!$K$9)^2)))^2+Inputs!$C$52^2-2*(Inputs!$C$52+((Inputs!$H$9+Inputs!$L$9*(((Inputs!$I$9+(((A69)+1)/2)*(Inputs!$J$9-Inputs!$I$9)))/Inputs!$K$9)^2)))*Inputs!$C$52*COS(SQRT(((Inputs!$I$9+(((A69)+1)/2)*(Inputs!$J$9-Inputs!$I$9)))^2+Inputs!$C$6^2)/Inputs!$C$52)))-((Inputs!$H$9+Inputs!$L$9*(((Inputs!$I$9+(((A69)+1)/2)*(Inputs!$J$9-Inputs!$I$9)))/Inputs!$K$9)^2)))*1000/Inputs!$C$12)</x:f>
        <x:v>123066.75329043697</x:v>
      </x:c>
      <x:c r="AJ69" s="49"/>
      <x:c r="AK69" s="48" t="n">
        <x:f>A69</x:f>
        <x:v>-0.442</x:v>
      </x:c>
      <x:c r="AL69" s="48" t="n">
        <x: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x:f>
        <x:v>226.26785644062778</x:v>
      </x:c>
      <x:c r="AM69" s="48" t="n">
        <x: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x:f>
        <x:v>2122.5845865903175</x:v>
      </x:c>
      <x:c r="AN69" s="48" t="n">
        <x: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x:f>
        <x:v>2483.353077122159</x:v>
      </x:c>
      <x:c r="AO69" s="48" t="n">
        <x: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x:f>
        <x:v>2482.824118237223</x:v>
      </x:c>
      <x:c r="AP69" s="49"/>
      <x:c r="AQ69" s="48" t="n">
        <x:f>A69</x:f>
        <x:v>-0.442</x:v>
      </x:c>
      <x:c r="AR69" s="48" t="n">
        <x:f>0</x:f>
        <x:v>0</x:v>
      </x:c>
      <x:c r="AS69" s="48" t="n">
        <x: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(0.45*SIN(2*PI()*((((Inputs!$I$6+(((A69)+1)/2)*(Inputs!$J$6-Inputs!$I$6)))/Inputs!$C$49)+Inputs!$C$47*0.137))+0.35*COS(2*PI()*(((Inputs!$C$6)/Inputs!$C$50)+Inputs!$C$47*0.173))+0.20*SIN(2*PI()*((((Inputs!$I$6+(((A69)+1)/2)*(Inputs!$J$6-Inputs!$I$6)))+(Inputs!$C$6))/(0.5*(Inputs!$C$49+Inputs!$C$50))+Inputs!$C$47*0.097)))+0.30*(2*((SIN((((Inputs!$I$6+(((A69)+1)/2)*(Inputs!$J$6-Inputs!$I$6)))*12.9898+(Inputs!$C$6)*78.233+Inputs!$C$47*37.719))*43758.5453)-INT((SIN((((Inputs!$I$6+(((A69)+1)/2)*(Inputs!$J$6-Inputs!$I$6)))*12.9898+(Inputs!$C$6)*78.233+Inputs!$C$47*37.719))*43758.5453)))-1))),NA())</x:f>
        <x:v>274.52106022361886</x:v>
      </x:c>
      <x:c r="AT69" s="48" t="n">
        <x: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(0.45*SIN(2*PI()*((((Inputs!$I$7+(((A69)+1)/2)*(Inputs!$J$7-Inputs!$I$7)))/Inputs!$C$49)+Inputs!$C$47*0.137))+0.35*COS(2*PI()*(((Inputs!$C$6)/Inputs!$C$50)+Inputs!$C$47*0.173))+0.20*SIN(2*PI()*((((Inputs!$I$7+(((A69)+1)/2)*(Inputs!$J$7-Inputs!$I$7)))+(Inputs!$C$6))/(0.5*(Inputs!$C$49+Inputs!$C$50))+Inputs!$C$47*0.097)))+0.30*(2*((SIN((((Inputs!$I$7+(((A69)+1)/2)*(Inputs!$J$7-Inputs!$I$7)))*12.9898+(Inputs!$C$6)*78.233+Inputs!$C$47*37.719))*43758.5453)-INT((SIN((((Inputs!$I$7+(((A69)+1)/2)*(Inputs!$J$7-Inputs!$I$7)))*12.9898+(Inputs!$C$6)*78.233+Inputs!$C$47*37.719))*43758.5453)))-1))),NA())</x:f>
        <x:v>213.2773726761311</x:v>
      </x:c>
      <x:c r="AU69" s="48" t="n">
        <x: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(0.45*SIN(2*PI()*((((Inputs!$I$8+(((A69)+1)/2)*(Inputs!$J$8-Inputs!$I$8)))/Inputs!$C$49)+Inputs!$C$47*0.137))+0.35*COS(2*PI()*(((Inputs!$C$6)/Inputs!$C$50)+Inputs!$C$47*0.173))+0.20*SIN(2*PI()*((((Inputs!$I$8+(((A69)+1)/2)*(Inputs!$J$8-Inputs!$I$8)))+(Inputs!$C$6))/(0.5*(Inputs!$C$49+Inputs!$C$50))+Inputs!$C$47*0.097)))+0.30*(2*((SIN((((Inputs!$I$8+(((A69)+1)/2)*(Inputs!$J$8-Inputs!$I$8)))*12.9898+(Inputs!$C$6)*78.233+Inputs!$C$47*37.719))*43758.5453)-INT((SIN((((Inputs!$I$8+(((A69)+1)/2)*(Inputs!$J$8-Inputs!$I$8)))*12.9898+(Inputs!$C$6)*78.233+Inputs!$C$47*37.719))*43758.5453)))-1))),NA())</x:f>
        <x:v>196.89962334566582</x:v>
      </x:c>
      <x:c r="AV69" s="48" t="n">
        <x: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(0.45*SIN(2*PI()*((((Inputs!$I$9+(((A69)+1)/2)*(Inputs!$J$9-Inputs!$I$9)))/Inputs!$C$49)+Inputs!$C$47*0.137))+0.35*COS(2*PI()*(((Inputs!$C$6)/Inputs!$C$50)+Inputs!$C$47*0.173))+0.20*SIN(2*PI()*((((Inputs!$I$9+(((A69)+1)/2)*(Inputs!$J$9-Inputs!$I$9)))+(Inputs!$C$6))/(0.5*(Inputs!$C$49+Inputs!$C$50))+Inputs!$C$47*0.097)))+0.30*(2*((SIN((((Inputs!$I$9+(((A69)+1)/2)*(Inputs!$J$9-Inputs!$I$9)))*12.9898+(Inputs!$C$6)*78.233+Inputs!$C$47*37.719))*43758.5453)-INT((SIN((((Inputs!$I$9+(((A69)+1)/2)*(Inputs!$J$9-Inputs!$I$9)))*12.9898+(Inputs!$C$6)*78.233+Inputs!$C$47*37.719))*43758.5453)))-1))),NA())</x:f>
        <x:v>196.89962334566582</x:v>
      </x:c>
      <x:c r="AW69" s="49"/>
      <x:c r="AX69" s="48" t="n">
        <x:f>A69</x:f>
        <x:v>-0.442</x:v>
      </x:c>
      <x:c r="AY69" s="48" t="n">
        <x:f>0</x:f>
        <x:v>0</x:v>
      </x:c>
      <x:c r="AZ69" s="48" t="n">
        <x:f>IF(OR(Inputs!$F$6=TRUE,Inputs!$F$6="TRUE",Inputs!$F$6=1),(Inputs!$H$6+Inputs!$L$6*(((Inputs!$I$6+(((A69)+1)/2)*(Inputs!$J$6-Inputs!$I$6)))/Inputs!$K$6)^2),NA())</x:f>
        <x:v>400.781456</x:v>
      </x:c>
      <x:c r="BA69" s="48" t="n">
        <x:f>IF(OR(Inputs!$F$7=TRUE,Inputs!$F$7="TRUE",Inputs!$F$7=1),(Inputs!$H$7+Inputs!$L$7*(((Inputs!$I$7+(((A69)+1)/2)*(Inputs!$J$7-Inputs!$I$7)))/Inputs!$K$7)^2),NA())</x:f>
        <x:v>106.30785999999998</x:v>
      </x:c>
      <x:c r="BB69" s="48" t="n">
        <x:f>IF(OR(Inputs!$F$8=TRUE,Inputs!$F$8="TRUE",Inputs!$F$8=1),(Inputs!$H$8+Inputs!$L$8*(((Inputs!$I$8+(((A69)+1)/2)*(Inputs!$J$8-Inputs!$I$8)))/Inputs!$K$8)^2),NA())</x:f>
        <x:v>223.52625999999995</x:v>
      </x:c>
      <x:c r="BC69" s="48" t="n">
        <x:f>IF(OR(Inputs!$F$9=TRUE,Inputs!$F$9="TRUE",Inputs!$F$9=1),(Inputs!$H$9+Inputs!$L$9*(((Inputs!$I$9+(((A69)+1)/2)*(Inputs!$J$9-Inputs!$I$9)))/Inputs!$K$9)^2),NA())</x:f>
        <x:v>215.47989999999996</x:v>
      </x:c>
      <x:c r="BD69" s="49"/>
      <x:c r="BE69" s="48" t="n">
        <x:f>A69</x:f>
        <x:v>-0.442</x:v>
      </x:c>
      <x:c r="BF69" s="48" t="n">
        <x:f>0</x:f>
        <x:v>0</x:v>
      </x:c>
      <x:c r="BG69" s="48"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BH69" s="48"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BI69" s="48"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BJ69" s="48"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row>
    <x:row r="70">
      <x:c r="A70" s="48" t="n">
        <x:f>ROUND(-1+68*2/240,3)</x:f>
        <x:v>-0.433</x:v>
      </x:c>
      <x:c r="B70" s="48" t="n">
        <x:f>IF(OR(Inputs!$F$6=TRUE,Inputs!$F$6="TRUE",Inputs!$F$6=1),(Inputs!$H$6+Inputs!$L$6*(((Inputs!$I$6+(((A70)+1)/2)*(Inputs!$J$6-Inputs!$I$6)))/Inputs!$K$6)^2),NA())</x:f>
        <x:v>400.749956</x:v>
      </x:c>
      <x:c r="C70" s="48" t="n">
        <x:f>IF(OR(Inputs!$F$7=TRUE,Inputs!$F$7="TRUE",Inputs!$F$7=1),(Inputs!$H$7+Inputs!$L$7*(((Inputs!$I$7+(((A70)+1)/2)*(Inputs!$J$7-Inputs!$I$7)))/Inputs!$K$7)^2),NA())</x:f>
        <x:v>103.43348500000002</x:v>
      </x:c>
      <x:c r="D70" s="48" t="n">
        <x:f>IF(OR(Inputs!$F$8=TRUE,Inputs!$F$8="TRUE",Inputs!$F$8=1),(Inputs!$H$8+Inputs!$L$8*(((Inputs!$I$8+(((A70)+1)/2)*(Inputs!$J$8-Inputs!$I$8)))/Inputs!$K$8)^2),NA())</x:f>
        <x:v>215.92688500000006</x:v>
      </x:c>
      <x:c r="E70" s="48" t="n">
        <x:f>IF(OR(Inputs!$F$9=TRUE,Inputs!$F$9="TRUE",Inputs!$F$9=1),(Inputs!$H$9+Inputs!$L$9*(((Inputs!$I$9+(((A70)+1)/2)*(Inputs!$J$9-Inputs!$I$9)))/Inputs!$K$9)^2),NA())</x:f>
        <x:v>207.80177500000005</x:v>
      </x:c>
      <x:c r="F70" s="49"/>
      <x:c r="G70" s="48" t="n">
        <x:f>A70</x:f>
        <x:v>-0.433</x:v>
      </x:c>
      <x:c r="H70" s="48"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I70" s="48"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J70" s="48"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K70" s="48"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c r="L70" s="49"/>
      <x:c r="M70" s="48" t="n">
        <x:f>A70</x:f>
        <x:v>-0.433</x:v>
      </x:c>
      <x:c r="N70" s="48" t="n">
        <x: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x:f>
        <x:v>221.6910551464016</x:v>
      </x:c>
      <x:c r="O70" s="48" t="n">
        <x: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x:f>
        <x:v>2104.6439840188036</x:v>
      </x:c>
      <x:c r="P70" s="48" t="n">
        <x: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x:f>
        <x:v>2454.250298117243</x:v>
      </x:c>
      <x:c r="Q70" s="48" t="n">
        <x: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x:f>
        <x:v>2453.18177329676</x:v>
      </x:c>
      <x:c r="R70" s="49"/>
      <x:c r="S70" s="48" t="n">
        <x:f>A70</x:f>
        <x:v>-0.433</x:v>
      </x:c>
      <x:c r="T70" s="48" t="n">
        <x:f>(Inputs!$I$6+(((A70)+1)/2)*(Inputs!$J$6-Inputs!$I$6))</x:f>
        <x:v>-25.980000000000004</x:v>
      </x:c>
      <x:c r="U70" s="48" t="n">
        <x:f>(Inputs!$I$7+(((A70)+1)/2)*(Inputs!$J$7-Inputs!$I$7))</x:f>
        <x:v>-173.20000000000002</x:v>
      </x:c>
      <x:c r="V70" s="48" t="n">
        <x:f>(Inputs!$I$8+(((A70)+1)/2)*(Inputs!$J$8-Inputs!$I$8))</x:f>
        <x:v>-346.40000000000003</x:v>
      </x:c>
      <x:c r="W70" s="48" t="n">
        <x:f>(Inputs!$I$9+(((A70)+1)/2)*(Inputs!$J$9-Inputs!$I$9))</x:f>
        <x:v>-346.40000000000003</x:v>
      </x:c>
      <x:c r="X70" s="49"/>
      <x:c r="Y70" s="48" t="n">
        <x:f>A70</x:f>
        <x:v>-0.433</x:v>
      </x:c>
      <x:c r="Z70" s="48" t="n">
        <x:f>(Inputs!$H$6+Inputs!$L$6*(((Inputs!$I$6+(((A70)+1)/2)*(Inputs!$J$6-Inputs!$I$6)))/Inputs!$K$6)^2)</x:f>
        <x:v>400.749956</x:v>
      </x:c>
      <x:c r="AA70" s="48" t="n">
        <x:f>(Inputs!$H$7+Inputs!$L$7*(((Inputs!$I$7+(((A70)+1)/2)*(Inputs!$J$7-Inputs!$I$7)))/Inputs!$K$7)^2)</x:f>
        <x:v>103.43348500000002</x:v>
      </x:c>
      <x:c r="AB70" s="48" t="n">
        <x:f>(Inputs!$H$8+Inputs!$L$8*(((Inputs!$I$8+(((A70)+1)/2)*(Inputs!$J$8-Inputs!$I$8)))/Inputs!$K$8)^2)</x:f>
        <x:v>215.92688500000006</x:v>
      </x:c>
      <x:c r="AC70" s="48" t="n">
        <x:f>(Inputs!$H$9+Inputs!$L$9*(((Inputs!$I$9+(((A70)+1)/2)*(Inputs!$J$9-Inputs!$I$9)))/Inputs!$K$9)^2)</x:f>
        <x:v>207.80177500000005</x:v>
      </x:c>
      <x:c r="AD70" s="49"/>
      <x:c r="AE70" s="48" t="n">
        <x:f>A70</x:f>
        <x:v>-0.433</x:v>
      </x:c>
      <x:c r="AF70" s="48" t="n">
        <x:f>(((SQRT((Inputs!$C$52+((Inputs!$H$6+Inputs!$L$6*(((Inputs!$I$6+(((A70)+1)/2)*(Inputs!$J$6-Inputs!$I$6)))/Inputs!$K$6)^2)))^2+Inputs!$C$52^2-2*(Inputs!$C$52+((Inputs!$H$6+Inputs!$L$6*(((Inputs!$I$6+(((A70)+1)/2)*(Inputs!$J$6-Inputs!$I$6)))/Inputs!$K$6)^2)))*Inputs!$C$52*COS(SQRT(((Inputs!$I$6+(((A70)+1)/2)*(Inputs!$J$6-Inputs!$I$6)))^2+Inputs!$C$6^2)/Inputs!$C$52)))-((Inputs!$H$6+Inputs!$L$6*(((Inputs!$I$6+(((A70)+1)/2)*(Inputs!$J$6-Inputs!$I$6)))/Inputs!$K$6)^2)))*1000/Inputs!$C$12)</x:f>
        <x:v>1142.192225081589</x:v>
      </x:c>
      <x:c r="AG70" s="48" t="n">
        <x:f>(((SQRT((Inputs!$C$52+((Inputs!$H$7+Inputs!$L$7*(((Inputs!$I$7+(((A70)+1)/2)*(Inputs!$J$7-Inputs!$I$7)))/Inputs!$K$7)^2)))^2+Inputs!$C$52^2-2*(Inputs!$C$52+((Inputs!$H$7+Inputs!$L$7*(((Inputs!$I$7+(((A70)+1)/2)*(Inputs!$J$7-Inputs!$I$7)))/Inputs!$K$7)^2)))*Inputs!$C$52*COS(SQRT(((Inputs!$I$7+(((A70)+1)/2)*(Inputs!$J$7-Inputs!$I$7)))^2+Inputs!$C$6^2)/Inputs!$C$52)))-((Inputs!$H$7+Inputs!$L$7*(((Inputs!$I$7+(((A70)+1)/2)*(Inputs!$J$7-Inputs!$I$7)))/Inputs!$K$7)^2)))*1000/Inputs!$C$12)</x:f>
        <x:v>58816.68198708373</x:v>
      </x:c>
      <x:c r="AH70" s="48" t="n">
        <x:f>(((SQRT((Inputs!$C$52+((Inputs!$H$8+Inputs!$L$8*(((Inputs!$I$8+(((A70)+1)/2)*(Inputs!$J$8-Inputs!$I$8)))/Inputs!$K$8)^2)))^2+Inputs!$C$52^2-2*(Inputs!$C$52+((Inputs!$H$8+Inputs!$L$8*(((Inputs!$I$8+(((A70)+1)/2)*(Inputs!$J$8-Inputs!$I$8)))/Inputs!$K$8)^2)))*Inputs!$C$52*COS(SQRT(((Inputs!$I$8+(((A70)+1)/2)*(Inputs!$J$8-Inputs!$I$8)))^2+Inputs!$C$6^2)/Inputs!$C$52)))-((Inputs!$H$8+Inputs!$L$8*(((Inputs!$I$8+(((A70)+1)/2)*(Inputs!$J$8-Inputs!$I$8)))/Inputs!$K$8)^2)))*1000/Inputs!$C$12)</x:f>
        <x:v>119259.99280237066</x:v>
      </x:c>
      <x:c r="AI70" s="48" t="n">
        <x:f>(((SQRT((Inputs!$C$52+((Inputs!$H$9+Inputs!$L$9*(((Inputs!$I$9+(((A70)+1)/2)*(Inputs!$J$9-Inputs!$I$9)))/Inputs!$K$9)^2)))^2+Inputs!$C$52^2-2*(Inputs!$C$52+((Inputs!$H$9+Inputs!$L$9*(((Inputs!$I$9+(((A70)+1)/2)*(Inputs!$J$9-Inputs!$I$9)))/Inputs!$K$9)^2)))*Inputs!$C$52*COS(SQRT(((Inputs!$I$9+(((A70)+1)/2)*(Inputs!$J$9-Inputs!$I$9)))^2+Inputs!$C$6^2)/Inputs!$C$52)))-((Inputs!$H$9+Inputs!$L$9*(((Inputs!$I$9+(((A70)+1)/2)*(Inputs!$J$9-Inputs!$I$9)))/Inputs!$K$9)^2)))*1000/Inputs!$C$12)</x:f>
        <x:v>121141.0430123097</x:v>
      </x:c>
      <x:c r="AJ70" s="49"/>
      <x:c r="AK70" s="48" t="n">
        <x:f>A70</x:f>
        <x:v>-0.433</x:v>
      </x:c>
      <x:c r="AL70" s="48" t="n">
        <x: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x:f>
        <x:v>221.6910551464016</x:v>
      </x:c>
      <x:c r="AM70" s="48" t="n">
        <x: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x:f>
        <x:v>2104.6439840188036</x:v>
      </x:c>
      <x:c r="AN70" s="48" t="n">
        <x: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x:f>
        <x:v>2454.250298117243</x:v>
      </x:c>
      <x:c r="AO70" s="48" t="n">
        <x: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x:f>
        <x:v>2453.18177329676</x:v>
      </x:c>
      <x:c r="AP70" s="49"/>
      <x:c r="AQ70" s="48" t="n">
        <x:f>A70</x:f>
        <x:v>-0.433</x:v>
      </x:c>
      <x:c r="AR70" s="48" t="n">
        <x:f>0</x:f>
        <x:v>0</x:v>
      </x:c>
      <x:c r="AS70" s="48" t="n">
        <x: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(0.45*SIN(2*PI()*((((Inputs!$I$6+(((A70)+1)/2)*(Inputs!$J$6-Inputs!$I$6)))/Inputs!$C$49)+Inputs!$C$47*0.137))+0.35*COS(2*PI()*(((Inputs!$C$6)/Inputs!$C$50)+Inputs!$C$47*0.173))+0.20*SIN(2*PI()*((((Inputs!$I$6+(((A70)+1)/2)*(Inputs!$J$6-Inputs!$I$6)))+(Inputs!$C$6))/(0.5*(Inputs!$C$49+Inputs!$C$50))+Inputs!$C$47*0.097)))+0.30*(2*((SIN((((Inputs!$I$6+(((A70)+1)/2)*(Inputs!$J$6-Inputs!$I$6)))*12.9898+(Inputs!$C$6)*78.233+Inputs!$C$47*37.719))*43758.5453)-INT((SIN((((Inputs!$I$6+(((A70)+1)/2)*(Inputs!$J$6-Inputs!$I$6)))*12.9898+(Inputs!$C$6)*78.233+Inputs!$C$47*37.719))*43758.5453)))-1))),NA())</x:f>
        <x:v>273.4337353871225</x:v>
      </x:c>
      <x:c r="AT70" s="48" t="n">
        <x: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(0.45*SIN(2*PI()*((((Inputs!$I$7+(((A70)+1)/2)*(Inputs!$J$7-Inputs!$I$7)))/Inputs!$C$49)+Inputs!$C$47*0.137))+0.35*COS(2*PI()*(((Inputs!$C$6)/Inputs!$C$50)+Inputs!$C$47*0.173))+0.20*SIN(2*PI()*((((Inputs!$I$7+(((A70)+1)/2)*(Inputs!$J$7-Inputs!$I$7)))+(Inputs!$C$6))/(0.5*(Inputs!$C$49+Inputs!$C$50))+Inputs!$C$47*0.097)))+0.30*(2*((SIN((((Inputs!$I$7+(((A70)+1)/2)*(Inputs!$J$7-Inputs!$I$7)))*12.9898+(Inputs!$C$6)*78.233+Inputs!$C$47*37.719))*43758.5453)-INT((SIN((((Inputs!$I$7+(((A70)+1)/2)*(Inputs!$J$7-Inputs!$I$7)))*12.9898+(Inputs!$C$6)*78.233+Inputs!$C$47*37.719))*43758.5453)))-1))),NA())</x:f>
        <x:v>174.20048025772203</x:v>
      </x:c>
      <x:c r="AU70" s="48" t="n">
        <x: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(0.45*SIN(2*PI()*((((Inputs!$I$8+(((A70)+1)/2)*(Inputs!$J$8-Inputs!$I$8)))/Inputs!$C$49)+Inputs!$C$47*0.137))+0.35*COS(2*PI()*(((Inputs!$C$6)/Inputs!$C$50)+Inputs!$C$47*0.173))+0.20*SIN(2*PI()*((((Inputs!$I$8+(((A70)+1)/2)*(Inputs!$J$8-Inputs!$I$8)))+(Inputs!$C$6))/(0.5*(Inputs!$C$49+Inputs!$C$50))+Inputs!$C$47*0.097)))+0.30*(2*((SIN((((Inputs!$I$8+(((A70)+1)/2)*(Inputs!$J$8-Inputs!$I$8)))*12.9898+(Inputs!$C$6)*78.233+Inputs!$C$47*37.719))*43758.5453)-INT((SIN((((Inputs!$I$8+(((A70)+1)/2)*(Inputs!$J$8-Inputs!$I$8)))*12.9898+(Inputs!$C$6)*78.233+Inputs!$C$47*37.719))*43758.5453)))-1))),NA())</x:f>
        <x:v>92.7921672822971</x:v>
      </x:c>
      <x:c r="AV70" s="48" t="n">
        <x: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(0.45*SIN(2*PI()*((((Inputs!$I$9+(((A70)+1)/2)*(Inputs!$J$9-Inputs!$I$9)))/Inputs!$C$49)+Inputs!$C$47*0.137))+0.35*COS(2*PI()*(((Inputs!$C$6)/Inputs!$C$50)+Inputs!$C$47*0.173))+0.20*SIN(2*PI()*((((Inputs!$I$9+(((A70)+1)/2)*(Inputs!$J$9-Inputs!$I$9)))+(Inputs!$C$6))/(0.5*(Inputs!$C$49+Inputs!$C$50))+Inputs!$C$47*0.097)))+0.30*(2*((SIN((((Inputs!$I$9+(((A70)+1)/2)*(Inputs!$J$9-Inputs!$I$9)))*12.9898+(Inputs!$C$6)*78.233+Inputs!$C$47*37.719))*43758.5453)-INT((SIN((((Inputs!$I$9+(((A70)+1)/2)*(Inputs!$J$9-Inputs!$I$9)))*12.9898+(Inputs!$C$6)*78.233+Inputs!$C$47*37.719))*43758.5453)))-1))),NA())</x:f>
        <x:v>92.7921672822971</x:v>
      </x:c>
      <x:c r="AW70" s="49"/>
      <x:c r="AX70" s="48" t="n">
        <x:f>A70</x:f>
        <x:v>-0.433</x:v>
      </x:c>
      <x:c r="AY70" s="48" t="n">
        <x:f>0</x:f>
        <x:v>0</x:v>
      </x:c>
      <x:c r="AZ70" s="48" t="n">
        <x:f>IF(OR(Inputs!$F$6=TRUE,Inputs!$F$6="TRUE",Inputs!$F$6=1),(Inputs!$H$6+Inputs!$L$6*(((Inputs!$I$6+(((A70)+1)/2)*(Inputs!$J$6-Inputs!$I$6)))/Inputs!$K$6)^2),NA())</x:f>
        <x:v>400.749956</x:v>
      </x:c>
      <x:c r="BA70" s="48" t="n">
        <x:f>IF(OR(Inputs!$F$7=TRUE,Inputs!$F$7="TRUE",Inputs!$F$7=1),(Inputs!$H$7+Inputs!$L$7*(((Inputs!$I$7+(((A70)+1)/2)*(Inputs!$J$7-Inputs!$I$7)))/Inputs!$K$7)^2),NA())</x:f>
        <x:v>103.43348500000002</x:v>
      </x:c>
      <x:c r="BB70" s="48" t="n">
        <x:f>IF(OR(Inputs!$F$8=TRUE,Inputs!$F$8="TRUE",Inputs!$F$8=1),(Inputs!$H$8+Inputs!$L$8*(((Inputs!$I$8+(((A70)+1)/2)*(Inputs!$J$8-Inputs!$I$8)))/Inputs!$K$8)^2),NA())</x:f>
        <x:v>215.92688500000006</x:v>
      </x:c>
      <x:c r="BC70" s="48" t="n">
        <x:f>IF(OR(Inputs!$F$9=TRUE,Inputs!$F$9="TRUE",Inputs!$F$9=1),(Inputs!$H$9+Inputs!$L$9*(((Inputs!$I$9+(((A70)+1)/2)*(Inputs!$J$9-Inputs!$I$9)))/Inputs!$K$9)^2),NA())</x:f>
        <x:v>207.80177500000005</x:v>
      </x:c>
      <x:c r="BD70" s="49"/>
      <x:c r="BE70" s="48" t="n">
        <x:f>A70</x:f>
        <x:v>-0.433</x:v>
      </x:c>
      <x:c r="BF70" s="48" t="n">
        <x:f>0</x:f>
        <x:v>0</x:v>
      </x:c>
      <x:c r="BG70" s="48"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BH70" s="48"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BI70" s="48"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BJ70" s="48"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row>
    <x:row r="71">
      <x:c r="A71" s="48" t="n">
        <x:f>ROUND(-1+69*2/240,3)</x:f>
        <x:v>-0.425</x:v>
      </x:c>
      <x:c r="B71" s="48" t="n">
        <x:f>IF(OR(Inputs!$F$6=TRUE,Inputs!$F$6="TRUE",Inputs!$F$6=1),(Inputs!$H$6+Inputs!$L$6*(((Inputs!$I$6+(((A71)+1)/2)*(Inputs!$J$6-Inputs!$I$6)))/Inputs!$K$6)^2),NA())</x:f>
        <x:v>400.7225</x:v>
      </x:c>
      <x:c r="C71" s="48" t="n">
        <x:f>IF(OR(Inputs!$F$7=TRUE,Inputs!$F$7="TRUE",Inputs!$F$7=1),(Inputs!$H$7+Inputs!$L$7*(((Inputs!$I$7+(((A71)+1)/2)*(Inputs!$J$7-Inputs!$I$7)))/Inputs!$K$7)^2),NA())</x:f>
        <x:v>100.92812500000001</x:v>
      </x:c>
      <x:c r="D71" s="48" t="n">
        <x:f>IF(OR(Inputs!$F$8=TRUE,Inputs!$F$8="TRUE",Inputs!$F$8=1),(Inputs!$H$8+Inputs!$L$8*(((Inputs!$I$8+(((A71)+1)/2)*(Inputs!$J$8-Inputs!$I$8)))/Inputs!$K$8)^2),NA())</x:f>
        <x:v>209.30312500000002</x:v>
      </x:c>
      <x:c r="E71" s="48" t="n">
        <x:f>IF(OR(Inputs!$F$9=TRUE,Inputs!$F$9="TRUE",Inputs!$F$9=1),(Inputs!$H$9+Inputs!$L$9*(((Inputs!$I$9+(((A71)+1)/2)*(Inputs!$J$9-Inputs!$I$9)))/Inputs!$K$9)^2),NA())</x:f>
        <x:v>201.10937500000003</x:v>
      </x:c>
      <x:c r="F71" s="49"/>
      <x:c r="G71" s="48" t="n">
        <x:f>A71</x:f>
        <x:v>-0.425</x:v>
      </x:c>
      <x:c r="H71" s="48"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I71" s="48"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J71" s="48"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K71" s="48"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c r="L71" s="49"/>
      <x:c r="M71" s="48" t="n">
        <x:f>A71</x:f>
        <x:v>-0.425</x:v>
      </x:c>
      <x:c r="N71" s="48" t="n">
        <x: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x:f>
        <x:v>217.62122157998533</x:v>
      </x:c>
      <x:c r="O71" s="48" t="n">
        <x: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x:f>
        <x:v>2088.8245942087237</x:v>
      </x:c>
      <x:c r="P71" s="48" t="n">
        <x: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x:f>
        <x:v>2428.6539519989774</x:v>
      </x:c>
      <x:c r="Q71" s="48" t="n">
        <x: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x:f>
        <x:v>2427.1137937459166</x:v>
      </x:c>
      <x:c r="R71" s="49"/>
      <x:c r="S71" s="48" t="n">
        <x:f>A71</x:f>
        <x:v>-0.425</x:v>
      </x:c>
      <x:c r="T71" s="48" t="n">
        <x:f>(Inputs!$I$6+(((A71)+1)/2)*(Inputs!$J$6-Inputs!$I$6))</x:f>
        <x:v>-25.5</x:v>
      </x:c>
      <x:c r="U71" s="48" t="n">
        <x:f>(Inputs!$I$7+(((A71)+1)/2)*(Inputs!$J$7-Inputs!$I$7))</x:f>
        <x:v>-170.00000000000003</x:v>
      </x:c>
      <x:c r="V71" s="48" t="n">
        <x:f>(Inputs!$I$8+(((A71)+1)/2)*(Inputs!$J$8-Inputs!$I$8))</x:f>
        <x:v>-340.00000000000006</x:v>
      </x:c>
      <x:c r="W71" s="48" t="n">
        <x:f>(Inputs!$I$9+(((A71)+1)/2)*(Inputs!$J$9-Inputs!$I$9))</x:f>
        <x:v>-340.00000000000006</x:v>
      </x:c>
      <x:c r="X71" s="49"/>
      <x:c r="Y71" s="48" t="n">
        <x:f>A71</x:f>
        <x:v>-0.425</x:v>
      </x:c>
      <x:c r="Z71" s="48" t="n">
        <x:f>(Inputs!$H$6+Inputs!$L$6*(((Inputs!$I$6+(((A71)+1)/2)*(Inputs!$J$6-Inputs!$I$6)))/Inputs!$K$6)^2)</x:f>
        <x:v>400.7225</x:v>
      </x:c>
      <x:c r="AA71" s="48" t="n">
        <x:f>(Inputs!$H$7+Inputs!$L$7*(((Inputs!$I$7+(((A71)+1)/2)*(Inputs!$J$7-Inputs!$I$7)))/Inputs!$K$7)^2)</x:f>
        <x:v>100.92812500000001</x:v>
      </x:c>
      <x:c r="AB71" s="48" t="n">
        <x:f>(Inputs!$H$8+Inputs!$L$8*(((Inputs!$I$8+(((A71)+1)/2)*(Inputs!$J$8-Inputs!$I$8)))/Inputs!$K$8)^2)</x:f>
        <x:v>209.30312500000002</x:v>
      </x:c>
      <x:c r="AC71" s="48" t="n">
        <x:f>(Inputs!$H$9+Inputs!$L$9*(((Inputs!$I$9+(((A71)+1)/2)*(Inputs!$J$9-Inputs!$I$9)))/Inputs!$K$9)^2)</x:f>
        <x:v>201.10937500000003</x:v>
      </x:c>
      <x:c r="AD71" s="49"/>
      <x:c r="AE71" s="48" t="n">
        <x:f>A71</x:f>
        <x:v>-0.425</x:v>
      </x:c>
      <x:c r="AF71" s="48" t="n">
        <x:f>(((SQRT((Inputs!$C$52+((Inputs!$H$6+Inputs!$L$6*(((Inputs!$I$6+(((A71)+1)/2)*(Inputs!$J$6-Inputs!$I$6)))/Inputs!$K$6)^2)))^2+Inputs!$C$52^2-2*(Inputs!$C$52+((Inputs!$H$6+Inputs!$L$6*(((Inputs!$I$6+(((A71)+1)/2)*(Inputs!$J$6-Inputs!$I$6)))/Inputs!$K$6)^2)))*Inputs!$C$52*COS(SQRT(((Inputs!$I$6+(((A71)+1)/2)*(Inputs!$J$6-Inputs!$I$6)))^2+Inputs!$C$6^2)/Inputs!$C$52)))-((Inputs!$H$6+Inputs!$L$6*(((Inputs!$I$6+(((A71)+1)/2)*(Inputs!$J$6-Inputs!$I$6)))/Inputs!$K$6)^2)))*1000/Inputs!$C$12)</x:f>
        <x:v>1120.5962262068354</x:v>
      </x:c>
      <x:c r="AG71" s="48" t="n">
        <x:f>(((SQRT((Inputs!$C$52+((Inputs!$H$7+Inputs!$L$7*(((Inputs!$I$7+(((A71)+1)/2)*(Inputs!$J$7-Inputs!$I$7)))/Inputs!$K$7)^2)))^2+Inputs!$C$52^2-2*(Inputs!$C$52+((Inputs!$H$7+Inputs!$L$7*(((Inputs!$I$7+(((A71)+1)/2)*(Inputs!$J$7-Inputs!$I$7)))/Inputs!$K$7)^2)))*Inputs!$C$52*COS(SQRT(((Inputs!$I$7+(((A71)+1)/2)*(Inputs!$J$7-Inputs!$I$7)))^2+Inputs!$C$6^2)/Inputs!$C$52)))-((Inputs!$H$7+Inputs!$L$7*(((Inputs!$I$7+(((A71)+1)/2)*(Inputs!$J$7-Inputs!$I$7)))/Inputs!$K$7)^2)))*1000/Inputs!$C$12)</x:f>
        <x:v>57868.31749088121</x:v>
      </x:c>
      <x:c r="AH71" s="48" t="n">
        <x:f>(((SQRT((Inputs!$C$52+((Inputs!$H$8+Inputs!$L$8*(((Inputs!$I$8+(((A71)+1)/2)*(Inputs!$J$8-Inputs!$I$8)))/Inputs!$K$8)^2)))^2+Inputs!$C$52^2-2*(Inputs!$C$52+((Inputs!$H$8+Inputs!$L$8*(((Inputs!$I$8+(((A71)+1)/2)*(Inputs!$J$8-Inputs!$I$8)))/Inputs!$K$8)^2)))*Inputs!$C$52*COS(SQRT(((Inputs!$I$8+(((A71)+1)/2)*(Inputs!$J$8-Inputs!$I$8)))^2+Inputs!$C$6^2)/Inputs!$C$52)))-((Inputs!$H$8+Inputs!$L$8*(((Inputs!$I$8+(((A71)+1)/2)*(Inputs!$J$8-Inputs!$I$8)))/Inputs!$K$8)^2)))*1000/Inputs!$C$12)</x:f>
        <x:v>117494.84561465748</x:v>
      </x:c>
      <x:c r="AI71" s="48" t="n">
        <x:f>(((SQRT((Inputs!$C$52+((Inputs!$H$9+Inputs!$L$9*(((Inputs!$I$9+(((A71)+1)/2)*(Inputs!$J$9-Inputs!$I$9)))/Inputs!$K$9)^2)))^2+Inputs!$C$52^2-2*(Inputs!$C$52+((Inputs!$H$9+Inputs!$L$9*(((Inputs!$I$9+(((A71)+1)/2)*(Inputs!$J$9-Inputs!$I$9)))/Inputs!$K$9)^2)))*Inputs!$C$52*COS(SQRT(((Inputs!$I$9+(((A71)+1)/2)*(Inputs!$J$9-Inputs!$I$9)))^2+Inputs!$C$6^2)/Inputs!$C$52)))-((Inputs!$H$9+Inputs!$L$9*(((Inputs!$I$9+(((A71)+1)/2)*(Inputs!$J$9-Inputs!$I$9)))/Inputs!$K$9)^2)))*1000/Inputs!$C$12)</x:f>
        <x:v>119417.39021214147</x:v>
      </x:c>
      <x:c r="AJ71" s="49"/>
      <x:c r="AK71" s="48" t="n">
        <x:f>A71</x:f>
        <x:v>-0.425</x:v>
      </x:c>
      <x:c r="AL71" s="48" t="n">
        <x: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x:f>
        <x:v>217.62122157998533</x:v>
      </x:c>
      <x:c r="AM71" s="48" t="n">
        <x: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x:f>
        <x:v>2088.8245942087237</x:v>
      </x:c>
      <x:c r="AN71" s="48" t="n">
        <x: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x:f>
        <x:v>2428.6539519989774</x:v>
      </x:c>
      <x:c r="AO71" s="48" t="n">
        <x: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x:f>
        <x:v>2427.1137937459166</x:v>
      </x:c>
      <x:c r="AP71" s="49"/>
      <x:c r="AQ71" s="48" t="n">
        <x:f>A71</x:f>
        <x:v>-0.425</x:v>
      </x:c>
      <x:c r="AR71" s="48" t="n">
        <x:f>0</x:f>
        <x:v>0</x:v>
      </x:c>
      <x:c r="AS71" s="48" t="n">
        <x: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(0.45*SIN(2*PI()*((((Inputs!$I$6+(((A71)+1)/2)*(Inputs!$J$6-Inputs!$I$6)))/Inputs!$C$49)+Inputs!$C$47*0.137))+0.35*COS(2*PI()*(((Inputs!$C$6)/Inputs!$C$50)+Inputs!$C$47*0.173))+0.20*SIN(2*PI()*((((Inputs!$I$6+(((A71)+1)/2)*(Inputs!$J$6-Inputs!$I$6)))+(Inputs!$C$6))/(0.5*(Inputs!$C$49+Inputs!$C$50))+Inputs!$C$47*0.097)))+0.30*(2*((SIN((((Inputs!$I$6+(((A71)+1)/2)*(Inputs!$J$6-Inputs!$I$6)))*12.9898+(Inputs!$C$6)*78.233+Inputs!$C$47*37.719))*43758.5453)-INT((SIN((((Inputs!$I$6+(((A71)+1)/2)*(Inputs!$J$6-Inputs!$I$6)))*12.9898+(Inputs!$C$6)*78.233+Inputs!$C$47*37.719))*43758.5453)))-1))),NA())</x:f>
        <x:v>271.72277085410076</x:v>
      </x:c>
      <x:c r="AT71" s="48" t="n">
        <x: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(0.45*SIN(2*PI()*((((Inputs!$I$7+(((A71)+1)/2)*(Inputs!$J$7-Inputs!$I$7)))/Inputs!$C$49)+Inputs!$C$47*0.137))+0.35*COS(2*PI()*(((Inputs!$C$6)/Inputs!$C$50)+Inputs!$C$47*0.173))+0.20*SIN(2*PI()*((((Inputs!$I$7+(((A71)+1)/2)*(Inputs!$J$7-Inputs!$I$7)))+(Inputs!$C$6))/(0.5*(Inputs!$C$49+Inputs!$C$50))+Inputs!$C$47*0.097)))+0.30*(2*((SIN((((Inputs!$I$7+(((A71)+1)/2)*(Inputs!$J$7-Inputs!$I$7)))*12.9898+(Inputs!$C$6)*78.233+Inputs!$C$47*37.719))*43758.5453)-INT((SIN((((Inputs!$I$7+(((A71)+1)/2)*(Inputs!$J$7-Inputs!$I$7)))*12.9898+(Inputs!$C$6)*78.233+Inputs!$C$47*37.719))*43758.5453)))-1))),NA())</x:f>
        <x:v>114.50242234257864</x:v>
      </x:c>
      <x:c r="AU71" s="48" t="n">
        <x: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(0.45*SIN(2*PI()*((((Inputs!$I$8+(((A71)+1)/2)*(Inputs!$J$8-Inputs!$I$8)))/Inputs!$C$49)+Inputs!$C$47*0.137))+0.35*COS(2*PI()*(((Inputs!$C$6)/Inputs!$C$50)+Inputs!$C$47*0.173))+0.20*SIN(2*PI()*((((Inputs!$I$8+(((A71)+1)/2)*(Inputs!$J$8-Inputs!$I$8)))+(Inputs!$C$6))/(0.5*(Inputs!$C$49+Inputs!$C$50))+Inputs!$C$47*0.097)))+0.30*(2*((SIN((((Inputs!$I$8+(((A71)+1)/2)*(Inputs!$J$8-Inputs!$I$8)))*12.9898+(Inputs!$C$6)*78.233+Inputs!$C$47*37.719))*43758.5453)-INT((SIN((((Inputs!$I$8+(((A71)+1)/2)*(Inputs!$J$8-Inputs!$I$8)))*12.9898+(Inputs!$C$6)*78.233+Inputs!$C$47*37.719))*43758.5453)))-1))),NA())</x:f>
        <x:v>177.9290525886078</x:v>
      </x:c>
      <x:c r="AV71" s="48" t="n">
        <x: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(0.45*SIN(2*PI()*((((Inputs!$I$9+(((A71)+1)/2)*(Inputs!$J$9-Inputs!$I$9)))/Inputs!$C$49)+Inputs!$C$47*0.137))+0.35*COS(2*PI()*(((Inputs!$C$6)/Inputs!$C$50)+Inputs!$C$47*0.173))+0.20*SIN(2*PI()*((((Inputs!$I$9+(((A71)+1)/2)*(Inputs!$J$9-Inputs!$I$9)))+(Inputs!$C$6))/(0.5*(Inputs!$C$49+Inputs!$C$50))+Inputs!$C$47*0.097)))+0.30*(2*((SIN((((Inputs!$I$9+(((A71)+1)/2)*(Inputs!$J$9-Inputs!$I$9)))*12.9898+(Inputs!$C$6)*78.233+Inputs!$C$47*37.719))*43758.5453)-INT((SIN((((Inputs!$I$9+(((A71)+1)/2)*(Inputs!$J$9-Inputs!$I$9)))*12.9898+(Inputs!$C$6)*78.233+Inputs!$C$47*37.719))*43758.5453)))-1))),NA())</x:f>
        <x:v>177.9290525886078</x:v>
      </x:c>
      <x:c r="AW71" s="49"/>
      <x:c r="AX71" s="48" t="n">
        <x:f>A71</x:f>
        <x:v>-0.425</x:v>
      </x:c>
      <x:c r="AY71" s="48" t="n">
        <x:f>0</x:f>
        <x:v>0</x:v>
      </x:c>
      <x:c r="AZ71" s="48" t="n">
        <x:f>IF(OR(Inputs!$F$6=TRUE,Inputs!$F$6="TRUE",Inputs!$F$6=1),(Inputs!$H$6+Inputs!$L$6*(((Inputs!$I$6+(((A71)+1)/2)*(Inputs!$J$6-Inputs!$I$6)))/Inputs!$K$6)^2),NA())</x:f>
        <x:v>400.7225</x:v>
      </x:c>
      <x:c r="BA71" s="48" t="n">
        <x:f>IF(OR(Inputs!$F$7=TRUE,Inputs!$F$7="TRUE",Inputs!$F$7=1),(Inputs!$H$7+Inputs!$L$7*(((Inputs!$I$7+(((A71)+1)/2)*(Inputs!$J$7-Inputs!$I$7)))/Inputs!$K$7)^2),NA())</x:f>
        <x:v>100.92812500000001</x:v>
      </x:c>
      <x:c r="BB71" s="48" t="n">
        <x:f>IF(OR(Inputs!$F$8=TRUE,Inputs!$F$8="TRUE",Inputs!$F$8=1),(Inputs!$H$8+Inputs!$L$8*(((Inputs!$I$8+(((A71)+1)/2)*(Inputs!$J$8-Inputs!$I$8)))/Inputs!$K$8)^2),NA())</x:f>
        <x:v>209.30312500000002</x:v>
      </x:c>
      <x:c r="BC71" s="48" t="n">
        <x:f>IF(OR(Inputs!$F$9=TRUE,Inputs!$F$9="TRUE",Inputs!$F$9=1),(Inputs!$H$9+Inputs!$L$9*(((Inputs!$I$9+(((A71)+1)/2)*(Inputs!$J$9-Inputs!$I$9)))/Inputs!$K$9)^2),NA())</x:f>
        <x:v>201.10937500000003</x:v>
      </x:c>
      <x:c r="BD71" s="49"/>
      <x:c r="BE71" s="48" t="n">
        <x:f>A71</x:f>
        <x:v>-0.425</x:v>
      </x:c>
      <x:c r="BF71" s="48" t="n">
        <x:f>0</x:f>
        <x:v>0</x:v>
      </x:c>
      <x:c r="BG71" s="48"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BH71" s="48"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BI71" s="48"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BJ71" s="48"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row>
    <x:row r="72">
      <x:c r="A72" s="48" t="n">
        <x:f>ROUND(-1+70*2/240,3)</x:f>
        <x:v>-0.417</x:v>
      </x:c>
      <x:c r="B72" s="48" t="n">
        <x:f>IF(OR(Inputs!$F$6=TRUE,Inputs!$F$6="TRUE",Inputs!$F$6=1),(Inputs!$H$6+Inputs!$L$6*(((Inputs!$I$6+(((A72)+1)/2)*(Inputs!$J$6-Inputs!$I$6)))/Inputs!$K$6)^2),NA())</x:f>
        <x:v>400.695556</x:v>
      </x:c>
      <x:c r="C72" s="48" t="n">
        <x:f>IF(OR(Inputs!$F$7=TRUE,Inputs!$F$7="TRUE",Inputs!$F$7=1),(Inputs!$H$7+Inputs!$L$7*(((Inputs!$I$7+(((A72)+1)/2)*(Inputs!$J$7-Inputs!$I$7)))/Inputs!$K$7)^2),NA())</x:f>
        <x:v>98.46948500000002</x:v>
      </x:c>
      <x:c r="D72" s="48" t="n">
        <x:f>IF(OR(Inputs!$F$8=TRUE,Inputs!$F$8="TRUE",Inputs!$F$8=1),(Inputs!$H$8+Inputs!$L$8*(((Inputs!$I$8+(((A72)+1)/2)*(Inputs!$J$8-Inputs!$I$8)))/Inputs!$K$8)^2),NA())</x:f>
        <x:v>202.80288500000003</x:v>
      </x:c>
      <x:c r="E72" s="48" t="n">
        <x:f>IF(OR(Inputs!$F$9=TRUE,Inputs!$F$9="TRUE",Inputs!$F$9=1),(Inputs!$H$9+Inputs!$L$9*(((Inputs!$I$9+(((A72)+1)/2)*(Inputs!$J$9-Inputs!$I$9)))/Inputs!$K$9)^2),NA())</x:f>
        <x:v>194.54177500000003</x:v>
      </x:c>
      <x:c r="F72" s="49"/>
      <x:c r="G72" s="48" t="n">
        <x:f>A72</x:f>
        <x:v>-0.417</x:v>
      </x:c>
      <x:c r="H72" s="48"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I72" s="48"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J72" s="48"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K72" s="48"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c r="L72" s="49"/>
      <x:c r="M72" s="48" t="n">
        <x:f>A72</x:f>
        <x:v>-0.417</x:v>
      </x:c>
      <x:c r="N72" s="48" t="n">
        <x: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x:f>
        <x:v>213.54994147342623</x:v>
      </x:c>
      <x:c r="O72" s="48" t="n">
        <x: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x:f>
        <x:v>2073.1221403730683</x:v>
      </x:c>
      <x:c r="P72" s="48" t="n">
        <x: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x:f>
        <x:v>2403.3196601901172</x:v>
      </x:c>
      <x:c r="Q72" s="48" t="n">
        <x: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x:f>
        <x:v>2401.3162100798154</x:v>
      </x:c>
      <x:c r="R72" s="49"/>
      <x:c r="S72" s="48" t="n">
        <x:f>A72</x:f>
        <x:v>-0.417</x:v>
      </x:c>
      <x:c r="T72" s="48" t="n">
        <x:f>(Inputs!$I$6+(((A72)+1)/2)*(Inputs!$J$6-Inputs!$I$6))</x:f>
        <x:v>-25.020000000000003</x:v>
      </x:c>
      <x:c r="U72" s="48" t="n">
        <x:f>(Inputs!$I$7+(((A72)+1)/2)*(Inputs!$J$7-Inputs!$I$7))</x:f>
        <x:v>-166.8</x:v>
      </x:c>
      <x:c r="V72" s="48" t="n">
        <x:f>(Inputs!$I$8+(((A72)+1)/2)*(Inputs!$J$8-Inputs!$I$8))</x:f>
        <x:v>-333.6</x:v>
      </x:c>
      <x:c r="W72" s="48" t="n">
        <x:f>(Inputs!$I$9+(((A72)+1)/2)*(Inputs!$J$9-Inputs!$I$9))</x:f>
        <x:v>-333.6</x:v>
      </x:c>
      <x:c r="X72" s="49"/>
      <x:c r="Y72" s="48" t="n">
        <x:f>A72</x:f>
        <x:v>-0.417</x:v>
      </x:c>
      <x:c r="Z72" s="48" t="n">
        <x:f>(Inputs!$H$6+Inputs!$L$6*(((Inputs!$I$6+(((A72)+1)/2)*(Inputs!$J$6-Inputs!$I$6)))/Inputs!$K$6)^2)</x:f>
        <x:v>400.695556</x:v>
      </x:c>
      <x:c r="AA72" s="48" t="n">
        <x:f>(Inputs!$H$7+Inputs!$L$7*(((Inputs!$I$7+(((A72)+1)/2)*(Inputs!$J$7-Inputs!$I$7)))/Inputs!$K$7)^2)</x:f>
        <x:v>98.46948500000002</x:v>
      </x:c>
      <x:c r="AB72" s="48" t="n">
        <x:f>(Inputs!$H$8+Inputs!$L$8*(((Inputs!$I$8+(((A72)+1)/2)*(Inputs!$J$8-Inputs!$I$8)))/Inputs!$K$8)^2)</x:f>
        <x:v>202.80288500000003</x:v>
      </x:c>
      <x:c r="AC72" s="48" t="n">
        <x:f>(Inputs!$H$9+Inputs!$L$9*(((Inputs!$I$9+(((A72)+1)/2)*(Inputs!$J$9-Inputs!$I$9)))/Inputs!$K$9)^2)</x:f>
        <x:v>194.54177500000003</x:v>
      </x:c>
      <x:c r="AD72" s="49"/>
      <x:c r="AE72" s="48" t="n">
        <x:f>A72</x:f>
        <x:v>-0.417</x:v>
      </x:c>
      <x:c r="AF72" s="48" t="n">
        <x:f>(((SQRT((Inputs!$C$52+((Inputs!$H$6+Inputs!$L$6*(((Inputs!$I$6+(((A72)+1)/2)*(Inputs!$J$6-Inputs!$I$6)))/Inputs!$K$6)^2)))^2+Inputs!$C$52^2-2*(Inputs!$C$52+((Inputs!$H$6+Inputs!$L$6*(((Inputs!$I$6+(((A72)+1)/2)*(Inputs!$J$6-Inputs!$I$6)))/Inputs!$K$6)^2)))*Inputs!$C$52*COS(SQRT(((Inputs!$I$6+(((A72)+1)/2)*(Inputs!$J$6-Inputs!$I$6)))^2+Inputs!$C$6^2)/Inputs!$C$52)))-((Inputs!$H$6+Inputs!$L$6*(((Inputs!$I$6+(((A72)+1)/2)*(Inputs!$J$6-Inputs!$I$6)))/Inputs!$K$6)^2)))*1000/Inputs!$C$12)</x:f>
        <x:v>1099.3986361532616</x:v>
      </x:c>
      <x:c r="AG72" s="48" t="n">
        <x:f>(((SQRT((Inputs!$C$52+((Inputs!$H$7+Inputs!$L$7*(((Inputs!$I$7+(((A72)+1)/2)*(Inputs!$J$7-Inputs!$I$7)))/Inputs!$K$7)^2)))^2+Inputs!$C$52^2-2*(Inputs!$C$52+((Inputs!$H$7+Inputs!$L$7*(((Inputs!$I$7+(((A72)+1)/2)*(Inputs!$J$7-Inputs!$I$7)))/Inputs!$K$7)^2)))*Inputs!$C$52*COS(SQRT(((Inputs!$I$7+(((A72)+1)/2)*(Inputs!$J$7-Inputs!$I$7)))^2+Inputs!$C$6^2)/Inputs!$C$52)))-((Inputs!$H$7+Inputs!$L$7*(((Inputs!$I$7+(((A72)+1)/2)*(Inputs!$J$7-Inputs!$I$7)))/Inputs!$K$7)^2)))*1000/Inputs!$C$12)</x:f>
        <x:v>56911.41437686707</x:v>
      </x:c>
      <x:c r="AH72" s="48" t="n">
        <x:f>(((SQRT((Inputs!$C$52+((Inputs!$H$8+Inputs!$L$8*(((Inputs!$I$8+(((A72)+1)/2)*(Inputs!$J$8-Inputs!$I$8)))/Inputs!$K$8)^2)))^2+Inputs!$C$52^2-2*(Inputs!$C$52+((Inputs!$H$8+Inputs!$L$8*(((Inputs!$I$8+(((A72)+1)/2)*(Inputs!$J$8-Inputs!$I$8)))/Inputs!$K$8)^2)))*Inputs!$C$52*COS(SQRT(((Inputs!$I$8+(((A72)+1)/2)*(Inputs!$J$8-Inputs!$I$8)))^2+Inputs!$C$6^2)/Inputs!$C$52)))-((Inputs!$H$8+Inputs!$L$8*(((Inputs!$I$8+(((A72)+1)/2)*(Inputs!$J$8-Inputs!$I$8)))/Inputs!$K$8)^2)))*1000/Inputs!$C$12)</x:f>
        <x:v>115717.53155231776</x:v>
      </x:c>
      <x:c r="AI72" s="48" t="n">
        <x:f>(((SQRT((Inputs!$C$52+((Inputs!$H$9+Inputs!$L$9*(((Inputs!$I$9+(((A72)+1)/2)*(Inputs!$J$9-Inputs!$I$9)))/Inputs!$K$9)^2)))^2+Inputs!$C$52^2-2*(Inputs!$C$52+((Inputs!$H$9+Inputs!$L$9*(((Inputs!$I$9+(((A72)+1)/2)*(Inputs!$J$9-Inputs!$I$9)))/Inputs!$K$9)^2)))*Inputs!$C$52*COS(SQRT(((Inputs!$I$9+(((A72)+1)/2)*(Inputs!$J$9-Inputs!$I$9)))^2+Inputs!$C$6^2)/Inputs!$C$52)))-((Inputs!$H$9+Inputs!$L$9*(((Inputs!$I$9+(((A72)+1)/2)*(Inputs!$J$9-Inputs!$I$9)))/Inputs!$K$9)^2)))*1000/Inputs!$C$12)</x:f>
        <x:v>117681.90206940661</x:v>
      </x:c>
      <x:c r="AJ72" s="49"/>
      <x:c r="AK72" s="48" t="n">
        <x:f>A72</x:f>
        <x:v>-0.417</x:v>
      </x:c>
      <x:c r="AL72" s="48" t="n">
        <x: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x:f>
        <x:v>213.54994147342623</x:v>
      </x:c>
      <x:c r="AM72" s="48" t="n">
        <x: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x:f>
        <x:v>2073.1221403730683</x:v>
      </x:c>
      <x:c r="AN72" s="48" t="n">
        <x: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x:f>
        <x:v>2403.3196601901172</x:v>
      </x:c>
      <x:c r="AO72" s="48" t="n">
        <x: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x:f>
        <x:v>2401.3162100798154</x:v>
      </x:c>
      <x:c r="AP72" s="49"/>
      <x:c r="AQ72" s="48" t="n">
        <x:f>A72</x:f>
        <x:v>-0.417</x:v>
      </x:c>
      <x:c r="AR72" s="48" t="n">
        <x:f>0</x:f>
        <x:v>0</x:v>
      </x:c>
      <x:c r="AS72" s="48" t="n">
        <x: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(0.45*SIN(2*PI()*((((Inputs!$I$6+(((A72)+1)/2)*(Inputs!$J$6-Inputs!$I$6)))/Inputs!$C$49)+Inputs!$C$47*0.137))+0.35*COS(2*PI()*(((Inputs!$C$6)/Inputs!$C$50)+Inputs!$C$47*0.173))+0.20*SIN(2*PI()*((((Inputs!$I$6+(((A72)+1)/2)*(Inputs!$J$6-Inputs!$I$6)))+(Inputs!$C$6))/(0.5*(Inputs!$C$49+Inputs!$C$50))+Inputs!$C$47*0.097)))+0.30*(2*((SIN((((Inputs!$I$6+(((A72)+1)/2)*(Inputs!$J$6-Inputs!$I$6)))*12.9898+(Inputs!$C$6)*78.233+Inputs!$C$47*37.719))*43758.5453)-INT((SIN((((Inputs!$I$6+(((A72)+1)/2)*(Inputs!$J$6-Inputs!$I$6)))*12.9898+(Inputs!$C$6)*78.233+Inputs!$C$47*37.719))*43758.5453)))-1))),NA())</x:f>
        <x:v>281.1229347309233</x:v>
      </x:c>
      <x:c r="AT72" s="48" t="n">
        <x: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(0.45*SIN(2*PI()*((((Inputs!$I$7+(((A72)+1)/2)*(Inputs!$J$7-Inputs!$I$7)))/Inputs!$C$49)+Inputs!$C$47*0.137))+0.35*COS(2*PI()*(((Inputs!$C$6)/Inputs!$C$50)+Inputs!$C$47*0.173))+0.20*SIN(2*PI()*((((Inputs!$I$7+(((A72)+1)/2)*(Inputs!$J$7-Inputs!$I$7)))+(Inputs!$C$6))/(0.5*(Inputs!$C$49+Inputs!$C$50))+Inputs!$C$47*0.097)))+0.30*(2*((SIN((((Inputs!$I$7+(((A72)+1)/2)*(Inputs!$J$7-Inputs!$I$7)))*12.9898+(Inputs!$C$6)*78.233+Inputs!$C$47*37.719))*43758.5453)-INT((SIN((((Inputs!$I$7+(((A72)+1)/2)*(Inputs!$J$7-Inputs!$I$7)))*12.9898+(Inputs!$C$6)*78.233+Inputs!$C$47*37.719))*43758.5453)))-1))),NA())</x:f>
        <x:v>81.28578813790453</x:v>
      </x:c>
      <x:c r="AU72" s="48" t="n">
        <x: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(0.45*SIN(2*PI()*((((Inputs!$I$8+(((A72)+1)/2)*(Inputs!$J$8-Inputs!$I$8)))/Inputs!$C$49)+Inputs!$C$47*0.137))+0.35*COS(2*PI()*(((Inputs!$C$6)/Inputs!$C$50)+Inputs!$C$47*0.173))+0.20*SIN(2*PI()*((((Inputs!$I$8+(((A72)+1)/2)*(Inputs!$J$8-Inputs!$I$8)))+(Inputs!$C$6))/(0.5*(Inputs!$C$49+Inputs!$C$50))+Inputs!$C$47*0.097)))+0.30*(2*((SIN((((Inputs!$I$8+(((A72)+1)/2)*(Inputs!$J$8-Inputs!$I$8)))*12.9898+(Inputs!$C$6)*78.233+Inputs!$C$47*37.719))*43758.5453)-INT((SIN((((Inputs!$I$8+(((A72)+1)/2)*(Inputs!$J$8-Inputs!$I$8)))*12.9898+(Inputs!$C$6)*78.233+Inputs!$C$47*37.719))*43758.5453)))-1))),NA())</x:f>
        <x:v>184.54757753114495</x:v>
      </x:c>
      <x:c r="AV72" s="48" t="n">
        <x: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(0.45*SIN(2*PI()*((((Inputs!$I$9+(((A72)+1)/2)*(Inputs!$J$9-Inputs!$I$9)))/Inputs!$C$49)+Inputs!$C$47*0.137))+0.35*COS(2*PI()*(((Inputs!$C$6)/Inputs!$C$50)+Inputs!$C$47*0.173))+0.20*SIN(2*PI()*((((Inputs!$I$9+(((A72)+1)/2)*(Inputs!$J$9-Inputs!$I$9)))+(Inputs!$C$6))/(0.5*(Inputs!$C$49+Inputs!$C$50))+Inputs!$C$47*0.097)))+0.30*(2*((SIN((((Inputs!$I$9+(((A72)+1)/2)*(Inputs!$J$9-Inputs!$I$9)))*12.9898+(Inputs!$C$6)*78.233+Inputs!$C$47*37.719))*43758.5453)-INT((SIN((((Inputs!$I$9+(((A72)+1)/2)*(Inputs!$J$9-Inputs!$I$9)))*12.9898+(Inputs!$C$6)*78.233+Inputs!$C$47*37.719))*43758.5453)))-1))),NA())</x:f>
        <x:v>184.54757753114495</x:v>
      </x:c>
      <x:c r="AW72" s="49"/>
      <x:c r="AX72" s="48" t="n">
        <x:f>A72</x:f>
        <x:v>-0.417</x:v>
      </x:c>
      <x:c r="AY72" s="48" t="n">
        <x:f>0</x:f>
        <x:v>0</x:v>
      </x:c>
      <x:c r="AZ72" s="48" t="n">
        <x:f>IF(OR(Inputs!$F$6=TRUE,Inputs!$F$6="TRUE",Inputs!$F$6=1),(Inputs!$H$6+Inputs!$L$6*(((Inputs!$I$6+(((A72)+1)/2)*(Inputs!$J$6-Inputs!$I$6)))/Inputs!$K$6)^2),NA())</x:f>
        <x:v>400.695556</x:v>
      </x:c>
      <x:c r="BA72" s="48" t="n">
        <x:f>IF(OR(Inputs!$F$7=TRUE,Inputs!$F$7="TRUE",Inputs!$F$7=1),(Inputs!$H$7+Inputs!$L$7*(((Inputs!$I$7+(((A72)+1)/2)*(Inputs!$J$7-Inputs!$I$7)))/Inputs!$K$7)^2),NA())</x:f>
        <x:v>98.46948500000002</x:v>
      </x:c>
      <x:c r="BB72" s="48" t="n">
        <x:f>IF(OR(Inputs!$F$8=TRUE,Inputs!$F$8="TRUE",Inputs!$F$8=1),(Inputs!$H$8+Inputs!$L$8*(((Inputs!$I$8+(((A72)+1)/2)*(Inputs!$J$8-Inputs!$I$8)))/Inputs!$K$8)^2),NA())</x:f>
        <x:v>202.80288500000003</x:v>
      </x:c>
      <x:c r="BC72" s="48" t="n">
        <x:f>IF(OR(Inputs!$F$9=TRUE,Inputs!$F$9="TRUE",Inputs!$F$9=1),(Inputs!$H$9+Inputs!$L$9*(((Inputs!$I$9+(((A72)+1)/2)*(Inputs!$J$9-Inputs!$I$9)))/Inputs!$K$9)^2),NA())</x:f>
        <x:v>194.54177500000003</x:v>
      </x:c>
      <x:c r="BD72" s="49"/>
      <x:c r="BE72" s="48" t="n">
        <x:f>A72</x:f>
        <x:v>-0.417</x:v>
      </x:c>
      <x:c r="BF72" s="48" t="n">
        <x:f>0</x:f>
        <x:v>0</x:v>
      </x:c>
      <x:c r="BG72" s="48"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BH72" s="48"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BI72" s="48"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BJ72" s="48"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row>
    <x:row r="73">
      <x:c r="A73" s="48" t="n">
        <x:f>ROUND(-1+71*2/240,3)</x:f>
        <x:v>-0.408</x:v>
      </x:c>
      <x:c r="B73" s="48" t="n">
        <x:f>IF(OR(Inputs!$F$6=TRUE,Inputs!$F$6="TRUE",Inputs!$F$6=1),(Inputs!$H$6+Inputs!$L$6*(((Inputs!$I$6+(((A73)+1)/2)*(Inputs!$J$6-Inputs!$I$6)))/Inputs!$K$6)^2),NA())</x:f>
        <x:v>400.665856</x:v>
      </x:c>
      <x:c r="C73" s="48" t="n">
        <x:f>IF(OR(Inputs!$F$7=TRUE,Inputs!$F$7="TRUE",Inputs!$F$7=1),(Inputs!$H$7+Inputs!$L$7*(((Inputs!$I$7+(((A73)+1)/2)*(Inputs!$J$7-Inputs!$I$7)))/Inputs!$K$7)^2),NA())</x:f>
        <x:v>95.75935999999999</x:v>
      </x:c>
      <x:c r="D73" s="48" t="n">
        <x:f>IF(OR(Inputs!$F$8=TRUE,Inputs!$F$8="TRUE",Inputs!$F$8=1),(Inputs!$H$8+Inputs!$L$8*(((Inputs!$I$8+(((A73)+1)/2)*(Inputs!$J$8-Inputs!$I$8)))/Inputs!$K$8)^2),NA())</x:f>
        <x:v>195.63775999999996</x:v>
      </x:c>
      <x:c r="E73" s="48" t="n">
        <x:f>IF(OR(Inputs!$F$9=TRUE,Inputs!$F$9="TRUE",Inputs!$F$9=1),(Inputs!$H$9+Inputs!$L$9*(((Inputs!$I$9+(((A73)+1)/2)*(Inputs!$J$9-Inputs!$I$9)))/Inputs!$K$9)^2),NA())</x:f>
        <x:v>187.30239999999995</x:v>
      </x:c>
      <x:c r="F73" s="49"/>
      <x:c r="G73" s="48" t="n">
        <x:f>A73</x:f>
        <x:v>-0.408</x:v>
      </x:c>
      <x:c r="H73" s="48"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I73" s="48"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J73" s="48"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K73" s="48"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c r="L73" s="49"/>
      <x:c r="M73" s="48" t="n">
        <x:f>A73</x:f>
        <x:v>-0.408</x:v>
      </x:c>
      <x:c r="N73" s="48" t="n">
        <x: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x:f>
        <x:v>208.96805477241764</x:v>
      </x:c>
      <x:c r="O73" s="48" t="n">
        <x: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x:f>
        <x:v>2055.591922988703</x:v>
      </x:c>
      <x:c r="P73" s="48" t="n">
        <x: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x:f>
        <x:v>2375.138065470669</x:v>
      </x:c>
      <x:c r="Q73" s="48" t="n">
        <x: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x:f>
        <x:v>2372.6244588040913</x:v>
      </x:c>
      <x:c r="R73" s="49"/>
      <x:c r="S73" s="48" t="n">
        <x:f>A73</x:f>
        <x:v>-0.408</x:v>
      </x:c>
      <x:c r="T73" s="48" t="n">
        <x:f>(Inputs!$I$6+(((A73)+1)/2)*(Inputs!$J$6-Inputs!$I$6))</x:f>
        <x:v>-24.479999999999997</x:v>
      </x:c>
      <x:c r="U73" s="48" t="n">
        <x:f>(Inputs!$I$7+(((A73)+1)/2)*(Inputs!$J$7-Inputs!$I$7))</x:f>
        <x:v>-163.19999999999996</x:v>
      </x:c>
      <x:c r="V73" s="48" t="n">
        <x:f>(Inputs!$I$8+(((A73)+1)/2)*(Inputs!$J$8-Inputs!$I$8))</x:f>
        <x:v>-326.3999999999999</x:v>
      </x:c>
      <x:c r="W73" s="48" t="n">
        <x:f>(Inputs!$I$9+(((A73)+1)/2)*(Inputs!$J$9-Inputs!$I$9))</x:f>
        <x:v>-326.3999999999999</x:v>
      </x:c>
      <x:c r="X73" s="49"/>
      <x:c r="Y73" s="48" t="n">
        <x:f>A73</x:f>
        <x:v>-0.408</x:v>
      </x:c>
      <x:c r="Z73" s="48" t="n">
        <x:f>(Inputs!$H$6+Inputs!$L$6*(((Inputs!$I$6+(((A73)+1)/2)*(Inputs!$J$6-Inputs!$I$6)))/Inputs!$K$6)^2)</x:f>
        <x:v>400.665856</x:v>
      </x:c>
      <x:c r="AA73" s="48" t="n">
        <x:f>(Inputs!$H$7+Inputs!$L$7*(((Inputs!$I$7+(((A73)+1)/2)*(Inputs!$J$7-Inputs!$I$7)))/Inputs!$K$7)^2)</x:f>
        <x:v>95.75935999999999</x:v>
      </x:c>
      <x:c r="AB73" s="48" t="n">
        <x:f>(Inputs!$H$8+Inputs!$L$8*(((Inputs!$I$8+(((A73)+1)/2)*(Inputs!$J$8-Inputs!$I$8)))/Inputs!$K$8)^2)</x:f>
        <x:v>195.63775999999996</x:v>
      </x:c>
      <x:c r="AC73" s="48" t="n">
        <x:f>(Inputs!$H$9+Inputs!$L$9*(((Inputs!$I$9+(((A73)+1)/2)*(Inputs!$J$9-Inputs!$I$9)))/Inputs!$K$9)^2)</x:f>
        <x:v>187.30239999999995</x:v>
      </x:c>
      <x:c r="AD73" s="49"/>
      <x:c r="AE73" s="48" t="n">
        <x:f>A73</x:f>
        <x:v>-0.408</x:v>
      </x:c>
      <x:c r="AF73" s="48" t="n">
        <x:f>(((SQRT((Inputs!$C$52+((Inputs!$H$6+Inputs!$L$6*(((Inputs!$I$6+(((A73)+1)/2)*(Inputs!$J$6-Inputs!$I$6)))/Inputs!$K$6)^2)))^2+Inputs!$C$52^2-2*(Inputs!$C$52+((Inputs!$H$6+Inputs!$L$6*(((Inputs!$I$6+(((A73)+1)/2)*(Inputs!$J$6-Inputs!$I$6)))/Inputs!$K$6)^2)))*Inputs!$C$52*COS(SQRT(((Inputs!$I$6+(((A73)+1)/2)*(Inputs!$J$6-Inputs!$I$6)))^2+Inputs!$C$6^2)/Inputs!$C$52)))-((Inputs!$H$6+Inputs!$L$6*(((Inputs!$I$6+(((A73)+1)/2)*(Inputs!$J$6-Inputs!$I$6)))/Inputs!$K$6)^2)))*1000/Inputs!$C$12)</x:f>
        <x:v>1076.027871037179</x:v>
      </x:c>
      <x:c r="AG73" s="48" t="n">
        <x:f>(((SQRT((Inputs!$C$52+((Inputs!$H$7+Inputs!$L$7*(((Inputs!$I$7+(((A73)+1)/2)*(Inputs!$J$7-Inputs!$I$7)))/Inputs!$K$7)^2)))^2+Inputs!$C$52^2-2*(Inputs!$C$52+((Inputs!$H$7+Inputs!$L$7*(((Inputs!$I$7+(((A73)+1)/2)*(Inputs!$J$7-Inputs!$I$7)))/Inputs!$K$7)^2)))*Inputs!$C$52*COS(SQRT(((Inputs!$I$7+(((A73)+1)/2)*(Inputs!$J$7-Inputs!$I$7)))^2+Inputs!$C$6^2)/Inputs!$C$52)))-((Inputs!$H$7+Inputs!$L$7*(((Inputs!$I$7+(((A73)+1)/2)*(Inputs!$J$7-Inputs!$I$7)))/Inputs!$K$7)^2)))*1000/Inputs!$C$12)</x:f>
        <x:v>55824.53121498436</x:v>
      </x:c>
      <x:c r="AH73" s="48" t="n">
        <x:f>(((SQRT((Inputs!$C$52+((Inputs!$H$8+Inputs!$L$8*(((Inputs!$I$8+(((A73)+1)/2)*(Inputs!$J$8-Inputs!$I$8)))/Inputs!$K$8)^2)))^2+Inputs!$C$52^2-2*(Inputs!$C$52+((Inputs!$H$8+Inputs!$L$8*(((Inputs!$I$8+(((A73)+1)/2)*(Inputs!$J$8-Inputs!$I$8)))/Inputs!$K$8)^2)))*Inputs!$C$52*COS(SQRT(((Inputs!$I$8+(((A73)+1)/2)*(Inputs!$J$8-Inputs!$I$8)))^2+Inputs!$C$6^2)/Inputs!$C$52)))-((Inputs!$H$8+Inputs!$L$8*(((Inputs!$I$8+(((A73)+1)/2)*(Inputs!$J$8-Inputs!$I$8)))/Inputs!$K$8)^2)))*1000/Inputs!$C$12)</x:f>
        <x:v>113702.7693030156</x:v>
      </x:c>
      <x:c r="AI73" s="48" t="n">
        <x:f>(((SQRT((Inputs!$C$52+((Inputs!$H$9+Inputs!$L$9*(((Inputs!$I$9+(((A73)+1)/2)*(Inputs!$J$9-Inputs!$I$9)))/Inputs!$K$9)^2)))^2+Inputs!$C$52^2-2*(Inputs!$C$52+((Inputs!$H$9+Inputs!$L$9*(((Inputs!$I$9+(((A73)+1)/2)*(Inputs!$J$9-Inputs!$I$9)))/Inputs!$K$9)^2)))*Inputs!$C$52*COS(SQRT(((Inputs!$I$9+(((A73)+1)/2)*(Inputs!$J$9-Inputs!$I$9)))^2+Inputs!$C$6^2)/Inputs!$C$52)))-((Inputs!$H$9+Inputs!$L$9*(((Inputs!$I$9+(((A73)+1)/2)*(Inputs!$J$9-Inputs!$I$9)))/Inputs!$K$9)^2)))*1000/Inputs!$C$12)</x:f>
        <x:v>115714.5656563071</x:v>
      </x:c>
      <x:c r="AJ73" s="49"/>
      <x:c r="AK73" s="48" t="n">
        <x:f>A73</x:f>
        <x:v>-0.408</x:v>
      </x:c>
      <x:c r="AL73" s="48" t="n">
        <x: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x:f>
        <x:v>208.96805477241764</x:v>
      </x:c>
      <x:c r="AM73" s="48" t="n">
        <x: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x:f>
        <x:v>2055.591922988703</x:v>
      </x:c>
      <x:c r="AN73" s="48" t="n">
        <x: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x:f>
        <x:v>2375.138065470669</x:v>
      </x:c>
      <x:c r="AO73" s="48" t="n">
        <x: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x:f>
        <x:v>2372.6244588040913</x:v>
      </x:c>
      <x:c r="AP73" s="49"/>
      <x:c r="AQ73" s="48" t="n">
        <x:f>A73</x:f>
        <x:v>-0.408</x:v>
      </x:c>
      <x:c r="AR73" s="48" t="n">
        <x:f>0</x:f>
        <x:v>0</x:v>
      </x:c>
      <x:c r="AS73" s="48" t="n">
        <x: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(0.45*SIN(2*PI()*((((Inputs!$I$6+(((A73)+1)/2)*(Inputs!$J$6-Inputs!$I$6)))/Inputs!$C$49)+Inputs!$C$47*0.137))+0.35*COS(2*PI()*(((Inputs!$C$6)/Inputs!$C$50)+Inputs!$C$47*0.173))+0.20*SIN(2*PI()*((((Inputs!$I$6+(((A73)+1)/2)*(Inputs!$J$6-Inputs!$I$6)))+(Inputs!$C$6))/(0.5*(Inputs!$C$49+Inputs!$C$50))+Inputs!$C$47*0.097)))+0.30*(2*((SIN((((Inputs!$I$6+(((A73)+1)/2)*(Inputs!$J$6-Inputs!$I$6)))*12.9898+(Inputs!$C$6)*78.233+Inputs!$C$47*37.719))*43758.5453)-INT((SIN((((Inputs!$I$6+(((A73)+1)/2)*(Inputs!$J$6-Inputs!$I$6)))*12.9898+(Inputs!$C$6)*78.233+Inputs!$C$47*37.719))*43758.5453)))-1))),NA())</x:f>
        <x:v>259.89680022722393</x:v>
      </x:c>
      <x:c r="AT73" s="48" t="n">
        <x: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(0.45*SIN(2*PI()*((((Inputs!$I$7+(((A73)+1)/2)*(Inputs!$J$7-Inputs!$I$7)))/Inputs!$C$49)+Inputs!$C$47*0.137))+0.35*COS(2*PI()*(((Inputs!$C$6)/Inputs!$C$50)+Inputs!$C$47*0.173))+0.20*SIN(2*PI()*((((Inputs!$I$7+(((A73)+1)/2)*(Inputs!$J$7-Inputs!$I$7)))+(Inputs!$C$6))/(0.5*(Inputs!$C$49+Inputs!$C$50))+Inputs!$C$47*0.097)))+0.30*(2*((SIN((((Inputs!$I$7+(((A73)+1)/2)*(Inputs!$J$7-Inputs!$I$7)))*12.9898+(Inputs!$C$6)*78.233+Inputs!$C$47*37.719))*43758.5453)-INT((SIN((((Inputs!$I$7+(((A73)+1)/2)*(Inputs!$J$7-Inputs!$I$7)))*12.9898+(Inputs!$C$6)*78.233+Inputs!$C$47*37.719))*43758.5453)))-1))),NA())</x:f>
        <x:v>102.95017423788758</x:v>
      </x:c>
      <x:c r="AU73" s="48" t="n">
        <x: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(0.45*SIN(2*PI()*((((Inputs!$I$8+(((A73)+1)/2)*(Inputs!$J$8-Inputs!$I$8)))/Inputs!$C$49)+Inputs!$C$47*0.137))+0.35*COS(2*PI()*(((Inputs!$C$6)/Inputs!$C$50)+Inputs!$C$47*0.173))+0.20*SIN(2*PI()*((((Inputs!$I$8+(((A73)+1)/2)*(Inputs!$J$8-Inputs!$I$8)))+(Inputs!$C$6))/(0.5*(Inputs!$C$49+Inputs!$C$50))+Inputs!$C$47*0.097)))+0.30*(2*((SIN((((Inputs!$I$8+(((A73)+1)/2)*(Inputs!$J$8-Inputs!$I$8)))*12.9898+(Inputs!$C$6)*78.233+Inputs!$C$47*37.719))*43758.5453)-INT((SIN((((Inputs!$I$8+(((A73)+1)/2)*(Inputs!$J$8-Inputs!$I$8)))*12.9898+(Inputs!$C$6)*78.233+Inputs!$C$47*37.719))*43758.5453)))-1))),NA())</x:f>
        <x:v>86.539393953296</x:v>
      </x:c>
      <x:c r="AV73" s="48" t="n">
        <x: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(0.45*SIN(2*PI()*((((Inputs!$I$9+(((A73)+1)/2)*(Inputs!$J$9-Inputs!$I$9)))/Inputs!$C$49)+Inputs!$C$47*0.137))+0.35*COS(2*PI()*(((Inputs!$C$6)/Inputs!$C$50)+Inputs!$C$47*0.173))+0.20*SIN(2*PI()*((((Inputs!$I$9+(((A73)+1)/2)*(Inputs!$J$9-Inputs!$I$9)))+(Inputs!$C$6))/(0.5*(Inputs!$C$49+Inputs!$C$50))+Inputs!$C$47*0.097)))+0.30*(2*((SIN((((Inputs!$I$9+(((A73)+1)/2)*(Inputs!$J$9-Inputs!$I$9)))*12.9898+(Inputs!$C$6)*78.233+Inputs!$C$47*37.719))*43758.5453)-INT((SIN((((Inputs!$I$9+(((A73)+1)/2)*(Inputs!$J$9-Inputs!$I$9)))*12.9898+(Inputs!$C$6)*78.233+Inputs!$C$47*37.719))*43758.5453)))-1))),NA())</x:f>
        <x:v>86.539393953296</x:v>
      </x:c>
      <x:c r="AW73" s="49"/>
      <x:c r="AX73" s="48" t="n">
        <x:f>A73</x:f>
        <x:v>-0.408</x:v>
      </x:c>
      <x:c r="AY73" s="48" t="n">
        <x:f>0</x:f>
        <x:v>0</x:v>
      </x:c>
      <x:c r="AZ73" s="48" t="n">
        <x:f>IF(OR(Inputs!$F$6=TRUE,Inputs!$F$6="TRUE",Inputs!$F$6=1),(Inputs!$H$6+Inputs!$L$6*(((Inputs!$I$6+(((A73)+1)/2)*(Inputs!$J$6-Inputs!$I$6)))/Inputs!$K$6)^2),NA())</x:f>
        <x:v>400.665856</x:v>
      </x:c>
      <x:c r="BA73" s="48" t="n">
        <x:f>IF(OR(Inputs!$F$7=TRUE,Inputs!$F$7="TRUE",Inputs!$F$7=1),(Inputs!$H$7+Inputs!$L$7*(((Inputs!$I$7+(((A73)+1)/2)*(Inputs!$J$7-Inputs!$I$7)))/Inputs!$K$7)^2),NA())</x:f>
        <x:v>95.75935999999999</x:v>
      </x:c>
      <x:c r="BB73" s="48" t="n">
        <x:f>IF(OR(Inputs!$F$8=TRUE,Inputs!$F$8="TRUE",Inputs!$F$8=1),(Inputs!$H$8+Inputs!$L$8*(((Inputs!$I$8+(((A73)+1)/2)*(Inputs!$J$8-Inputs!$I$8)))/Inputs!$K$8)^2),NA())</x:f>
        <x:v>195.63775999999996</x:v>
      </x:c>
      <x:c r="BC73" s="48" t="n">
        <x:f>IF(OR(Inputs!$F$9=TRUE,Inputs!$F$9="TRUE",Inputs!$F$9=1),(Inputs!$H$9+Inputs!$L$9*(((Inputs!$I$9+(((A73)+1)/2)*(Inputs!$J$9-Inputs!$I$9)))/Inputs!$K$9)^2),NA())</x:f>
        <x:v>187.30239999999995</x:v>
      </x:c>
      <x:c r="BD73" s="49"/>
      <x:c r="BE73" s="48" t="n">
        <x:f>A73</x:f>
        <x:v>-0.408</x:v>
      </x:c>
      <x:c r="BF73" s="48" t="n">
        <x:f>0</x:f>
        <x:v>0</x:v>
      </x:c>
      <x:c r="BG73" s="48"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BH73" s="48"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BI73" s="48"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BJ73" s="48"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row>
    <x:row r="74">
      <x:c r="A74" s="48" t="n">
        <x:f>ROUND(-1+72*2/240,3)</x:f>
        <x:v>-0.4</x:v>
      </x:c>
      <x:c r="B74" s="48" t="n">
        <x:f>IF(OR(Inputs!$F$6=TRUE,Inputs!$F$6="TRUE",Inputs!$F$6=1),(Inputs!$H$6+Inputs!$L$6*(((Inputs!$I$6+(((A74)+1)/2)*(Inputs!$J$6-Inputs!$I$6)))/Inputs!$K$6)^2),NA())</x:f>
        <x:v>400.64</x:v>
      </x:c>
      <x:c r="C74" s="48" t="n">
        <x:f>IF(OR(Inputs!$F$7=TRUE,Inputs!$F$7="TRUE",Inputs!$F$7=1),(Inputs!$H$7+Inputs!$L$7*(((Inputs!$I$7+(((A74)+1)/2)*(Inputs!$J$7-Inputs!$I$7)))/Inputs!$K$7)^2),NA())</x:f>
        <x:v>93.4</x:v>
      </x:c>
      <x:c r="D74" s="48" t="n">
        <x:f>IF(OR(Inputs!$F$8=TRUE,Inputs!$F$8="TRUE",Inputs!$F$8=1),(Inputs!$H$8+Inputs!$L$8*(((Inputs!$I$8+(((A74)+1)/2)*(Inputs!$J$8-Inputs!$I$8)))/Inputs!$K$8)^2),NA())</x:f>
        <x:v>189.40000000000003</x:v>
      </x:c>
      <x:c r="E74" s="48" t="n">
        <x:f>IF(OR(Inputs!$F$9=TRUE,Inputs!$F$9="TRUE",Inputs!$F$9=1),(Inputs!$H$9+Inputs!$L$9*(((Inputs!$I$9+(((A74)+1)/2)*(Inputs!$J$9-Inputs!$I$9)))/Inputs!$K$9)^2),NA())</x:f>
        <x:v>181.00000000000003</x:v>
      </x:c>
      <x:c r="F74" s="49"/>
      <x:c r="G74" s="48" t="n">
        <x:f>A74</x:f>
        <x:v>-0.4</x:v>
      </x:c>
      <x:c r="H74" s="48"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I74" s="48"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J74" s="48"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K74" s="48"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c r="L74" s="49"/>
      <x:c r="M74" s="48" t="n">
        <x:f>A74</x:f>
        <x:v>-0.4</x:v>
      </x:c>
      <x:c r="N74" s="48" t="n">
        <x: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x:f>
        <x:v>204.8937874712013</x:v>
      </x:c>
      <x:c r="O74" s="48" t="n">
        <x: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x:f>
        <x:v>2040.124647642961</x:v>
      </x:c>
      <x:c r="P74" s="48" t="n">
        <x: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x:f>
        <x:v>2350.3771823153534</x:v>
      </x:c>
      <x:c r="Q74" s="48" t="n">
        <x: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x:f>
        <x:v>2347.4209581836103</x:v>
      </x:c>
      <x:c r="R74" s="49"/>
      <x:c r="S74" s="48" t="n">
        <x:f>A74</x:f>
        <x:v>-0.4</x:v>
      </x:c>
      <x:c r="T74" s="48" t="n">
        <x:f>(Inputs!$I$6+(((A74)+1)/2)*(Inputs!$J$6-Inputs!$I$6))</x:f>
        <x:v>-24</x:v>
      </x:c>
      <x:c r="U74" s="48" t="n">
        <x:f>(Inputs!$I$7+(((A74)+1)/2)*(Inputs!$J$7-Inputs!$I$7))</x:f>
        <x:v>-160</x:v>
      </x:c>
      <x:c r="V74" s="48" t="n">
        <x:f>(Inputs!$I$8+(((A74)+1)/2)*(Inputs!$J$8-Inputs!$I$8))</x:f>
        <x:v>-320</x:v>
      </x:c>
      <x:c r="W74" s="48" t="n">
        <x:f>(Inputs!$I$9+(((A74)+1)/2)*(Inputs!$J$9-Inputs!$I$9))</x:f>
        <x:v>-320</x:v>
      </x:c>
      <x:c r="X74" s="49"/>
      <x:c r="Y74" s="48" t="n">
        <x:f>A74</x:f>
        <x:v>-0.4</x:v>
      </x:c>
      <x:c r="Z74" s="48" t="n">
        <x:f>(Inputs!$H$6+Inputs!$L$6*(((Inputs!$I$6+(((A74)+1)/2)*(Inputs!$J$6-Inputs!$I$6)))/Inputs!$K$6)^2)</x:f>
        <x:v>400.64</x:v>
      </x:c>
      <x:c r="AA74" s="48" t="n">
        <x:f>(Inputs!$H$7+Inputs!$L$7*(((Inputs!$I$7+(((A74)+1)/2)*(Inputs!$J$7-Inputs!$I$7)))/Inputs!$K$7)^2)</x:f>
        <x:v>93.4</x:v>
      </x:c>
      <x:c r="AB74" s="48" t="n">
        <x:f>(Inputs!$H$8+Inputs!$L$8*(((Inputs!$I$8+(((A74)+1)/2)*(Inputs!$J$8-Inputs!$I$8)))/Inputs!$K$8)^2)</x:f>
        <x:v>189.40000000000003</x:v>
      </x:c>
      <x:c r="AC74" s="48" t="n">
        <x:f>(Inputs!$H$9+Inputs!$L$9*(((Inputs!$I$9+(((A74)+1)/2)*(Inputs!$J$9-Inputs!$I$9)))/Inputs!$K$9)^2)</x:f>
        <x:v>181.00000000000003</x:v>
      </x:c>
      <x:c r="AD74" s="49"/>
      <x:c r="AE74" s="48" t="n">
        <x:f>A74</x:f>
        <x:v>-0.4</x:v>
      </x:c>
      <x:c r="AF74" s="48" t="n">
        <x:f>(((SQRT((Inputs!$C$52+((Inputs!$H$6+Inputs!$L$6*(((Inputs!$I$6+(((A74)+1)/2)*(Inputs!$J$6-Inputs!$I$6)))/Inputs!$K$6)^2)))^2+Inputs!$C$52^2-2*(Inputs!$C$52+((Inputs!$H$6+Inputs!$L$6*(((Inputs!$I$6+(((A74)+1)/2)*(Inputs!$J$6-Inputs!$I$6)))/Inputs!$K$6)^2)))*Inputs!$C$52*COS(SQRT(((Inputs!$I$6+(((A74)+1)/2)*(Inputs!$J$6-Inputs!$I$6)))^2+Inputs!$C$6^2)/Inputs!$C$52)))-((Inputs!$H$6+Inputs!$L$6*(((Inputs!$I$6+(((A74)+1)/2)*(Inputs!$J$6-Inputs!$I$6)))/Inputs!$K$6)^2)))*1000/Inputs!$C$12)</x:f>
        <x:v>1055.6776964389417</x:v>
      </x:c>
      <x:c r="AG74" s="48" t="n">
        <x:f>(((SQRT((Inputs!$C$52+((Inputs!$H$7+Inputs!$L$7*(((Inputs!$I$7+(((A74)+1)/2)*(Inputs!$J$7-Inputs!$I$7)))/Inputs!$K$7)^2)))^2+Inputs!$C$52^2-2*(Inputs!$C$52+((Inputs!$H$7+Inputs!$L$7*(((Inputs!$I$7+(((A74)+1)/2)*(Inputs!$J$7-Inputs!$I$7)))/Inputs!$K$7)^2)))*Inputs!$C$52*COS(SQRT(((Inputs!$I$7+(((A74)+1)/2)*(Inputs!$J$7-Inputs!$I$7)))^2+Inputs!$C$6^2)/Inputs!$C$52)))-((Inputs!$H$7+Inputs!$L$7*(((Inputs!$I$7+(((A74)+1)/2)*(Inputs!$J$7-Inputs!$I$7)))/Inputs!$K$7)^2)))*1000/Inputs!$C$12)</x:f>
        <x:v>54849.05989572963</x:v>
      </x:c>
      <x:c r="AH74" s="48" t="n">
        <x:f>(((SQRT((Inputs!$C$52+((Inputs!$H$8+Inputs!$L$8*(((Inputs!$I$8+(((A74)+1)/2)*(Inputs!$J$8-Inputs!$I$8)))/Inputs!$K$8)^2)))^2+Inputs!$C$52^2-2*(Inputs!$C$52+((Inputs!$H$8+Inputs!$L$8*(((Inputs!$I$8+(((A74)+1)/2)*(Inputs!$J$8-Inputs!$I$8)))/Inputs!$K$8)^2)))*Inputs!$C$52*COS(SQRT(((Inputs!$I$8+(((A74)+1)/2)*(Inputs!$J$8-Inputs!$I$8)))^2+Inputs!$C$6^2)/Inputs!$C$52)))-((Inputs!$H$8+Inputs!$L$8*(((Inputs!$I$8+(((A74)+1)/2)*(Inputs!$J$8-Inputs!$I$8)))/Inputs!$K$8)^2)))*1000/Inputs!$C$12)</x:f>
        <x:v>111897.61266068535</x:v>
      </x:c>
      <x:c r="AI74" s="48" t="n">
        <x:f>(((SQRT((Inputs!$C$52+((Inputs!$H$9+Inputs!$L$9*(((Inputs!$I$9+(((A74)+1)/2)*(Inputs!$J$9-Inputs!$I$9)))/Inputs!$K$9)^2)))^2+Inputs!$C$52^2-2*(Inputs!$C$52+((Inputs!$H$9+Inputs!$L$9*(((Inputs!$I$9+(((A74)+1)/2)*(Inputs!$J$9-Inputs!$I$9)))/Inputs!$K$9)^2)))*Inputs!$C$52*COS(SQRT(((Inputs!$I$9+(((A74)+1)/2)*(Inputs!$J$9-Inputs!$I$9)))^2+Inputs!$C$6^2)/Inputs!$C$52)))-((Inputs!$H$9+Inputs!$L$9*(((Inputs!$I$9+(((A74)+1)/2)*(Inputs!$J$9-Inputs!$I$9)))/Inputs!$K$9)^2)))*1000/Inputs!$C$12)</x:f>
        <x:v>113951.87151114203</x:v>
      </x:c>
      <x:c r="AJ74" s="49"/>
      <x:c r="AK74" s="48" t="n">
        <x:f>A74</x:f>
        <x:v>-0.4</x:v>
      </x:c>
      <x:c r="AL74" s="48" t="n">
        <x: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x:f>
        <x:v>204.8937874712013</x:v>
      </x:c>
      <x:c r="AM74" s="48" t="n">
        <x: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x:f>
        <x:v>2040.124647642961</x:v>
      </x:c>
      <x:c r="AN74" s="48" t="n">
        <x: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x:f>
        <x:v>2350.3771823153534</x:v>
      </x:c>
      <x:c r="AO74" s="48" t="n">
        <x: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x:f>
        <x:v>2347.4209581836103</x:v>
      </x:c>
      <x:c r="AP74" s="49"/>
      <x:c r="AQ74" s="48" t="n">
        <x:f>A74</x:f>
        <x:v>-0.4</x:v>
      </x:c>
      <x:c r="AR74" s="48" t="n">
        <x:f>0</x:f>
        <x:v>0</x:v>
      </x:c>
      <x:c r="AS74" s="48" t="n">
        <x: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(0.45*SIN(2*PI()*((((Inputs!$I$6+(((A74)+1)/2)*(Inputs!$J$6-Inputs!$I$6)))/Inputs!$C$49)+Inputs!$C$47*0.137))+0.35*COS(2*PI()*(((Inputs!$C$6)/Inputs!$C$50)+Inputs!$C$47*0.173))+0.20*SIN(2*PI()*((((Inputs!$I$6+(((A74)+1)/2)*(Inputs!$J$6-Inputs!$I$6)))+(Inputs!$C$6))/(0.5*(Inputs!$C$49+Inputs!$C$50))+Inputs!$C$47*0.097)))+0.30*(2*((SIN((((Inputs!$I$6+(((A74)+1)/2)*(Inputs!$J$6-Inputs!$I$6)))*12.9898+(Inputs!$C$6)*78.233+Inputs!$C$47*37.719))*43758.5453)-INT((SIN((((Inputs!$I$6+(((A74)+1)/2)*(Inputs!$J$6-Inputs!$I$6)))*12.9898+(Inputs!$C$6)*78.233+Inputs!$C$47*37.719))*43758.5453)))-1))),NA())</x:f>
        <x:v>268.5791759815676</x:v>
      </x:c>
      <x:c r="AT74" s="48" t="n">
        <x: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(0.45*SIN(2*PI()*((((Inputs!$I$7+(((A74)+1)/2)*(Inputs!$J$7-Inputs!$I$7)))/Inputs!$C$49)+Inputs!$C$47*0.137))+0.35*COS(2*PI()*(((Inputs!$C$6)/Inputs!$C$50)+Inputs!$C$47*0.173))+0.20*SIN(2*PI()*((((Inputs!$I$7+(((A74)+1)/2)*(Inputs!$J$7-Inputs!$I$7)))+(Inputs!$C$6))/(0.5*(Inputs!$C$49+Inputs!$C$50))+Inputs!$C$47*0.097)))+0.30*(2*((SIN((((Inputs!$I$7+(((A74)+1)/2)*(Inputs!$J$7-Inputs!$I$7)))*12.9898+(Inputs!$C$6)*78.233+Inputs!$C$47*37.719))*43758.5453)-INT((SIN((((Inputs!$I$7+(((A74)+1)/2)*(Inputs!$J$7-Inputs!$I$7)))*12.9898+(Inputs!$C$6)*78.233+Inputs!$C$47*37.719))*43758.5453)))-1))),NA())</x:f>
        <x:v>138.70370323809672</x:v>
      </x:c>
      <x:c r="AU74" s="48" t="n">
        <x: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(0.45*SIN(2*PI()*((((Inputs!$I$8+(((A74)+1)/2)*(Inputs!$J$8-Inputs!$I$8)))/Inputs!$C$49)+Inputs!$C$47*0.137))+0.35*COS(2*PI()*(((Inputs!$C$6)/Inputs!$C$50)+Inputs!$C$47*0.173))+0.20*SIN(2*PI()*((((Inputs!$I$8+(((A74)+1)/2)*(Inputs!$J$8-Inputs!$I$8)))+(Inputs!$C$6))/(0.5*(Inputs!$C$49+Inputs!$C$50))+Inputs!$C$47*0.097)))+0.30*(2*((SIN((((Inputs!$I$8+(((A74)+1)/2)*(Inputs!$J$8-Inputs!$I$8)))*12.9898+(Inputs!$C$6)*78.233+Inputs!$C$47*37.719))*43758.5453)-INT((SIN((((Inputs!$I$8+(((A74)+1)/2)*(Inputs!$J$8-Inputs!$I$8)))*12.9898+(Inputs!$C$6)*78.233+Inputs!$C$47*37.719))*43758.5453)))-1))),NA())</x:f>
        <x:v>230.83673823808448</x:v>
      </x:c>
      <x:c r="AV74" s="48" t="n">
        <x: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(0.45*SIN(2*PI()*((((Inputs!$I$9+(((A74)+1)/2)*(Inputs!$J$9-Inputs!$I$9)))/Inputs!$C$49)+Inputs!$C$47*0.137))+0.35*COS(2*PI()*(((Inputs!$C$6)/Inputs!$C$50)+Inputs!$C$47*0.173))+0.20*SIN(2*PI()*((((Inputs!$I$9+(((A74)+1)/2)*(Inputs!$J$9-Inputs!$I$9)))+(Inputs!$C$6))/(0.5*(Inputs!$C$49+Inputs!$C$50))+Inputs!$C$47*0.097)))+0.30*(2*((SIN((((Inputs!$I$9+(((A74)+1)/2)*(Inputs!$J$9-Inputs!$I$9)))*12.9898+(Inputs!$C$6)*78.233+Inputs!$C$47*37.719))*43758.5453)-INT((SIN((((Inputs!$I$9+(((A74)+1)/2)*(Inputs!$J$9-Inputs!$I$9)))*12.9898+(Inputs!$C$6)*78.233+Inputs!$C$47*37.719))*43758.5453)))-1))),NA())</x:f>
        <x:v>230.83673823808448</x:v>
      </x:c>
      <x:c r="AW74" s="49"/>
      <x:c r="AX74" s="48" t="n">
        <x:f>A74</x:f>
        <x:v>-0.4</x:v>
      </x:c>
      <x:c r="AY74" s="48" t="n">
        <x:f>0</x:f>
        <x:v>0</x:v>
      </x:c>
      <x:c r="AZ74" s="48" t="n">
        <x:f>IF(OR(Inputs!$F$6=TRUE,Inputs!$F$6="TRUE",Inputs!$F$6=1),(Inputs!$H$6+Inputs!$L$6*(((Inputs!$I$6+(((A74)+1)/2)*(Inputs!$J$6-Inputs!$I$6)))/Inputs!$K$6)^2),NA())</x:f>
        <x:v>400.64</x:v>
      </x:c>
      <x:c r="BA74" s="48" t="n">
        <x:f>IF(OR(Inputs!$F$7=TRUE,Inputs!$F$7="TRUE",Inputs!$F$7=1),(Inputs!$H$7+Inputs!$L$7*(((Inputs!$I$7+(((A74)+1)/2)*(Inputs!$J$7-Inputs!$I$7)))/Inputs!$K$7)^2),NA())</x:f>
        <x:v>93.4</x:v>
      </x:c>
      <x:c r="BB74" s="48" t="n">
        <x:f>IF(OR(Inputs!$F$8=TRUE,Inputs!$F$8="TRUE",Inputs!$F$8=1),(Inputs!$H$8+Inputs!$L$8*(((Inputs!$I$8+(((A74)+1)/2)*(Inputs!$J$8-Inputs!$I$8)))/Inputs!$K$8)^2),NA())</x:f>
        <x:v>189.40000000000003</x:v>
      </x:c>
      <x:c r="BC74" s="48" t="n">
        <x:f>IF(OR(Inputs!$F$9=TRUE,Inputs!$F$9="TRUE",Inputs!$F$9=1),(Inputs!$H$9+Inputs!$L$9*(((Inputs!$I$9+(((A74)+1)/2)*(Inputs!$J$9-Inputs!$I$9)))/Inputs!$K$9)^2),NA())</x:f>
        <x:v>181.00000000000003</x:v>
      </x:c>
      <x:c r="BD74" s="49"/>
      <x:c r="BE74" s="48" t="n">
        <x:f>A74</x:f>
        <x:v>-0.4</x:v>
      </x:c>
      <x:c r="BF74" s="48" t="n">
        <x:f>0</x:f>
        <x:v>0</x:v>
      </x:c>
      <x:c r="BG74" s="48"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BH74" s="48"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BI74" s="48"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BJ74" s="48"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row>
    <x:row r="75">
      <x:c r="A75" s="48" t="n">
        <x:f>ROUND(-1+73*2/240,3)</x:f>
        <x:v>-0.392</x:v>
      </x:c>
      <x:c r="B75" s="48" t="n">
        <x:f>IF(OR(Inputs!$F$6=TRUE,Inputs!$F$6="TRUE",Inputs!$F$6=1),(Inputs!$H$6+Inputs!$L$6*(((Inputs!$I$6+(((A75)+1)/2)*(Inputs!$J$6-Inputs!$I$6)))/Inputs!$K$6)^2),NA())</x:f>
        <x:v>400.614656</x:v>
      </x:c>
      <x:c r="C75" s="48" t="n">
        <x:f>IF(OR(Inputs!$F$7=TRUE,Inputs!$F$7="TRUE",Inputs!$F$7=1),(Inputs!$H$7+Inputs!$L$7*(((Inputs!$I$7+(((A75)+1)/2)*(Inputs!$J$7-Inputs!$I$7)))/Inputs!$K$7)^2),NA())</x:f>
        <x:v>91.08736000000002</x:v>
      </x:c>
      <x:c r="D75" s="48" t="n">
        <x:f>IF(OR(Inputs!$F$8=TRUE,Inputs!$F$8="TRUE",Inputs!$F$8=1),(Inputs!$H$8+Inputs!$L$8*(((Inputs!$I$8+(((A75)+1)/2)*(Inputs!$J$8-Inputs!$I$8)))/Inputs!$K$8)^2),NA())</x:f>
        <x:v>183.28576</x:v>
      </x:c>
      <x:c r="E75" s="48" t="n">
        <x:f>IF(OR(Inputs!$F$9=TRUE,Inputs!$F$9="TRUE",Inputs!$F$9=1),(Inputs!$H$9+Inputs!$L$9*(((Inputs!$I$9+(((A75)+1)/2)*(Inputs!$J$9-Inputs!$I$9)))/Inputs!$K$9)^2),NA())</x:f>
        <x:v>174.82240000000002</x:v>
      </x:c>
      <x:c r="F75" s="49"/>
      <x:c r="G75" s="48" t="n">
        <x:f>A75</x:f>
        <x:v>-0.392</x:v>
      </x:c>
      <x:c r="H75" s="48"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I75" s="48"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J75" s="48"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K75" s="48"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c r="L75" s="49"/>
      <x:c r="M75" s="48" t="n">
        <x:f>A75</x:f>
        <x:v>-0.392</x:v>
      </x:c>
      <x:c r="N75" s="48" t="n">
        <x: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x:f>
        <x:v>200.81815536858818</x:v>
      </x:c>
      <x:c r="O75" s="48" t="n">
        <x: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x:f>
        <x:v>2024.760402222058</x:v>
      </x:c>
      <x:c r="P75" s="48" t="n">
        <x: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x:f>
        <x:v>2325.8936779166315</x:v>
      </x:c>
      <x:c r="Q75" s="48" t="n">
        <x: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x:f>
        <x:v>2322.506109592964</x:v>
      </x:c>
      <x:c r="R75" s="49"/>
      <x:c r="S75" s="48" t="n">
        <x:f>A75</x:f>
        <x:v>-0.392</x:v>
      </x:c>
      <x:c r="T75" s="48" t="n">
        <x:f>(Inputs!$I$6+(((A75)+1)/2)*(Inputs!$J$6-Inputs!$I$6))</x:f>
        <x:v>-23.520000000000003</x:v>
      </x:c>
      <x:c r="U75" s="48" t="n">
        <x:f>(Inputs!$I$7+(((A75)+1)/2)*(Inputs!$J$7-Inputs!$I$7))</x:f>
        <x:v>-156.8</x:v>
      </x:c>
      <x:c r="V75" s="48" t="n">
        <x:f>(Inputs!$I$8+(((A75)+1)/2)*(Inputs!$J$8-Inputs!$I$8))</x:f>
        <x:v>-313.6</x:v>
      </x:c>
      <x:c r="W75" s="48" t="n">
        <x:f>(Inputs!$I$9+(((A75)+1)/2)*(Inputs!$J$9-Inputs!$I$9))</x:f>
        <x:v>-313.6</x:v>
      </x:c>
      <x:c r="X75" s="49"/>
      <x:c r="Y75" s="48" t="n">
        <x:f>A75</x:f>
        <x:v>-0.392</x:v>
      </x:c>
      <x:c r="Z75" s="48" t="n">
        <x:f>(Inputs!$H$6+Inputs!$L$6*(((Inputs!$I$6+(((A75)+1)/2)*(Inputs!$J$6-Inputs!$I$6)))/Inputs!$K$6)^2)</x:f>
        <x:v>400.614656</x:v>
      </x:c>
      <x:c r="AA75" s="48" t="n">
        <x:f>(Inputs!$H$7+Inputs!$L$7*(((Inputs!$I$7+(((A75)+1)/2)*(Inputs!$J$7-Inputs!$I$7)))/Inputs!$K$7)^2)</x:f>
        <x:v>91.08736000000002</x:v>
      </x:c>
      <x:c r="AB75" s="48" t="n">
        <x:f>(Inputs!$H$8+Inputs!$L$8*(((Inputs!$I$8+(((A75)+1)/2)*(Inputs!$J$8-Inputs!$I$8)))/Inputs!$K$8)^2)</x:f>
        <x:v>183.28576</x:v>
      </x:c>
      <x:c r="AC75" s="48" t="n">
        <x:f>(Inputs!$H$9+Inputs!$L$9*(((Inputs!$I$9+(((A75)+1)/2)*(Inputs!$J$9-Inputs!$I$9)))/Inputs!$K$9)^2)</x:f>
        <x:v>174.82240000000002</x:v>
      </x:c>
      <x:c r="AD75" s="49"/>
      <x:c r="AE75" s="48" t="n">
        <x:f>A75</x:f>
        <x:v>-0.392</x:v>
      </x:c>
      <x:c r="AF75" s="48" t="n">
        <x:f>(((SQRT((Inputs!$C$52+((Inputs!$H$6+Inputs!$L$6*(((Inputs!$I$6+(((A75)+1)/2)*(Inputs!$J$6-Inputs!$I$6)))/Inputs!$K$6)^2)))^2+Inputs!$C$52^2-2*(Inputs!$C$52+((Inputs!$H$6+Inputs!$L$6*(((Inputs!$I$6+(((A75)+1)/2)*(Inputs!$J$6-Inputs!$I$6)))/Inputs!$K$6)^2)))*Inputs!$C$52*COS(SQRT(((Inputs!$I$6+(((A75)+1)/2)*(Inputs!$J$6-Inputs!$I$6)))^2+Inputs!$C$6^2)/Inputs!$C$52)))-((Inputs!$H$6+Inputs!$L$6*(((Inputs!$I$6+(((A75)+1)/2)*(Inputs!$J$6-Inputs!$I$6)))/Inputs!$K$6)^2)))*1000/Inputs!$C$12)</x:f>
        <x:v>1035.7266710358547</x:v>
      </x:c>
      <x:c r="AG75" s="48" t="n">
        <x:f>(((SQRT((Inputs!$C$52+((Inputs!$H$7+Inputs!$L$7*(((Inputs!$I$7+(((A75)+1)/2)*(Inputs!$J$7-Inputs!$I$7)))/Inputs!$K$7)^2)))^2+Inputs!$C$52^2-2*(Inputs!$C$52+((Inputs!$H$7+Inputs!$L$7*(((Inputs!$I$7+(((A75)+1)/2)*(Inputs!$J$7-Inputs!$I$7)))/Inputs!$K$7)^2)))*Inputs!$C$52*COS(SQRT(((Inputs!$I$7+(((A75)+1)/2)*(Inputs!$J$7-Inputs!$I$7)))^2+Inputs!$C$6^2)/Inputs!$C$52)))-((Inputs!$H$7+Inputs!$L$7*(((Inputs!$I$7+(((A75)+1)/2)*(Inputs!$J$7-Inputs!$I$7)))/Inputs!$K$7)^2)))*1000/Inputs!$C$12)</x:f>
        <x:v>53864.66194868443</x:v>
      </x:c>
      <x:c r="AH75" s="48" t="n">
        <x:f>(((SQRT((Inputs!$C$52+((Inputs!$H$8+Inputs!$L$8*(((Inputs!$I$8+(((A75)+1)/2)*(Inputs!$J$8-Inputs!$I$8)))/Inputs!$K$8)^2)))^2+Inputs!$C$52^2-2*(Inputs!$C$52+((Inputs!$H$8+Inputs!$L$8*(((Inputs!$I$8+(((A75)+1)/2)*(Inputs!$J$8-Inputs!$I$8)))/Inputs!$K$8)^2)))*Inputs!$C$52*COS(SQRT(((Inputs!$I$8+(((A75)+1)/2)*(Inputs!$J$8-Inputs!$I$8)))^2+Inputs!$C$6^2)/Inputs!$C$52)))-((Inputs!$H$8+Inputs!$L$8*(((Inputs!$I$8+(((A75)+1)/2)*(Inputs!$J$8-Inputs!$I$8)))/Inputs!$K$8)^2)))*1000/Inputs!$C$12)</x:f>
        <x:v>110078.39441314916</x:v>
      </x:c>
      <x:c r="AI75" s="48" t="n">
        <x:f>(((SQRT((Inputs!$C$52+((Inputs!$H$9+Inputs!$L$9*(((Inputs!$I$9+(((A75)+1)/2)*(Inputs!$J$9-Inputs!$I$9)))/Inputs!$K$9)^2)))^2+Inputs!$C$52^2-2*(Inputs!$C$52+((Inputs!$H$9+Inputs!$L$9*(((Inputs!$I$9+(((A75)+1)/2)*(Inputs!$J$9-Inputs!$I$9)))/Inputs!$K$9)^2)))*Inputs!$C$52*COS(SQRT(((Inputs!$I$9+(((A75)+1)/2)*(Inputs!$J$9-Inputs!$I$9)))^2+Inputs!$C$6^2)/Inputs!$C$52)))-((Inputs!$H$9+Inputs!$L$9*(((Inputs!$I$9+(((A75)+1)/2)*(Inputs!$J$9-Inputs!$I$9)))/Inputs!$K$9)^2)))*1000/Inputs!$C$12)</x:f>
        <x:v>112175.378837099</x:v>
      </x:c>
      <x:c r="AJ75" s="49"/>
      <x:c r="AK75" s="48" t="n">
        <x:f>A75</x:f>
        <x:v>-0.392</x:v>
      </x:c>
      <x:c r="AL75" s="48" t="n">
        <x: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x:f>
        <x:v>200.81815536858818</x:v>
      </x:c>
      <x:c r="AM75" s="48" t="n">
        <x: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x:f>
        <x:v>2024.760402222058</x:v>
      </x:c>
      <x:c r="AN75" s="48" t="n">
        <x: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x:f>
        <x:v>2325.8936779166315</x:v>
      </x:c>
      <x:c r="AO75" s="48" t="n">
        <x: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x:f>
        <x:v>2322.506109592964</x:v>
      </x:c>
      <x:c r="AP75" s="49"/>
      <x:c r="AQ75" s="48" t="n">
        <x:f>A75</x:f>
        <x:v>-0.392</x:v>
      </x:c>
      <x:c r="AR75" s="48" t="n">
        <x:f>0</x:f>
        <x:v>0</x:v>
      </x:c>
      <x:c r="AS75" s="48" t="n">
        <x: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(0.45*SIN(2*PI()*((((Inputs!$I$6+(((A75)+1)/2)*(Inputs!$J$6-Inputs!$I$6)))/Inputs!$C$49)+Inputs!$C$47*0.137))+0.35*COS(2*PI()*(((Inputs!$C$6)/Inputs!$C$50)+Inputs!$C$47*0.173))+0.20*SIN(2*PI()*((((Inputs!$I$6+(((A75)+1)/2)*(Inputs!$J$6-Inputs!$I$6)))+(Inputs!$C$6))/(0.5*(Inputs!$C$49+Inputs!$C$50))+Inputs!$C$47*0.097)))+0.30*(2*((SIN((((Inputs!$I$6+(((A75)+1)/2)*(Inputs!$J$6-Inputs!$I$6)))*12.9898+(Inputs!$C$6)*78.233+Inputs!$C$47*37.719))*43758.5453)-INT((SIN((((Inputs!$I$6+(((A75)+1)/2)*(Inputs!$J$6-Inputs!$I$6)))*12.9898+(Inputs!$C$6)*78.233+Inputs!$C$47*37.719))*43758.5453)))-1))),NA())</x:f>
        <x:v>294.44993900710983</x:v>
      </x:c>
      <x:c r="AT75" s="48" t="n">
        <x: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(0.45*SIN(2*PI()*((((Inputs!$I$7+(((A75)+1)/2)*(Inputs!$J$7-Inputs!$I$7)))/Inputs!$C$49)+Inputs!$C$47*0.137))+0.35*COS(2*PI()*(((Inputs!$C$6)/Inputs!$C$50)+Inputs!$C$47*0.173))+0.20*SIN(2*PI()*((((Inputs!$I$7+(((A75)+1)/2)*(Inputs!$J$7-Inputs!$I$7)))+(Inputs!$C$6))/(0.5*(Inputs!$C$49+Inputs!$C$50))+Inputs!$C$47*0.097)))+0.30*(2*((SIN((((Inputs!$I$7+(((A75)+1)/2)*(Inputs!$J$7-Inputs!$I$7)))*12.9898+(Inputs!$C$6)*78.233+Inputs!$C$47*37.719))*43758.5453)-INT((SIN((((Inputs!$I$7+(((A75)+1)/2)*(Inputs!$J$7-Inputs!$I$7)))*12.9898+(Inputs!$C$6)*78.233+Inputs!$C$47*37.719))*43758.5453)))-1))),NA())</x:f>
        <x:v>196.08717045831813</x:v>
      </x:c>
      <x:c r="AU75" s="48" t="n">
        <x: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(0.45*SIN(2*PI()*((((Inputs!$I$8+(((A75)+1)/2)*(Inputs!$J$8-Inputs!$I$8)))/Inputs!$C$49)+Inputs!$C$47*0.137))+0.35*COS(2*PI()*(((Inputs!$C$6)/Inputs!$C$50)+Inputs!$C$47*0.173))+0.20*SIN(2*PI()*((((Inputs!$I$8+(((A75)+1)/2)*(Inputs!$J$8-Inputs!$I$8)))+(Inputs!$C$6))/(0.5*(Inputs!$C$49+Inputs!$C$50))+Inputs!$C$47*0.097)))+0.30*(2*((SIN((((Inputs!$I$8+(((A75)+1)/2)*(Inputs!$J$8-Inputs!$I$8)))*12.9898+(Inputs!$C$6)*78.233+Inputs!$C$47*37.719))*43758.5453)-INT((SIN((((Inputs!$I$8+(((A75)+1)/2)*(Inputs!$J$8-Inputs!$I$8)))*12.9898+(Inputs!$C$6)*78.233+Inputs!$C$47*37.719))*43758.5453)))-1))),NA())</x:f>
        <x:v>100.74451979110265</x:v>
      </x:c>
      <x:c r="AV75" s="48" t="n">
        <x: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(0.45*SIN(2*PI()*((((Inputs!$I$9+(((A75)+1)/2)*(Inputs!$J$9-Inputs!$I$9)))/Inputs!$C$49)+Inputs!$C$47*0.137))+0.35*COS(2*PI()*(((Inputs!$C$6)/Inputs!$C$50)+Inputs!$C$47*0.173))+0.20*SIN(2*PI()*((((Inputs!$I$9+(((A75)+1)/2)*(Inputs!$J$9-Inputs!$I$9)))+(Inputs!$C$6))/(0.5*(Inputs!$C$49+Inputs!$C$50))+Inputs!$C$47*0.097)))+0.30*(2*((SIN((((Inputs!$I$9+(((A75)+1)/2)*(Inputs!$J$9-Inputs!$I$9)))*12.9898+(Inputs!$C$6)*78.233+Inputs!$C$47*37.719))*43758.5453)-INT((SIN((((Inputs!$I$9+(((A75)+1)/2)*(Inputs!$J$9-Inputs!$I$9)))*12.9898+(Inputs!$C$6)*78.233+Inputs!$C$47*37.719))*43758.5453)))-1))),NA())</x:f>
        <x:v>100.74451979110265</x:v>
      </x:c>
      <x:c r="AW75" s="49"/>
      <x:c r="AX75" s="48" t="n">
        <x:f>A75</x:f>
        <x:v>-0.392</x:v>
      </x:c>
      <x:c r="AY75" s="48" t="n">
        <x:f>0</x:f>
        <x:v>0</x:v>
      </x:c>
      <x:c r="AZ75" s="48" t="n">
        <x:f>IF(OR(Inputs!$F$6=TRUE,Inputs!$F$6="TRUE",Inputs!$F$6=1),(Inputs!$H$6+Inputs!$L$6*(((Inputs!$I$6+(((A75)+1)/2)*(Inputs!$J$6-Inputs!$I$6)))/Inputs!$K$6)^2),NA())</x:f>
        <x:v>400.614656</x:v>
      </x:c>
      <x:c r="BA75" s="48" t="n">
        <x:f>IF(OR(Inputs!$F$7=TRUE,Inputs!$F$7="TRUE",Inputs!$F$7=1),(Inputs!$H$7+Inputs!$L$7*(((Inputs!$I$7+(((A75)+1)/2)*(Inputs!$J$7-Inputs!$I$7)))/Inputs!$K$7)^2),NA())</x:f>
        <x:v>91.08736000000002</x:v>
      </x:c>
      <x:c r="BB75" s="48" t="n">
        <x:f>IF(OR(Inputs!$F$8=TRUE,Inputs!$F$8="TRUE",Inputs!$F$8=1),(Inputs!$H$8+Inputs!$L$8*(((Inputs!$I$8+(((A75)+1)/2)*(Inputs!$J$8-Inputs!$I$8)))/Inputs!$K$8)^2),NA())</x:f>
        <x:v>183.28576</x:v>
      </x:c>
      <x:c r="BC75" s="48" t="n">
        <x:f>IF(OR(Inputs!$F$9=TRUE,Inputs!$F$9="TRUE",Inputs!$F$9=1),(Inputs!$H$9+Inputs!$L$9*(((Inputs!$I$9+(((A75)+1)/2)*(Inputs!$J$9-Inputs!$I$9)))/Inputs!$K$9)^2),NA())</x:f>
        <x:v>174.82240000000002</x:v>
      </x:c>
      <x:c r="BD75" s="49"/>
      <x:c r="BE75" s="48" t="n">
        <x:f>A75</x:f>
        <x:v>-0.392</x:v>
      </x:c>
      <x:c r="BF75" s="48" t="n">
        <x:f>0</x:f>
        <x:v>0</x:v>
      </x:c>
      <x:c r="BG75" s="48"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BH75" s="48"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BI75" s="48"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BJ75" s="48"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row>
    <x:row r="76">
      <x:c r="A76" s="48" t="n">
        <x:f>ROUND(-1+74*2/240,3)</x:f>
        <x:v>-0.383</x:v>
      </x:c>
      <x:c r="B76" s="48" t="n">
        <x:f>IF(OR(Inputs!$F$6=TRUE,Inputs!$F$6="TRUE",Inputs!$F$6=1),(Inputs!$H$6+Inputs!$L$6*(((Inputs!$I$6+(((A76)+1)/2)*(Inputs!$J$6-Inputs!$I$6)))/Inputs!$K$6)^2),NA())</x:f>
        <x:v>400.586756</x:v>
      </x:c>
      <x:c r="C76" s="48" t="n">
        <x:f>IF(OR(Inputs!$F$7=TRUE,Inputs!$F$7="TRUE",Inputs!$F$7=1),(Inputs!$H$7+Inputs!$L$7*(((Inputs!$I$7+(((A76)+1)/2)*(Inputs!$J$7-Inputs!$I$7)))/Inputs!$K$7)^2),NA())</x:f>
        <x:v>88.541485</x:v>
      </x:c>
      <x:c r="D76" s="48" t="n">
        <x:f>IF(OR(Inputs!$F$8=TRUE,Inputs!$F$8="TRUE",Inputs!$F$8=1),(Inputs!$H$8+Inputs!$L$8*(((Inputs!$I$8+(((A76)+1)/2)*(Inputs!$J$8-Inputs!$I$8)))/Inputs!$K$8)^2),NA())</x:f>
        <x:v>176.55488499999996</x:v>
      </x:c>
      <x:c r="E76" s="48" t="n">
        <x:f>IF(OR(Inputs!$F$9=TRUE,Inputs!$F$9="TRUE",Inputs!$F$9=1),(Inputs!$H$9+Inputs!$L$9*(((Inputs!$I$9+(((A76)+1)/2)*(Inputs!$J$9-Inputs!$I$9)))/Inputs!$K$9)^2),NA())</x:f>
        <x:v>168.02177499999996</x:v>
      </x:c>
      <x:c r="F76" s="49"/>
      <x:c r="G76" s="48" t="n">
        <x:f>A76</x:f>
        <x:v>-0.383</x:v>
      </x:c>
      <x:c r="H76" s="48"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I76" s="48"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J76" s="48"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K76" s="48"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c r="L76" s="49"/>
      <x:c r="M76" s="48" t="n">
        <x:f>A76</x:f>
        <x:v>-0.383</x:v>
      </x:c>
      <x:c r="N76" s="48" t="n">
        <x: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x:f>
        <x:v>196.23147061896577</x:v>
      </x:c>
      <x:c r="O76" s="48" t="n">
        <x: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x:f>
        <x:v>2007.5913959656798</x:v>
      </x:c>
      <x:c r="P76" s="48" t="n">
        <x: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x:f>
        <x:v>2298.6870308669572</x:v>
      </x:c>
      <x:c r="Q76" s="48" t="n">
        <x: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x:f>
        <x:v>2294.8290503255125</x:v>
      </x:c>
      <x:c r="R76" s="49"/>
      <x:c r="S76" s="48" t="n">
        <x:f>A76</x:f>
        <x:v>-0.383</x:v>
      </x:c>
      <x:c r="T76" s="48" t="n">
        <x:f>(Inputs!$I$6+(((A76)+1)/2)*(Inputs!$J$6-Inputs!$I$6))</x:f>
        <x:v>-22.980000000000004</x:v>
      </x:c>
      <x:c r="U76" s="48" t="n">
        <x:f>(Inputs!$I$7+(((A76)+1)/2)*(Inputs!$J$7-Inputs!$I$7))</x:f>
        <x:v>-153.2</x:v>
      </x:c>
      <x:c r="V76" s="48" t="n">
        <x:f>(Inputs!$I$8+(((A76)+1)/2)*(Inputs!$J$8-Inputs!$I$8))</x:f>
        <x:v>-306.4</x:v>
      </x:c>
      <x:c r="W76" s="48" t="n">
        <x:f>(Inputs!$I$9+(((A76)+1)/2)*(Inputs!$J$9-Inputs!$I$9))</x:f>
        <x:v>-306.4</x:v>
      </x:c>
      <x:c r="X76" s="49"/>
      <x:c r="Y76" s="48" t="n">
        <x:f>A76</x:f>
        <x:v>-0.383</x:v>
      </x:c>
      <x:c r="Z76" s="48" t="n">
        <x:f>(Inputs!$H$6+Inputs!$L$6*(((Inputs!$I$6+(((A76)+1)/2)*(Inputs!$J$6-Inputs!$I$6)))/Inputs!$K$6)^2)</x:f>
        <x:v>400.586756</x:v>
      </x:c>
      <x:c r="AA76" s="48" t="n">
        <x:f>(Inputs!$H$7+Inputs!$L$7*(((Inputs!$I$7+(((A76)+1)/2)*(Inputs!$J$7-Inputs!$I$7)))/Inputs!$K$7)^2)</x:f>
        <x:v>88.541485</x:v>
      </x:c>
      <x:c r="AB76" s="48" t="n">
        <x:f>(Inputs!$H$8+Inputs!$L$8*(((Inputs!$I$8+(((A76)+1)/2)*(Inputs!$J$8-Inputs!$I$8)))/Inputs!$K$8)^2)</x:f>
        <x:v>176.55488499999996</x:v>
      </x:c>
      <x:c r="AC76" s="48" t="n">
        <x:f>(Inputs!$H$9+Inputs!$L$9*(((Inputs!$I$9+(((A76)+1)/2)*(Inputs!$J$9-Inputs!$I$9)))/Inputs!$K$9)^2)</x:f>
        <x:v>168.02177499999996</x:v>
      </x:c>
      <x:c r="AD76" s="49"/>
      <x:c r="AE76" s="48" t="n">
        <x:f>A76</x:f>
        <x:v>-0.383</x:v>
      </x:c>
      <x:c r="AF76" s="48" t="n">
        <x:f>(((SQRT((Inputs!$C$52+((Inputs!$H$6+Inputs!$L$6*(((Inputs!$I$6+(((A76)+1)/2)*(Inputs!$J$6-Inputs!$I$6)))/Inputs!$K$6)^2)))^2+Inputs!$C$52^2-2*(Inputs!$C$52+((Inputs!$H$6+Inputs!$L$6*(((Inputs!$I$6+(((A76)+1)/2)*(Inputs!$J$6-Inputs!$I$6)))/Inputs!$K$6)^2)))*Inputs!$C$52*COS(SQRT(((Inputs!$I$6+(((A76)+1)/2)*(Inputs!$J$6-Inputs!$I$6)))^2+Inputs!$C$6^2)/Inputs!$C$52)))-((Inputs!$H$6+Inputs!$L$6*(((Inputs!$I$6+(((A76)+1)/2)*(Inputs!$J$6-Inputs!$I$6)))/Inputs!$K$6)^2)))*1000/Inputs!$C$12)</x:f>
        <x:v>1013.7591589562022</x:v>
      </x:c>
      <x:c r="AG76" s="48" t="n">
        <x:f>(((SQRT((Inputs!$C$52+((Inputs!$H$7+Inputs!$L$7*(((Inputs!$I$7+(((A76)+1)/2)*(Inputs!$J$7-Inputs!$I$7)))/Inputs!$K$7)^2)))^2+Inputs!$C$52^2-2*(Inputs!$C$52+((Inputs!$H$7+Inputs!$L$7*(((Inputs!$I$7+(((A76)+1)/2)*(Inputs!$J$7-Inputs!$I$7)))/Inputs!$K$7)^2)))*Inputs!$C$52*COS(SQRT(((Inputs!$I$7+(((A76)+1)/2)*(Inputs!$J$7-Inputs!$I$7)))^2+Inputs!$C$6^2)/Inputs!$C$52)))-((Inputs!$H$7+Inputs!$L$7*(((Inputs!$I$7+(((A76)+1)/2)*(Inputs!$J$7-Inputs!$I$7)))/Inputs!$K$7)^2)))*1000/Inputs!$C$12)</x:f>
        <x:v>52746.40431481317</x:v>
      </x:c>
      <x:c r="AH76" s="48" t="n">
        <x:f>(((SQRT((Inputs!$C$52+((Inputs!$H$8+Inputs!$L$8*(((Inputs!$I$8+(((A76)+1)/2)*(Inputs!$J$8-Inputs!$I$8)))/Inputs!$K$8)^2)))^2+Inputs!$C$52^2-2*(Inputs!$C$52+((Inputs!$H$8+Inputs!$L$8*(((Inputs!$I$8+(((A76)+1)/2)*(Inputs!$J$8-Inputs!$I$8)))/Inputs!$K$8)^2)))*Inputs!$C$52*COS(SQRT(((Inputs!$I$8+(((A76)+1)/2)*(Inputs!$J$8-Inputs!$I$8)))^2+Inputs!$C$6^2)/Inputs!$C$52)))-((Inputs!$H$8+Inputs!$L$8*(((Inputs!$I$8+(((A76)+1)/2)*(Inputs!$J$8-Inputs!$I$8)))/Inputs!$K$8)^2)))*1000/Inputs!$C$12)</x:f>
        <x:v>108014.18286329445</x:v>
      </x:c>
      <x:c r="AI76" s="48" t="n">
        <x:f>(((SQRT((Inputs!$C$52+((Inputs!$H$9+Inputs!$L$9*(((Inputs!$I$9+(((A76)+1)/2)*(Inputs!$J$9-Inputs!$I$9)))/Inputs!$K$9)^2)))^2+Inputs!$C$52^2-2*(Inputs!$C$52+((Inputs!$H$9+Inputs!$L$9*(((Inputs!$I$9+(((A76)+1)/2)*(Inputs!$J$9-Inputs!$I$9)))/Inputs!$K$9)^2)))*Inputs!$C$52*COS(SQRT(((Inputs!$I$9+(((A76)+1)/2)*(Inputs!$J$9-Inputs!$I$9)))^2+Inputs!$C$6^2)/Inputs!$C$52)))-((Inputs!$H$9+Inputs!$L$9*(((Inputs!$I$9+(((A76)+1)/2)*(Inputs!$J$9-Inputs!$I$9)))/Inputs!$K$9)^2)))*1000/Inputs!$C$12)</x:f>
        <x:v>110159.51485401145</x:v>
      </x:c>
      <x:c r="AJ76" s="49"/>
      <x:c r="AK76" s="48" t="n">
        <x:f>A76</x:f>
        <x:v>-0.383</x:v>
      </x:c>
      <x:c r="AL76" s="48" t="n">
        <x: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x:f>
        <x:v>196.23147061896577</x:v>
      </x:c>
      <x:c r="AM76" s="48" t="n">
        <x: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x:f>
        <x:v>2007.5913959656798</x:v>
      </x:c>
      <x:c r="AN76" s="48" t="n">
        <x: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x:f>
        <x:v>2298.6870308669572</x:v>
      </x:c>
      <x:c r="AO76" s="48" t="n">
        <x: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x:f>
        <x:v>2294.8290503255125</x:v>
      </x:c>
      <x:c r="AP76" s="49"/>
      <x:c r="AQ76" s="48" t="n">
        <x:f>A76</x:f>
        <x:v>-0.383</x:v>
      </x:c>
      <x:c r="AR76" s="48" t="n">
        <x:f>0</x:f>
        <x:v>0</x:v>
      </x:c>
      <x:c r="AS76" s="48" t="n">
        <x: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(0.45*SIN(2*PI()*((((Inputs!$I$6+(((A76)+1)/2)*(Inputs!$J$6-Inputs!$I$6)))/Inputs!$C$49)+Inputs!$C$47*0.137))+0.35*COS(2*PI()*(((Inputs!$C$6)/Inputs!$C$50)+Inputs!$C$47*0.173))+0.20*SIN(2*PI()*((((Inputs!$I$6+(((A76)+1)/2)*(Inputs!$J$6-Inputs!$I$6)))+(Inputs!$C$6))/(0.5*(Inputs!$C$49+Inputs!$C$50))+Inputs!$C$47*0.097)))+0.30*(2*((SIN((((Inputs!$I$6+(((A76)+1)/2)*(Inputs!$J$6-Inputs!$I$6)))*12.9898+(Inputs!$C$6)*78.233+Inputs!$C$47*37.719))*43758.5453)-INT((SIN((((Inputs!$I$6+(((A76)+1)/2)*(Inputs!$J$6-Inputs!$I$6)))*12.9898+(Inputs!$C$6)*78.233+Inputs!$C$47*37.719))*43758.5453)))-1))),NA())</x:f>
        <x:v>282.16327342785746</x:v>
      </x:c>
      <x:c r="AT76" s="48" t="n">
        <x: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(0.45*SIN(2*PI()*((((Inputs!$I$7+(((A76)+1)/2)*(Inputs!$J$7-Inputs!$I$7)))/Inputs!$C$49)+Inputs!$C$47*0.137))+0.35*COS(2*PI()*(((Inputs!$C$6)/Inputs!$C$50)+Inputs!$C$47*0.173))+0.20*SIN(2*PI()*((((Inputs!$I$7+(((A76)+1)/2)*(Inputs!$J$7-Inputs!$I$7)))+(Inputs!$C$6))/(0.5*(Inputs!$C$49+Inputs!$C$50))+Inputs!$C$47*0.097)))+0.30*(2*((SIN((((Inputs!$I$7+(((A76)+1)/2)*(Inputs!$J$7-Inputs!$I$7)))*12.9898+(Inputs!$C$6)*78.233+Inputs!$C$47*37.719))*43758.5453)-INT((SIN((((Inputs!$I$7+(((A76)+1)/2)*(Inputs!$J$7-Inputs!$I$7)))*12.9898+(Inputs!$C$6)*78.233+Inputs!$C$47*37.719))*43758.5453)))-1))),NA())</x:f>
        <x:v>154.02382606022226</x:v>
      </x:c>
      <x:c r="AU76" s="48" t="n">
        <x: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(0.45*SIN(2*PI()*((((Inputs!$I$8+(((A76)+1)/2)*(Inputs!$J$8-Inputs!$I$8)))/Inputs!$C$49)+Inputs!$C$47*0.137))+0.35*COS(2*PI()*(((Inputs!$C$6)/Inputs!$C$50)+Inputs!$C$47*0.173))+0.20*SIN(2*PI()*((((Inputs!$I$8+(((A76)+1)/2)*(Inputs!$J$8-Inputs!$I$8)))+(Inputs!$C$6))/(0.5*(Inputs!$C$49+Inputs!$C$50))+Inputs!$C$47*0.097)))+0.30*(2*((SIN((((Inputs!$I$8+(((A76)+1)/2)*(Inputs!$J$8-Inputs!$I$8)))*12.9898+(Inputs!$C$6)*78.233+Inputs!$C$47*37.719))*43758.5453)-INT((SIN((((Inputs!$I$8+(((A76)+1)/2)*(Inputs!$J$8-Inputs!$I$8)))*12.9898+(Inputs!$C$6)*78.233+Inputs!$C$47*37.719))*43758.5453)))-1))),NA())</x:f>
        <x:v>152.82930948380636</x:v>
      </x:c>
      <x:c r="AV76" s="48" t="n">
        <x: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(0.45*SIN(2*PI()*((((Inputs!$I$9+(((A76)+1)/2)*(Inputs!$J$9-Inputs!$I$9)))/Inputs!$C$49)+Inputs!$C$47*0.137))+0.35*COS(2*PI()*(((Inputs!$C$6)/Inputs!$C$50)+Inputs!$C$47*0.173))+0.20*SIN(2*PI()*((((Inputs!$I$9+(((A76)+1)/2)*(Inputs!$J$9-Inputs!$I$9)))+(Inputs!$C$6))/(0.5*(Inputs!$C$49+Inputs!$C$50))+Inputs!$C$47*0.097)))+0.30*(2*((SIN((((Inputs!$I$9+(((A76)+1)/2)*(Inputs!$J$9-Inputs!$I$9)))*12.9898+(Inputs!$C$6)*78.233+Inputs!$C$47*37.719))*43758.5453)-INT((SIN((((Inputs!$I$9+(((A76)+1)/2)*(Inputs!$J$9-Inputs!$I$9)))*12.9898+(Inputs!$C$6)*78.233+Inputs!$C$47*37.719))*43758.5453)))-1))),NA())</x:f>
        <x:v>152.82930948380636</x:v>
      </x:c>
      <x:c r="AW76" s="49"/>
      <x:c r="AX76" s="48" t="n">
        <x:f>A76</x:f>
        <x:v>-0.383</x:v>
      </x:c>
      <x:c r="AY76" s="48" t="n">
        <x:f>0</x:f>
        <x:v>0</x:v>
      </x:c>
      <x:c r="AZ76" s="48" t="n">
        <x:f>IF(OR(Inputs!$F$6=TRUE,Inputs!$F$6="TRUE",Inputs!$F$6=1),(Inputs!$H$6+Inputs!$L$6*(((Inputs!$I$6+(((A76)+1)/2)*(Inputs!$J$6-Inputs!$I$6)))/Inputs!$K$6)^2),NA())</x:f>
        <x:v>400.586756</x:v>
      </x:c>
      <x:c r="BA76" s="48" t="n">
        <x:f>IF(OR(Inputs!$F$7=TRUE,Inputs!$F$7="TRUE",Inputs!$F$7=1),(Inputs!$H$7+Inputs!$L$7*(((Inputs!$I$7+(((A76)+1)/2)*(Inputs!$J$7-Inputs!$I$7)))/Inputs!$K$7)^2),NA())</x:f>
        <x:v>88.541485</x:v>
      </x:c>
      <x:c r="BB76" s="48" t="n">
        <x:f>IF(OR(Inputs!$F$8=TRUE,Inputs!$F$8="TRUE",Inputs!$F$8=1),(Inputs!$H$8+Inputs!$L$8*(((Inputs!$I$8+(((A76)+1)/2)*(Inputs!$J$8-Inputs!$I$8)))/Inputs!$K$8)^2),NA())</x:f>
        <x:v>176.55488499999996</x:v>
      </x:c>
      <x:c r="BC76" s="48" t="n">
        <x:f>IF(OR(Inputs!$F$9=TRUE,Inputs!$F$9="TRUE",Inputs!$F$9=1),(Inputs!$H$9+Inputs!$L$9*(((Inputs!$I$9+(((A76)+1)/2)*(Inputs!$J$9-Inputs!$I$9)))/Inputs!$K$9)^2),NA())</x:f>
        <x:v>168.02177499999996</x:v>
      </x:c>
      <x:c r="BD76" s="49"/>
      <x:c r="BE76" s="48" t="n">
        <x:f>A76</x:f>
        <x:v>-0.383</x:v>
      </x:c>
      <x:c r="BF76" s="48" t="n">
        <x:f>0</x:f>
        <x:v>0</x:v>
      </x:c>
      <x:c r="BG76" s="48"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BH76" s="48"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BI76" s="48"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BJ76" s="48"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row>
    <x:row r="77">
      <x:c r="A77" s="48" t="n">
        <x:f>ROUND(-1+75*2/240,3)</x:f>
        <x:v>-0.375</x:v>
      </x:c>
      <x:c r="B77" s="48" t="n">
        <x:f>IF(OR(Inputs!$F$6=TRUE,Inputs!$F$6="TRUE",Inputs!$F$6=1),(Inputs!$H$6+Inputs!$L$6*(((Inputs!$I$6+(((A77)+1)/2)*(Inputs!$J$6-Inputs!$I$6)))/Inputs!$K$6)^2),NA())</x:f>
        <x:v>400.5625</x:v>
      </x:c>
      <x:c r="C77" s="48" t="n">
        <x:f>IF(OR(Inputs!$F$7=TRUE,Inputs!$F$7="TRUE",Inputs!$F$7=1),(Inputs!$H$7+Inputs!$L$7*(((Inputs!$I$7+(((A77)+1)/2)*(Inputs!$J$7-Inputs!$I$7)))/Inputs!$K$7)^2),NA())</x:f>
        <x:v>86.328125</x:v>
      </x:c>
      <x:c r="D77" s="48" t="n">
        <x:f>IF(OR(Inputs!$F$8=TRUE,Inputs!$F$8="TRUE",Inputs!$F$8=1),(Inputs!$H$8+Inputs!$L$8*(((Inputs!$I$8+(((A77)+1)/2)*(Inputs!$J$8-Inputs!$I$8)))/Inputs!$K$8)^2),NA())</x:f>
        <x:v>170.703125</x:v>
      </x:c>
      <x:c r="E77" s="48" t="n">
        <x:f>IF(OR(Inputs!$F$9=TRUE,Inputs!$F$9="TRUE",Inputs!$F$9=1),(Inputs!$H$9+Inputs!$L$9*(((Inputs!$I$9+(((A77)+1)/2)*(Inputs!$J$9-Inputs!$I$9)))/Inputs!$K$9)^2),NA())</x:f>
        <x:v>162.109375</x:v>
      </x:c>
      <x:c r="F77" s="49"/>
      <x:c r="G77" s="48" t="n">
        <x:f>A77</x:f>
        <x:v>-0.375</x:v>
      </x:c>
      <x:c r="H77" s="48"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I77" s="48"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J77" s="48"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K77" s="48"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c r="L77" s="49"/>
      <x:c r="M77" s="48" t="n">
        <x:f>A77</x:f>
        <x:v>-0.375</x:v>
      </x:c>
      <x:c r="N77" s="48" t="n">
        <x: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x:f>
        <x:v>192.15302566213933</x:v>
      </x:c>
      <x:c r="O77" s="48" t="n">
        <x: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x:f>
        <x:v>1992.425429394599</x:v>
      </x:c>
      <x:c r="P77" s="48" t="n">
        <x: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x:f>
        <x:v>2274.808041014935</x:v>
      </x:c>
      <x:c r="Q77" s="48" t="n">
        <x: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x:f>
        <x:v>2270.5464453803947</x:v>
      </x:c>
      <x:c r="R77" s="49"/>
      <x:c r="S77" s="48" t="n">
        <x:f>A77</x:f>
        <x:v>-0.375</x:v>
      </x:c>
      <x:c r="T77" s="48" t="n">
        <x:f>(Inputs!$I$6+(((A77)+1)/2)*(Inputs!$J$6-Inputs!$I$6))</x:f>
        <x:v>-22.5</x:v>
      </x:c>
      <x:c r="U77" s="48" t="n">
        <x:f>(Inputs!$I$7+(((A77)+1)/2)*(Inputs!$J$7-Inputs!$I$7))</x:f>
        <x:v>-150</x:v>
      </x:c>
      <x:c r="V77" s="48" t="n">
        <x:f>(Inputs!$I$8+(((A77)+1)/2)*(Inputs!$J$8-Inputs!$I$8))</x:f>
        <x:v>-300</x:v>
      </x:c>
      <x:c r="W77" s="48" t="n">
        <x:f>(Inputs!$I$9+(((A77)+1)/2)*(Inputs!$J$9-Inputs!$I$9))</x:f>
        <x:v>-300</x:v>
      </x:c>
      <x:c r="X77" s="49"/>
      <x:c r="Y77" s="48" t="n">
        <x:f>A77</x:f>
        <x:v>-0.375</x:v>
      </x:c>
      <x:c r="Z77" s="48" t="n">
        <x:f>(Inputs!$H$6+Inputs!$L$6*(((Inputs!$I$6+(((A77)+1)/2)*(Inputs!$J$6-Inputs!$I$6)))/Inputs!$K$6)^2)</x:f>
        <x:v>400.5625</x:v>
      </x:c>
      <x:c r="AA77" s="48" t="n">
        <x:f>(Inputs!$H$7+Inputs!$L$7*(((Inputs!$I$7+(((A77)+1)/2)*(Inputs!$J$7-Inputs!$I$7)))/Inputs!$K$7)^2)</x:f>
        <x:v>86.328125</x:v>
      </x:c>
      <x:c r="AB77" s="48" t="n">
        <x:f>(Inputs!$H$8+Inputs!$L$8*(((Inputs!$I$8+(((A77)+1)/2)*(Inputs!$J$8-Inputs!$I$8)))/Inputs!$K$8)^2)</x:f>
        <x:v>170.703125</x:v>
      </x:c>
      <x:c r="AC77" s="48" t="n">
        <x:f>(Inputs!$H$9+Inputs!$L$9*(((Inputs!$I$9+(((A77)+1)/2)*(Inputs!$J$9-Inputs!$I$9)))/Inputs!$K$9)^2)</x:f>
        <x:v>162.109375</x:v>
      </x:c>
      <x:c r="AD77" s="49"/>
      <x:c r="AE77" s="48" t="n">
        <x:f>A77</x:f>
        <x:v>-0.375</x:v>
      </x:c>
      <x:c r="AF77" s="48" t="n">
        <x:f>(((SQRT((Inputs!$C$52+((Inputs!$H$6+Inputs!$L$6*(((Inputs!$I$6+(((A77)+1)/2)*(Inputs!$J$6-Inputs!$I$6)))/Inputs!$K$6)^2)))^2+Inputs!$C$52^2-2*(Inputs!$C$52+((Inputs!$H$6+Inputs!$L$6*(((Inputs!$I$6+(((A77)+1)/2)*(Inputs!$J$6-Inputs!$I$6)))/Inputs!$K$6)^2)))*Inputs!$C$52*COS(SQRT(((Inputs!$I$6+(((A77)+1)/2)*(Inputs!$J$6-Inputs!$I$6)))^2+Inputs!$C$6^2)/Inputs!$C$52)))-((Inputs!$H$6+Inputs!$L$6*(((Inputs!$I$6+(((A77)+1)/2)*(Inputs!$J$6-Inputs!$I$6)))/Inputs!$K$6)^2)))*1000/Inputs!$C$12)</x:f>
        <x:v>994.6570764645656</x:v>
      </x:c>
      <x:c r="AG77" s="48" t="n">
        <x:f>(((SQRT((Inputs!$C$52+((Inputs!$H$7+Inputs!$L$7*(((Inputs!$I$7+(((A77)+1)/2)*(Inputs!$J$7-Inputs!$I$7)))/Inputs!$K$7)^2)))^2+Inputs!$C$52^2-2*(Inputs!$C$52+((Inputs!$H$7+Inputs!$L$7*(((Inputs!$I$7+(((A77)+1)/2)*(Inputs!$J$7-Inputs!$I$7)))/Inputs!$K$7)^2)))*Inputs!$C$52*COS(SQRT(((Inputs!$I$7+(((A77)+1)/2)*(Inputs!$J$7-Inputs!$I$7)))^2+Inputs!$C$6^2)/Inputs!$C$52)))-((Inputs!$H$7+Inputs!$L$7*(((Inputs!$I$7+(((A77)+1)/2)*(Inputs!$J$7-Inputs!$I$7)))/Inputs!$K$7)^2)))*1000/Inputs!$C$12)</x:f>
        <x:v>51742.672553663324</x:v>
      </x:c>
      <x:c r="AH77" s="48" t="n">
        <x:f>(((SQRT((Inputs!$C$52+((Inputs!$H$8+Inputs!$L$8*(((Inputs!$I$8+(((A77)+1)/2)*(Inputs!$J$8-Inputs!$I$8)))/Inputs!$K$8)^2)))^2+Inputs!$C$52^2-2*(Inputs!$C$52+((Inputs!$H$8+Inputs!$L$8*(((Inputs!$I$8+(((A77)+1)/2)*(Inputs!$J$8-Inputs!$I$8)))/Inputs!$K$8)^2)))*Inputs!$C$52*COS(SQRT(((Inputs!$I$8+(((A77)+1)/2)*(Inputs!$J$8-Inputs!$I$8)))^2+Inputs!$C$6^2)/Inputs!$C$52)))-((Inputs!$H$8+Inputs!$L$8*(((Inputs!$I$8+(((A77)+1)/2)*(Inputs!$J$8-Inputs!$I$8)))/Inputs!$K$8)^2)))*1000/Inputs!$C$12)</x:f>
        <x:v>106162.98410826577</x:v>
      </x:c>
      <x:c r="AI77" s="48" t="n">
        <x:f>(((SQRT((Inputs!$C$52+((Inputs!$H$9+Inputs!$L$9*(((Inputs!$I$9+(((A77)+1)/2)*(Inputs!$J$9-Inputs!$I$9)))/Inputs!$K$9)^2)))^2+Inputs!$C$52^2-2*(Inputs!$C$52+((Inputs!$H$9+Inputs!$L$9*(((Inputs!$I$9+(((A77)+1)/2)*(Inputs!$J$9-Inputs!$I$9)))/Inputs!$K$9)^2)))*Inputs!$C$52*COS(SQRT(((Inputs!$I$9+(((A77)+1)/2)*(Inputs!$J$9-Inputs!$I$9)))^2+Inputs!$C$6^2)/Inputs!$C$52)))-((Inputs!$H$9+Inputs!$L$9*(((Inputs!$I$9+(((A77)+1)/2)*(Inputs!$J$9-Inputs!$I$9)))/Inputs!$K$9)^2)))*1000/Inputs!$C$12)</x:f>
        <x:v>108351.50932337677</x:v>
      </x:c>
      <x:c r="AJ77" s="49"/>
      <x:c r="AK77" s="48" t="n">
        <x:f>A77</x:f>
        <x:v>-0.375</x:v>
      </x:c>
      <x:c r="AL77" s="48" t="n">
        <x: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x:f>
        <x:v>192.15302566213933</x:v>
      </x:c>
      <x:c r="AM77" s="48" t="n">
        <x: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x:f>
        <x:v>1992.425429394599</x:v>
      </x:c>
      <x:c r="AN77" s="48" t="n">
        <x: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x:f>
        <x:v>2274.808041014935</x:v>
      </x:c>
      <x:c r="AO77" s="48" t="n">
        <x: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x:f>
        <x:v>2270.5464453803947</x:v>
      </x:c>
      <x:c r="AP77" s="49"/>
      <x:c r="AQ77" s="48" t="n">
        <x:f>A77</x:f>
        <x:v>-0.375</x:v>
      </x:c>
      <x:c r="AR77" s="48" t="n">
        <x:f>0</x:f>
        <x:v>0</x:v>
      </x:c>
      <x:c r="AS77" s="48" t="n">
        <x: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(0.45*SIN(2*PI()*((((Inputs!$I$6+(((A77)+1)/2)*(Inputs!$J$6-Inputs!$I$6)))/Inputs!$C$49)+Inputs!$C$47*0.137))+0.35*COS(2*PI()*(((Inputs!$C$6)/Inputs!$C$50)+Inputs!$C$47*0.173))+0.20*SIN(2*PI()*((((Inputs!$I$6+(((A77)+1)/2)*(Inputs!$J$6-Inputs!$I$6)))+(Inputs!$C$6))/(0.5*(Inputs!$C$49+Inputs!$C$50))+Inputs!$C$47*0.097)))+0.30*(2*((SIN((((Inputs!$I$6+(((A77)+1)/2)*(Inputs!$J$6-Inputs!$I$6)))*12.9898+(Inputs!$C$6)*78.233+Inputs!$C$47*37.719))*43758.5453)-INT((SIN((((Inputs!$I$6+(((A77)+1)/2)*(Inputs!$J$6-Inputs!$I$6)))*12.9898+(Inputs!$C$6)*78.233+Inputs!$C$47*37.719))*43758.5453)))-1))),NA())</x:f>
        <x:v>286.69936407981004</x:v>
      </x:c>
      <x:c r="AT77" s="48" t="n">
        <x: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(0.45*SIN(2*PI()*((((Inputs!$I$7+(((A77)+1)/2)*(Inputs!$J$7-Inputs!$I$7)))/Inputs!$C$49)+Inputs!$C$47*0.137))+0.35*COS(2*PI()*(((Inputs!$C$6)/Inputs!$C$50)+Inputs!$C$47*0.173))+0.20*SIN(2*PI()*((((Inputs!$I$7+(((A77)+1)/2)*(Inputs!$J$7-Inputs!$I$7)))+(Inputs!$C$6))/(0.5*(Inputs!$C$49+Inputs!$C$50))+Inputs!$C$47*0.097)))+0.30*(2*((SIN((((Inputs!$I$7+(((A77)+1)/2)*(Inputs!$J$7-Inputs!$I$7)))*12.9898+(Inputs!$C$6)*78.233+Inputs!$C$47*37.719))*43758.5453)-INT((SIN((((Inputs!$I$7+(((A77)+1)/2)*(Inputs!$J$7-Inputs!$I$7)))*12.9898+(Inputs!$C$6)*78.233+Inputs!$C$47*37.719))*43758.5453)))-1))),NA())</x:f>
        <x:v>62.28555176667266</x:v>
      </x:c>
      <x:c r="AU77" s="48" t="n">
        <x: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(0.45*SIN(2*PI()*((((Inputs!$I$8+(((A77)+1)/2)*(Inputs!$J$8-Inputs!$I$8)))/Inputs!$C$49)+Inputs!$C$47*0.137))+0.35*COS(2*PI()*(((Inputs!$C$6)/Inputs!$C$50)+Inputs!$C$47*0.173))+0.20*SIN(2*PI()*((((Inputs!$I$8+(((A77)+1)/2)*(Inputs!$J$8-Inputs!$I$8)))+(Inputs!$C$6))/(0.5*(Inputs!$C$49+Inputs!$C$50))+Inputs!$C$47*0.097)))+0.30*(2*((SIN((((Inputs!$I$8+(((A77)+1)/2)*(Inputs!$J$8-Inputs!$I$8)))*12.9898+(Inputs!$C$6)*78.233+Inputs!$C$47*37.719))*43758.5453)-INT((SIN((((Inputs!$I$8+(((A77)+1)/2)*(Inputs!$J$8-Inputs!$I$8)))*12.9898+(Inputs!$C$6)*78.233+Inputs!$C$47*37.719))*43758.5453)))-1))),NA())</x:f>
        <x:v>172.6892729513056</x:v>
      </x:c>
      <x:c r="AV77" s="48" t="n">
        <x: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(0.45*SIN(2*PI()*((((Inputs!$I$9+(((A77)+1)/2)*(Inputs!$J$9-Inputs!$I$9)))/Inputs!$C$49)+Inputs!$C$47*0.137))+0.35*COS(2*PI()*(((Inputs!$C$6)/Inputs!$C$50)+Inputs!$C$47*0.173))+0.20*SIN(2*PI()*((((Inputs!$I$9+(((A77)+1)/2)*(Inputs!$J$9-Inputs!$I$9)))+(Inputs!$C$6))/(0.5*(Inputs!$C$49+Inputs!$C$50))+Inputs!$C$47*0.097)))+0.30*(2*((SIN((((Inputs!$I$9+(((A77)+1)/2)*(Inputs!$J$9-Inputs!$I$9)))*12.9898+(Inputs!$C$6)*78.233+Inputs!$C$47*37.719))*43758.5453)-INT((SIN((((Inputs!$I$9+(((A77)+1)/2)*(Inputs!$J$9-Inputs!$I$9)))*12.9898+(Inputs!$C$6)*78.233+Inputs!$C$47*37.719))*43758.5453)))-1))),NA())</x:f>
        <x:v>172.6892729513056</x:v>
      </x:c>
      <x:c r="AW77" s="49"/>
      <x:c r="AX77" s="48" t="n">
        <x:f>A77</x:f>
        <x:v>-0.375</x:v>
      </x:c>
      <x:c r="AY77" s="48" t="n">
        <x:f>0</x:f>
        <x:v>0</x:v>
      </x:c>
      <x:c r="AZ77" s="48" t="n">
        <x:f>IF(OR(Inputs!$F$6=TRUE,Inputs!$F$6="TRUE",Inputs!$F$6=1),(Inputs!$H$6+Inputs!$L$6*(((Inputs!$I$6+(((A77)+1)/2)*(Inputs!$J$6-Inputs!$I$6)))/Inputs!$K$6)^2),NA())</x:f>
        <x:v>400.5625</x:v>
      </x:c>
      <x:c r="BA77" s="48" t="n">
        <x:f>IF(OR(Inputs!$F$7=TRUE,Inputs!$F$7="TRUE",Inputs!$F$7=1),(Inputs!$H$7+Inputs!$L$7*(((Inputs!$I$7+(((A77)+1)/2)*(Inputs!$J$7-Inputs!$I$7)))/Inputs!$K$7)^2),NA())</x:f>
        <x:v>86.328125</x:v>
      </x:c>
      <x:c r="BB77" s="48" t="n">
        <x:f>IF(OR(Inputs!$F$8=TRUE,Inputs!$F$8="TRUE",Inputs!$F$8=1),(Inputs!$H$8+Inputs!$L$8*(((Inputs!$I$8+(((A77)+1)/2)*(Inputs!$J$8-Inputs!$I$8)))/Inputs!$K$8)^2),NA())</x:f>
        <x:v>170.703125</x:v>
      </x:c>
      <x:c r="BC77" s="48" t="n">
        <x:f>IF(OR(Inputs!$F$9=TRUE,Inputs!$F$9="TRUE",Inputs!$F$9=1),(Inputs!$H$9+Inputs!$L$9*(((Inputs!$I$9+(((A77)+1)/2)*(Inputs!$J$9-Inputs!$I$9)))/Inputs!$K$9)^2),NA())</x:f>
        <x:v>162.109375</x:v>
      </x:c>
      <x:c r="BD77" s="49"/>
      <x:c r="BE77" s="48" t="n">
        <x:f>A77</x:f>
        <x:v>-0.375</x:v>
      </x:c>
      <x:c r="BF77" s="48" t="n">
        <x:f>0</x:f>
        <x:v>0</x:v>
      </x:c>
      <x:c r="BG77" s="48"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BH77" s="48"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BI77" s="48"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BJ77" s="48"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row>
    <x:row r="78">
      <x:c r="A78" s="48" t="n">
        <x:f>ROUND(-1+76*2/240,3)</x:f>
        <x:v>-0.367</x:v>
      </x:c>
      <x:c r="B78" s="48" t="n">
        <x:f>IF(OR(Inputs!$F$6=TRUE,Inputs!$F$6="TRUE",Inputs!$F$6=1),(Inputs!$H$6+Inputs!$L$6*(((Inputs!$I$6+(((A78)+1)/2)*(Inputs!$J$6-Inputs!$I$6)))/Inputs!$K$6)^2),NA())</x:f>
        <x:v>400.538756</x:v>
      </x:c>
      <x:c r="C78" s="48" t="n">
        <x:f>IF(OR(Inputs!$F$7=TRUE,Inputs!$F$7="TRUE",Inputs!$F$7=1),(Inputs!$H$7+Inputs!$L$7*(((Inputs!$I$7+(((A78)+1)/2)*(Inputs!$J$7-Inputs!$I$7)))/Inputs!$K$7)^2),NA())</x:f>
        <x:v>84.16148500000001</x:v>
      </x:c>
      <x:c r="D78" s="48" t="n">
        <x:f>IF(OR(Inputs!$F$8=TRUE,Inputs!$F$8="TRUE",Inputs!$F$8=1),(Inputs!$H$8+Inputs!$L$8*(((Inputs!$I$8+(((A78)+1)/2)*(Inputs!$J$8-Inputs!$I$8)))/Inputs!$K$8)^2),NA())</x:f>
        <x:v>164.97488500000003</x:v>
      </x:c>
      <x:c r="E78" s="48" t="n">
        <x:f>IF(OR(Inputs!$F$9=TRUE,Inputs!$F$9="TRUE",Inputs!$F$9=1),(Inputs!$H$9+Inputs!$L$9*(((Inputs!$I$9+(((A78)+1)/2)*(Inputs!$J$9-Inputs!$I$9)))/Inputs!$K$9)^2),NA())</x:f>
        <x:v>156.32177500000003</x:v>
      </x:c>
      <x:c r="F78" s="49"/>
      <x:c r="G78" s="48" t="n">
        <x:f>A78</x:f>
        <x:v>-0.367</x:v>
      </x:c>
      <x:c r="H78" s="48"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I78" s="48"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J78" s="48"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K78" s="48"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c r="L78" s="49"/>
      <x:c r="M78" s="48" t="n">
        <x:f>A78</x:f>
        <x:v>-0.367</x:v>
      </x:c>
      <x:c r="N78" s="48" t="n">
        <x: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x:f>
        <x:v>188.07329824273955</x:v>
      </x:c>
      <x:c r="O78" s="48" t="n">
        <x: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x:f>
        <x:v>1977.3411093049315</x:v>
      </x:c>
      <x:c r="P78" s="48" t="n">
        <x: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x:f>
        <x:v>2251.220159662244</x:v>
      </x:c>
      <x:c r="Q78" s="48" t="n">
        <x: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x:f>
        <x:v>2246.5699860788272</x:v>
      </x:c>
      <x:c r="R78" s="49"/>
      <x:c r="S78" s="48" t="n">
        <x:f>A78</x:f>
        <x:v>-0.367</x:v>
      </x:c>
      <x:c r="T78" s="48" t="n">
        <x:f>(Inputs!$I$6+(((A78)+1)/2)*(Inputs!$J$6-Inputs!$I$6))</x:f>
        <x:v>-22.019999999999996</x:v>
      </x:c>
      <x:c r="U78" s="48" t="n">
        <x:f>(Inputs!$I$7+(((A78)+1)/2)*(Inputs!$J$7-Inputs!$I$7))</x:f>
        <x:v>-146.8</x:v>
      </x:c>
      <x:c r="V78" s="48" t="n">
        <x:f>(Inputs!$I$8+(((A78)+1)/2)*(Inputs!$J$8-Inputs!$I$8))</x:f>
        <x:v>-293.6</x:v>
      </x:c>
      <x:c r="W78" s="48" t="n">
        <x:f>(Inputs!$I$9+(((A78)+1)/2)*(Inputs!$J$9-Inputs!$I$9))</x:f>
        <x:v>-293.6</x:v>
      </x:c>
      <x:c r="X78" s="49"/>
      <x:c r="Y78" s="48" t="n">
        <x:f>A78</x:f>
        <x:v>-0.367</x:v>
      </x:c>
      <x:c r="Z78" s="48" t="n">
        <x:f>(Inputs!$H$6+Inputs!$L$6*(((Inputs!$I$6+(((A78)+1)/2)*(Inputs!$J$6-Inputs!$I$6)))/Inputs!$K$6)^2)</x:f>
        <x:v>400.538756</x:v>
      </x:c>
      <x:c r="AA78" s="48" t="n">
        <x:f>(Inputs!$H$7+Inputs!$L$7*(((Inputs!$I$7+(((A78)+1)/2)*(Inputs!$J$7-Inputs!$I$7)))/Inputs!$K$7)^2)</x:f>
        <x:v>84.16148500000001</x:v>
      </x:c>
      <x:c r="AB78" s="48" t="n">
        <x:f>(Inputs!$H$8+Inputs!$L$8*(((Inputs!$I$8+(((A78)+1)/2)*(Inputs!$J$8-Inputs!$I$8)))/Inputs!$K$8)^2)</x:f>
        <x:v>164.97488500000003</x:v>
      </x:c>
      <x:c r="AC78" s="48" t="n">
        <x:f>(Inputs!$H$9+Inputs!$L$9*(((Inputs!$I$9+(((A78)+1)/2)*(Inputs!$J$9-Inputs!$I$9)))/Inputs!$K$9)^2)</x:f>
        <x:v>156.32177500000003</x:v>
      </x:c>
      <x:c r="AD78" s="49"/>
      <x:c r="AE78" s="48" t="n">
        <x:f>A78</x:f>
        <x:v>-0.367</x:v>
      </x:c>
      <x:c r="AF78" s="48" t="n">
        <x:f>(((SQRT((Inputs!$C$52+((Inputs!$H$6+Inputs!$L$6*(((Inputs!$I$6+(((A78)+1)/2)*(Inputs!$J$6-Inputs!$I$6)))/Inputs!$K$6)^2)))^2+Inputs!$C$52^2-2*(Inputs!$C$52+((Inputs!$H$6+Inputs!$L$6*(((Inputs!$I$6+(((A78)+1)/2)*(Inputs!$J$6-Inputs!$I$6)))/Inputs!$K$6)^2)))*Inputs!$C$52*COS(SQRT(((Inputs!$I$6+(((A78)+1)/2)*(Inputs!$J$6-Inputs!$I$6)))^2+Inputs!$C$6^2)/Inputs!$C$52)))-((Inputs!$H$6+Inputs!$L$6*(((Inputs!$I$6+(((A78)+1)/2)*(Inputs!$J$6-Inputs!$I$6)))/Inputs!$K$6)^2)))*1000/Inputs!$C$12)</x:f>
        <x:v>975.9548403323652</x:v>
      </x:c>
      <x:c r="AG78" s="48" t="n">
        <x:f>(((SQRT((Inputs!$C$52+((Inputs!$H$7+Inputs!$L$7*(((Inputs!$I$7+(((A78)+1)/2)*(Inputs!$J$7-Inputs!$I$7)))/Inputs!$K$7)^2)))^2+Inputs!$C$52^2-2*(Inputs!$C$52+((Inputs!$H$7+Inputs!$L$7*(((Inputs!$I$7+(((A78)+1)/2)*(Inputs!$J$7-Inputs!$I$7)))/Inputs!$K$7)^2)))*Inputs!$C$52*COS(SQRT(((Inputs!$I$7+(((A78)+1)/2)*(Inputs!$J$7-Inputs!$I$7)))^2+Inputs!$C$6^2)/Inputs!$C$52)))-((Inputs!$H$7+Inputs!$L$7*(((Inputs!$I$7+(((A78)+1)/2)*(Inputs!$J$7-Inputs!$I$7)))/Inputs!$K$7)^2)))*1000/Inputs!$C$12)</x:f>
        <x:v>50729.68736403737</x:v>
      </x:c>
      <x:c r="AH78" s="48" t="n">
        <x:f>(((SQRT((Inputs!$C$52+((Inputs!$H$8+Inputs!$L$8*(((Inputs!$I$8+(((A78)+1)/2)*(Inputs!$J$8-Inputs!$I$8)))/Inputs!$K$8)^2)))^2+Inputs!$C$52^2-2*(Inputs!$C$52+((Inputs!$H$8+Inputs!$L$8*(((Inputs!$I$8+(((A78)+1)/2)*(Inputs!$J$8-Inputs!$I$8)))/Inputs!$K$8)^2)))*Inputs!$C$52*COS(SQRT(((Inputs!$I$8+(((A78)+1)/2)*(Inputs!$J$8-Inputs!$I$8)))^2+Inputs!$C$6^2)/Inputs!$C$52)))-((Inputs!$H$8+Inputs!$L$8*(((Inputs!$I$8+(((A78)+1)/2)*(Inputs!$J$8-Inputs!$I$8)))/Inputs!$K$8)^2)))*1000/Inputs!$C$12)</x:f>
        <x:v>104295.72641077245</x:v>
      </x:c>
      <x:c r="AI78" s="48" t="n">
        <x:f>(((SQRT((Inputs!$C$52+((Inputs!$H$9+Inputs!$L$9*(((Inputs!$I$9+(((A78)+1)/2)*(Inputs!$J$9-Inputs!$I$9)))/Inputs!$K$9)^2)))^2+Inputs!$C$52^2-2*(Inputs!$C$52+((Inputs!$H$9+Inputs!$L$9*(((Inputs!$I$9+(((A78)+1)/2)*(Inputs!$J$9-Inputs!$I$9)))/Inputs!$K$9)^2)))*Inputs!$C$52*COS(SQRT(((Inputs!$I$9+(((A78)+1)/2)*(Inputs!$J$9-Inputs!$I$9)))^2+Inputs!$C$6^2)/Inputs!$C$52)))-((Inputs!$H$9+Inputs!$L$9*(((Inputs!$I$9+(((A78)+1)/2)*(Inputs!$J$9-Inputs!$I$9)))/Inputs!$K$9)^2)))*1000/Inputs!$C$12)</x:f>
        <x:v>106527.61610975237</x:v>
      </x:c>
      <x:c r="AJ78" s="49"/>
      <x:c r="AK78" s="48" t="n">
        <x:f>A78</x:f>
        <x:v>-0.367</x:v>
      </x:c>
      <x:c r="AL78" s="48" t="n">
        <x: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x:f>
        <x:v>188.07329824273955</x:v>
      </x:c>
      <x:c r="AM78" s="48" t="n">
        <x: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x:f>
        <x:v>1977.3411093049315</x:v>
      </x:c>
      <x:c r="AN78" s="48" t="n">
        <x: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x:f>
        <x:v>2251.220159662244</x:v>
      </x:c>
      <x:c r="AO78" s="48" t="n">
        <x: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x:f>
        <x:v>2246.5699860788272</x:v>
      </x:c>
      <x:c r="AP78" s="49"/>
      <x:c r="AQ78" s="48" t="n">
        <x:f>A78</x:f>
        <x:v>-0.367</x:v>
      </x:c>
      <x:c r="AR78" s="48" t="n">
        <x:f>0</x:f>
        <x:v>0</x:v>
      </x:c>
      <x:c r="AS78" s="48" t="n">
        <x: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(0.45*SIN(2*PI()*((((Inputs!$I$6+(((A78)+1)/2)*(Inputs!$J$6-Inputs!$I$6)))/Inputs!$C$49)+Inputs!$C$47*0.137))+0.35*COS(2*PI()*(((Inputs!$C$6)/Inputs!$C$50)+Inputs!$C$47*0.173))+0.20*SIN(2*PI()*((((Inputs!$I$6+(((A78)+1)/2)*(Inputs!$J$6-Inputs!$I$6)))+(Inputs!$C$6))/(0.5*(Inputs!$C$49+Inputs!$C$50))+Inputs!$C$47*0.097)))+0.30*(2*((SIN((((Inputs!$I$6+(((A78)+1)/2)*(Inputs!$J$6-Inputs!$I$6)))*12.9898+(Inputs!$C$6)*78.233+Inputs!$C$47*37.719))*43758.5453)-INT((SIN((((Inputs!$I$6+(((A78)+1)/2)*(Inputs!$J$6-Inputs!$I$6)))*12.9898+(Inputs!$C$6)*78.233+Inputs!$C$47*37.719))*43758.5453)))-1))),NA())</x:f>
        <x:v>310.91396483385586</x:v>
      </x:c>
      <x:c r="AT78" s="48" t="n">
        <x: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(0.45*SIN(2*PI()*((((Inputs!$I$7+(((A78)+1)/2)*(Inputs!$J$7-Inputs!$I$7)))/Inputs!$C$49)+Inputs!$C$47*0.137))+0.35*COS(2*PI()*(((Inputs!$C$6)/Inputs!$C$50)+Inputs!$C$47*0.173))+0.20*SIN(2*PI()*((((Inputs!$I$7+(((A78)+1)/2)*(Inputs!$J$7-Inputs!$I$7)))+(Inputs!$C$6))/(0.5*(Inputs!$C$49+Inputs!$C$50))+Inputs!$C$47*0.097)))+0.30*(2*((SIN((((Inputs!$I$7+(((A78)+1)/2)*(Inputs!$J$7-Inputs!$I$7)))*12.9898+(Inputs!$C$6)*78.233+Inputs!$C$47*37.719))*43758.5453)-INT((SIN((((Inputs!$I$7+(((A78)+1)/2)*(Inputs!$J$7-Inputs!$I$7)))*12.9898+(Inputs!$C$6)*78.233+Inputs!$C$47*37.719))*43758.5453)))-1))),NA())</x:f>
        <x:v>77.53288374729674</x:v>
      </x:c>
      <x:c r="AU78" s="48" t="n">
        <x: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(0.45*SIN(2*PI()*((((Inputs!$I$8+(((A78)+1)/2)*(Inputs!$J$8-Inputs!$I$8)))/Inputs!$C$49)+Inputs!$C$47*0.137))+0.35*COS(2*PI()*(((Inputs!$C$6)/Inputs!$C$50)+Inputs!$C$47*0.173))+0.20*SIN(2*PI()*((((Inputs!$I$8+(((A78)+1)/2)*(Inputs!$J$8-Inputs!$I$8)))+(Inputs!$C$6))/(0.5*(Inputs!$C$49+Inputs!$C$50))+Inputs!$C$47*0.097)))+0.30*(2*((SIN((((Inputs!$I$8+(((A78)+1)/2)*(Inputs!$J$8-Inputs!$I$8)))*12.9898+(Inputs!$C$6)*78.233+Inputs!$C$47*37.719))*43758.5453)-INT((SIN((((Inputs!$I$8+(((A78)+1)/2)*(Inputs!$J$8-Inputs!$I$8)))*12.9898+(Inputs!$C$6)*78.233+Inputs!$C$47*37.719))*43758.5453)))-1))),NA())</x:f>
        <x:v>95.83689312889756</x:v>
      </x:c>
      <x:c r="AV78" s="48" t="n">
        <x: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(0.45*SIN(2*PI()*((((Inputs!$I$9+(((A78)+1)/2)*(Inputs!$J$9-Inputs!$I$9)))/Inputs!$C$49)+Inputs!$C$47*0.137))+0.35*COS(2*PI()*(((Inputs!$C$6)/Inputs!$C$50)+Inputs!$C$47*0.173))+0.20*SIN(2*PI()*((((Inputs!$I$9+(((A78)+1)/2)*(Inputs!$J$9-Inputs!$I$9)))+(Inputs!$C$6))/(0.5*(Inputs!$C$49+Inputs!$C$50))+Inputs!$C$47*0.097)))+0.30*(2*((SIN((((Inputs!$I$9+(((A78)+1)/2)*(Inputs!$J$9-Inputs!$I$9)))*12.9898+(Inputs!$C$6)*78.233+Inputs!$C$47*37.719))*43758.5453)-INT((SIN((((Inputs!$I$9+(((A78)+1)/2)*(Inputs!$J$9-Inputs!$I$9)))*12.9898+(Inputs!$C$6)*78.233+Inputs!$C$47*37.719))*43758.5453)))-1))),NA())</x:f>
        <x:v>95.83689312889756</x:v>
      </x:c>
      <x:c r="AW78" s="49"/>
      <x:c r="AX78" s="48" t="n">
        <x:f>A78</x:f>
        <x:v>-0.367</x:v>
      </x:c>
      <x:c r="AY78" s="48" t="n">
        <x:f>0</x:f>
        <x:v>0</x:v>
      </x:c>
      <x:c r="AZ78" s="48" t="n">
        <x:f>IF(OR(Inputs!$F$6=TRUE,Inputs!$F$6="TRUE",Inputs!$F$6=1),(Inputs!$H$6+Inputs!$L$6*(((Inputs!$I$6+(((A78)+1)/2)*(Inputs!$J$6-Inputs!$I$6)))/Inputs!$K$6)^2),NA())</x:f>
        <x:v>400.538756</x:v>
      </x:c>
      <x:c r="BA78" s="48" t="n">
        <x:f>IF(OR(Inputs!$F$7=TRUE,Inputs!$F$7="TRUE",Inputs!$F$7=1),(Inputs!$H$7+Inputs!$L$7*(((Inputs!$I$7+(((A78)+1)/2)*(Inputs!$J$7-Inputs!$I$7)))/Inputs!$K$7)^2),NA())</x:f>
        <x:v>84.16148500000001</x:v>
      </x:c>
      <x:c r="BB78" s="48" t="n">
        <x:f>IF(OR(Inputs!$F$8=TRUE,Inputs!$F$8="TRUE",Inputs!$F$8=1),(Inputs!$H$8+Inputs!$L$8*(((Inputs!$I$8+(((A78)+1)/2)*(Inputs!$J$8-Inputs!$I$8)))/Inputs!$K$8)^2),NA())</x:f>
        <x:v>164.97488500000003</x:v>
      </x:c>
      <x:c r="BC78" s="48" t="n">
        <x:f>IF(OR(Inputs!$F$9=TRUE,Inputs!$F$9="TRUE",Inputs!$F$9=1),(Inputs!$H$9+Inputs!$L$9*(((Inputs!$I$9+(((A78)+1)/2)*(Inputs!$J$9-Inputs!$I$9)))/Inputs!$K$9)^2),NA())</x:f>
        <x:v>156.32177500000003</x:v>
      </x:c>
      <x:c r="BD78" s="49"/>
      <x:c r="BE78" s="48" t="n">
        <x:f>A78</x:f>
        <x:v>-0.367</x:v>
      </x:c>
      <x:c r="BF78" s="48" t="n">
        <x:f>0</x:f>
        <x:v>0</x:v>
      </x:c>
      <x:c r="BG78" s="48"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BH78" s="48"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BI78" s="48"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BJ78" s="48"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row>
    <x:row r="79">
      <x:c r="A79" s="48" t="n">
        <x:f>ROUND(-1+77*2/240,3)</x:f>
        <x:v>-0.358</x:v>
      </x:c>
      <x:c r="B79" s="48" t="n">
        <x:f>IF(OR(Inputs!$F$6=TRUE,Inputs!$F$6="TRUE",Inputs!$F$6=1),(Inputs!$H$6+Inputs!$L$6*(((Inputs!$I$6+(((A79)+1)/2)*(Inputs!$J$6-Inputs!$I$6)))/Inputs!$K$6)^2),NA())</x:f>
        <x:v>400.512656</x:v>
      </x:c>
      <x:c r="C79" s="48" t="n">
        <x:f>IF(OR(Inputs!$F$7=TRUE,Inputs!$F$7="TRUE",Inputs!$F$7=1),(Inputs!$H$7+Inputs!$L$7*(((Inputs!$I$7+(((A79)+1)/2)*(Inputs!$J$7-Inputs!$I$7)))/Inputs!$K$7)^2),NA())</x:f>
        <x:v>81.77986</x:v>
      </x:c>
      <x:c r="D79" s="48" t="n">
        <x:f>IF(OR(Inputs!$F$8=TRUE,Inputs!$F$8="TRUE",Inputs!$F$8=1),(Inputs!$H$8+Inputs!$L$8*(((Inputs!$I$8+(((A79)+1)/2)*(Inputs!$J$8-Inputs!$I$8)))/Inputs!$K$8)^2),NA())</x:f>
        <x:v>158.67826</x:v>
      </x:c>
      <x:c r="E79" s="48" t="n">
        <x:f>IF(OR(Inputs!$F$9=TRUE,Inputs!$F$9="TRUE",Inputs!$F$9=1),(Inputs!$H$9+Inputs!$L$9*(((Inputs!$I$9+(((A79)+1)/2)*(Inputs!$J$9-Inputs!$I$9)))/Inputs!$K$9)^2),NA())</x:f>
        <x:v>149.9599</x:v>
      </x:c>
      <x:c r="F79" s="49"/>
      <x:c r="G79" s="48" t="n">
        <x:f>A79</x:f>
        <x:v>-0.358</x:v>
      </x:c>
      <x:c r="H79" s="48"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I79" s="48"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J79" s="48"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K79" s="48"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c r="L79" s="49"/>
      <x:c r="M79" s="48" t="n">
        <x:f>A79</x:f>
        <x:v>-0.358</x:v>
      </x:c>
      <x:c r="N79" s="48" t="n">
        <x: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x:f>
        <x:v>183.48210491224643</x:v>
      </x:c>
      <x:c r="O79" s="48" t="n">
        <x: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x:f>
        <x:v>1960.4577208252515</x:v>
      </x:c>
      <x:c r="P79" s="48" t="n">
        <x: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x:f>
        <x:v>2225.0365616310273</x:v>
      </x:c>
      <x:c r="Q79" s="48" t="n">
        <x: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x:f>
        <x:v>2219.9689945701207</x:v>
      </x:c>
      <x:c r="R79" s="49"/>
      <x:c r="S79" s="48" t="n">
        <x:f>A79</x:f>
        <x:v>-0.358</x:v>
      </x:c>
      <x:c r="T79" s="48" t="n">
        <x:f>(Inputs!$I$6+(((A79)+1)/2)*(Inputs!$J$6-Inputs!$I$6))</x:f>
        <x:v>-21.479999999999997</x:v>
      </x:c>
      <x:c r="U79" s="48" t="n">
        <x:f>(Inputs!$I$7+(((A79)+1)/2)*(Inputs!$J$7-Inputs!$I$7))</x:f>
        <x:v>-143.2</x:v>
      </x:c>
      <x:c r="V79" s="48" t="n">
        <x:f>(Inputs!$I$8+(((A79)+1)/2)*(Inputs!$J$8-Inputs!$I$8))</x:f>
        <x:v>-286.4</x:v>
      </x:c>
      <x:c r="W79" s="48" t="n">
        <x:f>(Inputs!$I$9+(((A79)+1)/2)*(Inputs!$J$9-Inputs!$I$9))</x:f>
        <x:v>-286.4</x:v>
      </x:c>
      <x:c r="X79" s="49"/>
      <x:c r="Y79" s="48" t="n">
        <x:f>A79</x:f>
        <x:v>-0.358</x:v>
      </x:c>
      <x:c r="Z79" s="48" t="n">
        <x:f>(Inputs!$H$6+Inputs!$L$6*(((Inputs!$I$6+(((A79)+1)/2)*(Inputs!$J$6-Inputs!$I$6)))/Inputs!$K$6)^2)</x:f>
        <x:v>400.512656</x:v>
      </x:c>
      <x:c r="AA79" s="48" t="n">
        <x:f>(Inputs!$H$7+Inputs!$L$7*(((Inputs!$I$7+(((A79)+1)/2)*(Inputs!$J$7-Inputs!$I$7)))/Inputs!$K$7)^2)</x:f>
        <x:v>81.77986</x:v>
      </x:c>
      <x:c r="AB79" s="48" t="n">
        <x:f>(Inputs!$H$8+Inputs!$L$8*(((Inputs!$I$8+(((A79)+1)/2)*(Inputs!$J$8-Inputs!$I$8)))/Inputs!$K$8)^2)</x:f>
        <x:v>158.67826</x:v>
      </x:c>
      <x:c r="AC79" s="48" t="n">
        <x:f>(Inputs!$H$9+Inputs!$L$9*(((Inputs!$I$9+(((A79)+1)/2)*(Inputs!$J$9-Inputs!$I$9)))/Inputs!$K$9)^2)</x:f>
        <x:v>149.9599</x:v>
      </x:c>
      <x:c r="AD79" s="49"/>
      <x:c r="AE79" s="48" t="n">
        <x:f>A79</x:f>
        <x:v>-0.358</x:v>
      </x:c>
      <x:c r="AF79" s="48" t="n">
        <x:f>(((SQRT((Inputs!$C$52+((Inputs!$H$6+Inputs!$L$6*(((Inputs!$I$6+(((A79)+1)/2)*(Inputs!$J$6-Inputs!$I$6)))/Inputs!$K$6)^2)))^2+Inputs!$C$52^2-2*(Inputs!$C$52+((Inputs!$H$6+Inputs!$L$6*(((Inputs!$I$6+(((A79)+1)/2)*(Inputs!$J$6-Inputs!$I$6)))/Inputs!$K$6)^2)))*Inputs!$C$52*COS(SQRT(((Inputs!$I$6+(((A79)+1)/2)*(Inputs!$J$6-Inputs!$I$6)))^2+Inputs!$C$6^2)/Inputs!$C$52)))-((Inputs!$H$6+Inputs!$L$6*(((Inputs!$I$6+(((A79)+1)/2)*(Inputs!$J$6-Inputs!$I$6)))/Inputs!$K$6)^2)))*1000/Inputs!$C$12)</x:f>
        <x:v>955.3930322083667</x:v>
      </x:c>
      <x:c r="AG79" s="48" t="n">
        <x:f>(((SQRT((Inputs!$C$52+((Inputs!$H$7+Inputs!$L$7*(((Inputs!$I$7+(((A79)+1)/2)*(Inputs!$J$7-Inputs!$I$7)))/Inputs!$K$7)^2)))^2+Inputs!$C$52^2-2*(Inputs!$C$52+((Inputs!$H$7+Inputs!$L$7*(((Inputs!$I$7+(((A79)+1)/2)*(Inputs!$J$7-Inputs!$I$7)))/Inputs!$K$7)^2)))*Inputs!$C$52*COS(SQRT(((Inputs!$I$7+(((A79)+1)/2)*(Inputs!$J$7-Inputs!$I$7)))^2+Inputs!$C$6^2)/Inputs!$C$52)))-((Inputs!$H$7+Inputs!$L$7*(((Inputs!$I$7+(((A79)+1)/2)*(Inputs!$J$7-Inputs!$I$7)))/Inputs!$K$7)^2)))*1000/Inputs!$C$12)</x:f>
        <x:v>49578.910558030424</x:v>
      </x:c>
      <x:c r="AH79" s="48" t="n">
        <x:f>(((SQRT((Inputs!$C$52+((Inputs!$H$8+Inputs!$L$8*(((Inputs!$I$8+(((A79)+1)/2)*(Inputs!$J$8-Inputs!$I$8)))/Inputs!$K$8)^2)))^2+Inputs!$C$52^2-2*(Inputs!$C$52+((Inputs!$H$8+Inputs!$L$8*(((Inputs!$I$8+(((A79)+1)/2)*(Inputs!$J$8-Inputs!$I$8)))/Inputs!$K$8)^2)))*Inputs!$C$52*COS(SQRT(((Inputs!$I$8+(((A79)+1)/2)*(Inputs!$J$8-Inputs!$I$8)))^2+Inputs!$C$6^2)/Inputs!$C$52)))-((Inputs!$H$8+Inputs!$L$8*(((Inputs!$I$8+(((A79)+1)/2)*(Inputs!$J$8-Inputs!$I$8)))/Inputs!$K$8)^2)))*1000/Inputs!$C$12)</x:f>
        <x:v>102175.04570747222</x:v>
      </x:c>
      <x:c r="AI79" s="48" t="n">
        <x:f>(((SQRT((Inputs!$C$52+((Inputs!$H$9+Inputs!$L$9*(((Inputs!$I$9+(((A79)+1)/2)*(Inputs!$J$9-Inputs!$I$9)))/Inputs!$K$9)^2)))^2+Inputs!$C$52^2-2*(Inputs!$C$52+((Inputs!$H$9+Inputs!$L$9*(((Inputs!$I$9+(((A79)+1)/2)*(Inputs!$J$9-Inputs!$I$9)))/Inputs!$K$9)^2)))*Inputs!$C$52*COS(SQRT(((Inputs!$I$9+(((A79)+1)/2)*(Inputs!$J$9-Inputs!$I$9)))^2+Inputs!$C$6^2)/Inputs!$C$52)))-((Inputs!$H$9+Inputs!$L$9*(((Inputs!$I$9+(((A79)+1)/2)*(Inputs!$J$9-Inputs!$I$9)))/Inputs!$K$9)^2)))*1000/Inputs!$C$12)</x:f>
        <x:v>104455.88098801924</x:v>
      </x:c>
      <x:c r="AJ79" s="49"/>
      <x:c r="AK79" s="48" t="n">
        <x:f>A79</x:f>
        <x:v>-0.358</x:v>
      </x:c>
      <x:c r="AL79" s="48" t="n">
        <x: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x:f>
        <x:v>183.48210491224643</x:v>
      </x:c>
      <x:c r="AM79" s="48" t="n">
        <x: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x:f>
        <x:v>1960.4577208252515</x:v>
      </x:c>
      <x:c r="AN79" s="48" t="n">
        <x: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x:f>
        <x:v>2225.0365616310273</x:v>
      </x:c>
      <x:c r="AO79" s="48" t="n">
        <x: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x:f>
        <x:v>2219.9689945701207</x:v>
      </x:c>
      <x:c r="AP79" s="49"/>
      <x:c r="AQ79" s="48" t="n">
        <x:f>A79</x:f>
        <x:v>-0.358</x:v>
      </x:c>
      <x:c r="AR79" s="48" t="n">
        <x:f>0</x:f>
        <x:v>0</x:v>
      </x:c>
      <x:c r="AS79" s="48" t="n">
        <x: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(0.45*SIN(2*PI()*((((Inputs!$I$6+(((A79)+1)/2)*(Inputs!$J$6-Inputs!$I$6)))/Inputs!$C$49)+Inputs!$C$47*0.137))+0.35*COS(2*PI()*(((Inputs!$C$6)/Inputs!$C$50)+Inputs!$C$47*0.173))+0.20*SIN(2*PI()*((((Inputs!$I$6+(((A79)+1)/2)*(Inputs!$J$6-Inputs!$I$6)))+(Inputs!$C$6))/(0.5*(Inputs!$C$49+Inputs!$C$50))+Inputs!$C$47*0.097)))+0.30*(2*((SIN((((Inputs!$I$6+(((A79)+1)/2)*(Inputs!$J$6-Inputs!$I$6)))*12.9898+(Inputs!$C$6)*78.233+Inputs!$C$47*37.719))*43758.5453)-INT((SIN((((Inputs!$I$6+(((A79)+1)/2)*(Inputs!$J$6-Inputs!$I$6)))*12.9898+(Inputs!$C$6)*78.233+Inputs!$C$47*37.719))*43758.5453)))-1))),NA())</x:f>
        <x:v>332.09835231911904</x:v>
      </x:c>
      <x:c r="AT79" s="48" t="n">
        <x: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(0.45*SIN(2*PI()*((((Inputs!$I$7+(((A79)+1)/2)*(Inputs!$J$7-Inputs!$I$7)))/Inputs!$C$49)+Inputs!$C$47*0.137))+0.35*COS(2*PI()*(((Inputs!$C$6)/Inputs!$C$50)+Inputs!$C$47*0.173))+0.20*SIN(2*PI()*((((Inputs!$I$7+(((A79)+1)/2)*(Inputs!$J$7-Inputs!$I$7)))+(Inputs!$C$6))/(0.5*(Inputs!$C$49+Inputs!$C$50))+Inputs!$C$47*0.097)))+0.30*(2*((SIN((((Inputs!$I$7+(((A79)+1)/2)*(Inputs!$J$7-Inputs!$I$7)))*12.9898+(Inputs!$C$6)*78.233+Inputs!$C$47*37.719))*43758.5453)-INT((SIN((((Inputs!$I$7+(((A79)+1)/2)*(Inputs!$J$7-Inputs!$I$7)))*12.9898+(Inputs!$C$6)*78.233+Inputs!$C$47*37.719))*43758.5453)))-1))),NA())</x:f>
        <x:v>174.06783789927727</x:v>
      </x:c>
      <x:c r="AU79" s="48" t="n">
        <x: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(0.45*SIN(2*PI()*((((Inputs!$I$8+(((A79)+1)/2)*(Inputs!$J$8-Inputs!$I$8)))/Inputs!$C$49)+Inputs!$C$47*0.137))+0.35*COS(2*PI()*(((Inputs!$C$6)/Inputs!$C$50)+Inputs!$C$47*0.173))+0.20*SIN(2*PI()*((((Inputs!$I$8+(((A79)+1)/2)*(Inputs!$J$8-Inputs!$I$8)))+(Inputs!$C$6))/(0.5*(Inputs!$C$49+Inputs!$C$50))+Inputs!$C$47*0.097)))+0.30*(2*((SIN((((Inputs!$I$8+(((A79)+1)/2)*(Inputs!$J$8-Inputs!$I$8)))*12.9898+(Inputs!$C$6)*78.233+Inputs!$C$47*37.719))*43758.5453)-INT((SIN((((Inputs!$I$8+(((A79)+1)/2)*(Inputs!$J$8-Inputs!$I$8)))*12.9898+(Inputs!$C$6)*78.233+Inputs!$C$47*37.719))*43758.5453)))-1))),NA())</x:f>
        <x:v>168.78610805388928</x:v>
      </x:c>
      <x:c r="AV79" s="48" t="n">
        <x: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(0.45*SIN(2*PI()*((((Inputs!$I$9+(((A79)+1)/2)*(Inputs!$J$9-Inputs!$I$9)))/Inputs!$C$49)+Inputs!$C$47*0.137))+0.35*COS(2*PI()*(((Inputs!$C$6)/Inputs!$C$50)+Inputs!$C$47*0.173))+0.20*SIN(2*PI()*((((Inputs!$I$9+(((A79)+1)/2)*(Inputs!$J$9-Inputs!$I$9)))+(Inputs!$C$6))/(0.5*(Inputs!$C$49+Inputs!$C$50))+Inputs!$C$47*0.097)))+0.30*(2*((SIN((((Inputs!$I$9+(((A79)+1)/2)*(Inputs!$J$9-Inputs!$I$9)))*12.9898+(Inputs!$C$6)*78.233+Inputs!$C$47*37.719))*43758.5453)-INT((SIN((((Inputs!$I$9+(((A79)+1)/2)*(Inputs!$J$9-Inputs!$I$9)))*12.9898+(Inputs!$C$6)*78.233+Inputs!$C$47*37.719))*43758.5453)))-1))),NA())</x:f>
        <x:v>168.78610805388928</x:v>
      </x:c>
      <x:c r="AW79" s="49"/>
      <x:c r="AX79" s="48" t="n">
        <x:f>A79</x:f>
        <x:v>-0.358</x:v>
      </x:c>
      <x:c r="AY79" s="48" t="n">
        <x:f>0</x:f>
        <x:v>0</x:v>
      </x:c>
      <x:c r="AZ79" s="48" t="n">
        <x:f>IF(OR(Inputs!$F$6=TRUE,Inputs!$F$6="TRUE",Inputs!$F$6=1),(Inputs!$H$6+Inputs!$L$6*(((Inputs!$I$6+(((A79)+1)/2)*(Inputs!$J$6-Inputs!$I$6)))/Inputs!$K$6)^2),NA())</x:f>
        <x:v>400.512656</x:v>
      </x:c>
      <x:c r="BA79" s="48" t="n">
        <x:f>IF(OR(Inputs!$F$7=TRUE,Inputs!$F$7="TRUE",Inputs!$F$7=1),(Inputs!$H$7+Inputs!$L$7*(((Inputs!$I$7+(((A79)+1)/2)*(Inputs!$J$7-Inputs!$I$7)))/Inputs!$K$7)^2),NA())</x:f>
        <x:v>81.77986</x:v>
      </x:c>
      <x:c r="BB79" s="48" t="n">
        <x:f>IF(OR(Inputs!$F$8=TRUE,Inputs!$F$8="TRUE",Inputs!$F$8=1),(Inputs!$H$8+Inputs!$L$8*(((Inputs!$I$8+(((A79)+1)/2)*(Inputs!$J$8-Inputs!$I$8)))/Inputs!$K$8)^2),NA())</x:f>
        <x:v>158.67826</x:v>
      </x:c>
      <x:c r="BC79" s="48" t="n">
        <x:f>IF(OR(Inputs!$F$9=TRUE,Inputs!$F$9="TRUE",Inputs!$F$9=1),(Inputs!$H$9+Inputs!$L$9*(((Inputs!$I$9+(((A79)+1)/2)*(Inputs!$J$9-Inputs!$I$9)))/Inputs!$K$9)^2),NA())</x:f>
        <x:v>149.9599</x:v>
      </x:c>
      <x:c r="BD79" s="49"/>
      <x:c r="BE79" s="48" t="n">
        <x:f>A79</x:f>
        <x:v>-0.358</x:v>
      </x:c>
      <x:c r="BF79" s="48" t="n">
        <x:f>0</x:f>
        <x:v>0</x:v>
      </x:c>
      <x:c r="BG79" s="48"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BH79" s="48"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BI79" s="48"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BJ79" s="48"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row>
    <x:row r="80">
      <x:c r="A80" s="48" t="n">
        <x:f>ROUND(-1+78*2/240,3)</x:f>
        <x:v>-0.35</x:v>
      </x:c>
      <x:c r="B80" s="48" t="n">
        <x:f>IF(OR(Inputs!$F$6=TRUE,Inputs!$F$6="TRUE",Inputs!$F$6=1),(Inputs!$H$6+Inputs!$L$6*(((Inputs!$I$6+(((A80)+1)/2)*(Inputs!$J$6-Inputs!$I$6)))/Inputs!$K$6)^2),NA())</x:f>
        <x:v>400.49</x:v>
      </x:c>
      <x:c r="C80" s="48" t="n">
        <x:f>IF(OR(Inputs!$F$7=TRUE,Inputs!$F$7="TRUE",Inputs!$F$7=1),(Inputs!$H$7+Inputs!$L$7*(((Inputs!$I$7+(((A80)+1)/2)*(Inputs!$J$7-Inputs!$I$7)))/Inputs!$K$7)^2),NA())</x:f>
        <x:v>79.71249999999999</x:v>
      </x:c>
      <x:c r="D80" s="48" t="n">
        <x:f>IF(OR(Inputs!$F$8=TRUE,Inputs!$F$8="TRUE",Inputs!$F$8=1),(Inputs!$H$8+Inputs!$L$8*(((Inputs!$I$8+(((A80)+1)/2)*(Inputs!$J$8-Inputs!$I$8)))/Inputs!$K$8)^2),NA())</x:f>
        <x:v>153.21249999999998</x:v>
      </x:c>
      <x:c r="E80" s="48" t="n">
        <x:f>IF(OR(Inputs!$F$9=TRUE,Inputs!$F$9="TRUE",Inputs!$F$9=1),(Inputs!$H$9+Inputs!$L$9*(((Inputs!$I$9+(((A80)+1)/2)*(Inputs!$J$9-Inputs!$I$9)))/Inputs!$K$9)^2),NA())</x:f>
        <x:v>144.4375</x:v>
      </x:c>
      <x:c r="F80" s="49"/>
      <x:c r="G80" s="48" t="n">
        <x:f>A80</x:f>
        <x:v>-0.35</x:v>
      </x:c>
      <x:c r="H80" s="48"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I80" s="48"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J80" s="48"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K80" s="48"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c r="L80" s="49"/>
      <x:c r="M80" s="48" t="n">
        <x:f>A80</x:f>
        <x:v>-0.35</x:v>
      </x:c>
      <x:c r="N80" s="48" t="n">
        <x: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x:f>
        <x:v>179.39974021759684</x:v>
      </x:c>
      <x:c r="O80" s="48" t="n">
        <x: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x:f>
        <x:v>1945.5158603718908</x:v>
      </x:c>
      <x:c r="P80" s="48" t="n">
        <x: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x:f>
        <x:v>2202.079702494456</x:v>
      </x:c>
      <x:c r="Q80" s="48" t="n">
        <x: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x:f>
        <x:v>2196.6604138172584</x:v>
      </x:c>
      <x:c r="R80" s="49"/>
      <x:c r="S80" s="48" t="n">
        <x:f>A80</x:f>
        <x:v>-0.35</x:v>
      </x:c>
      <x:c r="T80" s="48" t="n">
        <x:f>(Inputs!$I$6+(((A80)+1)/2)*(Inputs!$J$6-Inputs!$I$6))</x:f>
        <x:v>-21</x:v>
      </x:c>
      <x:c r="U80" s="48" t="n">
        <x:f>(Inputs!$I$7+(((A80)+1)/2)*(Inputs!$J$7-Inputs!$I$7))</x:f>
        <x:v>-140</x:v>
      </x:c>
      <x:c r="V80" s="48" t="n">
        <x:f>(Inputs!$I$8+(((A80)+1)/2)*(Inputs!$J$8-Inputs!$I$8))</x:f>
        <x:v>-280</x:v>
      </x:c>
      <x:c r="W80" s="48" t="n">
        <x:f>(Inputs!$I$9+(((A80)+1)/2)*(Inputs!$J$9-Inputs!$I$9))</x:f>
        <x:v>-280</x:v>
      </x:c>
      <x:c r="X80" s="49"/>
      <x:c r="Y80" s="48" t="n">
        <x:f>A80</x:f>
        <x:v>-0.35</x:v>
      </x:c>
      <x:c r="Z80" s="48" t="n">
        <x:f>(Inputs!$H$6+Inputs!$L$6*(((Inputs!$I$6+(((A80)+1)/2)*(Inputs!$J$6-Inputs!$I$6)))/Inputs!$K$6)^2)</x:f>
        <x:v>400.49</x:v>
      </x:c>
      <x:c r="AA80" s="48" t="n">
        <x:f>(Inputs!$H$7+Inputs!$L$7*(((Inputs!$I$7+(((A80)+1)/2)*(Inputs!$J$7-Inputs!$I$7)))/Inputs!$K$7)^2)</x:f>
        <x:v>79.71249999999999</x:v>
      </x:c>
      <x:c r="AB80" s="48" t="n">
        <x:f>(Inputs!$H$8+Inputs!$L$8*(((Inputs!$I$8+(((A80)+1)/2)*(Inputs!$J$8-Inputs!$I$8)))/Inputs!$K$8)^2)</x:f>
        <x:v>153.21249999999998</x:v>
      </x:c>
      <x:c r="AC80" s="48" t="n">
        <x:f>(Inputs!$H$9+Inputs!$L$9*(((Inputs!$I$9+(((A80)+1)/2)*(Inputs!$J$9-Inputs!$I$9)))/Inputs!$K$9)^2)</x:f>
        <x:v>144.4375</x:v>
      </x:c>
      <x:c r="AD80" s="49"/>
      <x:c r="AE80" s="48" t="n">
        <x:f>A80</x:f>
        <x:v>-0.35</x:v>
      </x:c>
      <x:c r="AF80" s="48" t="n">
        <x:f>(((SQRT((Inputs!$C$52+((Inputs!$H$6+Inputs!$L$6*(((Inputs!$I$6+(((A80)+1)/2)*(Inputs!$J$6-Inputs!$I$6)))/Inputs!$K$6)^2)))^2+Inputs!$C$52^2-2*(Inputs!$C$52+((Inputs!$H$6+Inputs!$L$6*(((Inputs!$I$6+(((A80)+1)/2)*(Inputs!$J$6-Inputs!$I$6)))/Inputs!$K$6)^2)))*Inputs!$C$52*COS(SQRT(((Inputs!$I$6+(((A80)+1)/2)*(Inputs!$J$6-Inputs!$I$6)))^2+Inputs!$C$6^2)/Inputs!$C$52)))-((Inputs!$H$6+Inputs!$L$6*(((Inputs!$I$6+(((A80)+1)/2)*(Inputs!$J$6-Inputs!$I$6)))/Inputs!$K$6)^2)))*1000/Inputs!$C$12)</x:f>
        <x:v>937.5411742925972</x:v>
      </x:c>
      <x:c r="AG80" s="48" t="n">
        <x:f>(((SQRT((Inputs!$C$52+((Inputs!$H$7+Inputs!$L$7*(((Inputs!$I$7+(((A80)+1)/2)*(Inputs!$J$7-Inputs!$I$7)))/Inputs!$K$7)^2)))^2+Inputs!$C$52^2-2*(Inputs!$C$52+((Inputs!$H$7+Inputs!$L$7*(((Inputs!$I$7+(((A80)+1)/2)*(Inputs!$J$7-Inputs!$I$7)))/Inputs!$K$7)^2)))*Inputs!$C$52*COS(SQRT(((Inputs!$I$7+(((A80)+1)/2)*(Inputs!$J$7-Inputs!$I$7)))^2+Inputs!$C$6^2)/Inputs!$C$52)))-((Inputs!$H$7+Inputs!$L$7*(((Inputs!$I$7+(((A80)+1)/2)*(Inputs!$J$7-Inputs!$I$7)))/Inputs!$K$7)^2)))*1000/Inputs!$C$12)</x:f>
        <x:v>48545.9867997927</x:v>
      </x:c>
      <x:c r="AH80" s="48" t="n">
        <x:f>(((SQRT((Inputs!$C$52+((Inputs!$H$8+Inputs!$L$8*(((Inputs!$I$8+(((A80)+1)/2)*(Inputs!$J$8-Inputs!$I$8)))/Inputs!$K$8)^2)))^2+Inputs!$C$52^2-2*(Inputs!$C$52+((Inputs!$H$8+Inputs!$L$8*(((Inputs!$I$8+(((A80)+1)/2)*(Inputs!$J$8-Inputs!$I$8)))/Inputs!$K$8)^2)))*Inputs!$C$52*COS(SQRT(((Inputs!$I$8+(((A80)+1)/2)*(Inputs!$J$8-Inputs!$I$8)))^2+Inputs!$C$6^2)/Inputs!$C$52)))-((Inputs!$H$8+Inputs!$L$8*(((Inputs!$I$8+(((A80)+1)/2)*(Inputs!$J$8-Inputs!$I$8)))/Inputs!$K$8)^2)))*1000/Inputs!$C$12)</x:f>
        <x:v>100271.4657357698</x:v>
      </x:c>
      <x:c r="AI80" s="48" t="n">
        <x:f>(((SQRT((Inputs!$C$52+((Inputs!$H$9+Inputs!$L$9*(((Inputs!$I$9+(((A80)+1)/2)*(Inputs!$J$9-Inputs!$I$9)))/Inputs!$K$9)^2)))^2+Inputs!$C$52^2-2*(Inputs!$C$52+((Inputs!$H$9+Inputs!$L$9*(((Inputs!$I$9+(((A80)+1)/2)*(Inputs!$J$9-Inputs!$I$9)))/Inputs!$K$9)^2)))*Inputs!$C$52*COS(SQRT(((Inputs!$I$9+(((A80)+1)/2)*(Inputs!$J$9-Inputs!$I$9)))^2+Inputs!$C$6^2)/Inputs!$C$52)))-((Inputs!$H$9+Inputs!$L$9*(((Inputs!$I$9+(((A80)+1)/2)*(Inputs!$J$9-Inputs!$I$9)))/Inputs!$K$9)^2)))*1000/Inputs!$C$12)</x:f>
        <x:v>102595.90779409655</x:v>
      </x:c>
      <x:c r="AJ80" s="49"/>
      <x:c r="AK80" s="48" t="n">
        <x:f>A80</x:f>
        <x:v>-0.35</x:v>
      </x:c>
      <x:c r="AL80" s="48" t="n">
        <x: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x:f>
        <x:v>179.39974021759684</x:v>
      </x:c>
      <x:c r="AM80" s="48" t="n">
        <x: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x:f>
        <x:v>1945.5158603718908</x:v>
      </x:c>
      <x:c r="AN80" s="48" t="n">
        <x: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x:f>
        <x:v>2202.079702494456</x:v>
      </x:c>
      <x:c r="AO80" s="48" t="n">
        <x: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x:f>
        <x:v>2196.6604138172584</x:v>
      </x:c>
      <x:c r="AP80" s="49"/>
      <x:c r="AQ80" s="48" t="n">
        <x:f>A80</x:f>
        <x:v>-0.35</x:v>
      </x:c>
      <x:c r="AR80" s="48" t="n">
        <x:f>0</x:f>
        <x:v>0</x:v>
      </x:c>
      <x:c r="AS80" s="48" t="n">
        <x: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(0.45*SIN(2*PI()*((((Inputs!$I$6+(((A80)+1)/2)*(Inputs!$J$6-Inputs!$I$6)))/Inputs!$C$49)+Inputs!$C$47*0.137))+0.35*COS(2*PI()*(((Inputs!$C$6)/Inputs!$C$50)+Inputs!$C$47*0.173))+0.20*SIN(2*PI()*((((Inputs!$I$6+(((A80)+1)/2)*(Inputs!$J$6-Inputs!$I$6)))+(Inputs!$C$6))/(0.5*(Inputs!$C$49+Inputs!$C$50))+Inputs!$C$47*0.097)))+0.30*(2*((SIN((((Inputs!$I$6+(((A80)+1)/2)*(Inputs!$J$6-Inputs!$I$6)))*12.9898+(Inputs!$C$6)*78.233+Inputs!$C$47*37.719))*43758.5453)-INT((SIN((((Inputs!$I$6+(((A80)+1)/2)*(Inputs!$J$6-Inputs!$I$6)))*12.9898+(Inputs!$C$6)*78.233+Inputs!$C$47*37.719))*43758.5453)))-1))),NA())</x:f>
        <x:v>317.91812880175183</x:v>
      </x:c>
      <x:c r="AT80" s="48" t="n">
        <x: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(0.45*SIN(2*PI()*((((Inputs!$I$7+(((A80)+1)/2)*(Inputs!$J$7-Inputs!$I$7)))/Inputs!$C$49)+Inputs!$C$47*0.137))+0.35*COS(2*PI()*(((Inputs!$C$6)/Inputs!$C$50)+Inputs!$C$47*0.173))+0.20*SIN(2*PI()*((((Inputs!$I$7+(((A80)+1)/2)*(Inputs!$J$7-Inputs!$I$7)))+(Inputs!$C$6))/(0.5*(Inputs!$C$49+Inputs!$C$50))+Inputs!$C$47*0.097)))+0.30*(2*((SIN((((Inputs!$I$7+(((A80)+1)/2)*(Inputs!$J$7-Inputs!$I$7)))*12.9898+(Inputs!$C$6)*78.233+Inputs!$C$47*37.719))*43758.5453)-INT((SIN((((Inputs!$I$7+(((A80)+1)/2)*(Inputs!$J$7-Inputs!$I$7)))*12.9898+(Inputs!$C$6)*78.233+Inputs!$C$47*37.719))*43758.5453)))-1))),NA())</x:f>
        <x:v>204.7986580113276</x:v>
      </x:c>
      <x:c r="AU80" s="48" t="n">
        <x: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(0.45*SIN(2*PI()*((((Inputs!$I$8+(((A80)+1)/2)*(Inputs!$J$8-Inputs!$I$8)))/Inputs!$C$49)+Inputs!$C$47*0.137))+0.35*COS(2*PI()*(((Inputs!$C$6)/Inputs!$C$50)+Inputs!$C$47*0.173))+0.20*SIN(2*PI()*((((Inputs!$I$8+(((A80)+1)/2)*(Inputs!$J$8-Inputs!$I$8)))+(Inputs!$C$6))/(0.5*(Inputs!$C$49+Inputs!$C$50))+Inputs!$C$47*0.097)))+0.30*(2*((SIN((((Inputs!$I$8+(((A80)+1)/2)*(Inputs!$J$8-Inputs!$I$8)))*12.9898+(Inputs!$C$6)*78.233+Inputs!$C$47*37.719))*43758.5453)-INT((SIN((((Inputs!$I$8+(((A80)+1)/2)*(Inputs!$J$8-Inputs!$I$8)))*12.9898+(Inputs!$C$6)*78.233+Inputs!$C$47*37.719))*43758.5453)))-1))),NA())</x:f>
        <x:v>165.51370619149404</x:v>
      </x:c>
      <x:c r="AV80" s="48" t="n">
        <x: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(0.45*SIN(2*PI()*((((Inputs!$I$9+(((A80)+1)/2)*(Inputs!$J$9-Inputs!$I$9)))/Inputs!$C$49)+Inputs!$C$47*0.137))+0.35*COS(2*PI()*(((Inputs!$C$6)/Inputs!$C$50)+Inputs!$C$47*0.173))+0.20*SIN(2*PI()*((((Inputs!$I$9+(((A80)+1)/2)*(Inputs!$J$9-Inputs!$I$9)))+(Inputs!$C$6))/(0.5*(Inputs!$C$49+Inputs!$C$50))+Inputs!$C$47*0.097)))+0.30*(2*((SIN((((Inputs!$I$9+(((A80)+1)/2)*(Inputs!$J$9-Inputs!$I$9)))*12.9898+(Inputs!$C$6)*78.233+Inputs!$C$47*37.719))*43758.5453)-INT((SIN((((Inputs!$I$9+(((A80)+1)/2)*(Inputs!$J$9-Inputs!$I$9)))*12.9898+(Inputs!$C$6)*78.233+Inputs!$C$47*37.719))*43758.5453)))-1))),NA())</x:f>
        <x:v>165.51370619149404</x:v>
      </x:c>
      <x:c r="AW80" s="49"/>
      <x:c r="AX80" s="48" t="n">
        <x:f>A80</x:f>
        <x:v>-0.35</x:v>
      </x:c>
      <x:c r="AY80" s="48" t="n">
        <x:f>0</x:f>
        <x:v>0</x:v>
      </x:c>
      <x:c r="AZ80" s="48" t="n">
        <x:f>IF(OR(Inputs!$F$6=TRUE,Inputs!$F$6="TRUE",Inputs!$F$6=1),(Inputs!$H$6+Inputs!$L$6*(((Inputs!$I$6+(((A80)+1)/2)*(Inputs!$J$6-Inputs!$I$6)))/Inputs!$K$6)^2),NA())</x:f>
        <x:v>400.49</x:v>
      </x:c>
      <x:c r="BA80" s="48" t="n">
        <x:f>IF(OR(Inputs!$F$7=TRUE,Inputs!$F$7="TRUE",Inputs!$F$7=1),(Inputs!$H$7+Inputs!$L$7*(((Inputs!$I$7+(((A80)+1)/2)*(Inputs!$J$7-Inputs!$I$7)))/Inputs!$K$7)^2),NA())</x:f>
        <x:v>79.71249999999999</x:v>
      </x:c>
      <x:c r="BB80" s="48" t="n">
        <x:f>IF(OR(Inputs!$F$8=TRUE,Inputs!$F$8="TRUE",Inputs!$F$8=1),(Inputs!$H$8+Inputs!$L$8*(((Inputs!$I$8+(((A80)+1)/2)*(Inputs!$J$8-Inputs!$I$8)))/Inputs!$K$8)^2),NA())</x:f>
        <x:v>153.21249999999998</x:v>
      </x:c>
      <x:c r="BC80" s="48" t="n">
        <x:f>IF(OR(Inputs!$F$9=TRUE,Inputs!$F$9="TRUE",Inputs!$F$9=1),(Inputs!$H$9+Inputs!$L$9*(((Inputs!$I$9+(((A80)+1)/2)*(Inputs!$J$9-Inputs!$I$9)))/Inputs!$K$9)^2),NA())</x:f>
        <x:v>144.4375</x:v>
      </x:c>
      <x:c r="BD80" s="49"/>
      <x:c r="BE80" s="48" t="n">
        <x:f>A80</x:f>
        <x:v>-0.35</x:v>
      </x:c>
      <x:c r="BF80" s="48" t="n">
        <x:f>0</x:f>
        <x:v>0</x:v>
      </x:c>
      <x:c r="BG80" s="48"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BH80" s="48"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BI80" s="48"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BJ80" s="48"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row>
    <x:row r="81">
      <x:c r="A81" s="48" t="n">
        <x:f>ROUND(-1+79*2/240,3)</x:f>
        <x:v>-0.342</x:v>
      </x:c>
      <x:c r="B81" s="48" t="n">
        <x:f>IF(OR(Inputs!$F$6=TRUE,Inputs!$F$6="TRUE",Inputs!$F$6=1),(Inputs!$H$6+Inputs!$L$6*(((Inputs!$I$6+(((A81)+1)/2)*(Inputs!$J$6-Inputs!$I$6)))/Inputs!$K$6)^2),NA())</x:f>
        <x:v>400.467856</x:v>
      </x:c>
      <x:c r="C81" s="48" t="n">
        <x:f>IF(OR(Inputs!$F$7=TRUE,Inputs!$F$7="TRUE",Inputs!$F$7=1),(Inputs!$H$7+Inputs!$L$7*(((Inputs!$I$7+(((A81)+1)/2)*(Inputs!$J$7-Inputs!$I$7)))/Inputs!$K$7)^2),NA())</x:f>
        <x:v>77.69186</x:v>
      </x:c>
      <x:c r="D81" s="48" t="n">
        <x:f>IF(OR(Inputs!$F$8=TRUE,Inputs!$F$8="TRUE",Inputs!$F$8=1),(Inputs!$H$8+Inputs!$L$8*(((Inputs!$I$8+(((A81)+1)/2)*(Inputs!$J$8-Inputs!$I$8)))/Inputs!$K$8)^2),NA())</x:f>
        <x:v>147.87026000000003</x:v>
      </x:c>
      <x:c r="E81" s="48" t="n">
        <x:f>IF(OR(Inputs!$F$9=TRUE,Inputs!$F$9="TRUE",Inputs!$F$9=1),(Inputs!$H$9+Inputs!$L$9*(((Inputs!$I$9+(((A81)+1)/2)*(Inputs!$J$9-Inputs!$I$9)))/Inputs!$K$9)^2),NA())</x:f>
        <x:v>139.03990000000002</x:v>
      </x:c>
      <x:c r="F81" s="49"/>
      <x:c r="G81" s="48" t="n">
        <x:f>A81</x:f>
        <x:v>-0.342</x:v>
      </x:c>
      <x:c r="H81" s="48"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I81" s="48"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J81" s="48"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K81" s="48"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c r="L81" s="49"/>
      <x:c r="M81" s="48" t="n">
        <x:f>A81</x:f>
        <x:v>-0.342</x:v>
      </x:c>
      <x:c r="N81" s="48" t="n">
        <x: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x:f>
        <x:v>175.31617596466526</x:v>
      </x:c>
      <x:c r="O81" s="48" t="n">
        <x: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x:f>
        <x:v>1930.6236674148881</x:v>
      </x:c>
      <x:c r="P81" s="48" t="n">
        <x: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x:f>
        <x:v>2179.4248345006054</x:v>
      </x:c>
      <x:c r="Q81" s="48" t="n">
        <x: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x:f>
        <x:v>2173.6737724055174</x:v>
      </x:c>
      <x:c r="R81" s="49"/>
      <x:c r="S81" s="48" t="n">
        <x:f>A81</x:f>
        <x:v>-0.342</x:v>
      </x:c>
      <x:c r="T81" s="48" t="n">
        <x:f>(Inputs!$I$6+(((A81)+1)/2)*(Inputs!$J$6-Inputs!$I$6))</x:f>
        <x:v>-20.520000000000003</x:v>
      </x:c>
      <x:c r="U81" s="48" t="n">
        <x:f>(Inputs!$I$7+(((A81)+1)/2)*(Inputs!$J$7-Inputs!$I$7))</x:f>
        <x:v>-136.8</x:v>
      </x:c>
      <x:c r="V81" s="48" t="n">
        <x:f>(Inputs!$I$8+(((A81)+1)/2)*(Inputs!$J$8-Inputs!$I$8))</x:f>
        <x:v>-273.6</x:v>
      </x:c>
      <x:c r="W81" s="48" t="n">
        <x:f>(Inputs!$I$9+(((A81)+1)/2)*(Inputs!$J$9-Inputs!$I$9))</x:f>
        <x:v>-273.6</x:v>
      </x:c>
      <x:c r="X81" s="49"/>
      <x:c r="Y81" s="48" t="n">
        <x:f>A81</x:f>
        <x:v>-0.342</x:v>
      </x:c>
      <x:c r="Z81" s="48" t="n">
        <x:f>(Inputs!$H$6+Inputs!$L$6*(((Inputs!$I$6+(((A81)+1)/2)*(Inputs!$J$6-Inputs!$I$6)))/Inputs!$K$6)^2)</x:f>
        <x:v>400.467856</x:v>
      </x:c>
      <x:c r="AA81" s="48" t="n">
        <x:f>(Inputs!$H$7+Inputs!$L$7*(((Inputs!$I$7+(((A81)+1)/2)*(Inputs!$J$7-Inputs!$I$7)))/Inputs!$K$7)^2)</x:f>
        <x:v>77.69186</x:v>
      </x:c>
      <x:c r="AB81" s="48" t="n">
        <x:f>(Inputs!$H$8+Inputs!$L$8*(((Inputs!$I$8+(((A81)+1)/2)*(Inputs!$J$8-Inputs!$I$8)))/Inputs!$K$8)^2)</x:f>
        <x:v>147.87026000000003</x:v>
      </x:c>
      <x:c r="AC81" s="48" t="n">
        <x:f>(Inputs!$H$9+Inputs!$L$9*(((Inputs!$I$9+(((A81)+1)/2)*(Inputs!$J$9-Inputs!$I$9)))/Inputs!$K$9)^2)</x:f>
        <x:v>139.03990000000002</x:v>
      </x:c>
      <x:c r="AD81" s="49"/>
      <x:c r="AE81" s="48" t="n">
        <x:f>A81</x:f>
        <x:v>-0.342</x:v>
      </x:c>
      <x:c r="AF81" s="48" t="n">
        <x:f>(((SQRT((Inputs!$C$52+((Inputs!$H$6+Inputs!$L$6*(((Inputs!$I$6+(((A81)+1)/2)*(Inputs!$J$6-Inputs!$I$6)))/Inputs!$K$6)^2)))^2+Inputs!$C$52^2-2*(Inputs!$C$52+((Inputs!$H$6+Inputs!$L$6*(((Inputs!$I$6+(((A81)+1)/2)*(Inputs!$J$6-Inputs!$I$6)))/Inputs!$K$6)^2)))*Inputs!$C$52*COS(SQRT(((Inputs!$I$6+(((A81)+1)/2)*(Inputs!$J$6-Inputs!$I$6)))^2+Inputs!$C$6^2)/Inputs!$C$52)))-((Inputs!$H$6+Inputs!$L$6*(((Inputs!$I$6+(((A81)+1)/2)*(Inputs!$J$6-Inputs!$I$6)))/Inputs!$K$6)^2)))*1000/Inputs!$C$12)</x:f>
        <x:v>920.0898163795357</x:v>
      </x:c>
      <x:c r="AG81" s="48" t="n">
        <x:f>(((SQRT((Inputs!$C$52+((Inputs!$H$7+Inputs!$L$7*(((Inputs!$I$7+(((A81)+1)/2)*(Inputs!$J$7-Inputs!$I$7)))/Inputs!$K$7)^2)))^2+Inputs!$C$52^2-2*(Inputs!$C$52+((Inputs!$H$7+Inputs!$L$7*(((Inputs!$I$7+(((A81)+1)/2)*(Inputs!$J$7-Inputs!$I$7)))/Inputs!$K$7)^2)))*Inputs!$C$52*COS(SQRT(((Inputs!$I$7+(((A81)+1)/2)*(Inputs!$J$7-Inputs!$I$7)))^2+Inputs!$C$6^2)/Inputs!$C$52)))-((Inputs!$H$7+Inputs!$L$7*(((Inputs!$I$7+(((A81)+1)/2)*(Inputs!$J$7-Inputs!$I$7)))/Inputs!$K$7)^2)))*1000/Inputs!$C$12)</x:f>
        <x:v>47503.57539658192</x:v>
      </x:c>
      <x:c r="AH81" s="48" t="n">
        <x:f>(((SQRT((Inputs!$C$52+((Inputs!$H$8+Inputs!$L$8*(((Inputs!$I$8+(((A81)+1)/2)*(Inputs!$J$8-Inputs!$I$8)))/Inputs!$K$8)^2)))^2+Inputs!$C$52^2-2*(Inputs!$C$52+((Inputs!$H$8+Inputs!$L$8*(((Inputs!$I$8+(((A81)+1)/2)*(Inputs!$J$8-Inputs!$I$8)))/Inputs!$K$8)^2)))*Inputs!$C$52*COS(SQRT(((Inputs!$I$8+(((A81)+1)/2)*(Inputs!$J$8-Inputs!$I$8)))^2+Inputs!$C$6^2)/Inputs!$C$52)))-((Inputs!$H$8+Inputs!$L$8*(((Inputs!$I$8+(((A81)+1)/2)*(Inputs!$J$8-Inputs!$I$8)))/Inputs!$K$8)^2)))*1000/Inputs!$C$12)</x:f>
        <x:v>98349.74217034037</x:v>
      </x:c>
      <x:c r="AI81" s="48" t="n">
        <x:f>(((SQRT((Inputs!$C$52+((Inputs!$H$9+Inputs!$L$9*(((Inputs!$I$9+(((A81)+1)/2)*(Inputs!$J$9-Inputs!$I$9)))/Inputs!$K$9)^2)))^2+Inputs!$C$52^2-2*(Inputs!$C$52+((Inputs!$H$9+Inputs!$L$9*(((Inputs!$I$9+(((A81)+1)/2)*(Inputs!$J$9-Inputs!$I$9)))/Inputs!$K$9)^2)))*Inputs!$C$52*COS(SQRT(((Inputs!$I$9+(((A81)+1)/2)*(Inputs!$J$9-Inputs!$I$9)))^2+Inputs!$C$6^2)/Inputs!$C$52)))-((Inputs!$H$9+Inputs!$L$9*(((Inputs!$I$9+(((A81)+1)/2)*(Inputs!$J$9-Inputs!$I$9)))/Inputs!$K$9)^2)))*1000/Inputs!$C$12)</x:f>
        <x:v>100717.84021445007</x:v>
      </x:c>
      <x:c r="AJ81" s="49"/>
      <x:c r="AK81" s="48" t="n">
        <x:f>A81</x:f>
        <x:v>-0.342</x:v>
      </x:c>
      <x:c r="AL81" s="48" t="n">
        <x: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x:f>
        <x:v>175.31617596466526</x:v>
      </x:c>
      <x:c r="AM81" s="48" t="n">
        <x: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x:f>
        <x:v>1930.6236674148881</x:v>
      </x:c>
      <x:c r="AN81" s="48" t="n">
        <x: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x:f>
        <x:v>2179.4248345006054</x:v>
      </x:c>
      <x:c r="AO81" s="48" t="n">
        <x: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x:f>
        <x:v>2173.6737724055174</x:v>
      </x:c>
      <x:c r="AP81" s="49"/>
      <x:c r="AQ81" s="48" t="n">
        <x:f>A81</x:f>
        <x:v>-0.342</x:v>
      </x:c>
      <x:c r="AR81" s="48" t="n">
        <x:f>0</x:f>
        <x:v>0</x:v>
      </x:c>
      <x:c r="AS81" s="48" t="n">
        <x: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(0.45*SIN(2*PI()*((((Inputs!$I$6+(((A81)+1)/2)*(Inputs!$J$6-Inputs!$I$6)))/Inputs!$C$49)+Inputs!$C$47*0.137))+0.35*COS(2*PI()*(((Inputs!$C$6)/Inputs!$C$50)+Inputs!$C$47*0.173))+0.20*SIN(2*PI()*((((Inputs!$I$6+(((A81)+1)/2)*(Inputs!$J$6-Inputs!$I$6)))+(Inputs!$C$6))/(0.5*(Inputs!$C$49+Inputs!$C$50))+Inputs!$C$47*0.097)))+0.30*(2*((SIN((((Inputs!$I$6+(((A81)+1)/2)*(Inputs!$J$6-Inputs!$I$6)))*12.9898+(Inputs!$C$6)*78.233+Inputs!$C$47*37.719))*43758.5453)-INT((SIN((((Inputs!$I$6+(((A81)+1)/2)*(Inputs!$J$6-Inputs!$I$6)))*12.9898+(Inputs!$C$6)*78.233+Inputs!$C$47*37.719))*43758.5453)))-1))),NA())</x:f>
        <x:v>339.4113234312429</x:v>
      </x:c>
      <x:c r="AT81" s="48" t="n">
        <x: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(0.45*SIN(2*PI()*((((Inputs!$I$7+(((A81)+1)/2)*(Inputs!$J$7-Inputs!$I$7)))/Inputs!$C$49)+Inputs!$C$47*0.137))+0.35*COS(2*PI()*(((Inputs!$C$6)/Inputs!$C$50)+Inputs!$C$47*0.173))+0.20*SIN(2*PI()*((((Inputs!$I$7+(((A81)+1)/2)*(Inputs!$J$7-Inputs!$I$7)))+(Inputs!$C$6))/(0.5*(Inputs!$C$49+Inputs!$C$50))+Inputs!$C$47*0.097)))+0.30*(2*((SIN((((Inputs!$I$7+(((A81)+1)/2)*(Inputs!$J$7-Inputs!$I$7)))*12.9898+(Inputs!$C$6)*78.233+Inputs!$C$47*37.719))*43758.5453)-INT((SIN((((Inputs!$I$7+(((A81)+1)/2)*(Inputs!$J$7-Inputs!$I$7)))*12.9898+(Inputs!$C$6)*78.233+Inputs!$C$47*37.719))*43758.5453)))-1))),NA())</x:f>
        <x:v>162.32750479230745</x:v>
      </x:c>
      <x:c r="AU81" s="48" t="n">
        <x: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(0.45*SIN(2*PI()*((((Inputs!$I$8+(((A81)+1)/2)*(Inputs!$J$8-Inputs!$I$8)))/Inputs!$C$49)+Inputs!$C$47*0.137))+0.35*COS(2*PI()*(((Inputs!$C$6)/Inputs!$C$50)+Inputs!$C$47*0.173))+0.20*SIN(2*PI()*((((Inputs!$I$8+(((A81)+1)/2)*(Inputs!$J$8-Inputs!$I$8)))+(Inputs!$C$6))/(0.5*(Inputs!$C$49+Inputs!$C$50))+Inputs!$C$47*0.097)))+0.30*(2*((SIN((((Inputs!$I$8+(((A81)+1)/2)*(Inputs!$J$8-Inputs!$I$8)))*12.9898+(Inputs!$C$6)*78.233+Inputs!$C$47*37.719))*43758.5453)-INT((SIN((((Inputs!$I$8+(((A81)+1)/2)*(Inputs!$J$8-Inputs!$I$8)))*12.9898+(Inputs!$C$6)*78.233+Inputs!$C$47*37.719))*43758.5453)))-1))),NA())</x:f>
        <x:v>122.27219530903733</x:v>
      </x:c>
      <x:c r="AV81" s="48" t="n">
        <x: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(0.45*SIN(2*PI()*((((Inputs!$I$9+(((A81)+1)/2)*(Inputs!$J$9-Inputs!$I$9)))/Inputs!$C$49)+Inputs!$C$47*0.137))+0.35*COS(2*PI()*(((Inputs!$C$6)/Inputs!$C$50)+Inputs!$C$47*0.173))+0.20*SIN(2*PI()*((((Inputs!$I$9+(((A81)+1)/2)*(Inputs!$J$9-Inputs!$I$9)))+(Inputs!$C$6))/(0.5*(Inputs!$C$49+Inputs!$C$50))+Inputs!$C$47*0.097)))+0.30*(2*((SIN((((Inputs!$I$9+(((A81)+1)/2)*(Inputs!$J$9-Inputs!$I$9)))*12.9898+(Inputs!$C$6)*78.233+Inputs!$C$47*37.719))*43758.5453)-INT((SIN((((Inputs!$I$9+(((A81)+1)/2)*(Inputs!$J$9-Inputs!$I$9)))*12.9898+(Inputs!$C$6)*78.233+Inputs!$C$47*37.719))*43758.5453)))-1))),NA())</x:f>
        <x:v>122.27219530903733</x:v>
      </x:c>
      <x:c r="AW81" s="49"/>
      <x:c r="AX81" s="48" t="n">
        <x:f>A81</x:f>
        <x:v>-0.342</x:v>
      </x:c>
      <x:c r="AY81" s="48" t="n">
        <x:f>0</x:f>
        <x:v>0</x:v>
      </x:c>
      <x:c r="AZ81" s="48" t="n">
        <x:f>IF(OR(Inputs!$F$6=TRUE,Inputs!$F$6="TRUE",Inputs!$F$6=1),(Inputs!$H$6+Inputs!$L$6*(((Inputs!$I$6+(((A81)+1)/2)*(Inputs!$J$6-Inputs!$I$6)))/Inputs!$K$6)^2),NA())</x:f>
        <x:v>400.467856</x:v>
      </x:c>
      <x:c r="BA81" s="48" t="n">
        <x:f>IF(OR(Inputs!$F$7=TRUE,Inputs!$F$7="TRUE",Inputs!$F$7=1),(Inputs!$H$7+Inputs!$L$7*(((Inputs!$I$7+(((A81)+1)/2)*(Inputs!$J$7-Inputs!$I$7)))/Inputs!$K$7)^2),NA())</x:f>
        <x:v>77.69186</x:v>
      </x:c>
      <x:c r="BB81" s="48" t="n">
        <x:f>IF(OR(Inputs!$F$8=TRUE,Inputs!$F$8="TRUE",Inputs!$F$8=1),(Inputs!$H$8+Inputs!$L$8*(((Inputs!$I$8+(((A81)+1)/2)*(Inputs!$J$8-Inputs!$I$8)))/Inputs!$K$8)^2),NA())</x:f>
        <x:v>147.87026000000003</x:v>
      </x:c>
      <x:c r="BC81" s="48" t="n">
        <x:f>IF(OR(Inputs!$F$9=TRUE,Inputs!$F$9="TRUE",Inputs!$F$9=1),(Inputs!$H$9+Inputs!$L$9*(((Inputs!$I$9+(((A81)+1)/2)*(Inputs!$J$9-Inputs!$I$9)))/Inputs!$K$9)^2),NA())</x:f>
        <x:v>139.03990000000002</x:v>
      </x:c>
      <x:c r="BD81" s="49"/>
      <x:c r="BE81" s="48" t="n">
        <x:f>A81</x:f>
        <x:v>-0.342</x:v>
      </x:c>
      <x:c r="BF81" s="48" t="n">
        <x:f>0</x:f>
        <x:v>0</x:v>
      </x:c>
      <x:c r="BG81" s="48"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BH81" s="48"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BI81" s="48"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BJ81" s="48"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row>
    <x:row r="82">
      <x:c r="A82" s="48" t="n">
        <x:f>ROUND(-1+80*2/240,3)</x:f>
        <x:v>-0.333</x:v>
      </x:c>
      <x:c r="B82" s="48" t="n">
        <x:f>IF(OR(Inputs!$F$6=TRUE,Inputs!$F$6="TRUE",Inputs!$F$6=1),(Inputs!$H$6+Inputs!$L$6*(((Inputs!$I$6+(((A82)+1)/2)*(Inputs!$J$6-Inputs!$I$6)))/Inputs!$K$6)^2),NA())</x:f>
        <x:v>400.443556</x:v>
      </x:c>
      <x:c r="C82" s="48" t="n">
        <x:f>IF(OR(Inputs!$F$7=TRUE,Inputs!$F$7="TRUE",Inputs!$F$7=1),(Inputs!$H$7+Inputs!$L$7*(((Inputs!$I$7+(((A82)+1)/2)*(Inputs!$J$7-Inputs!$I$7)))/Inputs!$K$7)^2),NA())</x:f>
        <x:v>75.47448499999999</x:v>
      </x:c>
      <x:c r="D82" s="48" t="n">
        <x:f>IF(OR(Inputs!$F$8=TRUE,Inputs!$F$8="TRUE",Inputs!$F$8=1),(Inputs!$H$8+Inputs!$L$8*(((Inputs!$I$8+(((A82)+1)/2)*(Inputs!$J$8-Inputs!$I$8)))/Inputs!$K$8)^2),NA())</x:f>
        <x:v>142.007885</x:v>
      </x:c>
      <x:c r="E82" s="48" t="n">
        <x:f>IF(OR(Inputs!$F$9=TRUE,Inputs!$F$9="TRUE",Inputs!$F$9=1),(Inputs!$H$9+Inputs!$L$9*(((Inputs!$I$9+(((A82)+1)/2)*(Inputs!$J$9-Inputs!$I$9)))/Inputs!$K$9)^2),NA())</x:f>
        <x:v>133.11677499999996</x:v>
      </x:c>
      <x:c r="F82" s="49"/>
      <x:c r="G82" s="48" t="n">
        <x:f>A82</x:f>
        <x:v>-0.333</x:v>
      </x:c>
      <x:c r="H82" s="48"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I82" s="48"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J82" s="48"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K82" s="48"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c r="L82" s="49"/>
      <x:c r="M82" s="48" t="n">
        <x:f>A82</x:f>
        <x:v>-0.333</x:v>
      </x:c>
      <x:c r="N82" s="48" t="n">
        <x: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x:f>
        <x:v>170.72076550892686</x:v>
      </x:c>
      <x:c r="O82" s="48" t="n">
        <x: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x:f>
        <x:v>1913.912849230507</x:v>
      </x:c>
      <x:c r="P82" s="48" t="n">
        <x: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x:f>
        <x:v>2154.3022886046497</x:v>
      </x:c>
      <x:c r="Q82" s="48" t="n">
        <x: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x:f>
        <x:v>2148.204181874317</x:v>
      </x:c>
      <x:c r="R82" s="49"/>
      <x:c r="S82" s="48" t="n">
        <x:f>A82</x:f>
        <x:v>-0.333</x:v>
      </x:c>
      <x:c r="T82" s="48" t="n">
        <x:f>(Inputs!$I$6+(((A82)+1)/2)*(Inputs!$J$6-Inputs!$I$6))</x:f>
        <x:v>-19.979999999999997</x:v>
      </x:c>
      <x:c r="U82" s="48" t="n">
        <x:f>(Inputs!$I$7+(((A82)+1)/2)*(Inputs!$J$7-Inputs!$I$7))</x:f>
        <x:v>-133.2</x:v>
      </x:c>
      <x:c r="V82" s="48" t="n">
        <x:f>(Inputs!$I$8+(((A82)+1)/2)*(Inputs!$J$8-Inputs!$I$8))</x:f>
        <x:v>-266.4</x:v>
      </x:c>
      <x:c r="W82" s="48" t="n">
        <x:f>(Inputs!$I$9+(((A82)+1)/2)*(Inputs!$J$9-Inputs!$I$9))</x:f>
        <x:v>-266.4</x:v>
      </x:c>
      <x:c r="X82" s="49"/>
      <x:c r="Y82" s="48" t="n">
        <x:f>A82</x:f>
        <x:v>-0.333</x:v>
      </x:c>
      <x:c r="Z82" s="48" t="n">
        <x:f>(Inputs!$H$6+Inputs!$L$6*(((Inputs!$I$6+(((A82)+1)/2)*(Inputs!$J$6-Inputs!$I$6)))/Inputs!$K$6)^2)</x:f>
        <x:v>400.443556</x:v>
      </x:c>
      <x:c r="AA82" s="48" t="n">
        <x:f>(Inputs!$H$7+Inputs!$L$7*(((Inputs!$I$7+(((A82)+1)/2)*(Inputs!$J$7-Inputs!$I$7)))/Inputs!$K$7)^2)</x:f>
        <x:v>75.47448499999999</x:v>
      </x:c>
      <x:c r="AB82" s="48" t="n">
        <x:f>(Inputs!$H$8+Inputs!$L$8*(((Inputs!$I$8+(((A82)+1)/2)*(Inputs!$J$8-Inputs!$I$8)))/Inputs!$K$8)^2)</x:f>
        <x:v>142.007885</x:v>
      </x:c>
      <x:c r="AC82" s="48" t="n">
        <x:f>(Inputs!$H$9+Inputs!$L$9*(((Inputs!$I$9+(((A82)+1)/2)*(Inputs!$J$9-Inputs!$I$9)))/Inputs!$K$9)^2)</x:f>
        <x:v>133.11677499999996</x:v>
      </x:c>
      <x:c r="AD82" s="49"/>
      <x:c r="AE82" s="48" t="n">
        <x:f>A82</x:f>
        <x:v>-0.333</x:v>
      </x:c>
      <x:c r="AF82" s="48" t="n">
        <x:f>(((SQRT((Inputs!$C$52+((Inputs!$H$6+Inputs!$L$6*(((Inputs!$I$6+(((A82)+1)/2)*(Inputs!$J$6-Inputs!$I$6)))/Inputs!$K$6)^2)))^2+Inputs!$C$52^2-2*(Inputs!$C$52+((Inputs!$H$6+Inputs!$L$6*(((Inputs!$I$6+(((A82)+1)/2)*(Inputs!$J$6-Inputs!$I$6)))/Inputs!$K$6)^2)))*Inputs!$C$52*COS(SQRT(((Inputs!$I$6+(((A82)+1)/2)*(Inputs!$J$6-Inputs!$I$6)))^2+Inputs!$C$6^2)/Inputs!$C$52)))-((Inputs!$H$6+Inputs!$L$6*(((Inputs!$I$6+(((A82)+1)/2)*(Inputs!$J$6-Inputs!$I$6)))/Inputs!$K$6)^2)))*1000/Inputs!$C$12)</x:f>
        <x:v>900.9360101490312</x:v>
      </x:c>
      <x:c r="AG82" s="48" t="n">
        <x:f>(((SQRT((Inputs!$C$52+((Inputs!$H$7+Inputs!$L$7*(((Inputs!$I$7+(((A82)+1)/2)*(Inputs!$J$7-Inputs!$I$7)))/Inputs!$K$7)^2)))^2+Inputs!$C$52^2-2*(Inputs!$C$52+((Inputs!$H$7+Inputs!$L$7*(((Inputs!$I$7+(((A82)+1)/2)*(Inputs!$J$7-Inputs!$I$7)))/Inputs!$K$7)^2)))*Inputs!$C$52*COS(SQRT(((Inputs!$I$7+(((A82)+1)/2)*(Inputs!$J$7-Inputs!$I$7)))^2+Inputs!$C$6^2)/Inputs!$C$52)))-((Inputs!$H$7+Inputs!$L$7*(((Inputs!$I$7+(((A82)+1)/2)*(Inputs!$J$7-Inputs!$I$7)))/Inputs!$K$7)^2)))*1000/Inputs!$C$12)</x:f>
        <x:v>46319.46200614894</x:v>
      </x:c>
      <x:c r="AH82" s="48" t="n">
        <x:f>(((SQRT((Inputs!$C$52+((Inputs!$H$8+Inputs!$L$8*(((Inputs!$I$8+(((A82)+1)/2)*(Inputs!$J$8-Inputs!$I$8)))/Inputs!$K$8)^2)))^2+Inputs!$C$52^2-2*(Inputs!$C$52+((Inputs!$H$8+Inputs!$L$8*(((Inputs!$I$8+(((A82)+1)/2)*(Inputs!$J$8-Inputs!$I$8)))/Inputs!$K$8)^2)))*Inputs!$C$52*COS(SQRT(((Inputs!$I$8+(((A82)+1)/2)*(Inputs!$J$8-Inputs!$I$8)))^2+Inputs!$C$6^2)/Inputs!$C$52)))-((Inputs!$H$8+Inputs!$L$8*(((Inputs!$I$8+(((A82)+1)/2)*(Inputs!$J$8-Inputs!$I$8)))/Inputs!$K$8)^2)))*1000/Inputs!$C$12)</x:f>
        <x:v>96165.26695903478</x:v>
      </x:c>
      <x:c r="AI82" s="48" t="n">
        <x:f>(((SQRT((Inputs!$C$52+((Inputs!$H$9+Inputs!$L$9*(((Inputs!$I$9+(((A82)+1)/2)*(Inputs!$J$9-Inputs!$I$9)))/Inputs!$K$9)^2)))^2+Inputs!$C$52^2-2*(Inputs!$C$52+((Inputs!$H$9+Inputs!$L$9*(((Inputs!$I$9+(((A82)+1)/2)*(Inputs!$J$9-Inputs!$I$9)))/Inputs!$K$9)^2)))*Inputs!$C$52*COS(SQRT(((Inputs!$I$9+(((A82)+1)/2)*(Inputs!$J$9-Inputs!$I$9)))^2+Inputs!$C$6^2)/Inputs!$C$52)))-((Inputs!$H$9+Inputs!$L$9*(((Inputs!$I$9+(((A82)+1)/2)*(Inputs!$J$9-Inputs!$I$9)))/Inputs!$K$9)^2)))*1000/Inputs!$C$12)</x:f>
        <x:v>98582.47822210335</x:v>
      </x:c>
      <x:c r="AJ82" s="49"/>
      <x:c r="AK82" s="48" t="n">
        <x:f>A82</x:f>
        <x:v>-0.333</x:v>
      </x:c>
      <x:c r="AL82" s="48" t="n">
        <x: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x:f>
        <x:v>170.72076550892686</x:v>
      </x:c>
      <x:c r="AM82" s="48" t="n">
        <x: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x:f>
        <x:v>1913.912849230507</x:v>
      </x:c>
      <x:c r="AN82" s="48" t="n">
        <x: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x:f>
        <x:v>2154.3022886046497</x:v>
      </x:c>
      <x:c r="AO82" s="48" t="n">
        <x: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x:f>
        <x:v>2148.204181874317</x:v>
      </x:c>
      <x:c r="AP82" s="49"/>
      <x:c r="AQ82" s="48" t="n">
        <x:f>A82</x:f>
        <x:v>-0.333</x:v>
      </x:c>
      <x:c r="AR82" s="48" t="n">
        <x:f>0</x:f>
        <x:v>0</x:v>
      </x:c>
      <x:c r="AS82" s="48" t="n">
        <x: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(0.45*SIN(2*PI()*((((Inputs!$I$6+(((A82)+1)/2)*(Inputs!$J$6-Inputs!$I$6)))/Inputs!$C$49)+Inputs!$C$47*0.137))+0.35*COS(2*PI()*(((Inputs!$C$6)/Inputs!$C$50)+Inputs!$C$47*0.173))+0.20*SIN(2*PI()*((((Inputs!$I$6+(((A82)+1)/2)*(Inputs!$J$6-Inputs!$I$6)))+(Inputs!$C$6))/(0.5*(Inputs!$C$49+Inputs!$C$50))+Inputs!$C$47*0.097)))+0.30*(2*((SIN((((Inputs!$I$6+(((A82)+1)/2)*(Inputs!$J$6-Inputs!$I$6)))*12.9898+(Inputs!$C$6)*78.233+Inputs!$C$47*37.719))*43758.5453)-INT((SIN((((Inputs!$I$6+(((A82)+1)/2)*(Inputs!$J$6-Inputs!$I$6)))*12.9898+(Inputs!$C$6)*78.233+Inputs!$C$47*37.719))*43758.5453)))-1))),NA())</x:f>
        <x:v>340.4623013664275</x:v>
      </x:c>
      <x:c r="AT82" s="48" t="n">
        <x: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(0.45*SIN(2*PI()*((((Inputs!$I$7+(((A82)+1)/2)*(Inputs!$J$7-Inputs!$I$7)))/Inputs!$C$49)+Inputs!$C$47*0.137))+0.35*COS(2*PI()*(((Inputs!$C$6)/Inputs!$C$50)+Inputs!$C$47*0.173))+0.20*SIN(2*PI()*((((Inputs!$I$7+(((A82)+1)/2)*(Inputs!$J$7-Inputs!$I$7)))+(Inputs!$C$6))/(0.5*(Inputs!$C$49+Inputs!$C$50))+Inputs!$C$47*0.097)))+0.30*(2*((SIN((((Inputs!$I$7+(((A82)+1)/2)*(Inputs!$J$7-Inputs!$I$7)))*12.9898+(Inputs!$C$6)*78.233+Inputs!$C$47*37.719))*43758.5453)-INT((SIN((((Inputs!$I$7+(((A82)+1)/2)*(Inputs!$J$7-Inputs!$I$7)))*12.9898+(Inputs!$C$6)*78.233+Inputs!$C$47*37.719))*43758.5453)))-1))),NA())</x:f>
        <x:v>106.55345093398108</x:v>
      </x:c>
      <x:c r="AU82" s="48" t="n">
        <x: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(0.45*SIN(2*PI()*((((Inputs!$I$8+(((A82)+1)/2)*(Inputs!$J$8-Inputs!$I$8)))/Inputs!$C$49)+Inputs!$C$47*0.137))+0.35*COS(2*PI()*(((Inputs!$C$6)/Inputs!$C$50)+Inputs!$C$47*0.173))+0.20*SIN(2*PI()*((((Inputs!$I$8+(((A82)+1)/2)*(Inputs!$J$8-Inputs!$I$8)))+(Inputs!$C$6))/(0.5*(Inputs!$C$49+Inputs!$C$50))+Inputs!$C$47*0.097)))+0.30*(2*((SIN((((Inputs!$I$8+(((A82)+1)/2)*(Inputs!$J$8-Inputs!$I$8)))*12.9898+(Inputs!$C$6)*78.233+Inputs!$C$47*37.719))*43758.5453)-INT((SIN((((Inputs!$I$8+(((A82)+1)/2)*(Inputs!$J$8-Inputs!$I$8)))*12.9898+(Inputs!$C$6)*78.233+Inputs!$C$47*37.719))*43758.5453)))-1))),NA())</x:f>
        <x:v>189.5685678542016</x:v>
      </x:c>
      <x:c r="AV82" s="48" t="n">
        <x: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(0.45*SIN(2*PI()*((((Inputs!$I$9+(((A82)+1)/2)*(Inputs!$J$9-Inputs!$I$9)))/Inputs!$C$49)+Inputs!$C$47*0.137))+0.35*COS(2*PI()*(((Inputs!$C$6)/Inputs!$C$50)+Inputs!$C$47*0.173))+0.20*SIN(2*PI()*((((Inputs!$I$9+(((A82)+1)/2)*(Inputs!$J$9-Inputs!$I$9)))+(Inputs!$C$6))/(0.5*(Inputs!$C$49+Inputs!$C$50))+Inputs!$C$47*0.097)))+0.30*(2*((SIN((((Inputs!$I$9+(((A82)+1)/2)*(Inputs!$J$9-Inputs!$I$9)))*12.9898+(Inputs!$C$6)*78.233+Inputs!$C$47*37.719))*43758.5453)-INT((SIN((((Inputs!$I$9+(((A82)+1)/2)*(Inputs!$J$9-Inputs!$I$9)))*12.9898+(Inputs!$C$6)*78.233+Inputs!$C$47*37.719))*43758.5453)))-1))),NA())</x:f>
        <x:v>189.5685678542016</x:v>
      </x:c>
      <x:c r="AW82" s="49"/>
      <x:c r="AX82" s="48" t="n">
        <x:f>A82</x:f>
        <x:v>-0.333</x:v>
      </x:c>
      <x:c r="AY82" s="48" t="n">
        <x:f>0</x:f>
        <x:v>0</x:v>
      </x:c>
      <x:c r="AZ82" s="48" t="n">
        <x:f>IF(OR(Inputs!$F$6=TRUE,Inputs!$F$6="TRUE",Inputs!$F$6=1),(Inputs!$H$6+Inputs!$L$6*(((Inputs!$I$6+(((A82)+1)/2)*(Inputs!$J$6-Inputs!$I$6)))/Inputs!$K$6)^2),NA())</x:f>
        <x:v>400.443556</x:v>
      </x:c>
      <x:c r="BA82" s="48" t="n">
        <x:f>IF(OR(Inputs!$F$7=TRUE,Inputs!$F$7="TRUE",Inputs!$F$7=1),(Inputs!$H$7+Inputs!$L$7*(((Inputs!$I$7+(((A82)+1)/2)*(Inputs!$J$7-Inputs!$I$7)))/Inputs!$K$7)^2),NA())</x:f>
        <x:v>75.47448499999999</x:v>
      </x:c>
      <x:c r="BB82" s="48" t="n">
        <x:f>IF(OR(Inputs!$F$8=TRUE,Inputs!$F$8="TRUE",Inputs!$F$8=1),(Inputs!$H$8+Inputs!$L$8*(((Inputs!$I$8+(((A82)+1)/2)*(Inputs!$J$8-Inputs!$I$8)))/Inputs!$K$8)^2),NA())</x:f>
        <x:v>142.007885</x:v>
      </x:c>
      <x:c r="BC82" s="48" t="n">
        <x:f>IF(OR(Inputs!$F$9=TRUE,Inputs!$F$9="TRUE",Inputs!$F$9=1),(Inputs!$H$9+Inputs!$L$9*(((Inputs!$I$9+(((A82)+1)/2)*(Inputs!$J$9-Inputs!$I$9)))/Inputs!$K$9)^2),NA())</x:f>
        <x:v>133.11677499999996</x:v>
      </x:c>
      <x:c r="BD82" s="49"/>
      <x:c r="BE82" s="48" t="n">
        <x:f>A82</x:f>
        <x:v>-0.333</x:v>
      </x:c>
      <x:c r="BF82" s="48" t="n">
        <x:f>0</x:f>
        <x:v>0</x:v>
      </x:c>
      <x:c r="BG82" s="48"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BH82" s="48"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BI82" s="48"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BJ82" s="48"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row>
    <x:row r="83">
      <x:c r="A83" s="48" t="n">
        <x:f>ROUND(-1+81*2/240,3)</x:f>
        <x:v>-0.325</x:v>
      </x:c>
      <x:c r="B83" s="48" t="n">
        <x:f>IF(OR(Inputs!$F$6=TRUE,Inputs!$F$6="TRUE",Inputs!$F$6=1),(Inputs!$H$6+Inputs!$L$6*(((Inputs!$I$6+(((A83)+1)/2)*(Inputs!$J$6-Inputs!$I$6)))/Inputs!$K$6)^2),NA())</x:f>
        <x:v>400.4225</x:v>
      </x:c>
      <x:c r="C83" s="48" t="n">
        <x:f>IF(OR(Inputs!$F$7=TRUE,Inputs!$F$7="TRUE",Inputs!$F$7=1),(Inputs!$H$7+Inputs!$L$7*(((Inputs!$I$7+(((A83)+1)/2)*(Inputs!$J$7-Inputs!$I$7)))/Inputs!$K$7)^2),NA())</x:f>
        <x:v>73.553125</x:v>
      </x:c>
      <x:c r="D83" s="48" t="n">
        <x:f>IF(OR(Inputs!$F$8=TRUE,Inputs!$F$8="TRUE",Inputs!$F$8=1),(Inputs!$H$8+Inputs!$L$8*(((Inputs!$I$8+(((A83)+1)/2)*(Inputs!$J$8-Inputs!$I$8)))/Inputs!$K$8)^2),NA())</x:f>
        <x:v>136.92812500000002</x:v>
      </x:c>
      <x:c r="E83" s="48" t="n">
        <x:f>IF(OR(Inputs!$F$9=TRUE,Inputs!$F$9="TRUE",Inputs!$F$9=1),(Inputs!$H$9+Inputs!$L$9*(((Inputs!$I$9+(((A83)+1)/2)*(Inputs!$J$9-Inputs!$I$9)))/Inputs!$K$9)^2),NA())</x:f>
        <x:v>127.98437500000001</x:v>
      </x:c>
      <x:c r="F83" s="49"/>
      <x:c r="G83" s="48" t="n">
        <x:f>A83</x:f>
        <x:v>-0.325</x:v>
      </x:c>
      <x:c r="H83" s="48"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I83" s="48"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J83" s="48"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K83" s="48"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c r="L83" s="49"/>
      <x:c r="M83" s="48" t="n">
        <x:f>A83</x:f>
        <x:v>-0.325</x:v>
      </x:c>
      <x:c r="N83" s="48" t="n">
        <x: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x:f>
        <x:v>166.63474072408775</x:v>
      </x:c>
      <x:c r="O83" s="48" t="n">
        <x: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x:f>
        <x:v>1899.0802840621604</x:v>
      </x:c>
      <x:c r="P83" s="48" t="n">
        <x: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x:f>
        <x:v>2132.297055696048</x:v>
      </x:c>
      <x:c r="Q83" s="48" t="n">
        <x: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x:f>
        <x:v>2125.916062148711</x:v>
      </x:c>
      <x:c r="R83" s="49"/>
      <x:c r="S83" s="48" t="n">
        <x:f>A83</x:f>
        <x:v>-0.325</x:v>
      </x:c>
      <x:c r="T83" s="48" t="n">
        <x:f>(Inputs!$I$6+(((A83)+1)/2)*(Inputs!$J$6-Inputs!$I$6))</x:f>
        <x:v>-19.5</x:v>
      </x:c>
      <x:c r="U83" s="48" t="n">
        <x:f>(Inputs!$I$7+(((A83)+1)/2)*(Inputs!$J$7-Inputs!$I$7))</x:f>
        <x:v>-130</x:v>
      </x:c>
      <x:c r="V83" s="48" t="n">
        <x:f>(Inputs!$I$8+(((A83)+1)/2)*(Inputs!$J$8-Inputs!$I$8))</x:f>
        <x:v>-260</x:v>
      </x:c>
      <x:c r="W83" s="48" t="n">
        <x:f>(Inputs!$I$9+(((A83)+1)/2)*(Inputs!$J$9-Inputs!$I$9))</x:f>
        <x:v>-260</x:v>
      </x:c>
      <x:c r="X83" s="49"/>
      <x:c r="Y83" s="48" t="n">
        <x:f>A83</x:f>
        <x:v>-0.325</x:v>
      </x:c>
      <x:c r="Z83" s="48" t="n">
        <x:f>(Inputs!$H$6+Inputs!$L$6*(((Inputs!$I$6+(((A83)+1)/2)*(Inputs!$J$6-Inputs!$I$6)))/Inputs!$K$6)^2)</x:f>
        <x:v>400.4225</x:v>
      </x:c>
      <x:c r="AA83" s="48" t="n">
        <x:f>(Inputs!$H$7+Inputs!$L$7*(((Inputs!$I$7+(((A83)+1)/2)*(Inputs!$J$7-Inputs!$I$7)))/Inputs!$K$7)^2)</x:f>
        <x:v>73.553125</x:v>
      </x:c>
      <x:c r="AB83" s="48" t="n">
        <x:f>(Inputs!$H$8+Inputs!$L$8*(((Inputs!$I$8+(((A83)+1)/2)*(Inputs!$J$8-Inputs!$I$8)))/Inputs!$K$8)^2)</x:f>
        <x:v>136.92812500000002</x:v>
      </x:c>
      <x:c r="AC83" s="48" t="n">
        <x:f>(Inputs!$H$9+Inputs!$L$9*(((Inputs!$I$9+(((A83)+1)/2)*(Inputs!$J$9-Inputs!$I$9)))/Inputs!$K$9)^2)</x:f>
        <x:v>127.98437500000001</x:v>
      </x:c>
      <x:c r="AD83" s="49"/>
      <x:c r="AE83" s="48" t="n">
        <x:f>A83</x:f>
        <x:v>-0.325</x:v>
      </x:c>
      <x:c r="AF83" s="48" t="n">
        <x:f>(((SQRT((Inputs!$C$52+((Inputs!$H$6+Inputs!$L$6*(((Inputs!$I$6+(((A83)+1)/2)*(Inputs!$J$6-Inputs!$I$6)))/Inputs!$K$6)^2)))^2+Inputs!$C$52^2-2*(Inputs!$C$52+((Inputs!$H$6+Inputs!$L$6*(((Inputs!$I$6+(((A83)+1)/2)*(Inputs!$J$6-Inputs!$I$6)))/Inputs!$K$6)^2)))*Inputs!$C$52*COS(SQRT(((Inputs!$I$6+(((A83)+1)/2)*(Inputs!$J$6-Inputs!$I$6)))^2+Inputs!$C$6^2)/Inputs!$C$52)))-((Inputs!$H$6+Inputs!$L$6*(((Inputs!$I$6+(((A83)+1)/2)*(Inputs!$J$6-Inputs!$I$6)))/Inputs!$K$6)^2)))*1000/Inputs!$C$12)</x:f>
        <x:v>884.3363729737207</x:v>
      </x:c>
      <x:c r="AG83" s="48" t="n">
        <x:f>(((SQRT((Inputs!$C$52+((Inputs!$H$7+Inputs!$L$7*(((Inputs!$I$7+(((A83)+1)/2)*(Inputs!$J$7-Inputs!$I$7)))/Inputs!$K$7)^2)))^2+Inputs!$C$52^2-2*(Inputs!$C$52+((Inputs!$H$7+Inputs!$L$7*(((Inputs!$I$7+(((A83)+1)/2)*(Inputs!$J$7-Inputs!$I$7)))/Inputs!$K$7)^2)))*Inputs!$C$52*COS(SQRT(((Inputs!$I$7+(((A83)+1)/2)*(Inputs!$J$7-Inputs!$I$7)))^2+Inputs!$C$6^2)/Inputs!$C$52)))-((Inputs!$H$7+Inputs!$L$7*(((Inputs!$I$7+(((A83)+1)/2)*(Inputs!$J$7-Inputs!$I$7)))/Inputs!$K$7)^2)))*1000/Inputs!$C$12)</x:f>
        <x:v>45256.74783027276</x:v>
      </x:c>
      <x:c r="AH83" s="48" t="n">
        <x:f>(((SQRT((Inputs!$C$52+((Inputs!$H$8+Inputs!$L$8*(((Inputs!$I$8+(((A83)+1)/2)*(Inputs!$J$8-Inputs!$I$8)))/Inputs!$K$8)^2)))^2+Inputs!$C$52^2-2*(Inputs!$C$52+((Inputs!$H$8+Inputs!$L$8*(((Inputs!$I$8+(((A83)+1)/2)*(Inputs!$J$8-Inputs!$I$8)))/Inputs!$K$8)^2)))*Inputs!$C$52*COS(SQRT(((Inputs!$I$8+(((A83)+1)/2)*(Inputs!$J$8-Inputs!$I$8)))^2+Inputs!$C$6^2)/Inputs!$C$52)))-((Inputs!$H$8+Inputs!$L$8*(((Inputs!$I$8+(((A83)+1)/2)*(Inputs!$J$8-Inputs!$I$8)))/Inputs!$K$8)^2)))*1000/Inputs!$C$12)</x:f>
        <x:v>94202.71855658964</x:v>
      </x:c>
      <x:c r="AI83" s="48" t="n">
        <x:f>(((SQRT((Inputs!$C$52+((Inputs!$H$9+Inputs!$L$9*(((Inputs!$I$9+(((A83)+1)/2)*(Inputs!$J$9-Inputs!$I$9)))/Inputs!$K$9)^2)))^2+Inputs!$C$52^2-2*(Inputs!$C$52+((Inputs!$H$9+Inputs!$L$9*(((Inputs!$I$9+(((A83)+1)/2)*(Inputs!$J$9-Inputs!$I$9)))/Inputs!$K$9)^2)))*Inputs!$C$52*COS(SQRT(((Inputs!$I$9+(((A83)+1)/2)*(Inputs!$J$9-Inputs!$I$9)))^2+Inputs!$C$6^2)/Inputs!$C$52)))-((Inputs!$H$9+Inputs!$L$9*(((Inputs!$I$9+(((A83)+1)/2)*(Inputs!$J$9-Inputs!$I$9)))/Inputs!$K$9)^2)))*1000/Inputs!$C$12)</x:f>
        <x:v>96663.52905119289</x:v>
      </x:c>
      <x:c r="AJ83" s="49"/>
      <x:c r="AK83" s="48" t="n">
        <x:f>A83</x:f>
        <x:v>-0.325</x:v>
      </x:c>
      <x:c r="AL83" s="48" t="n">
        <x: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x:f>
        <x:v>166.63474072408775</x:v>
      </x:c>
      <x:c r="AM83" s="48" t="n">
        <x: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x:f>
        <x:v>1899.0802840621604</x:v>
      </x:c>
      <x:c r="AN83" s="48" t="n">
        <x: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x:f>
        <x:v>2132.297055696048</x:v>
      </x:c>
      <x:c r="AO83" s="48" t="n">
        <x: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x:f>
        <x:v>2125.916062148711</x:v>
      </x:c>
      <x:c r="AP83" s="49"/>
      <x:c r="AQ83" s="48" t="n">
        <x:f>A83</x:f>
        <x:v>-0.325</x:v>
      </x:c>
      <x:c r="AR83" s="48" t="n">
        <x:f>0</x:f>
        <x:v>0</x:v>
      </x:c>
      <x:c r="AS83" s="48" t="n">
        <x: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(0.45*SIN(2*PI()*((((Inputs!$I$6+(((A83)+1)/2)*(Inputs!$J$6-Inputs!$I$6)))/Inputs!$C$49)+Inputs!$C$47*0.137))+0.35*COS(2*PI()*(((Inputs!$C$6)/Inputs!$C$50)+Inputs!$C$47*0.173))+0.20*SIN(2*PI()*((((Inputs!$I$6+(((A83)+1)/2)*(Inputs!$J$6-Inputs!$I$6)))+(Inputs!$C$6))/(0.5*(Inputs!$C$49+Inputs!$C$50))+Inputs!$C$47*0.097)))+0.30*(2*((SIN((((Inputs!$I$6+(((A83)+1)/2)*(Inputs!$J$6-Inputs!$I$6)))*12.9898+(Inputs!$C$6)*78.233+Inputs!$C$47*37.719))*43758.5453)-INT((SIN((((Inputs!$I$6+(((A83)+1)/2)*(Inputs!$J$6-Inputs!$I$6)))*12.9898+(Inputs!$C$6)*78.233+Inputs!$C$47*37.719))*43758.5453)))-1))),NA())</x:f>
        <x:v>363.81454233496186</x:v>
      </x:c>
      <x:c r="AT83" s="48" t="n">
        <x: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(0.45*SIN(2*PI()*((((Inputs!$I$7+(((A83)+1)/2)*(Inputs!$J$7-Inputs!$I$7)))/Inputs!$C$49)+Inputs!$C$47*0.137))+0.35*COS(2*PI()*(((Inputs!$C$6)/Inputs!$C$50)+Inputs!$C$47*0.173))+0.20*SIN(2*PI()*((((Inputs!$I$7+(((A83)+1)/2)*(Inputs!$J$7-Inputs!$I$7)))+(Inputs!$C$6))/(0.5*(Inputs!$C$49+Inputs!$C$50))+Inputs!$C$47*0.097)))+0.30*(2*((SIN((((Inputs!$I$7+(((A83)+1)/2)*(Inputs!$J$7-Inputs!$I$7)))*12.9898+(Inputs!$C$6)*78.233+Inputs!$C$47*37.719))*43758.5453)-INT((SIN((((Inputs!$I$7+(((A83)+1)/2)*(Inputs!$J$7-Inputs!$I$7)))*12.9898+(Inputs!$C$6)*78.233+Inputs!$C$47*37.719))*43758.5453)))-1))),NA())</x:f>
        <x:v>117.5912562060257</x:v>
      </x:c>
      <x:c r="AU83" s="48" t="n">
        <x: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(0.45*SIN(2*PI()*((((Inputs!$I$8+(((A83)+1)/2)*(Inputs!$J$8-Inputs!$I$8)))/Inputs!$C$49)+Inputs!$C$47*0.137))+0.35*COS(2*PI()*(((Inputs!$C$6)/Inputs!$C$50)+Inputs!$C$47*0.173))+0.20*SIN(2*PI()*((((Inputs!$I$8+(((A83)+1)/2)*(Inputs!$J$8-Inputs!$I$8)))+(Inputs!$C$6))/(0.5*(Inputs!$C$49+Inputs!$C$50))+Inputs!$C$47*0.097)))+0.30*(2*((SIN((((Inputs!$I$8+(((A83)+1)/2)*(Inputs!$J$8-Inputs!$I$8)))*12.9898+(Inputs!$C$6)*78.233+Inputs!$C$47*37.719))*43758.5453)-INT((SIN((((Inputs!$I$8+(((A83)+1)/2)*(Inputs!$J$8-Inputs!$I$8)))*12.9898+(Inputs!$C$6)*78.233+Inputs!$C$47*37.719))*43758.5453)))-1))),NA())</x:f>
        <x:v>175.19977595405177</x:v>
      </x:c>
      <x:c r="AV83" s="48" t="n">
        <x: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(0.45*SIN(2*PI()*((((Inputs!$I$9+(((A83)+1)/2)*(Inputs!$J$9-Inputs!$I$9)))/Inputs!$C$49)+Inputs!$C$47*0.137))+0.35*COS(2*PI()*(((Inputs!$C$6)/Inputs!$C$50)+Inputs!$C$47*0.173))+0.20*SIN(2*PI()*((((Inputs!$I$9+(((A83)+1)/2)*(Inputs!$J$9-Inputs!$I$9)))+(Inputs!$C$6))/(0.5*(Inputs!$C$49+Inputs!$C$50))+Inputs!$C$47*0.097)))+0.30*(2*((SIN((((Inputs!$I$9+(((A83)+1)/2)*(Inputs!$J$9-Inputs!$I$9)))*12.9898+(Inputs!$C$6)*78.233+Inputs!$C$47*37.719))*43758.5453)-INT((SIN((((Inputs!$I$9+(((A83)+1)/2)*(Inputs!$J$9-Inputs!$I$9)))*12.9898+(Inputs!$C$6)*78.233+Inputs!$C$47*37.719))*43758.5453)))-1))),NA())</x:f>
        <x:v>175.19977595405177</x:v>
      </x:c>
      <x:c r="AW83" s="49"/>
      <x:c r="AX83" s="48" t="n">
        <x:f>A83</x:f>
        <x:v>-0.325</x:v>
      </x:c>
      <x:c r="AY83" s="48" t="n">
        <x:f>0</x:f>
        <x:v>0</x:v>
      </x:c>
      <x:c r="AZ83" s="48" t="n">
        <x:f>IF(OR(Inputs!$F$6=TRUE,Inputs!$F$6="TRUE",Inputs!$F$6=1),(Inputs!$H$6+Inputs!$L$6*(((Inputs!$I$6+(((A83)+1)/2)*(Inputs!$J$6-Inputs!$I$6)))/Inputs!$K$6)^2),NA())</x:f>
        <x:v>400.4225</x:v>
      </x:c>
      <x:c r="BA83" s="48" t="n">
        <x:f>IF(OR(Inputs!$F$7=TRUE,Inputs!$F$7="TRUE",Inputs!$F$7=1),(Inputs!$H$7+Inputs!$L$7*(((Inputs!$I$7+(((A83)+1)/2)*(Inputs!$J$7-Inputs!$I$7)))/Inputs!$K$7)^2),NA())</x:f>
        <x:v>73.553125</x:v>
      </x:c>
      <x:c r="BB83" s="48" t="n">
        <x:f>IF(OR(Inputs!$F$8=TRUE,Inputs!$F$8="TRUE",Inputs!$F$8=1),(Inputs!$H$8+Inputs!$L$8*(((Inputs!$I$8+(((A83)+1)/2)*(Inputs!$J$8-Inputs!$I$8)))/Inputs!$K$8)^2),NA())</x:f>
        <x:v>136.92812500000002</x:v>
      </x:c>
      <x:c r="BC83" s="48" t="n">
        <x:f>IF(OR(Inputs!$F$9=TRUE,Inputs!$F$9="TRUE",Inputs!$F$9=1),(Inputs!$H$9+Inputs!$L$9*(((Inputs!$I$9+(((A83)+1)/2)*(Inputs!$J$9-Inputs!$I$9)))/Inputs!$K$9)^2),NA())</x:f>
        <x:v>127.98437500000001</x:v>
      </x:c>
      <x:c r="BD83" s="49"/>
      <x:c r="BE83" s="48" t="n">
        <x:f>A83</x:f>
        <x:v>-0.325</x:v>
      </x:c>
      <x:c r="BF83" s="48" t="n">
        <x:f>0</x:f>
        <x:v>0</x:v>
      </x:c>
      <x:c r="BG83" s="48"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BH83" s="48"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BI83" s="48"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BJ83" s="48"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row>
    <x:row r="84">
      <x:c r="A84" s="48" t="n">
        <x:f>ROUND(-1+82*2/240,3)</x:f>
        <x:v>-0.317</x:v>
      </x:c>
      <x:c r="B84" s="48" t="n">
        <x:f>IF(OR(Inputs!$F$6=TRUE,Inputs!$F$6="TRUE",Inputs!$F$6=1),(Inputs!$H$6+Inputs!$L$6*(((Inputs!$I$6+(((A84)+1)/2)*(Inputs!$J$6-Inputs!$I$6)))/Inputs!$K$6)^2),NA())</x:f>
        <x:v>400.401956</x:v>
      </x:c>
      <x:c r="C84" s="48" t="n">
        <x:f>IF(OR(Inputs!$F$7=TRUE,Inputs!$F$7="TRUE",Inputs!$F$7=1),(Inputs!$H$7+Inputs!$L$7*(((Inputs!$I$7+(((A84)+1)/2)*(Inputs!$J$7-Inputs!$I$7)))/Inputs!$K$7)^2),NA())</x:f>
        <x:v>71.67848499999997</x:v>
      </x:c>
      <x:c r="D84" s="48" t="n">
        <x:f>IF(OR(Inputs!$F$8=TRUE,Inputs!$F$8="TRUE",Inputs!$F$8=1),(Inputs!$H$8+Inputs!$L$8*(((Inputs!$I$8+(((A84)+1)/2)*(Inputs!$J$8-Inputs!$I$8)))/Inputs!$K$8)^2),NA())</x:f>
        <x:v>131.97188499999993</x:v>
      </x:c>
      <x:c r="E84" s="48" t="n">
        <x:f>IF(OR(Inputs!$F$9=TRUE,Inputs!$F$9="TRUE",Inputs!$F$9=1),(Inputs!$H$9+Inputs!$L$9*(((Inputs!$I$9+(((A84)+1)/2)*(Inputs!$J$9-Inputs!$I$9)))/Inputs!$K$9)^2),NA())</x:f>
        <x:v>122.97677499999993</x:v>
      </x:c>
      <x:c r="F84" s="49"/>
      <x:c r="G84" s="48" t="n">
        <x:f>A84</x:f>
        <x:v>-0.317</x:v>
      </x:c>
      <x:c r="H84" s="48"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I84" s="48"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J84" s="48"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K84" s="48"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c r="L84" s="49"/>
      <x:c r="M84" s="48" t="n">
        <x:f>A84</x:f>
        <x:v>-0.317</x:v>
      </x:c>
      <x:c r="N84" s="48" t="n">
        <x: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x:f>
        <x:v>162.54759981556018</x:v>
      </x:c>
      <x:c r="O84" s="48" t="n">
        <x: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x:f>
        <x:v>1884.2501620063235</x:v>
      </x:c>
      <x:c r="P84" s="48" t="n">
        <x: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x:f>
        <x:v>2110.5999273700663</x:v>
      </x:c>
      <x:c r="Q84" s="48" t="n">
        <x: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x:f>
        <x:v>2103.9625390161773</x:v>
      </x:c>
      <x:c r="R84" s="49"/>
      <x:c r="S84" s="48" t="n">
        <x:f>A84</x:f>
        <x:v>-0.317</x:v>
      </x:c>
      <x:c r="T84" s="48" t="n">
        <x:f>(Inputs!$I$6+(((A84)+1)/2)*(Inputs!$J$6-Inputs!$I$6))</x:f>
        <x:v>-19.019999999999996</x:v>
      </x:c>
      <x:c r="U84" s="48" t="n">
        <x:f>(Inputs!$I$7+(((A84)+1)/2)*(Inputs!$J$7-Inputs!$I$7))</x:f>
        <x:v>-126.79999999999995</x:v>
      </x:c>
      <x:c r="V84" s="48" t="n">
        <x:f>(Inputs!$I$8+(((A84)+1)/2)*(Inputs!$J$8-Inputs!$I$8))</x:f>
        <x:v>-253.5999999999999</x:v>
      </x:c>
      <x:c r="W84" s="48" t="n">
        <x:f>(Inputs!$I$9+(((A84)+1)/2)*(Inputs!$J$9-Inputs!$I$9))</x:f>
        <x:v>-253.5999999999999</x:v>
      </x:c>
      <x:c r="X84" s="49"/>
      <x:c r="Y84" s="48" t="n">
        <x:f>A84</x:f>
        <x:v>-0.317</x:v>
      </x:c>
      <x:c r="Z84" s="48" t="n">
        <x:f>(Inputs!$H$6+Inputs!$L$6*(((Inputs!$I$6+(((A84)+1)/2)*(Inputs!$J$6-Inputs!$I$6)))/Inputs!$K$6)^2)</x:f>
        <x:v>400.401956</x:v>
      </x:c>
      <x:c r="AA84" s="48" t="n">
        <x:f>(Inputs!$H$7+Inputs!$L$7*(((Inputs!$I$7+(((A84)+1)/2)*(Inputs!$J$7-Inputs!$I$7)))/Inputs!$K$7)^2)</x:f>
        <x:v>71.67848499999997</x:v>
      </x:c>
      <x:c r="AB84" s="48" t="n">
        <x:f>(Inputs!$H$8+Inputs!$L$8*(((Inputs!$I$8+(((A84)+1)/2)*(Inputs!$J$8-Inputs!$I$8)))/Inputs!$K$8)^2)</x:f>
        <x:v>131.97188499999993</x:v>
      </x:c>
      <x:c r="AC84" s="48" t="n">
        <x:f>(Inputs!$H$9+Inputs!$L$9*(((Inputs!$I$9+(((A84)+1)/2)*(Inputs!$J$9-Inputs!$I$9)))/Inputs!$K$9)^2)</x:f>
        <x:v>122.97677499999993</x:v>
      </x:c>
      <x:c r="AD84" s="49"/>
      <x:c r="AE84" s="48" t="n">
        <x:f>A84</x:f>
        <x:v>-0.317</x:v>
      </x:c>
      <x:c r="AF84" s="48" t="n">
        <x:f>(((SQRT((Inputs!$C$52+((Inputs!$H$6+Inputs!$L$6*(((Inputs!$I$6+(((A84)+1)/2)*(Inputs!$J$6-Inputs!$I$6)))/Inputs!$K$6)^2)))^2+Inputs!$C$52^2-2*(Inputs!$C$52+((Inputs!$H$6+Inputs!$L$6*(((Inputs!$I$6+(((A84)+1)/2)*(Inputs!$J$6-Inputs!$I$6)))/Inputs!$K$6)^2)))*Inputs!$C$52*COS(SQRT(((Inputs!$I$6+(((A84)+1)/2)*(Inputs!$J$6-Inputs!$I$6)))^2+Inputs!$C$6^2)/Inputs!$C$52)))-((Inputs!$H$6+Inputs!$L$6*(((Inputs!$I$6+(((A84)+1)/2)*(Inputs!$J$6-Inputs!$I$6)))/Inputs!$K$6)^2)))*1000/Inputs!$C$12)</x:f>
        <x:v>868.1378456424483</x:v>
      </x:c>
      <x:c r="AG84" s="48" t="n">
        <x:f>(((SQRT((Inputs!$C$52+((Inputs!$H$7+Inputs!$L$7*(((Inputs!$I$7+(((A84)+1)/2)*(Inputs!$J$7-Inputs!$I$7)))/Inputs!$K$7)^2)))^2+Inputs!$C$52^2-2*(Inputs!$C$52+((Inputs!$H$7+Inputs!$L$7*(((Inputs!$I$7+(((A84)+1)/2)*(Inputs!$J$7-Inputs!$I$7)))/Inputs!$K$7)^2)))*Inputs!$C$52*COS(SQRT(((Inputs!$I$7+(((A84)+1)/2)*(Inputs!$J$7-Inputs!$I$7)))^2+Inputs!$C$6^2)/Inputs!$C$52)))-((Inputs!$H$7+Inputs!$L$7*(((Inputs!$I$7+(((A84)+1)/2)*(Inputs!$J$7-Inputs!$I$7)))/Inputs!$K$7)^2)))*1000/Inputs!$C$12)</x:f>
        <x:v>44184.44918871235</x:v>
      </x:c>
      <x:c r="AH84" s="48" t="n">
        <x:f>(((SQRT((Inputs!$C$52+((Inputs!$H$8+Inputs!$L$8*(((Inputs!$I$8+(((A84)+1)/2)*(Inputs!$J$8-Inputs!$I$8)))/Inputs!$K$8)^2)))^2+Inputs!$C$52^2-2*(Inputs!$C$52+((Inputs!$H$8+Inputs!$L$8*(((Inputs!$I$8+(((A84)+1)/2)*(Inputs!$J$8-Inputs!$I$8)))/Inputs!$K$8)^2)))*Inputs!$C$52*COS(SQRT(((Inputs!$I$8+(((A84)+1)/2)*(Inputs!$J$8-Inputs!$I$8)))^2+Inputs!$C$6^2)/Inputs!$C$52)))-((Inputs!$H$8+Inputs!$L$8*(((Inputs!$I$8+(((A84)+1)/2)*(Inputs!$J$8-Inputs!$I$8)))/Inputs!$K$8)^2)))*1000/Inputs!$C$12)</x:f>
        <x:v>92219.88084303461</x:v>
      </x:c>
      <x:c r="AI84" s="48" t="n">
        <x:f>(((SQRT((Inputs!$C$52+((Inputs!$H$9+Inputs!$L$9*(((Inputs!$I$9+(((A84)+1)/2)*(Inputs!$J$9-Inputs!$I$9)))/Inputs!$K$9)^2)))^2+Inputs!$C$52^2-2*(Inputs!$C$52+((Inputs!$H$9+Inputs!$L$9*(((Inputs!$I$9+(((A84)+1)/2)*(Inputs!$J$9-Inputs!$I$9)))/Inputs!$K$9)^2)))*Inputs!$C$52*COS(SQRT(((Inputs!$I$9+(((A84)+1)/2)*(Inputs!$J$9-Inputs!$I$9)))^2+Inputs!$C$6^2)/Inputs!$C$52)))-((Inputs!$H$9+Inputs!$L$9*(((Inputs!$I$9+(((A84)+1)/2)*(Inputs!$J$9-Inputs!$I$9)))/Inputs!$K$9)^2)))*1000/Inputs!$C$12)</x:f>
        <x:v>94724.17785692117</x:v>
      </x:c>
      <x:c r="AJ84" s="49"/>
      <x:c r="AK84" s="48" t="n">
        <x:f>A84</x:f>
        <x:v>-0.317</x:v>
      </x:c>
      <x:c r="AL84" s="48" t="n">
        <x: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x:f>
        <x:v>162.54759981556018</x:v>
      </x:c>
      <x:c r="AM84" s="48" t="n">
        <x: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x:f>
        <x:v>1884.2501620063235</x:v>
      </x:c>
      <x:c r="AN84" s="48" t="n">
        <x: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x:f>
        <x:v>2110.5999273700663</x:v>
      </x:c>
      <x:c r="AO84" s="48" t="n">
        <x: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x:f>
        <x:v>2103.9625390161773</x:v>
      </x:c>
      <x:c r="AP84" s="49"/>
      <x:c r="AQ84" s="48" t="n">
        <x:f>A84</x:f>
        <x:v>-0.317</x:v>
      </x:c>
      <x:c r="AR84" s="48" t="n">
        <x:f>0</x:f>
        <x:v>0</x:v>
      </x:c>
      <x:c r="AS84" s="48" t="n">
        <x: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(0.45*SIN(2*PI()*((((Inputs!$I$6+(((A84)+1)/2)*(Inputs!$J$6-Inputs!$I$6)))/Inputs!$C$49)+Inputs!$C$47*0.137))+0.35*COS(2*PI()*(((Inputs!$C$6)/Inputs!$C$50)+Inputs!$C$47*0.173))+0.20*SIN(2*PI()*((((Inputs!$I$6+(((A84)+1)/2)*(Inputs!$J$6-Inputs!$I$6)))+(Inputs!$C$6))/(0.5*(Inputs!$C$49+Inputs!$C$50))+Inputs!$C$47*0.097)))+0.30*(2*((SIN((((Inputs!$I$6+(((A84)+1)/2)*(Inputs!$J$6-Inputs!$I$6)))*12.9898+(Inputs!$C$6)*78.233+Inputs!$C$47*37.719))*43758.5453)-INT((SIN((((Inputs!$I$6+(((A84)+1)/2)*(Inputs!$J$6-Inputs!$I$6)))*12.9898+(Inputs!$C$6)*78.233+Inputs!$C$47*37.719))*43758.5453)))-1))),NA())</x:f>
        <x:v>361.8338049067382</x:v>
      </x:c>
      <x:c r="AT84" s="48" t="n">
        <x: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(0.45*SIN(2*PI()*((((Inputs!$I$7+(((A84)+1)/2)*(Inputs!$J$7-Inputs!$I$7)))/Inputs!$C$49)+Inputs!$C$47*0.137))+0.35*COS(2*PI()*(((Inputs!$C$6)/Inputs!$C$50)+Inputs!$C$47*0.173))+0.20*SIN(2*PI()*((((Inputs!$I$7+(((A84)+1)/2)*(Inputs!$J$7-Inputs!$I$7)))+(Inputs!$C$6))/(0.5*(Inputs!$C$49+Inputs!$C$50))+Inputs!$C$47*0.097)))+0.30*(2*((SIN((((Inputs!$I$7+(((A84)+1)/2)*(Inputs!$J$7-Inputs!$I$7)))*12.9898+(Inputs!$C$6)*78.233+Inputs!$C$47*37.719))*43758.5453)-INT((SIN((((Inputs!$I$7+(((A84)+1)/2)*(Inputs!$J$7-Inputs!$I$7)))*12.9898+(Inputs!$C$6)*78.233+Inputs!$C$47*37.719))*43758.5453)))-1))),NA())</x:f>
        <x:v>173.73194471752504</x:v>
      </x:c>
      <x:c r="AU84" s="48" t="n">
        <x: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(0.45*SIN(2*PI()*((((Inputs!$I$8+(((A84)+1)/2)*(Inputs!$J$8-Inputs!$I$8)))/Inputs!$C$49)+Inputs!$C$47*0.137))+0.35*COS(2*PI()*(((Inputs!$C$6)/Inputs!$C$50)+Inputs!$C$47*0.173))+0.20*SIN(2*PI()*((((Inputs!$I$8+(((A84)+1)/2)*(Inputs!$J$8-Inputs!$I$8)))+(Inputs!$C$6))/(0.5*(Inputs!$C$49+Inputs!$C$50))+Inputs!$C$47*0.097)))+0.30*(2*((SIN((((Inputs!$I$8+(((A84)+1)/2)*(Inputs!$J$8-Inputs!$I$8)))*12.9898+(Inputs!$C$6)*78.233+Inputs!$C$47*37.719))*43758.5453)-INT((SIN((((Inputs!$I$8+(((A84)+1)/2)*(Inputs!$J$8-Inputs!$I$8)))*12.9898+(Inputs!$C$6)*78.233+Inputs!$C$47*37.719))*43758.5453)))-1))),NA())</x:f>
        <x:v>106.5081984940548</x:v>
      </x:c>
      <x:c r="AV84" s="48" t="n">
        <x: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(0.45*SIN(2*PI()*((((Inputs!$I$9+(((A84)+1)/2)*(Inputs!$J$9-Inputs!$I$9)))/Inputs!$C$49)+Inputs!$C$47*0.137))+0.35*COS(2*PI()*(((Inputs!$C$6)/Inputs!$C$50)+Inputs!$C$47*0.173))+0.20*SIN(2*PI()*((((Inputs!$I$9+(((A84)+1)/2)*(Inputs!$J$9-Inputs!$I$9)))+(Inputs!$C$6))/(0.5*(Inputs!$C$49+Inputs!$C$50))+Inputs!$C$47*0.097)))+0.30*(2*((SIN((((Inputs!$I$9+(((A84)+1)/2)*(Inputs!$J$9-Inputs!$I$9)))*12.9898+(Inputs!$C$6)*78.233+Inputs!$C$47*37.719))*43758.5453)-INT((SIN((((Inputs!$I$9+(((A84)+1)/2)*(Inputs!$J$9-Inputs!$I$9)))*12.9898+(Inputs!$C$6)*78.233+Inputs!$C$47*37.719))*43758.5453)))-1))),NA())</x:f>
        <x:v>106.5081984940548</x:v>
      </x:c>
      <x:c r="AW84" s="49"/>
      <x:c r="AX84" s="48" t="n">
        <x:f>A84</x:f>
        <x:v>-0.317</x:v>
      </x:c>
      <x:c r="AY84" s="48" t="n">
        <x:f>0</x:f>
        <x:v>0</x:v>
      </x:c>
      <x:c r="AZ84" s="48" t="n">
        <x:f>IF(OR(Inputs!$F$6=TRUE,Inputs!$F$6="TRUE",Inputs!$F$6=1),(Inputs!$H$6+Inputs!$L$6*(((Inputs!$I$6+(((A84)+1)/2)*(Inputs!$J$6-Inputs!$I$6)))/Inputs!$K$6)^2),NA())</x:f>
        <x:v>400.401956</x:v>
      </x:c>
      <x:c r="BA84" s="48" t="n">
        <x:f>IF(OR(Inputs!$F$7=TRUE,Inputs!$F$7="TRUE",Inputs!$F$7=1),(Inputs!$H$7+Inputs!$L$7*(((Inputs!$I$7+(((A84)+1)/2)*(Inputs!$J$7-Inputs!$I$7)))/Inputs!$K$7)^2),NA())</x:f>
        <x:v>71.67848499999997</x:v>
      </x:c>
      <x:c r="BB84" s="48" t="n">
        <x:f>IF(OR(Inputs!$F$8=TRUE,Inputs!$F$8="TRUE",Inputs!$F$8=1),(Inputs!$H$8+Inputs!$L$8*(((Inputs!$I$8+(((A84)+1)/2)*(Inputs!$J$8-Inputs!$I$8)))/Inputs!$K$8)^2),NA())</x:f>
        <x:v>131.97188499999993</x:v>
      </x:c>
      <x:c r="BC84" s="48" t="n">
        <x:f>IF(OR(Inputs!$F$9=TRUE,Inputs!$F$9="TRUE",Inputs!$F$9=1),(Inputs!$H$9+Inputs!$L$9*(((Inputs!$I$9+(((A84)+1)/2)*(Inputs!$J$9-Inputs!$I$9)))/Inputs!$K$9)^2),NA())</x:f>
        <x:v>122.97677499999993</x:v>
      </x:c>
      <x:c r="BD84" s="49"/>
      <x:c r="BE84" s="48" t="n">
        <x:f>A84</x:f>
        <x:v>-0.317</x:v>
      </x:c>
      <x:c r="BF84" s="48" t="n">
        <x:f>0</x:f>
        <x:v>0</x:v>
      </x:c>
      <x:c r="BG84" s="48"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BH84" s="48"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BI84" s="48"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BJ84" s="48"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row>
    <x:row r="85">
      <x:c r="A85" s="48" t="n">
        <x:f>ROUND(-1+83*2/240,3)</x:f>
        <x:v>-0.308</x:v>
      </x:c>
      <x:c r="B85" s="48" t="n">
        <x:f>IF(OR(Inputs!$F$6=TRUE,Inputs!$F$6="TRUE",Inputs!$F$6=1),(Inputs!$H$6+Inputs!$L$6*(((Inputs!$I$6+(((A85)+1)/2)*(Inputs!$J$6-Inputs!$I$6)))/Inputs!$K$6)^2),NA())</x:f>
        <x:v>400.379456</x:v>
      </x:c>
      <x:c r="C85" s="48" t="n">
        <x:f>IF(OR(Inputs!$F$7=TRUE,Inputs!$F$7="TRUE",Inputs!$F$7=1),(Inputs!$H$7+Inputs!$L$7*(((Inputs!$I$7+(((A85)+1)/2)*(Inputs!$J$7-Inputs!$I$7)))/Inputs!$K$7)^2),NA())</x:f>
        <x:v>69.62536000000003</x:v>
      </x:c>
      <x:c r="D85" s="48" t="n">
        <x:f>IF(OR(Inputs!$F$8=TRUE,Inputs!$F$8="TRUE",Inputs!$F$8=1),(Inputs!$H$8+Inputs!$L$8*(((Inputs!$I$8+(((A85)+1)/2)*(Inputs!$J$8-Inputs!$I$8)))/Inputs!$K$8)^2),NA())</x:f>
        <x:v>126.54376000000006</x:v>
      </x:c>
      <x:c r="E85" s="48" t="n">
        <x:f>IF(OR(Inputs!$F$9=TRUE,Inputs!$F$9="TRUE",Inputs!$F$9=1),(Inputs!$H$9+Inputs!$L$9*(((Inputs!$I$9+(((A85)+1)/2)*(Inputs!$J$9-Inputs!$I$9)))/Inputs!$K$9)^2),NA())</x:f>
        <x:v>117.49240000000006</x:v>
      </x:c>
      <x:c r="F85" s="49"/>
      <x:c r="G85" s="48" t="n">
        <x:f>A85</x:f>
        <x:v>-0.308</x:v>
      </x:c>
      <x:c r="H85" s="48"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I85" s="48"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J85" s="48"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K85" s="48"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c r="L85" s="49"/>
      <x:c r="M85" s="48" t="n">
        <x:f>A85</x:f>
        <x:v>-0.308</x:v>
      </x:c>
      <x:c r="N85" s="48" t="n">
        <x: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x:f>
        <x:v>157.94826555448978</x:v>
      </x:c>
      <x:c r="O85" s="48" t="n">
        <x: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x:f>
        <x:v>1867.544946559366</x:v>
      </x:c>
      <x:c r="P85" s="48" t="n">
        <x: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x:f>
        <x:v>2086.5595222069446</x:v>
      </x:c>
      <x:c r="Q85" s="48" t="n">
        <x: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x:f>
        <x:v>2079.668546368124</x:v>
      </x:c>
      <x:c r="R85" s="49"/>
      <x:c r="S85" s="48" t="n">
        <x:f>A85</x:f>
        <x:v>-0.308</x:v>
      </x:c>
      <x:c r="T85" s="48" t="n">
        <x:f>(Inputs!$I$6+(((A85)+1)/2)*(Inputs!$J$6-Inputs!$I$6))</x:f>
        <x:v>-18.480000000000004</x:v>
      </x:c>
      <x:c r="U85" s="48" t="n">
        <x:f>(Inputs!$I$7+(((A85)+1)/2)*(Inputs!$J$7-Inputs!$I$7))</x:f>
        <x:v>-123.20000000000005</x:v>
      </x:c>
      <x:c r="V85" s="48" t="n">
        <x:f>(Inputs!$I$8+(((A85)+1)/2)*(Inputs!$J$8-Inputs!$I$8))</x:f>
        <x:v>-246.4000000000001</x:v>
      </x:c>
      <x:c r="W85" s="48" t="n">
        <x:f>(Inputs!$I$9+(((A85)+1)/2)*(Inputs!$J$9-Inputs!$I$9))</x:f>
        <x:v>-246.4000000000001</x:v>
      </x:c>
      <x:c r="X85" s="49"/>
      <x:c r="Y85" s="48" t="n">
        <x:f>A85</x:f>
        <x:v>-0.308</x:v>
      </x:c>
      <x:c r="Z85" s="48" t="n">
        <x:f>(Inputs!$H$6+Inputs!$L$6*(((Inputs!$I$6+(((A85)+1)/2)*(Inputs!$J$6-Inputs!$I$6)))/Inputs!$K$6)^2)</x:f>
        <x:v>400.379456</x:v>
      </x:c>
      <x:c r="AA85" s="48" t="n">
        <x:f>(Inputs!$H$7+Inputs!$L$7*(((Inputs!$I$7+(((A85)+1)/2)*(Inputs!$J$7-Inputs!$I$7)))/Inputs!$K$7)^2)</x:f>
        <x:v>69.62536000000003</x:v>
      </x:c>
      <x:c r="AB85" s="48" t="n">
        <x:f>(Inputs!$H$8+Inputs!$L$8*(((Inputs!$I$8+(((A85)+1)/2)*(Inputs!$J$8-Inputs!$I$8)))/Inputs!$K$8)^2)</x:f>
        <x:v>126.54376000000006</x:v>
      </x:c>
      <x:c r="AC85" s="48" t="n">
        <x:f>(Inputs!$H$9+Inputs!$L$9*(((Inputs!$I$9+(((A85)+1)/2)*(Inputs!$J$9-Inputs!$I$9)))/Inputs!$K$9)^2)</x:f>
        <x:v>117.49240000000006</x:v>
      </x:c>
      <x:c r="AD85" s="49"/>
      <x:c r="AE85" s="48" t="n">
        <x:f>A85</x:f>
        <x:v>-0.308</x:v>
      </x:c>
      <x:c r="AF85" s="48" t="n">
        <x:f>(((SQRT((Inputs!$C$52+((Inputs!$H$6+Inputs!$L$6*(((Inputs!$I$6+(((A85)+1)/2)*(Inputs!$J$6-Inputs!$I$6)))/Inputs!$K$6)^2)))^2+Inputs!$C$52^2-2*(Inputs!$C$52+((Inputs!$H$6+Inputs!$L$6*(((Inputs!$I$6+(((A85)+1)/2)*(Inputs!$J$6-Inputs!$I$6)))/Inputs!$K$6)^2)))*Inputs!$C$52*COS(SQRT(((Inputs!$I$6+(((A85)+1)/2)*(Inputs!$J$6-Inputs!$I$6)))^2+Inputs!$C$6^2)/Inputs!$C$52)))-((Inputs!$H$6+Inputs!$L$6*(((Inputs!$I$6+(((A85)+1)/2)*(Inputs!$J$6-Inputs!$I$6)))/Inputs!$K$6)^2)))*1000/Inputs!$C$12)</x:f>
        <x:v>850.3941852388081</x:v>
      </x:c>
      <x:c r="AG85" s="48" t="n">
        <x:f>(((SQRT((Inputs!$C$52+((Inputs!$H$7+Inputs!$L$7*(((Inputs!$I$7+(((A85)+1)/2)*(Inputs!$J$7-Inputs!$I$7)))/Inputs!$K$7)^2)))^2+Inputs!$C$52^2-2*(Inputs!$C$52+((Inputs!$H$7+Inputs!$L$7*(((Inputs!$I$7+(((A85)+1)/2)*(Inputs!$J$7-Inputs!$I$7)))/Inputs!$K$7)^2)))*Inputs!$C$52*COS(SQRT(((Inputs!$I$7+(((A85)+1)/2)*(Inputs!$J$7-Inputs!$I$7)))^2+Inputs!$C$6^2)/Inputs!$C$52)))-((Inputs!$H$7+Inputs!$L$7*(((Inputs!$I$7+(((A85)+1)/2)*(Inputs!$J$7-Inputs!$I$7)))/Inputs!$K$7)^2)))*1000/Inputs!$C$12)</x:f>
        <x:v>42966.66753837581</x:v>
      </x:c>
      <x:c r="AH85" s="48" t="n">
        <x:f>(((SQRT((Inputs!$C$52+((Inputs!$H$8+Inputs!$L$8*(((Inputs!$I$8+(((A85)+1)/2)*(Inputs!$J$8-Inputs!$I$8)))/Inputs!$K$8)^2)))^2+Inputs!$C$52^2-2*(Inputs!$C$52+((Inputs!$H$8+Inputs!$L$8*(((Inputs!$I$8+(((A85)+1)/2)*(Inputs!$J$8-Inputs!$I$8)))/Inputs!$K$8)^2)))*Inputs!$C$52*COS(SQRT(((Inputs!$I$8+(((A85)+1)/2)*(Inputs!$J$8-Inputs!$I$8)))^2+Inputs!$C$6^2)/Inputs!$C$52)))-((Inputs!$H$8+Inputs!$L$8*(((Inputs!$I$8+(((A85)+1)/2)*(Inputs!$J$8-Inputs!$I$8)))/Inputs!$K$8)^2)))*1000/Inputs!$C$12)</x:f>
        <x:v>89964.07335601514</x:v>
      </x:c>
      <x:c r="AI85" s="48" t="n">
        <x:f>(((SQRT((Inputs!$C$52+((Inputs!$H$9+Inputs!$L$9*(((Inputs!$I$9+(((A85)+1)/2)*(Inputs!$J$9-Inputs!$I$9)))/Inputs!$K$9)^2)))^2+Inputs!$C$52^2-2*(Inputs!$C$52+((Inputs!$H$9+Inputs!$L$9*(((Inputs!$I$9+(((A85)+1)/2)*(Inputs!$J$9-Inputs!$I$9)))/Inputs!$K$9)^2)))*Inputs!$C$52*COS(SQRT(((Inputs!$I$9+(((A85)+1)/2)*(Inputs!$J$9-Inputs!$I$9)))^2+Inputs!$C$6^2)/Inputs!$C$52)))-((Inputs!$H$9+Inputs!$L$9*(((Inputs!$I$9+(((A85)+1)/2)*(Inputs!$J$9-Inputs!$I$9)))/Inputs!$K$9)^2)))*1000/Inputs!$C$12)</x:f>
        <x:v>92517.08010921707</x:v>
      </x:c>
      <x:c r="AJ85" s="49"/>
      <x:c r="AK85" s="48" t="n">
        <x:f>A85</x:f>
        <x:v>-0.308</x:v>
      </x:c>
      <x:c r="AL85" s="48" t="n">
        <x: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x:f>
        <x:v>157.94826555448978</x:v>
      </x:c>
      <x:c r="AM85" s="48" t="n">
        <x: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x:f>
        <x:v>1867.544946559366</x:v>
      </x:c>
      <x:c r="AN85" s="48" t="n">
        <x: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x:f>
        <x:v>2086.5595222069446</x:v>
      </x:c>
      <x:c r="AO85" s="48" t="n">
        <x: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x:f>
        <x:v>2079.668546368124</x:v>
      </x:c>
      <x:c r="AP85" s="49"/>
      <x:c r="AQ85" s="48" t="n">
        <x:f>A85</x:f>
        <x:v>-0.308</x:v>
      </x:c>
      <x:c r="AR85" s="48" t="n">
        <x:f>0</x:f>
        <x:v>0</x:v>
      </x:c>
      <x:c r="AS85" s="48" t="n">
        <x: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(0.45*SIN(2*PI()*((((Inputs!$I$6+(((A85)+1)/2)*(Inputs!$J$6-Inputs!$I$6)))/Inputs!$C$49)+Inputs!$C$47*0.137))+0.35*COS(2*PI()*(((Inputs!$C$6)/Inputs!$C$50)+Inputs!$C$47*0.173))+0.20*SIN(2*PI()*((((Inputs!$I$6+(((A85)+1)/2)*(Inputs!$J$6-Inputs!$I$6)))+(Inputs!$C$6))/(0.5*(Inputs!$C$49+Inputs!$C$50))+Inputs!$C$47*0.097)))+0.30*(2*((SIN((((Inputs!$I$6+(((A85)+1)/2)*(Inputs!$J$6-Inputs!$I$6)))*12.9898+(Inputs!$C$6)*78.233+Inputs!$C$47*37.719))*43758.5453)-INT((SIN((((Inputs!$I$6+(((A85)+1)/2)*(Inputs!$J$6-Inputs!$I$6)))*12.9898+(Inputs!$C$6)*78.233+Inputs!$C$47*37.719))*43758.5453)))-1))),NA())</x:f>
        <x:v>379.8713470592348</x:v>
      </x:c>
      <x:c r="AT85" s="48" t="n">
        <x: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(0.45*SIN(2*PI()*((((Inputs!$I$7+(((A85)+1)/2)*(Inputs!$J$7-Inputs!$I$7)))/Inputs!$C$49)+Inputs!$C$47*0.137))+0.35*COS(2*PI()*(((Inputs!$C$6)/Inputs!$C$50)+Inputs!$C$47*0.173))+0.20*SIN(2*PI()*((((Inputs!$I$7+(((A85)+1)/2)*(Inputs!$J$7-Inputs!$I$7)))+(Inputs!$C$6))/(0.5*(Inputs!$C$49+Inputs!$C$50))+Inputs!$C$47*0.097)))+0.30*(2*((SIN((((Inputs!$I$7+(((A85)+1)/2)*(Inputs!$J$7-Inputs!$I$7)))*12.9898+(Inputs!$C$6)*78.233+Inputs!$C$47*37.719))*43758.5453)-INT((SIN((((Inputs!$I$7+(((A85)+1)/2)*(Inputs!$J$7-Inputs!$I$7)))*12.9898+(Inputs!$C$6)*78.233+Inputs!$C$47*37.719))*43758.5453)))-1))),NA())</x:f>
        <x:v>191.20807783550785</x:v>
      </x:c>
      <x:c r="AU85" s="48" t="n">
        <x: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(0.45*SIN(2*PI()*((((Inputs!$I$8+(((A85)+1)/2)*(Inputs!$J$8-Inputs!$I$8)))/Inputs!$C$49)+Inputs!$C$47*0.137))+0.35*COS(2*PI()*(((Inputs!$C$6)/Inputs!$C$50)+Inputs!$C$47*0.173))+0.20*SIN(2*PI()*((((Inputs!$I$8+(((A85)+1)/2)*(Inputs!$J$8-Inputs!$I$8)))+(Inputs!$C$6))/(0.5*(Inputs!$C$49+Inputs!$C$50))+Inputs!$C$47*0.097)))+0.30*(2*((SIN((((Inputs!$I$8+(((A85)+1)/2)*(Inputs!$J$8-Inputs!$I$8)))*12.9898+(Inputs!$C$6)*78.233+Inputs!$C$47*37.719))*43758.5453)-INT((SIN((((Inputs!$I$8+(((A85)+1)/2)*(Inputs!$J$8-Inputs!$I$8)))*12.9898+(Inputs!$C$6)*78.233+Inputs!$C$47*37.719))*43758.5453)))-1))),NA())</x:f>
        <x:v>220.2565592212486</x:v>
      </x:c>
      <x:c r="AV85" s="48" t="n">
        <x: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(0.45*SIN(2*PI()*((((Inputs!$I$9+(((A85)+1)/2)*(Inputs!$J$9-Inputs!$I$9)))/Inputs!$C$49)+Inputs!$C$47*0.137))+0.35*COS(2*PI()*(((Inputs!$C$6)/Inputs!$C$50)+Inputs!$C$47*0.173))+0.20*SIN(2*PI()*((((Inputs!$I$9+(((A85)+1)/2)*(Inputs!$J$9-Inputs!$I$9)))+(Inputs!$C$6))/(0.5*(Inputs!$C$49+Inputs!$C$50))+Inputs!$C$47*0.097)))+0.30*(2*((SIN((((Inputs!$I$9+(((A85)+1)/2)*(Inputs!$J$9-Inputs!$I$9)))*12.9898+(Inputs!$C$6)*78.233+Inputs!$C$47*37.719))*43758.5453)-INT((SIN((((Inputs!$I$9+(((A85)+1)/2)*(Inputs!$J$9-Inputs!$I$9)))*12.9898+(Inputs!$C$6)*78.233+Inputs!$C$47*37.719))*43758.5453)))-1))),NA())</x:f>
        <x:v>220.2565592212486</x:v>
      </x:c>
      <x:c r="AW85" s="49"/>
      <x:c r="AX85" s="48" t="n">
        <x:f>A85</x:f>
        <x:v>-0.308</x:v>
      </x:c>
      <x:c r="AY85" s="48" t="n">
        <x:f>0</x:f>
        <x:v>0</x:v>
      </x:c>
      <x:c r="AZ85" s="48" t="n">
        <x:f>IF(OR(Inputs!$F$6=TRUE,Inputs!$F$6="TRUE",Inputs!$F$6=1),(Inputs!$H$6+Inputs!$L$6*(((Inputs!$I$6+(((A85)+1)/2)*(Inputs!$J$6-Inputs!$I$6)))/Inputs!$K$6)^2),NA())</x:f>
        <x:v>400.379456</x:v>
      </x:c>
      <x:c r="BA85" s="48" t="n">
        <x:f>IF(OR(Inputs!$F$7=TRUE,Inputs!$F$7="TRUE",Inputs!$F$7=1),(Inputs!$H$7+Inputs!$L$7*(((Inputs!$I$7+(((A85)+1)/2)*(Inputs!$J$7-Inputs!$I$7)))/Inputs!$K$7)^2),NA())</x:f>
        <x:v>69.62536000000003</x:v>
      </x:c>
      <x:c r="BB85" s="48" t="n">
        <x:f>IF(OR(Inputs!$F$8=TRUE,Inputs!$F$8="TRUE",Inputs!$F$8=1),(Inputs!$H$8+Inputs!$L$8*(((Inputs!$I$8+(((A85)+1)/2)*(Inputs!$J$8-Inputs!$I$8)))/Inputs!$K$8)^2),NA())</x:f>
        <x:v>126.54376000000006</x:v>
      </x:c>
      <x:c r="BC85" s="48" t="n">
        <x:f>IF(OR(Inputs!$F$9=TRUE,Inputs!$F$9="TRUE",Inputs!$F$9=1),(Inputs!$H$9+Inputs!$L$9*(((Inputs!$I$9+(((A85)+1)/2)*(Inputs!$J$9-Inputs!$I$9)))/Inputs!$K$9)^2),NA())</x:f>
        <x:v>117.49240000000006</x:v>
      </x:c>
      <x:c r="BD85" s="49"/>
      <x:c r="BE85" s="48" t="n">
        <x:f>A85</x:f>
        <x:v>-0.308</x:v>
      </x:c>
      <x:c r="BF85" s="48" t="n">
        <x:f>0</x:f>
        <x:v>0</x:v>
      </x:c>
      <x:c r="BG85" s="48"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BH85" s="48"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BI85" s="48"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BJ85" s="48"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row>
    <x:row r="86">
      <x:c r="A86" s="48" t="n">
        <x:f>ROUND(-1+84*2/240,3)</x:f>
        <x:v>-0.3</x:v>
      </x:c>
      <x:c r="B86" s="48" t="n">
        <x:f>IF(OR(Inputs!$F$6=TRUE,Inputs!$F$6="TRUE",Inputs!$F$6=1),(Inputs!$H$6+Inputs!$L$6*(((Inputs!$I$6+(((A86)+1)/2)*(Inputs!$J$6-Inputs!$I$6)))/Inputs!$K$6)^2),NA())</x:f>
        <x:v>400.36</x:v>
      </x:c>
      <x:c r="C86" s="48" t="n">
        <x:f>IF(OR(Inputs!$F$7=TRUE,Inputs!$F$7="TRUE",Inputs!$F$7=1),(Inputs!$H$7+Inputs!$L$7*(((Inputs!$I$7+(((A86)+1)/2)*(Inputs!$J$7-Inputs!$I$7)))/Inputs!$K$7)^2),NA())</x:f>
        <x:v>67.85</x:v>
      </x:c>
      <x:c r="D86" s="48" t="n">
        <x:f>IF(OR(Inputs!$F$8=TRUE,Inputs!$F$8="TRUE",Inputs!$F$8=1),(Inputs!$H$8+Inputs!$L$8*(((Inputs!$I$8+(((A86)+1)/2)*(Inputs!$J$8-Inputs!$I$8)))/Inputs!$K$8)^2),NA())</x:f>
        <x:v>121.85</x:v>
      </x:c>
      <x:c r="E86" s="48" t="n">
        <x:f>IF(OR(Inputs!$F$9=TRUE,Inputs!$F$9="TRUE",Inputs!$F$9=1),(Inputs!$H$9+Inputs!$L$9*(((Inputs!$I$9+(((A86)+1)/2)*(Inputs!$J$9-Inputs!$I$9)))/Inputs!$K$9)^2),NA())</x:f>
        <x:v>112.75</x:v>
      </x:c>
      <x:c r="F86" s="49"/>
      <x:c r="G86" s="48" t="n">
        <x:f>A86</x:f>
        <x:v>-0.3</x:v>
      </x:c>
      <x:c r="H86" s="48"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I86" s="48"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J86" s="48"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K86" s="48"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c r="L86" s="49"/>
      <x:c r="M86" s="48" t="n">
        <x:f>A86</x:f>
        <x:v>-0.3</x:v>
      </x:c>
      <x:c r="N86" s="48" t="n">
        <x: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x:f>
        <x:v>153.85884194651075</x:v>
      </x:c>
      <x:c r="O86" s="48" t="n">
        <x: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x:f>
        <x:v>1852.6524141587827</x:v>
      </x:c>
      <x:c r="P86" s="48" t="n">
        <x: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x:f>
        <x:v>2065.5176137733747</x:v>
      </x:c>
      <x:c r="Q86" s="48" t="n">
        <x: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x:f>
        <x:v>2058.4353644245243</x:v>
      </x:c>
      <x:c r="R86" s="49"/>
      <x:c r="S86" s="48" t="n">
        <x:f>A86</x:f>
        <x:v>-0.3</x:v>
      </x:c>
      <x:c r="T86" s="48" t="n">
        <x:f>(Inputs!$I$6+(((A86)+1)/2)*(Inputs!$J$6-Inputs!$I$6))</x:f>
        <x:v>-18</x:v>
      </x:c>
      <x:c r="U86" s="48" t="n">
        <x:f>(Inputs!$I$7+(((A86)+1)/2)*(Inputs!$J$7-Inputs!$I$7))</x:f>
        <x:v>-120</x:v>
      </x:c>
      <x:c r="V86" s="48" t="n">
        <x:f>(Inputs!$I$8+(((A86)+1)/2)*(Inputs!$J$8-Inputs!$I$8))</x:f>
        <x:v>-240</x:v>
      </x:c>
      <x:c r="W86" s="48" t="n">
        <x:f>(Inputs!$I$9+(((A86)+1)/2)*(Inputs!$J$9-Inputs!$I$9))</x:f>
        <x:v>-240</x:v>
      </x:c>
      <x:c r="X86" s="49"/>
      <x:c r="Y86" s="48" t="n">
        <x:f>A86</x:f>
        <x:v>-0.3</x:v>
      </x:c>
      <x:c r="Z86" s="48" t="n">
        <x:f>(Inputs!$H$6+Inputs!$L$6*(((Inputs!$I$6+(((A86)+1)/2)*(Inputs!$J$6-Inputs!$I$6)))/Inputs!$K$6)^2)</x:f>
        <x:v>400.36</x:v>
      </x:c>
      <x:c r="AA86" s="48" t="n">
        <x:f>(Inputs!$H$7+Inputs!$L$7*(((Inputs!$I$7+(((A86)+1)/2)*(Inputs!$J$7-Inputs!$I$7)))/Inputs!$K$7)^2)</x:f>
        <x:v>67.85</x:v>
      </x:c>
      <x:c r="AB86" s="48" t="n">
        <x:f>(Inputs!$H$8+Inputs!$L$8*(((Inputs!$I$8+(((A86)+1)/2)*(Inputs!$J$8-Inputs!$I$8)))/Inputs!$K$8)^2)</x:f>
        <x:v>121.85</x:v>
      </x:c>
      <x:c r="AC86" s="48" t="n">
        <x:f>(Inputs!$H$9+Inputs!$L$9*(((Inputs!$I$9+(((A86)+1)/2)*(Inputs!$J$9-Inputs!$I$9)))/Inputs!$K$9)^2)</x:f>
        <x:v>112.75</x:v>
      </x:c>
      <x:c r="AD86" s="49"/>
      <x:c r="AE86" s="48" t="n">
        <x:f>A86</x:f>
        <x:v>-0.3</x:v>
      </x:c>
      <x:c r="AF86" s="48" t="n">
        <x:f>(((SQRT((Inputs!$C$52+((Inputs!$H$6+Inputs!$L$6*(((Inputs!$I$6+(((A86)+1)/2)*(Inputs!$J$6-Inputs!$I$6)))/Inputs!$K$6)^2)))^2+Inputs!$C$52^2-2*(Inputs!$C$52+((Inputs!$H$6+Inputs!$L$6*(((Inputs!$I$6+(((A86)+1)/2)*(Inputs!$J$6-Inputs!$I$6)))/Inputs!$K$6)^2)))*Inputs!$C$52*COS(SQRT(((Inputs!$I$6+(((A86)+1)/2)*(Inputs!$J$6-Inputs!$I$6)))^2+Inputs!$C$6^2)/Inputs!$C$52)))-((Inputs!$H$6+Inputs!$L$6*(((Inputs!$I$6+(((A86)+1)/2)*(Inputs!$J$6-Inputs!$I$6)))/Inputs!$K$6)^2)))*1000/Inputs!$C$12)</x:f>
        <x:v>835.0486277864097</x:v>
      </x:c>
      <x:c r="AG86" s="48" t="n">
        <x:f>(((SQRT((Inputs!$C$52+((Inputs!$H$7+Inputs!$L$7*(((Inputs!$I$7+(((A86)+1)/2)*(Inputs!$J$7-Inputs!$I$7)))/Inputs!$K$7)^2)))^2+Inputs!$C$52^2-2*(Inputs!$C$52+((Inputs!$H$7+Inputs!$L$7*(((Inputs!$I$7+(((A86)+1)/2)*(Inputs!$J$7-Inputs!$I$7)))/Inputs!$K$7)^2)))*Inputs!$C$52*COS(SQRT(((Inputs!$I$7+(((A86)+1)/2)*(Inputs!$J$7-Inputs!$I$7)))^2+Inputs!$C$6^2)/Inputs!$C$52)))-((Inputs!$H$7+Inputs!$L$7*(((Inputs!$I$7+(((A86)+1)/2)*(Inputs!$J$7-Inputs!$I$7)))/Inputs!$K$7)^2)))*1000/Inputs!$C$12)</x:f>
        <x:v>41874.05723279586</x:v>
      </x:c>
      <x:c r="AH86" s="48" t="n">
        <x:f>(((SQRT((Inputs!$C$52+((Inputs!$H$8+Inputs!$L$8*(((Inputs!$I$8+(((A86)+1)/2)*(Inputs!$J$8-Inputs!$I$8)))/Inputs!$K$8)^2)))^2+Inputs!$C$52^2-2*(Inputs!$C$52+((Inputs!$H$8+Inputs!$L$8*(((Inputs!$I$8+(((A86)+1)/2)*(Inputs!$J$8-Inputs!$I$8)))/Inputs!$K$8)^2)))*Inputs!$C$52*COS(SQRT(((Inputs!$I$8+(((A86)+1)/2)*(Inputs!$J$8-Inputs!$I$8)))^2+Inputs!$C$6^2)/Inputs!$C$52)))-((Inputs!$H$8+Inputs!$L$8*(((Inputs!$I$8+(((A86)+1)/2)*(Inputs!$J$8-Inputs!$I$8)))/Inputs!$K$8)^2)))*1000/Inputs!$C$12)</x:f>
        <x:v>87935.8195419091</x:v>
      </x:c>
      <x:c r="AI86" s="48" t="n">
        <x:f>(((SQRT((Inputs!$C$52+((Inputs!$H$9+Inputs!$L$9*(((Inputs!$I$9+(((A86)+1)/2)*(Inputs!$J$9-Inputs!$I$9)))/Inputs!$K$9)^2)))^2+Inputs!$C$52^2-2*(Inputs!$C$52+((Inputs!$H$9+Inputs!$L$9*(((Inputs!$I$9+(((A86)+1)/2)*(Inputs!$J$9-Inputs!$I$9)))/Inputs!$K$9)^2)))*Inputs!$C$52*COS(SQRT(((Inputs!$I$9+(((A86)+1)/2)*(Inputs!$J$9-Inputs!$I$9)))^2+Inputs!$C$6^2)/Inputs!$C$52)))-((Inputs!$H$9+Inputs!$L$9*(((Inputs!$I$9+(((A86)+1)/2)*(Inputs!$J$9-Inputs!$I$9)))/Inputs!$K$9)^2)))*1000/Inputs!$C$12)</x:f>
        <x:v>90531.85871731327</x:v>
      </x:c>
      <x:c r="AJ86" s="49"/>
      <x:c r="AK86" s="48" t="n">
        <x:f>A86</x:f>
        <x:v>-0.3</x:v>
      </x:c>
      <x:c r="AL86" s="48" t="n">
        <x: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x:f>
        <x:v>153.85884194651075</x:v>
      </x:c>
      <x:c r="AM86" s="48" t="n">
        <x: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x:f>
        <x:v>1852.6524141587827</x:v>
      </x:c>
      <x:c r="AN86" s="48" t="n">
        <x: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x:f>
        <x:v>2065.5176137733747</x:v>
      </x:c>
      <x:c r="AO86" s="48" t="n">
        <x: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x:f>
        <x:v>2058.4353644245243</x:v>
      </x:c>
      <x:c r="AP86" s="49"/>
      <x:c r="AQ86" s="48" t="n">
        <x:f>A86</x:f>
        <x:v>-0.3</x:v>
      </x:c>
      <x:c r="AR86" s="48" t="n">
        <x:f>0</x:f>
        <x:v>0</x:v>
      </x:c>
      <x:c r="AS86" s="48" t="n">
        <x: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(0.45*SIN(2*PI()*((((Inputs!$I$6+(((A86)+1)/2)*(Inputs!$J$6-Inputs!$I$6)))/Inputs!$C$49)+Inputs!$C$47*0.137))+0.35*COS(2*PI()*(((Inputs!$C$6)/Inputs!$C$50)+Inputs!$C$47*0.173))+0.20*SIN(2*PI()*((((Inputs!$I$6+(((A86)+1)/2)*(Inputs!$J$6-Inputs!$I$6)))+(Inputs!$C$6))/(0.5*(Inputs!$C$49+Inputs!$C$50))+Inputs!$C$47*0.097)))+0.30*(2*((SIN((((Inputs!$I$6+(((A86)+1)/2)*(Inputs!$J$6-Inputs!$I$6)))*12.9898+(Inputs!$C$6)*78.233+Inputs!$C$47*37.719))*43758.5453)-INT((SIN((((Inputs!$I$6+(((A86)+1)/2)*(Inputs!$J$6-Inputs!$I$6)))*12.9898+(Inputs!$C$6)*78.233+Inputs!$C$47*37.719))*43758.5453)))-1))),NA())</x:f>
        <x:v>392.0220541536099</x:v>
      </x:c>
      <x:c r="AT86" s="48" t="n">
        <x: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(0.45*SIN(2*PI()*((((Inputs!$I$7+(((A86)+1)/2)*(Inputs!$J$7-Inputs!$I$7)))/Inputs!$C$49)+Inputs!$C$47*0.137))+0.35*COS(2*PI()*(((Inputs!$C$6)/Inputs!$C$50)+Inputs!$C$47*0.173))+0.20*SIN(2*PI()*((((Inputs!$I$7+(((A86)+1)/2)*(Inputs!$J$7-Inputs!$I$7)))+(Inputs!$C$6))/(0.5*(Inputs!$C$49+Inputs!$C$50))+Inputs!$C$47*0.097)))+0.30*(2*((SIN((((Inputs!$I$7+(((A86)+1)/2)*(Inputs!$J$7-Inputs!$I$7)))*12.9898+(Inputs!$C$6)*78.233+Inputs!$C$47*37.719))*43758.5453)-INT((SIN((((Inputs!$I$7+(((A86)+1)/2)*(Inputs!$J$7-Inputs!$I$7)))*12.9898+(Inputs!$C$6)*78.233+Inputs!$C$47*37.719))*43758.5453)))-1))),NA())</x:f>
        <x:v>187.74824264735327</x:v>
      </x:c>
      <x:c r="AU86" s="48" t="n">
        <x: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(0.45*SIN(2*PI()*((((Inputs!$I$8+(((A86)+1)/2)*(Inputs!$J$8-Inputs!$I$8)))/Inputs!$C$49)+Inputs!$C$47*0.137))+0.35*COS(2*PI()*(((Inputs!$C$6)/Inputs!$C$50)+Inputs!$C$47*0.173))+0.20*SIN(2*PI()*((((Inputs!$I$8+(((A86)+1)/2)*(Inputs!$J$8-Inputs!$I$8)))+(Inputs!$C$6))/(0.5*(Inputs!$C$49+Inputs!$C$50))+Inputs!$C$47*0.097)))+0.30*(2*((SIN((((Inputs!$I$8+(((A86)+1)/2)*(Inputs!$J$8-Inputs!$I$8)))*12.9898+(Inputs!$C$6)*78.233+Inputs!$C$47*37.719))*43758.5453)-INT((SIN((((Inputs!$I$8+(((A86)+1)/2)*(Inputs!$J$8-Inputs!$I$8)))*12.9898+(Inputs!$C$6)*78.233+Inputs!$C$47*37.719))*43758.5453)))-1))),NA())</x:f>
        <x:v>69.60354848630779</x:v>
      </x:c>
      <x:c r="AV86" s="48" t="n">
        <x: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(0.45*SIN(2*PI()*((((Inputs!$I$9+(((A86)+1)/2)*(Inputs!$J$9-Inputs!$I$9)))/Inputs!$C$49)+Inputs!$C$47*0.137))+0.35*COS(2*PI()*(((Inputs!$C$6)/Inputs!$C$50)+Inputs!$C$47*0.173))+0.20*SIN(2*PI()*((((Inputs!$I$9+(((A86)+1)/2)*(Inputs!$J$9-Inputs!$I$9)))+(Inputs!$C$6))/(0.5*(Inputs!$C$49+Inputs!$C$50))+Inputs!$C$47*0.097)))+0.30*(2*((SIN((((Inputs!$I$9+(((A86)+1)/2)*(Inputs!$J$9-Inputs!$I$9)))*12.9898+(Inputs!$C$6)*78.233+Inputs!$C$47*37.719))*43758.5453)-INT((SIN((((Inputs!$I$9+(((A86)+1)/2)*(Inputs!$J$9-Inputs!$I$9)))*12.9898+(Inputs!$C$6)*78.233+Inputs!$C$47*37.719))*43758.5453)))-1))),NA())</x:f>
        <x:v>69.60354848630779</x:v>
      </x:c>
      <x:c r="AW86" s="49"/>
      <x:c r="AX86" s="48" t="n">
        <x:f>A86</x:f>
        <x:v>-0.3</x:v>
      </x:c>
      <x:c r="AY86" s="48" t="n">
        <x:f>0</x:f>
        <x:v>0</x:v>
      </x:c>
      <x:c r="AZ86" s="48" t="n">
        <x:f>IF(OR(Inputs!$F$6=TRUE,Inputs!$F$6="TRUE",Inputs!$F$6=1),(Inputs!$H$6+Inputs!$L$6*(((Inputs!$I$6+(((A86)+1)/2)*(Inputs!$J$6-Inputs!$I$6)))/Inputs!$K$6)^2),NA())</x:f>
        <x:v>400.36</x:v>
      </x:c>
      <x:c r="BA86" s="48" t="n">
        <x:f>IF(OR(Inputs!$F$7=TRUE,Inputs!$F$7="TRUE",Inputs!$F$7=1),(Inputs!$H$7+Inputs!$L$7*(((Inputs!$I$7+(((A86)+1)/2)*(Inputs!$J$7-Inputs!$I$7)))/Inputs!$K$7)^2),NA())</x:f>
        <x:v>67.85</x:v>
      </x:c>
      <x:c r="BB86" s="48" t="n">
        <x:f>IF(OR(Inputs!$F$8=TRUE,Inputs!$F$8="TRUE",Inputs!$F$8=1),(Inputs!$H$8+Inputs!$L$8*(((Inputs!$I$8+(((A86)+1)/2)*(Inputs!$J$8-Inputs!$I$8)))/Inputs!$K$8)^2),NA())</x:f>
        <x:v>121.85</x:v>
      </x:c>
      <x:c r="BC86" s="48" t="n">
        <x:f>IF(OR(Inputs!$F$9=TRUE,Inputs!$F$9="TRUE",Inputs!$F$9=1),(Inputs!$H$9+Inputs!$L$9*(((Inputs!$I$9+(((A86)+1)/2)*(Inputs!$J$9-Inputs!$I$9)))/Inputs!$K$9)^2),NA())</x:f>
        <x:v>112.75</x:v>
      </x:c>
      <x:c r="BD86" s="49"/>
      <x:c r="BE86" s="48" t="n">
        <x:f>A86</x:f>
        <x:v>-0.3</x:v>
      </x:c>
      <x:c r="BF86" s="48" t="n">
        <x:f>0</x:f>
        <x:v>0</x:v>
      </x:c>
      <x:c r="BG86" s="48"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BH86" s="48"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BI86" s="48"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BJ86" s="48"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row>
    <x:row r="87">
      <x:c r="A87" s="48" t="n">
        <x:f>ROUND(-1+85*2/240,3)</x:f>
        <x:v>-0.292</x:v>
      </x:c>
      <x:c r="B87" s="48" t="n">
        <x:f>IF(OR(Inputs!$F$6=TRUE,Inputs!$F$6="TRUE",Inputs!$F$6=1),(Inputs!$H$6+Inputs!$L$6*(((Inputs!$I$6+(((A87)+1)/2)*(Inputs!$J$6-Inputs!$I$6)))/Inputs!$K$6)^2),NA())</x:f>
        <x:v>400.341056</x:v>
      </x:c>
      <x:c r="C87" s="48" t="n">
        <x:f>IF(OR(Inputs!$F$7=TRUE,Inputs!$F$7="TRUE",Inputs!$F$7=1),(Inputs!$H$7+Inputs!$L$7*(((Inputs!$I$7+(((A87)+1)/2)*(Inputs!$J$7-Inputs!$I$7)))/Inputs!$K$7)^2),NA())</x:f>
        <x:v>66.12136000000001</x:v>
      </x:c>
      <x:c r="D87" s="48" t="n">
        <x:f>IF(OR(Inputs!$F$8=TRUE,Inputs!$F$8="TRUE",Inputs!$F$8=1),(Inputs!$H$8+Inputs!$L$8*(((Inputs!$I$8+(((A87)+1)/2)*(Inputs!$J$8-Inputs!$I$8)))/Inputs!$K$8)^2),NA())</x:f>
        <x:v>117.27976000000002</x:v>
      </x:c>
      <x:c r="E87" s="48" t="n">
        <x:f>IF(OR(Inputs!$F$9=TRUE,Inputs!$F$9="TRUE",Inputs!$F$9=1),(Inputs!$H$9+Inputs!$L$9*(((Inputs!$I$9+(((A87)+1)/2)*(Inputs!$J$9-Inputs!$I$9)))/Inputs!$K$9)^2),NA())</x:f>
        <x:v>108.13240000000002</x:v>
      </x:c>
      <x:c r="F87" s="49"/>
      <x:c r="G87" s="48" t="n">
        <x:f>A87</x:f>
        <x:v>-0.292</x:v>
      </x:c>
      <x:c r="H87" s="48"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I87" s="48"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J87" s="48"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K87" s="48"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c r="L87" s="49"/>
      <x:c r="M87" s="48" t="n">
        <x:f>A87</x:f>
        <x:v>-0.292</x:v>
      </x:c>
      <x:c r="N87" s="48" t="n">
        <x: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x:f>
        <x:v>149.76838614406955</x:v>
      </x:c>
      <x:c r="O87" s="48" t="n">
        <x: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x:f>
        <x:v>1837.6927794236622</x:v>
      </x:c>
      <x:c r="P87" s="48" t="n">
        <x: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x:f>
        <x:v>2044.7821149976342</x:v>
      </x:c>
      <x:c r="Q87" s="48" t="n">
        <x: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x:f>
        <x:v>2037.5440336049603</x:v>
      </x:c>
      <x:c r="R87" s="49"/>
      <x:c r="S87" s="48" t="n">
        <x:f>A87</x:f>
        <x:v>-0.292</x:v>
      </x:c>
      <x:c r="T87" s="48" t="n">
        <x:f>(Inputs!$I$6+(((A87)+1)/2)*(Inputs!$J$6-Inputs!$I$6))</x:f>
        <x:v>-17.520000000000003</x:v>
      </x:c>
      <x:c r="U87" s="48" t="n">
        <x:f>(Inputs!$I$7+(((A87)+1)/2)*(Inputs!$J$7-Inputs!$I$7))</x:f>
        <x:v>-116.80000000000001</x:v>
      </x:c>
      <x:c r="V87" s="48" t="n">
        <x:f>(Inputs!$I$8+(((A87)+1)/2)*(Inputs!$J$8-Inputs!$I$8))</x:f>
        <x:v>-233.60000000000002</x:v>
      </x:c>
      <x:c r="W87" s="48" t="n">
        <x:f>(Inputs!$I$9+(((A87)+1)/2)*(Inputs!$J$9-Inputs!$I$9))</x:f>
        <x:v>-233.60000000000002</x:v>
      </x:c>
      <x:c r="X87" s="49"/>
      <x:c r="Y87" s="48" t="n">
        <x:f>A87</x:f>
        <x:v>-0.292</x:v>
      </x:c>
      <x:c r="Z87" s="48" t="n">
        <x:f>(Inputs!$H$6+Inputs!$L$6*(((Inputs!$I$6+(((A87)+1)/2)*(Inputs!$J$6-Inputs!$I$6)))/Inputs!$K$6)^2)</x:f>
        <x:v>400.341056</x:v>
      </x:c>
      <x:c r="AA87" s="48" t="n">
        <x:f>(Inputs!$H$7+Inputs!$L$7*(((Inputs!$I$7+(((A87)+1)/2)*(Inputs!$J$7-Inputs!$I$7)))/Inputs!$K$7)^2)</x:f>
        <x:v>66.12136000000001</x:v>
      </x:c>
      <x:c r="AB87" s="48" t="n">
        <x:f>(Inputs!$H$8+Inputs!$L$8*(((Inputs!$I$8+(((A87)+1)/2)*(Inputs!$J$8-Inputs!$I$8)))/Inputs!$K$8)^2)</x:f>
        <x:v>117.27976000000002</x:v>
      </x:c>
      <x:c r="AC87" s="48" t="n">
        <x:f>(Inputs!$H$9+Inputs!$L$9*(((Inputs!$I$9+(((A87)+1)/2)*(Inputs!$J$9-Inputs!$I$9)))/Inputs!$K$9)^2)</x:f>
        <x:v>108.13240000000002</x:v>
      </x:c>
      <x:c r="AD87" s="49"/>
      <x:c r="AE87" s="48" t="n">
        <x:f>A87</x:f>
        <x:v>-0.292</x:v>
      </x:c>
      <x:c r="AF87" s="48" t="n">
        <x:f>(((SQRT((Inputs!$C$52+((Inputs!$H$6+Inputs!$L$6*(((Inputs!$I$6+(((A87)+1)/2)*(Inputs!$J$6-Inputs!$I$6)))/Inputs!$K$6)^2)))^2+Inputs!$C$52^2-2*(Inputs!$C$52+((Inputs!$H$6+Inputs!$L$6*(((Inputs!$I$6+(((A87)+1)/2)*(Inputs!$J$6-Inputs!$I$6)))/Inputs!$K$6)^2)))*Inputs!$C$52*COS(SQRT(((Inputs!$I$6+(((A87)+1)/2)*(Inputs!$J$6-Inputs!$I$6)))^2+Inputs!$C$6^2)/Inputs!$C$52)))-((Inputs!$H$6+Inputs!$L$6*(((Inputs!$I$6+(((A87)+1)/2)*(Inputs!$J$6-Inputs!$I$6)))/Inputs!$K$6)^2)))*1000/Inputs!$C$12)</x:f>
        <x:v>820.1047459427689</x:v>
      </x:c>
      <x:c r="AG87" s="48" t="n">
        <x:f>(((SQRT((Inputs!$C$52+((Inputs!$H$7+Inputs!$L$7*(((Inputs!$I$7+(((A87)+1)/2)*(Inputs!$J$7-Inputs!$I$7)))/Inputs!$K$7)^2)))^2+Inputs!$C$52^2-2*(Inputs!$C$52+((Inputs!$H$7+Inputs!$L$7*(((Inputs!$I$7+(((A87)+1)/2)*(Inputs!$J$7-Inputs!$I$7)))/Inputs!$K$7)^2)))*Inputs!$C$52*COS(SQRT(((Inputs!$I$7+(((A87)+1)/2)*(Inputs!$J$7-Inputs!$I$7)))^2+Inputs!$C$6^2)/Inputs!$C$52)))-((Inputs!$H$7+Inputs!$L$7*(((Inputs!$I$7+(((A87)+1)/2)*(Inputs!$J$7-Inputs!$I$7)))/Inputs!$K$7)^2)))*1000/Inputs!$C$12)</x:f>
        <x:v>40771.96810224249</x:v>
      </x:c>
      <x:c r="AH87" s="48" t="n">
        <x:f>(((SQRT((Inputs!$C$52+((Inputs!$H$8+Inputs!$L$8*(((Inputs!$I$8+(((A87)+1)/2)*(Inputs!$J$8-Inputs!$I$8)))/Inputs!$K$8)^2)))^2+Inputs!$C$52^2-2*(Inputs!$C$52+((Inputs!$H$8+Inputs!$L$8*(((Inputs!$I$8+(((A87)+1)/2)*(Inputs!$J$8-Inputs!$I$8)))/Inputs!$K$8)^2)))*Inputs!$C$52*COS(SQRT(((Inputs!$I$8+(((A87)+1)/2)*(Inputs!$J$8-Inputs!$I$8)))^2+Inputs!$C$6^2)/Inputs!$C$52)))-((Inputs!$H$8+Inputs!$L$8*(((Inputs!$I$8+(((A87)+1)/2)*(Inputs!$J$8-Inputs!$I$8)))/Inputs!$K$8)^2)))*1000/Inputs!$C$12)</x:f>
        <x:v>85885.11295528698</x:v>
      </x:c>
      <x:c r="AI87" s="48" t="n">
        <x:f>(((SQRT((Inputs!$C$52+((Inputs!$H$9+Inputs!$L$9*(((Inputs!$I$9+(((A87)+1)/2)*(Inputs!$J$9-Inputs!$I$9)))/Inputs!$K$9)^2)))^2+Inputs!$C$52^2-2*(Inputs!$C$52+((Inputs!$H$9+Inputs!$L$9*(((Inputs!$I$9+(((A87)+1)/2)*(Inputs!$J$9-Inputs!$I$9)))/Inputs!$K$9)^2)))*Inputs!$C$52*COS(SQRT(((Inputs!$I$9+(((A87)+1)/2)*(Inputs!$J$9-Inputs!$I$9)))^2+Inputs!$C$6^2)/Inputs!$C$52)))-((Inputs!$H$9+Inputs!$L$9*(((Inputs!$I$9+(((A87)+1)/2)*(Inputs!$J$9-Inputs!$I$9)))/Inputs!$K$9)^2)))*1000/Inputs!$C$12)</x:f>
        <x:v>88523.8560882073</x:v>
      </x:c>
      <x:c r="AJ87" s="49"/>
      <x:c r="AK87" s="48" t="n">
        <x:f>A87</x:f>
        <x:v>-0.292</x:v>
      </x:c>
      <x:c r="AL87" s="48" t="n">
        <x: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x:f>
        <x:v>149.76838614406955</x:v>
      </x:c>
      <x:c r="AM87" s="48" t="n">
        <x: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x:f>
        <x:v>1837.6927794236622</x:v>
      </x:c>
      <x:c r="AN87" s="48" t="n">
        <x: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x:f>
        <x:v>2044.7821149976342</x:v>
      </x:c>
      <x:c r="AO87" s="48" t="n">
        <x: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x:f>
        <x:v>2037.5440336049603</x:v>
      </x:c>
      <x:c r="AP87" s="49"/>
      <x:c r="AQ87" s="48" t="n">
        <x:f>A87</x:f>
        <x:v>-0.292</x:v>
      </x:c>
      <x:c r="AR87" s="48" t="n">
        <x:f>0</x:f>
        <x:v>0</x:v>
      </x:c>
      <x:c r="AS87" s="48" t="n">
        <x: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(0.45*SIN(2*PI()*((((Inputs!$I$6+(((A87)+1)/2)*(Inputs!$J$6-Inputs!$I$6)))/Inputs!$C$49)+Inputs!$C$47*0.137))+0.35*COS(2*PI()*(((Inputs!$C$6)/Inputs!$C$50)+Inputs!$C$47*0.173))+0.20*SIN(2*PI()*((((Inputs!$I$6+(((A87)+1)/2)*(Inputs!$J$6-Inputs!$I$6)))+(Inputs!$C$6))/(0.5*(Inputs!$C$49+Inputs!$C$50))+Inputs!$C$47*0.097)))+0.30*(2*((SIN((((Inputs!$I$6+(((A87)+1)/2)*(Inputs!$J$6-Inputs!$I$6)))*12.9898+(Inputs!$C$6)*78.233+Inputs!$C$47*37.719))*43758.5453)-INT((SIN((((Inputs!$I$6+(((A87)+1)/2)*(Inputs!$J$6-Inputs!$I$6)))*12.9898+(Inputs!$C$6)*78.233+Inputs!$C$47*37.719))*43758.5453)))-1))),NA())</x:f>
        <x:v>395.37288831251874</x:v>
      </x:c>
      <x:c r="AT87" s="48" t="n">
        <x: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(0.45*SIN(2*PI()*((((Inputs!$I$7+(((A87)+1)/2)*(Inputs!$J$7-Inputs!$I$7)))/Inputs!$C$49)+Inputs!$C$47*0.137))+0.35*COS(2*PI()*(((Inputs!$C$6)/Inputs!$C$50)+Inputs!$C$47*0.173))+0.20*SIN(2*PI()*((((Inputs!$I$7+(((A87)+1)/2)*(Inputs!$J$7-Inputs!$I$7)))+(Inputs!$C$6))/(0.5*(Inputs!$C$49+Inputs!$C$50))+Inputs!$C$47*0.097)))+0.30*(2*((SIN((((Inputs!$I$7+(((A87)+1)/2)*(Inputs!$J$7-Inputs!$I$7)))*12.9898+(Inputs!$C$6)*78.233+Inputs!$C$47*37.719))*43758.5453)-INT((SIN((((Inputs!$I$7+(((A87)+1)/2)*(Inputs!$J$7-Inputs!$I$7)))*12.9898+(Inputs!$C$6)*78.233+Inputs!$C$47*37.719))*43758.5453)))-1))),NA())</x:f>
        <x:v>166.1708306315741</x:v>
      </x:c>
      <x:c r="AU87" s="48" t="n">
        <x: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(0.45*SIN(2*PI()*((((Inputs!$I$8+(((A87)+1)/2)*(Inputs!$J$8-Inputs!$I$8)))/Inputs!$C$49)+Inputs!$C$47*0.137))+0.35*COS(2*PI()*(((Inputs!$C$6)/Inputs!$C$50)+Inputs!$C$47*0.173))+0.20*SIN(2*PI()*((((Inputs!$I$8+(((A87)+1)/2)*(Inputs!$J$8-Inputs!$I$8)))+(Inputs!$C$6))/(0.5*(Inputs!$C$49+Inputs!$C$50))+Inputs!$C$47*0.097)))+0.30*(2*((SIN((((Inputs!$I$8+(((A87)+1)/2)*(Inputs!$J$8-Inputs!$I$8)))*12.9898+(Inputs!$C$6)*78.233+Inputs!$C$47*37.719))*43758.5453)-INT((SIN((((Inputs!$I$8+(((A87)+1)/2)*(Inputs!$J$8-Inputs!$I$8)))*12.9898+(Inputs!$C$6)*78.233+Inputs!$C$47*37.719))*43758.5453)))-1))),NA())</x:f>
        <x:v>142.71283057846875</x:v>
      </x:c>
      <x:c r="AV87" s="48" t="n">
        <x: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(0.45*SIN(2*PI()*((((Inputs!$I$9+(((A87)+1)/2)*(Inputs!$J$9-Inputs!$I$9)))/Inputs!$C$49)+Inputs!$C$47*0.137))+0.35*COS(2*PI()*(((Inputs!$C$6)/Inputs!$C$50)+Inputs!$C$47*0.173))+0.20*SIN(2*PI()*((((Inputs!$I$9+(((A87)+1)/2)*(Inputs!$J$9-Inputs!$I$9)))+(Inputs!$C$6))/(0.5*(Inputs!$C$49+Inputs!$C$50))+Inputs!$C$47*0.097)))+0.30*(2*((SIN((((Inputs!$I$9+(((A87)+1)/2)*(Inputs!$J$9-Inputs!$I$9)))*12.9898+(Inputs!$C$6)*78.233+Inputs!$C$47*37.719))*43758.5453)-INT((SIN((((Inputs!$I$9+(((A87)+1)/2)*(Inputs!$J$9-Inputs!$I$9)))*12.9898+(Inputs!$C$6)*78.233+Inputs!$C$47*37.719))*43758.5453)))-1))),NA())</x:f>
        <x:v>142.71283057846875</x:v>
      </x:c>
      <x:c r="AW87" s="49"/>
      <x:c r="AX87" s="48" t="n">
        <x:f>A87</x:f>
        <x:v>-0.292</x:v>
      </x:c>
      <x:c r="AY87" s="48" t="n">
        <x:f>0</x:f>
        <x:v>0</x:v>
      </x:c>
      <x:c r="AZ87" s="48" t="n">
        <x:f>IF(OR(Inputs!$F$6=TRUE,Inputs!$F$6="TRUE",Inputs!$F$6=1),(Inputs!$H$6+Inputs!$L$6*(((Inputs!$I$6+(((A87)+1)/2)*(Inputs!$J$6-Inputs!$I$6)))/Inputs!$K$6)^2),NA())</x:f>
        <x:v>400.341056</x:v>
      </x:c>
      <x:c r="BA87" s="48" t="n">
        <x:f>IF(OR(Inputs!$F$7=TRUE,Inputs!$F$7="TRUE",Inputs!$F$7=1),(Inputs!$H$7+Inputs!$L$7*(((Inputs!$I$7+(((A87)+1)/2)*(Inputs!$J$7-Inputs!$I$7)))/Inputs!$K$7)^2),NA())</x:f>
        <x:v>66.12136000000001</x:v>
      </x:c>
      <x:c r="BB87" s="48" t="n">
        <x:f>IF(OR(Inputs!$F$8=TRUE,Inputs!$F$8="TRUE",Inputs!$F$8=1),(Inputs!$H$8+Inputs!$L$8*(((Inputs!$I$8+(((A87)+1)/2)*(Inputs!$J$8-Inputs!$I$8)))/Inputs!$K$8)^2),NA())</x:f>
        <x:v>117.27976000000002</x:v>
      </x:c>
      <x:c r="BC87" s="48" t="n">
        <x:f>IF(OR(Inputs!$F$9=TRUE,Inputs!$F$9="TRUE",Inputs!$F$9=1),(Inputs!$H$9+Inputs!$L$9*(((Inputs!$I$9+(((A87)+1)/2)*(Inputs!$J$9-Inputs!$I$9)))/Inputs!$K$9)^2),NA())</x:f>
        <x:v>108.13240000000002</x:v>
      </x:c>
      <x:c r="BD87" s="49"/>
      <x:c r="BE87" s="48" t="n">
        <x:f>A87</x:f>
        <x:v>-0.292</x:v>
      </x:c>
      <x:c r="BF87" s="48" t="n">
        <x:f>0</x:f>
        <x:v>0</x:v>
      </x:c>
      <x:c r="BG87" s="48"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BH87" s="48"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BI87" s="48"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BJ87" s="48"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row>
    <x:row r="88">
      <x:c r="A88" s="48" t="n">
        <x:f>ROUND(-1+86*2/240,3)</x:f>
        <x:v>-0.283</x:v>
      </x:c>
      <x:c r="B88" s="48" t="n">
        <x:f>IF(OR(Inputs!$F$6=TRUE,Inputs!$F$6="TRUE",Inputs!$F$6=1),(Inputs!$H$6+Inputs!$L$6*(((Inputs!$I$6+(((A88)+1)/2)*(Inputs!$J$6-Inputs!$I$6)))/Inputs!$K$6)^2),NA())</x:f>
        <x:v>400.320356</x:v>
      </x:c>
      <x:c r="C88" s="48" t="n">
        <x:f>IF(OR(Inputs!$F$7=TRUE,Inputs!$F$7="TRUE",Inputs!$F$7=1),(Inputs!$H$7+Inputs!$L$7*(((Inputs!$I$7+(((A88)+1)/2)*(Inputs!$J$7-Inputs!$I$7)))/Inputs!$K$7)^2),NA())</x:f>
        <x:v>64.232485</x:v>
      </x:c>
      <x:c r="D88" s="48" t="n">
        <x:f>IF(OR(Inputs!$F$8=TRUE,Inputs!$F$8="TRUE",Inputs!$F$8=1),(Inputs!$H$8+Inputs!$L$8*(((Inputs!$I$8+(((A88)+1)/2)*(Inputs!$J$8-Inputs!$I$8)))/Inputs!$K$8)^2),NA())</x:f>
        <x:v>112.28588499999998</x:v>
      </x:c>
      <x:c r="E88" s="48" t="n">
        <x:f>IF(OR(Inputs!$F$9=TRUE,Inputs!$F$9="TRUE",Inputs!$F$9=1),(Inputs!$H$9+Inputs!$L$9*(((Inputs!$I$9+(((A88)+1)/2)*(Inputs!$J$9-Inputs!$I$9)))/Inputs!$K$9)^2),NA())</x:f>
        <x:v>103.08677499999997</x:v>
      </x:c>
      <x:c r="F88" s="49"/>
      <x:c r="G88" s="48" t="n">
        <x:f>A88</x:f>
        <x:v>-0.283</x:v>
      </x:c>
      <x:c r="H88" s="48"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I88" s="48"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J88" s="48"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K88" s="48"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c r="L88" s="49"/>
      <x:c r="M88" s="48" t="n">
        <x:f>A88</x:f>
        <x:v>-0.283</x:v>
      </x:c>
      <x:c r="N88" s="48" t="n">
        <x: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x:f>
        <x:v>145.1654231364553</x:v>
      </x:c>
      <x:c r="O88" s="48" t="n">
        <x: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x:f>
        <x:v>1820.7472062686497</x:v>
      </x:c>
      <x:c r="P88" s="48" t="n">
        <x: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x:f>
        <x:v>2021.8172313671027</x:v>
      </x:c>
      <x:c r="Q88" s="48" t="n">
        <x: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x:f>
        <x:v>2014.4506510814815</x:v>
      </x:c>
      <x:c r="R88" s="49"/>
      <x:c r="S88" s="48" t="n">
        <x:f>A88</x:f>
        <x:v>-0.283</x:v>
      </x:c>
      <x:c r="T88" s="48" t="n">
        <x:f>(Inputs!$I$6+(((A88)+1)/2)*(Inputs!$J$6-Inputs!$I$6))</x:f>
        <x:v>-16.979999999999997</x:v>
      </x:c>
      <x:c r="U88" s="48" t="n">
        <x:f>(Inputs!$I$7+(((A88)+1)/2)*(Inputs!$J$7-Inputs!$I$7))</x:f>
        <x:v>-113.19999999999999</x:v>
      </x:c>
      <x:c r="V88" s="48" t="n">
        <x:f>(Inputs!$I$8+(((A88)+1)/2)*(Inputs!$J$8-Inputs!$I$8))</x:f>
        <x:v>-226.39999999999998</x:v>
      </x:c>
      <x:c r="W88" s="48" t="n">
        <x:f>(Inputs!$I$9+(((A88)+1)/2)*(Inputs!$J$9-Inputs!$I$9))</x:f>
        <x:v>-226.39999999999998</x:v>
      </x:c>
      <x:c r="X88" s="49"/>
      <x:c r="Y88" s="48" t="n">
        <x:f>A88</x:f>
        <x:v>-0.283</x:v>
      </x:c>
      <x:c r="Z88" s="48" t="n">
        <x:f>(Inputs!$H$6+Inputs!$L$6*(((Inputs!$I$6+(((A88)+1)/2)*(Inputs!$J$6-Inputs!$I$6)))/Inputs!$K$6)^2)</x:f>
        <x:v>400.320356</x:v>
      </x:c>
      <x:c r="AA88" s="48" t="n">
        <x:f>(Inputs!$H$7+Inputs!$L$7*(((Inputs!$I$7+(((A88)+1)/2)*(Inputs!$J$7-Inputs!$I$7)))/Inputs!$K$7)^2)</x:f>
        <x:v>64.232485</x:v>
      </x:c>
      <x:c r="AB88" s="48" t="n">
        <x:f>(Inputs!$H$8+Inputs!$L$8*(((Inputs!$I$8+(((A88)+1)/2)*(Inputs!$J$8-Inputs!$I$8)))/Inputs!$K$8)^2)</x:f>
        <x:v>112.28588499999998</x:v>
      </x:c>
      <x:c r="AC88" s="48" t="n">
        <x:f>(Inputs!$H$9+Inputs!$L$9*(((Inputs!$I$9+(((A88)+1)/2)*(Inputs!$J$9-Inputs!$I$9)))/Inputs!$K$9)^2)</x:f>
        <x:v>103.08677499999997</x:v>
      </x:c>
      <x:c r="AD88" s="49"/>
      <x:c r="AE88" s="48" t="n">
        <x:f>A88</x:f>
        <x:v>-0.283</x:v>
      </x:c>
      <x:c r="AF88" s="48" t="n">
        <x:f>(((SQRT((Inputs!$C$52+((Inputs!$H$6+Inputs!$L$6*(((Inputs!$I$6+(((A88)+1)/2)*(Inputs!$J$6-Inputs!$I$6)))/Inputs!$K$6)^2)))^2+Inputs!$C$52^2-2*(Inputs!$C$52+((Inputs!$H$6+Inputs!$L$6*(((Inputs!$I$6+(((A88)+1)/2)*(Inputs!$J$6-Inputs!$I$6)))/Inputs!$K$6)^2)))*Inputs!$C$52*COS(SQRT(((Inputs!$I$6+(((A88)+1)/2)*(Inputs!$J$6-Inputs!$I$6)))^2+Inputs!$C$6^2)/Inputs!$C$52)))-((Inputs!$H$6+Inputs!$L$6*(((Inputs!$I$6+(((A88)+1)/2)*(Inputs!$J$6-Inputs!$I$6)))/Inputs!$K$6)^2)))*1000/Inputs!$C$12)</x:f>
        <x:v>803.7732203479081</x:v>
      </x:c>
      <x:c r="AG88" s="48" t="n">
        <x:f>(((SQRT((Inputs!$C$52+((Inputs!$H$7+Inputs!$L$7*(((Inputs!$I$7+(((A88)+1)/2)*(Inputs!$J$7-Inputs!$I$7)))/Inputs!$K$7)^2)))^2+Inputs!$C$52^2-2*(Inputs!$C$52+((Inputs!$H$7+Inputs!$L$7*(((Inputs!$I$7+(((A88)+1)/2)*(Inputs!$J$7-Inputs!$I$7)))/Inputs!$K$7)^2)))*Inputs!$C$52*COS(SQRT(((Inputs!$I$7+(((A88)+1)/2)*(Inputs!$J$7-Inputs!$I$7)))^2+Inputs!$C$6^2)/Inputs!$C$52)))-((Inputs!$H$7+Inputs!$L$7*(((Inputs!$I$7+(((A88)+1)/2)*(Inputs!$J$7-Inputs!$I$7)))/Inputs!$K$7)^2)))*1000/Inputs!$C$12)</x:f>
        <x:v>39520.902450731875</x:v>
      </x:c>
      <x:c r="AH88" s="48" t="n">
        <x:f>(((SQRT((Inputs!$C$52+((Inputs!$H$8+Inputs!$L$8*(((Inputs!$I$8+(((A88)+1)/2)*(Inputs!$J$8-Inputs!$I$8)))/Inputs!$K$8)^2)))^2+Inputs!$C$52^2-2*(Inputs!$C$52+((Inputs!$H$8+Inputs!$L$8*(((Inputs!$I$8+(((A88)+1)/2)*(Inputs!$J$8-Inputs!$I$8)))/Inputs!$K$8)^2)))*Inputs!$C$52*COS(SQRT(((Inputs!$I$8+(((A88)+1)/2)*(Inputs!$J$8-Inputs!$I$8)))^2+Inputs!$C$6^2)/Inputs!$C$52)))-((Inputs!$H$8+Inputs!$L$8*(((Inputs!$I$8+(((A88)+1)/2)*(Inputs!$J$8-Inputs!$I$8)))/Inputs!$K$8)^2)))*1000/Inputs!$C$12)</x:f>
        <x:v>83550.37669555005</x:v>
      </x:c>
      <x:c r="AI88" s="48" t="n">
        <x:f>(((SQRT((Inputs!$C$52+((Inputs!$H$9+Inputs!$L$9*(((Inputs!$I$9+(((A88)+1)/2)*(Inputs!$J$9-Inputs!$I$9)))/Inputs!$K$9)^2)))^2+Inputs!$C$52^2-2*(Inputs!$C$52+((Inputs!$H$9+Inputs!$L$9*(((Inputs!$I$9+(((A88)+1)/2)*(Inputs!$J$9-Inputs!$I$9)))/Inputs!$K$9)^2)))*Inputs!$C$52*COS(SQRT(((Inputs!$I$9+(((A88)+1)/2)*(Inputs!$J$9-Inputs!$I$9)))^2+Inputs!$C$6^2)/Inputs!$C$52)))-((Inputs!$H$9+Inputs!$L$9*(((Inputs!$I$9+(((A88)+1)/2)*(Inputs!$J$9-Inputs!$I$9)))/Inputs!$K$9)^2)))*1000/Inputs!$C$12)</x:f>
        <x:v>86236.66478647693</x:v>
      </x:c>
      <x:c r="AJ88" s="49"/>
      <x:c r="AK88" s="48" t="n">
        <x:f>A88</x:f>
        <x:v>-0.283</x:v>
      </x:c>
      <x:c r="AL88" s="48" t="n">
        <x: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x:f>
        <x:v>145.1654231364553</x:v>
      </x:c>
      <x:c r="AM88" s="48" t="n">
        <x: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x:f>
        <x:v>1820.7472062686497</x:v>
      </x:c>
      <x:c r="AN88" s="48" t="n">
        <x: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x:f>
        <x:v>2021.8172313671027</x:v>
      </x:c>
      <x:c r="AO88" s="48" t="n">
        <x: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x:f>
        <x:v>2014.4506510814815</x:v>
      </x:c>
      <x:c r="AP88" s="49"/>
      <x:c r="AQ88" s="48" t="n">
        <x:f>A88</x:f>
        <x:v>-0.283</x:v>
      </x:c>
      <x:c r="AR88" s="48" t="n">
        <x:f>0</x:f>
        <x:v>0</x:v>
      </x:c>
      <x:c r="AS88" s="48" t="n">
        <x: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(0.45*SIN(2*PI()*((((Inputs!$I$6+(((A88)+1)/2)*(Inputs!$J$6-Inputs!$I$6)))/Inputs!$C$49)+Inputs!$C$47*0.137))+0.35*COS(2*PI()*(((Inputs!$C$6)/Inputs!$C$50)+Inputs!$C$47*0.173))+0.20*SIN(2*PI()*((((Inputs!$I$6+(((A88)+1)/2)*(Inputs!$J$6-Inputs!$I$6)))+(Inputs!$C$6))/(0.5*(Inputs!$C$49+Inputs!$C$50))+Inputs!$C$47*0.097)))+0.30*(2*((SIN((((Inputs!$I$6+(((A88)+1)/2)*(Inputs!$J$6-Inputs!$I$6)))*12.9898+(Inputs!$C$6)*78.233+Inputs!$C$47*37.719))*43758.5453)-INT((SIN((((Inputs!$I$6+(((A88)+1)/2)*(Inputs!$J$6-Inputs!$I$6)))*12.9898+(Inputs!$C$6)*78.233+Inputs!$C$47*37.719))*43758.5453)))-1))),NA())</x:f>
        <x:v>391.83521152426374</x:v>
      </x:c>
      <x:c r="AT88" s="48" t="n">
        <x: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(0.45*SIN(2*PI()*((((Inputs!$I$7+(((A88)+1)/2)*(Inputs!$J$7-Inputs!$I$7)))/Inputs!$C$49)+Inputs!$C$47*0.137))+0.35*COS(2*PI()*(((Inputs!$C$6)/Inputs!$C$50)+Inputs!$C$47*0.173))+0.20*SIN(2*PI()*((((Inputs!$I$7+(((A88)+1)/2)*(Inputs!$J$7-Inputs!$I$7)))+(Inputs!$C$6))/(0.5*(Inputs!$C$49+Inputs!$C$50))+Inputs!$C$47*0.097)))+0.30*(2*((SIN((((Inputs!$I$7+(((A88)+1)/2)*(Inputs!$J$7-Inputs!$I$7)))*12.9898+(Inputs!$C$6)*78.233+Inputs!$C$47*37.719))*43758.5453)-INT((SIN((((Inputs!$I$7+(((A88)+1)/2)*(Inputs!$J$7-Inputs!$I$7)))*12.9898+(Inputs!$C$6)*78.233+Inputs!$C$47*37.719))*43758.5453)))-1))),NA())</x:f>
        <x:v>106.97667359655283</x:v>
      </x:c>
      <x:c r="AU88" s="48" t="n">
        <x: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(0.45*SIN(2*PI()*((((Inputs!$I$8+(((A88)+1)/2)*(Inputs!$J$8-Inputs!$I$8)))/Inputs!$C$49)+Inputs!$C$47*0.137))+0.35*COS(2*PI()*(((Inputs!$C$6)/Inputs!$C$50)+Inputs!$C$47*0.173))+0.20*SIN(2*PI()*((((Inputs!$I$8+(((A88)+1)/2)*(Inputs!$J$8-Inputs!$I$8)))+(Inputs!$C$6))/(0.5*(Inputs!$C$49+Inputs!$C$50))+Inputs!$C$47*0.097)))+0.30*(2*((SIN((((Inputs!$I$8+(((A88)+1)/2)*(Inputs!$J$8-Inputs!$I$8)))*12.9898+(Inputs!$C$6)*78.233+Inputs!$C$47*37.719))*43758.5453)-INT((SIN((((Inputs!$I$8+(((A88)+1)/2)*(Inputs!$J$8-Inputs!$I$8)))*12.9898+(Inputs!$C$6)*78.233+Inputs!$C$47*37.719))*43758.5453)))-1))),NA())</x:f>
        <x:v>144.72885879136467</x:v>
      </x:c>
      <x:c r="AV88" s="48" t="n">
        <x: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(0.45*SIN(2*PI()*((((Inputs!$I$9+(((A88)+1)/2)*(Inputs!$J$9-Inputs!$I$9)))/Inputs!$C$49)+Inputs!$C$47*0.137))+0.35*COS(2*PI()*(((Inputs!$C$6)/Inputs!$C$50)+Inputs!$C$47*0.173))+0.20*SIN(2*PI()*((((Inputs!$I$9+(((A88)+1)/2)*(Inputs!$J$9-Inputs!$I$9)))+(Inputs!$C$6))/(0.5*(Inputs!$C$49+Inputs!$C$50))+Inputs!$C$47*0.097)))+0.30*(2*((SIN((((Inputs!$I$9+(((A88)+1)/2)*(Inputs!$J$9-Inputs!$I$9)))*12.9898+(Inputs!$C$6)*78.233+Inputs!$C$47*37.719))*43758.5453)-INT((SIN((((Inputs!$I$9+(((A88)+1)/2)*(Inputs!$J$9-Inputs!$I$9)))*12.9898+(Inputs!$C$6)*78.233+Inputs!$C$47*37.719))*43758.5453)))-1))),NA())</x:f>
        <x:v>144.72885879136467</x:v>
      </x:c>
      <x:c r="AW88" s="49"/>
      <x:c r="AX88" s="48" t="n">
        <x:f>A88</x:f>
        <x:v>-0.283</x:v>
      </x:c>
      <x:c r="AY88" s="48" t="n">
        <x:f>0</x:f>
        <x:v>0</x:v>
      </x:c>
      <x:c r="AZ88" s="48" t="n">
        <x:f>IF(OR(Inputs!$F$6=TRUE,Inputs!$F$6="TRUE",Inputs!$F$6=1),(Inputs!$H$6+Inputs!$L$6*(((Inputs!$I$6+(((A88)+1)/2)*(Inputs!$J$6-Inputs!$I$6)))/Inputs!$K$6)^2),NA())</x:f>
        <x:v>400.320356</x:v>
      </x:c>
      <x:c r="BA88" s="48" t="n">
        <x:f>IF(OR(Inputs!$F$7=TRUE,Inputs!$F$7="TRUE",Inputs!$F$7=1),(Inputs!$H$7+Inputs!$L$7*(((Inputs!$I$7+(((A88)+1)/2)*(Inputs!$J$7-Inputs!$I$7)))/Inputs!$K$7)^2),NA())</x:f>
        <x:v>64.232485</x:v>
      </x:c>
      <x:c r="BB88" s="48" t="n">
        <x:f>IF(OR(Inputs!$F$8=TRUE,Inputs!$F$8="TRUE",Inputs!$F$8=1),(Inputs!$H$8+Inputs!$L$8*(((Inputs!$I$8+(((A88)+1)/2)*(Inputs!$J$8-Inputs!$I$8)))/Inputs!$K$8)^2),NA())</x:f>
        <x:v>112.28588499999998</x:v>
      </x:c>
      <x:c r="BC88" s="48" t="n">
        <x:f>IF(OR(Inputs!$F$9=TRUE,Inputs!$F$9="TRUE",Inputs!$F$9=1),(Inputs!$H$9+Inputs!$L$9*(((Inputs!$I$9+(((A88)+1)/2)*(Inputs!$J$9-Inputs!$I$9)))/Inputs!$K$9)^2),NA())</x:f>
        <x:v>103.08677499999997</x:v>
      </x:c>
      <x:c r="BD88" s="49"/>
      <x:c r="BE88" s="48" t="n">
        <x:f>A88</x:f>
        <x:v>-0.283</x:v>
      </x:c>
      <x:c r="BF88" s="48" t="n">
        <x:f>0</x:f>
        <x:v>0</x:v>
      </x:c>
      <x:c r="BG88" s="48"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BH88" s="48"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BI88" s="48"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BJ88" s="48"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row>
    <x:row r="89">
      <x:c r="A89" s="48" t="n">
        <x:f>ROUND(-1+87*2/240,3)</x:f>
        <x:v>-0.275</x:v>
      </x:c>
      <x:c r="B89" s="48" t="n">
        <x:f>IF(OR(Inputs!$F$6=TRUE,Inputs!$F$6="TRUE",Inputs!$F$6=1),(Inputs!$H$6+Inputs!$L$6*(((Inputs!$I$6+(((A89)+1)/2)*(Inputs!$J$6-Inputs!$I$6)))/Inputs!$K$6)^2),NA())</x:f>
        <x:v>400.3025</x:v>
      </x:c>
      <x:c r="C89" s="48" t="n">
        <x:f>IF(OR(Inputs!$F$7=TRUE,Inputs!$F$7="TRUE",Inputs!$F$7=1),(Inputs!$H$7+Inputs!$L$7*(((Inputs!$I$7+(((A89)+1)/2)*(Inputs!$J$7-Inputs!$I$7)))/Inputs!$K$7)^2),NA())</x:f>
        <x:v>62.603125000000006</x:v>
      </x:c>
      <x:c r="D89" s="48" t="n">
        <x:f>IF(OR(Inputs!$F$8=TRUE,Inputs!$F$8="TRUE",Inputs!$F$8=1),(Inputs!$H$8+Inputs!$L$8*(((Inputs!$I$8+(((A89)+1)/2)*(Inputs!$J$8-Inputs!$I$8)))/Inputs!$K$8)^2),NA())</x:f>
        <x:v>107.978125</x:v>
      </x:c>
      <x:c r="E89" s="48" t="n">
        <x:f>IF(OR(Inputs!$F$9=TRUE,Inputs!$F$9="TRUE",Inputs!$F$9=1),(Inputs!$H$9+Inputs!$L$9*(((Inputs!$I$9+(((A89)+1)/2)*(Inputs!$J$9-Inputs!$I$9)))/Inputs!$K$9)^2),NA())</x:f>
        <x:v>98.73437500000001</x:v>
      </x:c>
      <x:c r="F89" s="49"/>
      <x:c r="G89" s="48" t="n">
        <x:f>A89</x:f>
        <x:v>-0.275</x:v>
      </x:c>
      <x:c r="H89" s="48"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I89" s="48"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J89" s="48"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K89" s="48"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c r="L89" s="49"/>
      <x:c r="M89" s="48" t="n">
        <x:f>A89</x:f>
        <x:v>-0.275</x:v>
      </x:c>
      <x:c r="N89" s="48" t="n">
        <x: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x:f>
        <x:v>141.0728634798053</x:v>
      </x:c>
      <x:c r="O89" s="48" t="n">
        <x: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x:f>
        <x:v>1805.5451664153147</x:v>
      </x:c>
      <x:c r="P89" s="48" t="n">
        <x: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x:f>
        <x:v>2001.7212437803278</x:v>
      </x:c>
      <x:c r="Q89" s="48" t="n">
        <x: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x:f>
        <x:v>1994.286498187793</x:v>
      </x:c>
      <x:c r="R89" s="49"/>
      <x:c r="S89" s="48" t="n">
        <x:f>A89</x:f>
        <x:v>-0.275</x:v>
      </x:c>
      <x:c r="T89" s="48" t="n">
        <x:f>(Inputs!$I$6+(((A89)+1)/2)*(Inputs!$J$6-Inputs!$I$6))</x:f>
        <x:v>-16.5</x:v>
      </x:c>
      <x:c r="U89" s="48" t="n">
        <x:f>(Inputs!$I$7+(((A89)+1)/2)*(Inputs!$J$7-Inputs!$I$7))</x:f>
        <x:v>-110</x:v>
      </x:c>
      <x:c r="V89" s="48" t="n">
        <x:f>(Inputs!$I$8+(((A89)+1)/2)*(Inputs!$J$8-Inputs!$I$8))</x:f>
        <x:v>-220</x:v>
      </x:c>
      <x:c r="W89" s="48" t="n">
        <x:f>(Inputs!$I$9+(((A89)+1)/2)*(Inputs!$J$9-Inputs!$I$9))</x:f>
        <x:v>-220</x:v>
      </x:c>
      <x:c r="X89" s="49"/>
      <x:c r="Y89" s="48" t="n">
        <x:f>A89</x:f>
        <x:v>-0.275</x:v>
      </x:c>
      <x:c r="Z89" s="48" t="n">
        <x:f>(Inputs!$H$6+Inputs!$L$6*(((Inputs!$I$6+(((A89)+1)/2)*(Inputs!$J$6-Inputs!$I$6)))/Inputs!$K$6)^2)</x:f>
        <x:v>400.3025</x:v>
      </x:c>
      <x:c r="AA89" s="48" t="n">
        <x:f>(Inputs!$H$7+Inputs!$L$7*(((Inputs!$I$7+(((A89)+1)/2)*(Inputs!$J$7-Inputs!$I$7)))/Inputs!$K$7)^2)</x:f>
        <x:v>62.603125000000006</x:v>
      </x:c>
      <x:c r="AB89" s="48" t="n">
        <x:f>(Inputs!$H$8+Inputs!$L$8*(((Inputs!$I$8+(((A89)+1)/2)*(Inputs!$J$8-Inputs!$I$8)))/Inputs!$K$8)^2)</x:f>
        <x:v>107.978125</x:v>
      </x:c>
      <x:c r="AC89" s="48" t="n">
        <x:f>(Inputs!$H$9+Inputs!$L$9*(((Inputs!$I$9+(((A89)+1)/2)*(Inputs!$J$9-Inputs!$I$9)))/Inputs!$K$9)^2)</x:f>
        <x:v>98.73437500000001</x:v>
      </x:c>
      <x:c r="AD89" s="49"/>
      <x:c r="AE89" s="48" t="n">
        <x:f>A89</x:f>
        <x:v>-0.275</x:v>
      </x:c>
      <x:c r="AF89" s="48" t="n">
        <x:f>(((SQRT((Inputs!$C$52+((Inputs!$H$6+Inputs!$L$6*(((Inputs!$I$6+(((A89)+1)/2)*(Inputs!$J$6-Inputs!$I$6)))/Inputs!$K$6)^2)))^2+Inputs!$C$52^2-2*(Inputs!$C$52+((Inputs!$H$6+Inputs!$L$6*(((Inputs!$I$6+(((A89)+1)/2)*(Inputs!$J$6-Inputs!$I$6)))/Inputs!$K$6)^2)))*Inputs!$C$52*COS(SQRT(((Inputs!$I$6+(((A89)+1)/2)*(Inputs!$J$6-Inputs!$I$6)))^2+Inputs!$C$6^2)/Inputs!$C$52)))-((Inputs!$H$6+Inputs!$L$6*(((Inputs!$I$6+(((A89)+1)/2)*(Inputs!$J$6-Inputs!$I$6)))/Inputs!$K$6)^2)))*1000/Inputs!$C$12)</x:f>
        <x:v>789.6834635919838</x:v>
      </x:c>
      <x:c r="AG89" s="48" t="n">
        <x:f>(((SQRT((Inputs!$C$52+((Inputs!$H$7+Inputs!$L$7*(((Inputs!$I$7+(((A89)+1)/2)*(Inputs!$J$7-Inputs!$I$7)))/Inputs!$K$7)^2)))^2+Inputs!$C$52^2-2*(Inputs!$C$52+((Inputs!$H$7+Inputs!$L$7*(((Inputs!$I$7+(((A89)+1)/2)*(Inputs!$J$7-Inputs!$I$7)))/Inputs!$K$7)^2)))*Inputs!$C$52*COS(SQRT(((Inputs!$I$7+(((A89)+1)/2)*(Inputs!$J$7-Inputs!$I$7)))^2+Inputs!$C$6^2)/Inputs!$C$52)))-((Inputs!$H$7+Inputs!$L$7*(((Inputs!$I$7+(((A89)+1)/2)*(Inputs!$J$7-Inputs!$I$7)))/Inputs!$K$7)^2)))*1000/Inputs!$C$12)</x:f>
        <x:v>38399.01625194975</x:v>
      </x:c>
      <x:c r="AH89" s="48" t="n">
        <x:f>(((SQRT((Inputs!$C$52+((Inputs!$H$8+Inputs!$L$8*(((Inputs!$I$8+(((A89)+1)/2)*(Inputs!$J$8-Inputs!$I$8)))/Inputs!$K$8)^2)))^2+Inputs!$C$52^2-2*(Inputs!$C$52+((Inputs!$H$8+Inputs!$L$8*(((Inputs!$I$8+(((A89)+1)/2)*(Inputs!$J$8-Inputs!$I$8)))/Inputs!$K$8)^2)))*Inputs!$C$52*COS(SQRT(((Inputs!$I$8+(((A89)+1)/2)*(Inputs!$J$8-Inputs!$I$8)))^2+Inputs!$C$6^2)/Inputs!$C$52)))-((Inputs!$H$8+Inputs!$L$8*(((Inputs!$I$8+(((A89)+1)/2)*(Inputs!$J$8-Inputs!$I$8)))/Inputs!$K$8)^2)))*1000/Inputs!$C$12)</x:f>
        <x:v>81449.69217407827</x:v>
      </x:c>
      <x:c r="AI89" s="48" t="n">
        <x:f>(((SQRT((Inputs!$C$52+((Inputs!$H$9+Inputs!$L$9*(((Inputs!$I$9+(((A89)+1)/2)*(Inputs!$J$9-Inputs!$I$9)))/Inputs!$K$9)^2)))^2+Inputs!$C$52^2-2*(Inputs!$C$52+((Inputs!$H$9+Inputs!$L$9*(((Inputs!$I$9+(((A89)+1)/2)*(Inputs!$J$9-Inputs!$I$9)))/Inputs!$K$9)^2)))*Inputs!$C$52*COS(SQRT(((Inputs!$I$9+(((A89)+1)/2)*(Inputs!$J$9-Inputs!$I$9)))^2+Inputs!$C$6^2)/Inputs!$C$52)))-((Inputs!$H$9+Inputs!$L$9*(((Inputs!$I$9+(((A89)+1)/2)*(Inputs!$J$9-Inputs!$I$9)))/Inputs!$K$9)^2)))*1000/Inputs!$C$12)</x:f>
        <x:v>84177.69817688927</x:v>
      </x:c>
      <x:c r="AJ89" s="49"/>
      <x:c r="AK89" s="48" t="n">
        <x:f>A89</x:f>
        <x:v>-0.275</x:v>
      </x:c>
      <x:c r="AL89" s="48" t="n">
        <x: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x:f>
        <x:v>141.0728634798053</x:v>
      </x:c>
      <x:c r="AM89" s="48" t="n">
        <x: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x:f>
        <x:v>1805.5451664153147</x:v>
      </x:c>
      <x:c r="AN89" s="48" t="n">
        <x: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x:f>
        <x:v>2001.7212437803278</x:v>
      </x:c>
      <x:c r="AO89" s="48" t="n">
        <x: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x:f>
        <x:v>1994.286498187793</x:v>
      </x:c>
      <x:c r="AP89" s="49"/>
      <x:c r="AQ89" s="48" t="n">
        <x:f>A89</x:f>
        <x:v>-0.275</x:v>
      </x:c>
      <x:c r="AR89" s="48" t="n">
        <x:f>0</x:f>
        <x:v>0</x:v>
      </x:c>
      <x:c r="AS89" s="48" t="n">
        <x: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(0.45*SIN(2*PI()*((((Inputs!$I$6+(((A89)+1)/2)*(Inputs!$J$6-Inputs!$I$6)))/Inputs!$C$49)+Inputs!$C$47*0.137))+0.35*COS(2*PI()*(((Inputs!$C$6)/Inputs!$C$50)+Inputs!$C$47*0.173))+0.20*SIN(2*PI()*((((Inputs!$I$6+(((A89)+1)/2)*(Inputs!$J$6-Inputs!$I$6)))+(Inputs!$C$6))/(0.5*(Inputs!$C$49+Inputs!$C$50))+Inputs!$C$47*0.097)))+0.30*(2*((SIN((((Inputs!$I$6+(((A89)+1)/2)*(Inputs!$J$6-Inputs!$I$6)))*12.9898+(Inputs!$C$6)*78.233+Inputs!$C$47*37.719))*43758.5453)-INT((SIN((((Inputs!$I$6+(((A89)+1)/2)*(Inputs!$J$6-Inputs!$I$6)))*12.9898+(Inputs!$C$6)*78.233+Inputs!$C$47*37.719))*43758.5453)))-1))),NA())</x:f>
        <x:v>387.1431058674635</x:v>
      </x:c>
      <x:c r="AT89" s="48" t="n">
        <x: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(0.45*SIN(2*PI()*((((Inputs!$I$7+(((A89)+1)/2)*(Inputs!$J$7-Inputs!$I$7)))/Inputs!$C$49)+Inputs!$C$47*0.137))+0.35*COS(2*PI()*(((Inputs!$C$6)/Inputs!$C$50)+Inputs!$C$47*0.173))+0.20*SIN(2*PI()*((((Inputs!$I$7+(((A89)+1)/2)*(Inputs!$J$7-Inputs!$I$7)))+(Inputs!$C$6))/(0.5*(Inputs!$C$49+Inputs!$C$50))+Inputs!$C$47*0.097)))+0.30*(2*((SIN((((Inputs!$I$7+(((A89)+1)/2)*(Inputs!$J$7-Inputs!$I$7)))*12.9898+(Inputs!$C$6)*78.233+Inputs!$C$47*37.719))*43758.5453)-INT((SIN((((Inputs!$I$7+(((A89)+1)/2)*(Inputs!$J$7-Inputs!$I$7)))*12.9898+(Inputs!$C$6)*78.233+Inputs!$C$47*37.719))*43758.5453)))-1))),NA())</x:f>
        <x:v>119.85391272646716</x:v>
      </x:c>
      <x:c r="AU89" s="48" t="n">
        <x: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(0.45*SIN(2*PI()*((((Inputs!$I$8+(((A89)+1)/2)*(Inputs!$J$8-Inputs!$I$8)))/Inputs!$C$49)+Inputs!$C$47*0.137))+0.35*COS(2*PI()*(((Inputs!$C$6)/Inputs!$C$50)+Inputs!$C$47*0.173))+0.20*SIN(2*PI()*((((Inputs!$I$8+(((A89)+1)/2)*(Inputs!$J$8-Inputs!$I$8)))+(Inputs!$C$6))/(0.5*(Inputs!$C$49+Inputs!$C$50))+Inputs!$C$47*0.097)))+0.30*(2*((SIN((((Inputs!$I$8+(((A89)+1)/2)*(Inputs!$J$8-Inputs!$I$8)))*12.9898+(Inputs!$C$6)*78.233+Inputs!$C$47*37.719))*43758.5453)-INT((SIN((((Inputs!$I$8+(((A89)+1)/2)*(Inputs!$J$8-Inputs!$I$8)))*12.9898+(Inputs!$C$6)*78.233+Inputs!$C$47*37.719))*43758.5453)))-1))),NA())</x:f>
        <x:v>59.09231307218772</x:v>
      </x:c>
      <x:c r="AV89" s="48" t="n">
        <x: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(0.45*SIN(2*PI()*((((Inputs!$I$9+(((A89)+1)/2)*(Inputs!$J$9-Inputs!$I$9)))/Inputs!$C$49)+Inputs!$C$47*0.137))+0.35*COS(2*PI()*(((Inputs!$C$6)/Inputs!$C$50)+Inputs!$C$47*0.173))+0.20*SIN(2*PI()*((((Inputs!$I$9+(((A89)+1)/2)*(Inputs!$J$9-Inputs!$I$9)))+(Inputs!$C$6))/(0.5*(Inputs!$C$49+Inputs!$C$50))+Inputs!$C$47*0.097)))+0.30*(2*((SIN((((Inputs!$I$9+(((A89)+1)/2)*(Inputs!$J$9-Inputs!$I$9)))*12.9898+(Inputs!$C$6)*78.233+Inputs!$C$47*37.719))*43758.5453)-INT((SIN((((Inputs!$I$9+(((A89)+1)/2)*(Inputs!$J$9-Inputs!$I$9)))*12.9898+(Inputs!$C$6)*78.233+Inputs!$C$47*37.719))*43758.5453)))-1))),NA())</x:f>
        <x:v>59.09231307218772</x:v>
      </x:c>
      <x:c r="AW89" s="49"/>
      <x:c r="AX89" s="48" t="n">
        <x:f>A89</x:f>
        <x:v>-0.275</x:v>
      </x:c>
      <x:c r="AY89" s="48" t="n">
        <x:f>0</x:f>
        <x:v>0</x:v>
      </x:c>
      <x:c r="AZ89" s="48" t="n">
        <x:f>IF(OR(Inputs!$F$6=TRUE,Inputs!$F$6="TRUE",Inputs!$F$6=1),(Inputs!$H$6+Inputs!$L$6*(((Inputs!$I$6+(((A89)+1)/2)*(Inputs!$J$6-Inputs!$I$6)))/Inputs!$K$6)^2),NA())</x:f>
        <x:v>400.3025</x:v>
      </x:c>
      <x:c r="BA89" s="48" t="n">
        <x:f>IF(OR(Inputs!$F$7=TRUE,Inputs!$F$7="TRUE",Inputs!$F$7=1),(Inputs!$H$7+Inputs!$L$7*(((Inputs!$I$7+(((A89)+1)/2)*(Inputs!$J$7-Inputs!$I$7)))/Inputs!$K$7)^2),NA())</x:f>
        <x:v>62.603125000000006</x:v>
      </x:c>
      <x:c r="BB89" s="48" t="n">
        <x:f>IF(OR(Inputs!$F$8=TRUE,Inputs!$F$8="TRUE",Inputs!$F$8=1),(Inputs!$H$8+Inputs!$L$8*(((Inputs!$I$8+(((A89)+1)/2)*(Inputs!$J$8-Inputs!$I$8)))/Inputs!$K$8)^2),NA())</x:f>
        <x:v>107.978125</x:v>
      </x:c>
      <x:c r="BC89" s="48" t="n">
        <x:f>IF(OR(Inputs!$F$9=TRUE,Inputs!$F$9="TRUE",Inputs!$F$9=1),(Inputs!$H$9+Inputs!$L$9*(((Inputs!$I$9+(((A89)+1)/2)*(Inputs!$J$9-Inputs!$I$9)))/Inputs!$K$9)^2),NA())</x:f>
        <x:v>98.73437500000001</x:v>
      </x:c>
      <x:c r="BD89" s="49"/>
      <x:c r="BE89" s="48" t="n">
        <x:f>A89</x:f>
        <x:v>-0.275</x:v>
      </x:c>
      <x:c r="BF89" s="48" t="n">
        <x:f>0</x:f>
        <x:v>0</x:v>
      </x:c>
      <x:c r="BG89" s="48"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BH89" s="48"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BI89" s="48"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BJ89" s="48"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row>
    <x:row r="90">
      <x:c r="A90" s="48" t="n">
        <x:f>ROUND(-1+88*2/240,3)</x:f>
        <x:v>-0.267</x:v>
      </x:c>
      <x:c r="B90" s="48" t="n">
        <x:f>IF(OR(Inputs!$F$6=TRUE,Inputs!$F$6="TRUE",Inputs!$F$6=1),(Inputs!$H$6+Inputs!$L$6*(((Inputs!$I$6+(((A90)+1)/2)*(Inputs!$J$6-Inputs!$I$6)))/Inputs!$K$6)^2),NA())</x:f>
        <x:v>400.285156</x:v>
      </x:c>
      <x:c r="C90" s="48" t="n">
        <x:f>IF(OR(Inputs!$F$7=TRUE,Inputs!$F$7="TRUE",Inputs!$F$7=1),(Inputs!$H$7+Inputs!$L$7*(((Inputs!$I$7+(((A90)+1)/2)*(Inputs!$J$7-Inputs!$I$7)))/Inputs!$K$7)^2),NA())</x:f>
        <x:v>61.020485</x:v>
      </x:c>
      <x:c r="D90" s="48" t="n">
        <x:f>IF(OR(Inputs!$F$8=TRUE,Inputs!$F$8="TRUE",Inputs!$F$8=1),(Inputs!$H$8+Inputs!$L$8*(((Inputs!$I$8+(((A90)+1)/2)*(Inputs!$J$8-Inputs!$I$8)))/Inputs!$K$8)^2),NA())</x:f>
        <x:v>103.793885</x:v>
      </x:c>
      <x:c r="E90" s="48" t="n">
        <x:f>IF(OR(Inputs!$F$9=TRUE,Inputs!$F$9="TRUE",Inputs!$F$9=1),(Inputs!$H$9+Inputs!$L$9*(((Inputs!$I$9+(((A90)+1)/2)*(Inputs!$J$9-Inputs!$I$9)))/Inputs!$K$9)^2),NA())</x:f>
        <x:v>94.506775</x:v>
      </x:c>
      <x:c r="F90" s="49"/>
      <x:c r="G90" s="48" t="n">
        <x:f>A90</x:f>
        <x:v>-0.267</x:v>
      </x:c>
      <x:c r="H90" s="48"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I90" s="48"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J90" s="48"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K90" s="48"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c r="L90" s="49"/>
      <x:c r="M90" s="48" t="n">
        <x:f>A90</x:f>
        <x:v>-0.267</x:v>
      </x:c>
      <x:c r="N90" s="48" t="n">
        <x: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x:f>
        <x:v>136.9793560163955</x:v>
      </x:c>
      <x:c r="O90" s="48" t="n">
        <x: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x:f>
        <x:v>1790.173169189157</x:v>
      </x:c>
      <x:c r="P90" s="48" t="n">
        <x: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x:f>
        <x:v>1981.9171770542725</x:v>
      </x:c>
      <x:c r="Q90" s="48" t="n">
        <x: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x:f>
        <x:v>1974.4623337460125</x:v>
      </x:c>
      <x:c r="R90" s="49"/>
      <x:c r="S90" s="48" t="n">
        <x:f>A90</x:f>
        <x:v>-0.267</x:v>
      </x:c>
      <x:c r="T90" s="48" t="n">
        <x:f>(Inputs!$I$6+(((A90)+1)/2)*(Inputs!$J$6-Inputs!$I$6))</x:f>
        <x:v>-16.020000000000003</x:v>
      </x:c>
      <x:c r="U90" s="48" t="n">
        <x:f>(Inputs!$I$7+(((A90)+1)/2)*(Inputs!$J$7-Inputs!$I$7))</x:f>
        <x:v>-106.80000000000001</x:v>
      </x:c>
      <x:c r="V90" s="48" t="n">
        <x:f>(Inputs!$I$8+(((A90)+1)/2)*(Inputs!$J$8-Inputs!$I$8))</x:f>
        <x:v>-213.60000000000002</x:v>
      </x:c>
      <x:c r="W90" s="48" t="n">
        <x:f>(Inputs!$I$9+(((A90)+1)/2)*(Inputs!$J$9-Inputs!$I$9))</x:f>
        <x:v>-213.60000000000002</x:v>
      </x:c>
      <x:c r="X90" s="49"/>
      <x:c r="Y90" s="48" t="n">
        <x:f>A90</x:f>
        <x:v>-0.267</x:v>
      </x:c>
      <x:c r="Z90" s="48" t="n">
        <x:f>(Inputs!$H$6+Inputs!$L$6*(((Inputs!$I$6+(((A90)+1)/2)*(Inputs!$J$6-Inputs!$I$6)))/Inputs!$K$6)^2)</x:f>
        <x:v>400.285156</x:v>
      </x:c>
      <x:c r="AA90" s="48" t="n">
        <x:f>(Inputs!$H$7+Inputs!$L$7*(((Inputs!$I$7+(((A90)+1)/2)*(Inputs!$J$7-Inputs!$I$7)))/Inputs!$K$7)^2)</x:f>
        <x:v>61.020485</x:v>
      </x:c>
      <x:c r="AB90" s="48" t="n">
        <x:f>(Inputs!$H$8+Inputs!$L$8*(((Inputs!$I$8+(((A90)+1)/2)*(Inputs!$J$8-Inputs!$I$8)))/Inputs!$K$8)^2)</x:f>
        <x:v>103.793885</x:v>
      </x:c>
      <x:c r="AC90" s="48" t="n">
        <x:f>(Inputs!$H$9+Inputs!$L$9*(((Inputs!$I$9+(((A90)+1)/2)*(Inputs!$J$9-Inputs!$I$9)))/Inputs!$K$9)^2)</x:f>
        <x:v>94.506775</x:v>
      </x:c>
      <x:c r="AD90" s="49"/>
      <x:c r="AE90" s="48" t="n">
        <x:f>A90</x:f>
        <x:v>-0.267</x:v>
      </x:c>
      <x:c r="AF90" s="48" t="n">
        <x:f>(((SQRT((Inputs!$C$52+((Inputs!$H$6+Inputs!$L$6*(((Inputs!$I$6+(((A90)+1)/2)*(Inputs!$J$6-Inputs!$I$6)))/Inputs!$K$6)^2)))^2+Inputs!$C$52^2-2*(Inputs!$C$52+((Inputs!$H$6+Inputs!$L$6*(((Inputs!$I$6+(((A90)+1)/2)*(Inputs!$J$6-Inputs!$I$6)))/Inputs!$K$6)^2)))*Inputs!$C$52*COS(SQRT(((Inputs!$I$6+(((A90)+1)/2)*(Inputs!$J$6-Inputs!$I$6)))^2+Inputs!$C$6^2)/Inputs!$C$52)))-((Inputs!$H$6+Inputs!$L$6*(((Inputs!$I$6+(((A90)+1)/2)*(Inputs!$J$6-Inputs!$I$6)))/Inputs!$K$6)^2)))*1000/Inputs!$C$12)</x:f>
        <x:v>775.995903883741</x:v>
      </x:c>
      <x:c r="AG90" s="48" t="n">
        <x:f>(((SQRT((Inputs!$C$52+((Inputs!$H$7+Inputs!$L$7*(((Inputs!$I$7+(((A90)+1)/2)*(Inputs!$J$7-Inputs!$I$7)))/Inputs!$K$7)^2)))^2+Inputs!$C$52^2-2*(Inputs!$C$52+((Inputs!$H$7+Inputs!$L$7*(((Inputs!$I$7+(((A90)+1)/2)*(Inputs!$J$7-Inputs!$I$7)))/Inputs!$K$7)^2)))*Inputs!$C$52*COS(SQRT(((Inputs!$I$7+(((A90)+1)/2)*(Inputs!$J$7-Inputs!$I$7)))^2+Inputs!$C$6^2)/Inputs!$C$52)))-((Inputs!$H$7+Inputs!$L$7*(((Inputs!$I$7+(((A90)+1)/2)*(Inputs!$J$7-Inputs!$I$7)))/Inputs!$K$7)^2)))*1000/Inputs!$C$12)</x:f>
        <x:v>37268.05555516209</x:v>
      </x:c>
      <x:c r="AH90" s="48" t="n">
        <x:f>(((SQRT((Inputs!$C$52+((Inputs!$H$8+Inputs!$L$8*(((Inputs!$I$8+(((A90)+1)/2)*(Inputs!$J$8-Inputs!$I$8)))/Inputs!$K$8)^2)))^2+Inputs!$C$52^2-2*(Inputs!$C$52+((Inputs!$H$8+Inputs!$L$8*(((Inputs!$I$8+(((A90)+1)/2)*(Inputs!$J$8-Inputs!$I$8)))/Inputs!$K$8)^2)))*Inputs!$C$52*COS(SQRT(((Inputs!$I$8+(((A90)+1)/2)*(Inputs!$J$8-Inputs!$I$8)))^2+Inputs!$C$6^2)/Inputs!$C$52)))-((Inputs!$H$8+Inputs!$L$8*(((Inputs!$I$8+(((A90)+1)/2)*(Inputs!$J$8-Inputs!$I$8)))/Inputs!$K$8)^2)))*1000/Inputs!$C$12)</x:f>
        <x:v>79324.44451991736</x:v>
      </x:c>
      <x:c r="AI90" s="48" t="n">
        <x:f>(((SQRT((Inputs!$C$52+((Inputs!$H$9+Inputs!$L$9*(((Inputs!$I$9+(((A90)+1)/2)*(Inputs!$J$9-Inputs!$I$9)))/Inputs!$K$9)^2)))^2+Inputs!$C$52^2-2*(Inputs!$C$52+((Inputs!$H$9+Inputs!$L$9*(((Inputs!$I$9+(((A90)+1)/2)*(Inputs!$J$9-Inputs!$I$9)))/Inputs!$K$9)^2)))*Inputs!$C$52*COS(SQRT(((Inputs!$I$9+(((A90)+1)/2)*(Inputs!$J$9-Inputs!$I$9)))^2+Inputs!$C$6^2)/Inputs!$C$52)))-((Inputs!$H$9+Inputs!$L$9*(((Inputs!$I$9+(((A90)+1)/2)*(Inputs!$J$9-Inputs!$I$9)))/Inputs!$K$9)^2)))*1000/Inputs!$C$12)</x:f>
        <x:v>82093.54940892188</x:v>
      </x:c>
      <x:c r="AJ90" s="49"/>
      <x:c r="AK90" s="48" t="n">
        <x:f>A90</x:f>
        <x:v>-0.267</x:v>
      </x:c>
      <x:c r="AL90" s="48" t="n">
        <x: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x:f>
        <x:v>136.9793560163955</x:v>
      </x:c>
      <x:c r="AM90" s="48" t="n">
        <x: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x:f>
        <x:v>1790.173169189157</x:v>
      </x:c>
      <x:c r="AN90" s="48" t="n">
        <x: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x:f>
        <x:v>1981.9171770542725</x:v>
      </x:c>
      <x:c r="AO90" s="48" t="n">
        <x: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x:f>
        <x:v>1974.4623337460125</x:v>
      </x:c>
      <x:c r="AP90" s="49"/>
      <x:c r="AQ90" s="48" t="n">
        <x:f>A90</x:f>
        <x:v>-0.267</x:v>
      </x:c>
      <x:c r="AR90" s="48" t="n">
        <x:f>0</x:f>
        <x:v>0</x:v>
      </x:c>
      <x:c r="AS90" s="48" t="n">
        <x: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(0.45*SIN(2*PI()*((((Inputs!$I$6+(((A90)+1)/2)*(Inputs!$J$6-Inputs!$I$6)))/Inputs!$C$49)+Inputs!$C$47*0.137))+0.35*COS(2*PI()*(((Inputs!$C$6)/Inputs!$C$50)+Inputs!$C$47*0.173))+0.20*SIN(2*PI()*((((Inputs!$I$6+(((A90)+1)/2)*(Inputs!$J$6-Inputs!$I$6)))+(Inputs!$C$6))/(0.5*(Inputs!$C$49+Inputs!$C$50))+Inputs!$C$47*0.097)))+0.30*(2*((SIN((((Inputs!$I$6+(((A90)+1)/2)*(Inputs!$J$6-Inputs!$I$6)))*12.9898+(Inputs!$C$6)*78.233+Inputs!$C$47*37.719))*43758.5453)-INT((SIN((((Inputs!$I$6+(((A90)+1)/2)*(Inputs!$J$6-Inputs!$I$6)))*12.9898+(Inputs!$C$6)*78.233+Inputs!$C$47*37.719))*43758.5453)))-1))),NA())</x:f>
        <x:v>411.95834992609537</x:v>
      </x:c>
      <x:c r="AT90" s="48" t="n">
        <x: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(0.45*SIN(2*PI()*((((Inputs!$I$7+(((A90)+1)/2)*(Inputs!$J$7-Inputs!$I$7)))/Inputs!$C$49)+Inputs!$C$47*0.137))+0.35*COS(2*PI()*(((Inputs!$C$6)/Inputs!$C$50)+Inputs!$C$47*0.173))+0.20*SIN(2*PI()*((((Inputs!$I$7+(((A90)+1)/2)*(Inputs!$J$7-Inputs!$I$7)))+(Inputs!$C$6))/(0.5*(Inputs!$C$49+Inputs!$C$50))+Inputs!$C$47*0.097)))+0.30*(2*((SIN((((Inputs!$I$7+(((A90)+1)/2)*(Inputs!$J$7-Inputs!$I$7)))*12.9898+(Inputs!$C$6)*78.233+Inputs!$C$47*37.719))*43758.5453)-INT((SIN((((Inputs!$I$7+(((A90)+1)/2)*(Inputs!$J$7-Inputs!$I$7)))*12.9898+(Inputs!$C$6)*78.233+Inputs!$C$47*37.719))*43758.5453)))-1))),NA())</x:f>
        <x:v>170.54952463049938</x:v>
      </x:c>
      <x:c r="AU90" s="48" t="n">
        <x: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(0.45*SIN(2*PI()*((((Inputs!$I$8+(((A90)+1)/2)*(Inputs!$J$8-Inputs!$I$8)))/Inputs!$C$49)+Inputs!$C$47*0.137))+0.35*COS(2*PI()*(((Inputs!$C$6)/Inputs!$C$50)+Inputs!$C$47*0.173))+0.20*SIN(2*PI()*((((Inputs!$I$8+(((A90)+1)/2)*(Inputs!$J$8-Inputs!$I$8)))+(Inputs!$C$6))/(0.5*(Inputs!$C$49+Inputs!$C$50))+Inputs!$C$47*0.097)))+0.30*(2*((SIN((((Inputs!$I$8+(((A90)+1)/2)*(Inputs!$J$8-Inputs!$I$8)))*12.9898+(Inputs!$C$6)*78.233+Inputs!$C$47*37.719))*43758.5453)-INT((SIN((((Inputs!$I$8+(((A90)+1)/2)*(Inputs!$J$8-Inputs!$I$8)))*12.9898+(Inputs!$C$6)*78.233+Inputs!$C$47*37.719))*43758.5453)))-1))),NA())</x:f>
        <x:v>183.09682132314393</x:v>
      </x:c>
      <x:c r="AV90" s="48" t="n">
        <x: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(0.45*SIN(2*PI()*((((Inputs!$I$9+(((A90)+1)/2)*(Inputs!$J$9-Inputs!$I$9)))/Inputs!$C$49)+Inputs!$C$47*0.137))+0.35*COS(2*PI()*(((Inputs!$C$6)/Inputs!$C$50)+Inputs!$C$47*0.173))+0.20*SIN(2*PI()*((((Inputs!$I$9+(((A90)+1)/2)*(Inputs!$J$9-Inputs!$I$9)))+(Inputs!$C$6))/(0.5*(Inputs!$C$49+Inputs!$C$50))+Inputs!$C$47*0.097)))+0.30*(2*((SIN((((Inputs!$I$9+(((A90)+1)/2)*(Inputs!$J$9-Inputs!$I$9)))*12.9898+(Inputs!$C$6)*78.233+Inputs!$C$47*37.719))*43758.5453)-INT((SIN((((Inputs!$I$9+(((A90)+1)/2)*(Inputs!$J$9-Inputs!$I$9)))*12.9898+(Inputs!$C$6)*78.233+Inputs!$C$47*37.719))*43758.5453)))-1))),NA())</x:f>
        <x:v>183.09682132314393</x:v>
      </x:c>
      <x:c r="AW90" s="49"/>
      <x:c r="AX90" s="48" t="n">
        <x:f>A90</x:f>
        <x:v>-0.267</x:v>
      </x:c>
      <x:c r="AY90" s="48" t="n">
        <x:f>0</x:f>
        <x:v>0</x:v>
      </x:c>
      <x:c r="AZ90" s="48" t="n">
        <x:f>IF(OR(Inputs!$F$6=TRUE,Inputs!$F$6="TRUE",Inputs!$F$6=1),(Inputs!$H$6+Inputs!$L$6*(((Inputs!$I$6+(((A90)+1)/2)*(Inputs!$J$6-Inputs!$I$6)))/Inputs!$K$6)^2),NA())</x:f>
        <x:v>400.285156</x:v>
      </x:c>
      <x:c r="BA90" s="48" t="n">
        <x:f>IF(OR(Inputs!$F$7=TRUE,Inputs!$F$7="TRUE",Inputs!$F$7=1),(Inputs!$H$7+Inputs!$L$7*(((Inputs!$I$7+(((A90)+1)/2)*(Inputs!$J$7-Inputs!$I$7)))/Inputs!$K$7)^2),NA())</x:f>
        <x:v>61.020485</x:v>
      </x:c>
      <x:c r="BB90" s="48" t="n">
        <x:f>IF(OR(Inputs!$F$8=TRUE,Inputs!$F$8="TRUE",Inputs!$F$8=1),(Inputs!$H$8+Inputs!$L$8*(((Inputs!$I$8+(((A90)+1)/2)*(Inputs!$J$8-Inputs!$I$8)))/Inputs!$K$8)^2),NA())</x:f>
        <x:v>103.793885</x:v>
      </x:c>
      <x:c r="BC90" s="48" t="n">
        <x:f>IF(OR(Inputs!$F$9=TRUE,Inputs!$F$9="TRUE",Inputs!$F$9=1),(Inputs!$H$9+Inputs!$L$9*(((Inputs!$I$9+(((A90)+1)/2)*(Inputs!$J$9-Inputs!$I$9)))/Inputs!$K$9)^2),NA())</x:f>
        <x:v>94.506775</x:v>
      </x:c>
      <x:c r="BD90" s="49"/>
      <x:c r="BE90" s="48" t="n">
        <x:f>A90</x:f>
        <x:v>-0.267</x:v>
      </x:c>
      <x:c r="BF90" s="48" t="n">
        <x:f>0</x:f>
        <x:v>0</x:v>
      </x:c>
      <x:c r="BG90" s="48"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BH90" s="48"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BI90" s="48"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BJ90" s="48"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row>
    <x:row r="91">
      <x:c r="A91" s="48" t="n">
        <x:f>ROUND(-1+89*2/240,3)</x:f>
        <x:v>-0.258</x:v>
      </x:c>
      <x:c r="B91" s="48" t="n">
        <x:f>IF(OR(Inputs!$F$6=TRUE,Inputs!$F$6="TRUE",Inputs!$F$6=1),(Inputs!$H$6+Inputs!$L$6*(((Inputs!$I$6+(((A91)+1)/2)*(Inputs!$J$6-Inputs!$I$6)))/Inputs!$K$6)^2),NA())</x:f>
        <x:v>400.266256</x:v>
      </x:c>
      <x:c r="C91" s="48" t="n">
        <x:f>IF(OR(Inputs!$F$7=TRUE,Inputs!$F$7="TRUE",Inputs!$F$7=1),(Inputs!$H$7+Inputs!$L$7*(((Inputs!$I$7+(((A91)+1)/2)*(Inputs!$J$7-Inputs!$I$7)))/Inputs!$K$7)^2),NA())</x:f>
        <x:v>59.29585999999999</x:v>
      </x:c>
      <x:c r="D91" s="48" t="n">
        <x:f>IF(OR(Inputs!$F$8=TRUE,Inputs!$F$8="TRUE",Inputs!$F$8=1),(Inputs!$H$8+Inputs!$L$8*(((Inputs!$I$8+(((A91)+1)/2)*(Inputs!$J$8-Inputs!$I$8)))/Inputs!$K$8)^2),NA())</x:f>
        <x:v>99.23425999999998</x:v>
      </x:c>
      <x:c r="E91" s="48" t="n">
        <x:f>IF(OR(Inputs!$F$9=TRUE,Inputs!$F$9="TRUE",Inputs!$F$9=1),(Inputs!$H$9+Inputs!$L$9*(((Inputs!$I$9+(((A91)+1)/2)*(Inputs!$J$9-Inputs!$I$9)))/Inputs!$K$9)^2),NA())</x:f>
        <x:v>89.89989999999997</x:v>
      </x:c>
      <x:c r="F91" s="49"/>
      <x:c r="G91" s="48" t="n">
        <x:f>A91</x:f>
        <x:v>-0.258</x:v>
      </x:c>
      <x:c r="H91" s="48"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I91" s="48"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J91" s="48"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K91" s="48"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c r="L91" s="49"/>
      <x:c r="M91" s="48" t="n">
        <x:f>A91</x:f>
        <x:v>-0.258</x:v>
      </x:c>
      <x:c r="N91" s="48" t="n">
        <x: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x:f>
        <x:v>132.3730609327959</x:v>
      </x:c>
      <x:c r="O91" s="48" t="n">
        <x: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x:f>
        <x:v>1772.6233215244902</x:v>
      </x:c>
      <x:c r="P91" s="48" t="n">
        <x: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x:f>
        <x:v>1959.97575090098</x:v>
      </x:c>
      <x:c r="Q91" s="48" t="n">
        <x: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x:f>
        <x:v>1952.5621718334994</x:v>
      </x:c>
      <x:c r="R91" s="49"/>
      <x:c r="S91" s="48" t="n">
        <x:f>A91</x:f>
        <x:v>-0.258</x:v>
      </x:c>
      <x:c r="T91" s="48" t="n">
        <x:f>(Inputs!$I$6+(((A91)+1)/2)*(Inputs!$J$6-Inputs!$I$6))</x:f>
        <x:v>-15.480000000000004</x:v>
      </x:c>
      <x:c r="U91" s="48" t="n">
        <x:f>(Inputs!$I$7+(((A91)+1)/2)*(Inputs!$J$7-Inputs!$I$7))</x:f>
        <x:v>-103.19999999999999</x:v>
      </x:c>
      <x:c r="V91" s="48" t="n">
        <x:f>(Inputs!$I$8+(((A91)+1)/2)*(Inputs!$J$8-Inputs!$I$8))</x:f>
        <x:v>-206.39999999999998</x:v>
      </x:c>
      <x:c r="W91" s="48" t="n">
        <x:f>(Inputs!$I$9+(((A91)+1)/2)*(Inputs!$J$9-Inputs!$I$9))</x:f>
        <x:v>-206.39999999999998</x:v>
      </x:c>
      <x:c r="X91" s="49"/>
      <x:c r="Y91" s="48" t="n">
        <x:f>A91</x:f>
        <x:v>-0.258</x:v>
      </x:c>
      <x:c r="Z91" s="48" t="n">
        <x:f>(Inputs!$H$6+Inputs!$L$6*(((Inputs!$I$6+(((A91)+1)/2)*(Inputs!$J$6-Inputs!$I$6)))/Inputs!$K$6)^2)</x:f>
        <x:v>400.266256</x:v>
      </x:c>
      <x:c r="AA91" s="48" t="n">
        <x:f>(Inputs!$H$7+Inputs!$L$7*(((Inputs!$I$7+(((A91)+1)/2)*(Inputs!$J$7-Inputs!$I$7)))/Inputs!$K$7)^2)</x:f>
        <x:v>59.29585999999999</x:v>
      </x:c>
      <x:c r="AB91" s="48" t="n">
        <x:f>(Inputs!$H$8+Inputs!$L$8*(((Inputs!$I$8+(((A91)+1)/2)*(Inputs!$J$8-Inputs!$I$8)))/Inputs!$K$8)^2)</x:f>
        <x:v>99.23425999999998</x:v>
      </x:c>
      <x:c r="AC91" s="48" t="n">
        <x:f>(Inputs!$H$9+Inputs!$L$9*(((Inputs!$I$9+(((A91)+1)/2)*(Inputs!$J$9-Inputs!$I$9)))/Inputs!$K$9)^2)</x:f>
        <x:v>89.89989999999997</x:v>
      </x:c>
      <x:c r="AD91" s="49"/>
      <x:c r="AE91" s="48" t="n">
        <x:f>A91</x:f>
        <x:v>-0.258</x:v>
      </x:c>
      <x:c r="AF91" s="48" t="n">
        <x:f>(((SQRT((Inputs!$C$52+((Inputs!$H$6+Inputs!$L$6*(((Inputs!$I$6+(((A91)+1)/2)*(Inputs!$J$6-Inputs!$I$6)))/Inputs!$K$6)^2)))^2+Inputs!$C$52^2-2*(Inputs!$C$52+((Inputs!$H$6+Inputs!$L$6*(((Inputs!$I$6+(((A91)+1)/2)*(Inputs!$J$6-Inputs!$I$6)))/Inputs!$K$6)^2)))*Inputs!$C$52*COS(SQRT(((Inputs!$I$6+(((A91)+1)/2)*(Inputs!$J$6-Inputs!$I$6)))^2+Inputs!$C$6^2)/Inputs!$C$52)))-((Inputs!$H$6+Inputs!$L$6*(((Inputs!$I$6+(((A91)+1)/2)*(Inputs!$J$6-Inputs!$I$6)))/Inputs!$K$6)^2)))*1000/Inputs!$C$12)</x:f>
        <x:v>761.0783462484194</x:v>
      </x:c>
      <x:c r="AG91" s="48" t="n">
        <x:f>(((SQRT((Inputs!$C$52+((Inputs!$H$7+Inputs!$L$7*(((Inputs!$I$7+(((A91)+1)/2)*(Inputs!$J$7-Inputs!$I$7)))/Inputs!$K$7)^2)))^2+Inputs!$C$52^2-2*(Inputs!$C$52+((Inputs!$H$7+Inputs!$L$7*(((Inputs!$I$7+(((A91)+1)/2)*(Inputs!$J$7-Inputs!$I$7)))/Inputs!$K$7)^2)))*Inputs!$C$52*COS(SQRT(((Inputs!$I$7+(((A91)+1)/2)*(Inputs!$J$7-Inputs!$I$7)))^2+Inputs!$C$6^2)/Inputs!$C$52)))-((Inputs!$H$7+Inputs!$L$7*(((Inputs!$I$7+(((A91)+1)/2)*(Inputs!$J$7-Inputs!$I$7)))/Inputs!$K$7)^2)))*1000/Inputs!$C$12)</x:f>
        <x:v>35985.1467452645</x:v>
      </x:c>
      <x:c r="AH91" s="48" t="n">
        <x:f>(((SQRT((Inputs!$C$52+((Inputs!$H$8+Inputs!$L$8*(((Inputs!$I$8+(((A91)+1)/2)*(Inputs!$J$8-Inputs!$I$8)))/Inputs!$K$8)^2)))^2+Inputs!$C$52^2-2*(Inputs!$C$52+((Inputs!$H$8+Inputs!$L$8*(((Inputs!$I$8+(((A91)+1)/2)*(Inputs!$J$8-Inputs!$I$8)))/Inputs!$K$8)^2)))*Inputs!$C$52*COS(SQRT(((Inputs!$I$8+(((A91)+1)/2)*(Inputs!$J$8-Inputs!$I$8)))^2+Inputs!$C$6^2)/Inputs!$C$52)))-((Inputs!$H$8+Inputs!$L$8*(((Inputs!$I$8+(((A91)+1)/2)*(Inputs!$J$8-Inputs!$I$8)))/Inputs!$K$8)^2)))*1000/Inputs!$C$12)</x:f>
        <x:v>76903.37578196949</x:v>
      </x:c>
      <x:c r="AI91" s="48" t="n">
        <x:f>(((SQRT((Inputs!$C$52+((Inputs!$H$9+Inputs!$L$9*(((Inputs!$I$9+(((A91)+1)/2)*(Inputs!$J$9-Inputs!$I$9)))/Inputs!$K$9)^2)))^2+Inputs!$C$52^2-2*(Inputs!$C$52+((Inputs!$H$9+Inputs!$L$9*(((Inputs!$I$9+(((A91)+1)/2)*(Inputs!$J$9-Inputs!$I$9)))/Inputs!$K$9)^2)))*Inputs!$C$52*COS(SQRT(((Inputs!$I$9+(((A91)+1)/2)*(Inputs!$J$9-Inputs!$I$9)))^2+Inputs!$C$6^2)/Inputs!$C$52)))-((Inputs!$H$9+Inputs!$L$9*(((Inputs!$I$9+(((A91)+1)/2)*(Inputs!$J$9-Inputs!$I$9)))/Inputs!$K$9)^2)))*1000/Inputs!$C$12)</x:f>
        <x:v>79717.83499236075</x:v>
      </x:c>
      <x:c r="AJ91" s="49"/>
      <x:c r="AK91" s="48" t="n">
        <x:f>A91</x:f>
        <x:v>-0.258</x:v>
      </x:c>
      <x:c r="AL91" s="48" t="n">
        <x: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x:f>
        <x:v>132.3730609327959</x:v>
      </x:c>
      <x:c r="AM91" s="48" t="n">
        <x: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x:f>
        <x:v>1772.6233215244902</x:v>
      </x:c>
      <x:c r="AN91" s="48" t="n">
        <x: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x:f>
        <x:v>1959.97575090098</x:v>
      </x:c>
      <x:c r="AO91" s="48" t="n">
        <x: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x:f>
        <x:v>1952.5621718334994</x:v>
      </x:c>
      <x:c r="AP91" s="49"/>
      <x:c r="AQ91" s="48" t="n">
        <x:f>A91</x:f>
        <x:v>-0.258</x:v>
      </x:c>
      <x:c r="AR91" s="48" t="n">
        <x:f>0</x:f>
        <x:v>0</x:v>
      </x:c>
      <x:c r="AS91" s="48" t="n">
        <x: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(0.45*SIN(2*PI()*((((Inputs!$I$6+(((A91)+1)/2)*(Inputs!$J$6-Inputs!$I$6)))/Inputs!$C$49)+Inputs!$C$47*0.137))+0.35*COS(2*PI()*(((Inputs!$C$6)/Inputs!$C$50)+Inputs!$C$47*0.173))+0.20*SIN(2*PI()*((((Inputs!$I$6+(((A91)+1)/2)*(Inputs!$J$6-Inputs!$I$6)))+(Inputs!$C$6))/(0.5*(Inputs!$C$49+Inputs!$C$50))+Inputs!$C$47*0.097)))+0.30*(2*((SIN((((Inputs!$I$6+(((A91)+1)/2)*(Inputs!$J$6-Inputs!$I$6)))*12.9898+(Inputs!$C$6)*78.233+Inputs!$C$47*37.719))*43758.5453)-INT((SIN((((Inputs!$I$6+(((A91)+1)/2)*(Inputs!$J$6-Inputs!$I$6)))*12.9898+(Inputs!$C$6)*78.233+Inputs!$C$47*37.719))*43758.5453)))-1))),NA())</x:f>
        <x:v>398.02576729991495</x:v>
      </x:c>
      <x:c r="AT91" s="48" t="n">
        <x: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(0.45*SIN(2*PI()*((((Inputs!$I$7+(((A91)+1)/2)*(Inputs!$J$7-Inputs!$I$7)))/Inputs!$C$49)+Inputs!$C$47*0.137))+0.35*COS(2*PI()*(((Inputs!$C$6)/Inputs!$C$50)+Inputs!$C$47*0.173))+0.20*SIN(2*PI()*((((Inputs!$I$7+(((A91)+1)/2)*(Inputs!$J$7-Inputs!$I$7)))+(Inputs!$C$6))/(0.5*(Inputs!$C$49+Inputs!$C$50))+Inputs!$C$47*0.097)))+0.30*(2*((SIN((((Inputs!$I$7+(((A91)+1)/2)*(Inputs!$J$7-Inputs!$I$7)))*12.9898+(Inputs!$C$6)*78.233+Inputs!$C$47*37.719))*43758.5453)-INT((SIN((((Inputs!$I$7+(((A91)+1)/2)*(Inputs!$J$7-Inputs!$I$7)))*12.9898+(Inputs!$C$6)*78.233+Inputs!$C$47*37.719))*43758.5453)))-1))),NA())</x:f>
        <x:v>184.56314417059855</x:v>
      </x:c>
      <x:c r="AU91" s="48" t="n">
        <x: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(0.45*SIN(2*PI()*((((Inputs!$I$8+(((A91)+1)/2)*(Inputs!$J$8-Inputs!$I$8)))/Inputs!$C$49)+Inputs!$C$47*0.137))+0.35*COS(2*PI()*(((Inputs!$C$6)/Inputs!$C$50)+Inputs!$C$47*0.173))+0.20*SIN(2*PI()*((((Inputs!$I$8+(((A91)+1)/2)*(Inputs!$J$8-Inputs!$I$8)))+(Inputs!$C$6))/(0.5*(Inputs!$C$49+Inputs!$C$50))+Inputs!$C$47*0.097)))+0.30*(2*((SIN((((Inputs!$I$8+(((A91)+1)/2)*(Inputs!$J$8-Inputs!$I$8)))*12.9898+(Inputs!$C$6)*78.233+Inputs!$C$47*37.719))*43758.5453)-INT((SIN((((Inputs!$I$8+(((A91)+1)/2)*(Inputs!$J$8-Inputs!$I$8)))*12.9898+(Inputs!$C$6)*78.233+Inputs!$C$47*37.719))*43758.5453)))-1))),NA())</x:f>
        <x:v>121.8970743858531</x:v>
      </x:c>
      <x:c r="AV91" s="48" t="n">
        <x: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(0.45*SIN(2*PI()*((((Inputs!$I$9+(((A91)+1)/2)*(Inputs!$J$9-Inputs!$I$9)))/Inputs!$C$49)+Inputs!$C$47*0.137))+0.35*COS(2*PI()*(((Inputs!$C$6)/Inputs!$C$50)+Inputs!$C$47*0.173))+0.20*SIN(2*PI()*((((Inputs!$I$9+(((A91)+1)/2)*(Inputs!$J$9-Inputs!$I$9)))+(Inputs!$C$6))/(0.5*(Inputs!$C$49+Inputs!$C$50))+Inputs!$C$47*0.097)))+0.30*(2*((SIN((((Inputs!$I$9+(((A91)+1)/2)*(Inputs!$J$9-Inputs!$I$9)))*12.9898+(Inputs!$C$6)*78.233+Inputs!$C$47*37.719))*43758.5453)-INT((SIN((((Inputs!$I$9+(((A91)+1)/2)*(Inputs!$J$9-Inputs!$I$9)))*12.9898+(Inputs!$C$6)*78.233+Inputs!$C$47*37.719))*43758.5453)))-1))),NA())</x:f>
        <x:v>121.8970743858531</x:v>
      </x:c>
      <x:c r="AW91" s="49"/>
      <x:c r="AX91" s="48" t="n">
        <x:f>A91</x:f>
        <x:v>-0.258</x:v>
      </x:c>
      <x:c r="AY91" s="48" t="n">
        <x:f>0</x:f>
        <x:v>0</x:v>
      </x:c>
      <x:c r="AZ91" s="48" t="n">
        <x:f>IF(OR(Inputs!$F$6=TRUE,Inputs!$F$6="TRUE",Inputs!$F$6=1),(Inputs!$H$6+Inputs!$L$6*(((Inputs!$I$6+(((A91)+1)/2)*(Inputs!$J$6-Inputs!$I$6)))/Inputs!$K$6)^2),NA())</x:f>
        <x:v>400.266256</x:v>
      </x:c>
      <x:c r="BA91" s="48" t="n">
        <x:f>IF(OR(Inputs!$F$7=TRUE,Inputs!$F$7="TRUE",Inputs!$F$7=1),(Inputs!$H$7+Inputs!$L$7*(((Inputs!$I$7+(((A91)+1)/2)*(Inputs!$J$7-Inputs!$I$7)))/Inputs!$K$7)^2),NA())</x:f>
        <x:v>59.29585999999999</x:v>
      </x:c>
      <x:c r="BB91" s="48" t="n">
        <x:f>IF(OR(Inputs!$F$8=TRUE,Inputs!$F$8="TRUE",Inputs!$F$8=1),(Inputs!$H$8+Inputs!$L$8*(((Inputs!$I$8+(((A91)+1)/2)*(Inputs!$J$8-Inputs!$I$8)))/Inputs!$K$8)^2),NA())</x:f>
        <x:v>99.23425999999998</x:v>
      </x:c>
      <x:c r="BC91" s="48" t="n">
        <x:f>IF(OR(Inputs!$F$9=TRUE,Inputs!$F$9="TRUE",Inputs!$F$9=1),(Inputs!$H$9+Inputs!$L$9*(((Inputs!$I$9+(((A91)+1)/2)*(Inputs!$J$9-Inputs!$I$9)))/Inputs!$K$9)^2),NA())</x:f>
        <x:v>89.89989999999997</x:v>
      </x:c>
      <x:c r="BD91" s="49"/>
      <x:c r="BE91" s="48" t="n">
        <x:f>A91</x:f>
        <x:v>-0.258</x:v>
      </x:c>
      <x:c r="BF91" s="48" t="n">
        <x:f>0</x:f>
        <x:v>0</x:v>
      </x:c>
      <x:c r="BG91" s="48"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BH91" s="48"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BI91" s="48"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BJ91" s="48"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row>
    <x:row r="92">
      <x:c r="A92" s="48" t="n">
        <x:f>ROUND(-1+90*2/240,3)</x:f>
        <x:v>-0.25</x:v>
      </x:c>
      <x:c r="B92" s="48" t="n">
        <x:f>IF(OR(Inputs!$F$6=TRUE,Inputs!$F$6="TRUE",Inputs!$F$6=1),(Inputs!$H$6+Inputs!$L$6*(((Inputs!$I$6+(((A92)+1)/2)*(Inputs!$J$6-Inputs!$I$6)))/Inputs!$K$6)^2),NA())</x:f>
        <x:v>400.25</x:v>
      </x:c>
      <x:c r="C92" s="48" t="n">
        <x:f>IF(OR(Inputs!$F$7=TRUE,Inputs!$F$7="TRUE",Inputs!$F$7=1),(Inputs!$H$7+Inputs!$L$7*(((Inputs!$I$7+(((A92)+1)/2)*(Inputs!$J$7-Inputs!$I$7)))/Inputs!$K$7)^2),NA())</x:f>
        <x:v>57.8125</x:v>
      </x:c>
      <x:c r="D92" s="48" t="n">
        <x:f>IF(OR(Inputs!$F$8=TRUE,Inputs!$F$8="TRUE",Inputs!$F$8=1),(Inputs!$H$8+Inputs!$L$8*(((Inputs!$I$8+(((A92)+1)/2)*(Inputs!$J$8-Inputs!$I$8)))/Inputs!$K$8)^2),NA())</x:f>
        <x:v>95.3125</x:v>
      </x:c>
      <x:c r="E92" s="48" t="n">
        <x:f>IF(OR(Inputs!$F$9=TRUE,Inputs!$F$9="TRUE",Inputs!$F$9=1),(Inputs!$H$9+Inputs!$L$9*(((Inputs!$I$9+(((A92)+1)/2)*(Inputs!$J$9-Inputs!$I$9)))/Inputs!$K$9)^2),NA())</x:f>
        <x:v>85.9375</x:v>
      </x:c>
      <x:c r="F92" s="49"/>
      <x:c r="G92" s="48" t="n">
        <x:f>A92</x:f>
        <x:v>-0.25</x:v>
      </x:c>
      <x:c r="H92" s="48"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I92" s="48"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J92" s="48"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K92" s="48"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c r="L92" s="49"/>
      <x:c r="M92" s="48" t="n">
        <x:f>A92</x:f>
        <x:v>-0.25</x:v>
      </x:c>
      <x:c r="N92" s="48" t="n">
        <x: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x:f>
        <x:v>128.27762939589343</x:v>
      </x:c>
      <x:c r="O92" s="48" t="n">
        <x: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x:f>
        <x:v>1756.7415501153985</x:v>
      </x:c>
      <x:c r="P92" s="48" t="n">
        <x: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x:f>
        <x:v>1940.7603378833421</x:v>
      </x:c>
      <x:c r="Q92" s="48" t="n">
        <x: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x:f>
        <x:v>1933.4467080059392</x:v>
      </x:c>
      <x:c r="R92" s="49"/>
      <x:c r="S92" s="48" t="n">
        <x:f>A92</x:f>
        <x:v>-0.25</x:v>
      </x:c>
      <x:c r="T92" s="48" t="n">
        <x:f>(Inputs!$I$6+(((A92)+1)/2)*(Inputs!$J$6-Inputs!$I$6))</x:f>
        <x:v>-15</x:v>
      </x:c>
      <x:c r="U92" s="48" t="n">
        <x:f>(Inputs!$I$7+(((A92)+1)/2)*(Inputs!$J$7-Inputs!$I$7))</x:f>
        <x:v>-100</x:v>
      </x:c>
      <x:c r="V92" s="48" t="n">
        <x:f>(Inputs!$I$8+(((A92)+1)/2)*(Inputs!$J$8-Inputs!$I$8))</x:f>
        <x:v>-200</x:v>
      </x:c>
      <x:c r="W92" s="48" t="n">
        <x:f>(Inputs!$I$9+(((A92)+1)/2)*(Inputs!$J$9-Inputs!$I$9))</x:f>
        <x:v>-200</x:v>
      </x:c>
      <x:c r="X92" s="49"/>
      <x:c r="Y92" s="48" t="n">
        <x:f>A92</x:f>
        <x:v>-0.25</x:v>
      </x:c>
      <x:c r="Z92" s="48" t="n">
        <x:f>(Inputs!$H$6+Inputs!$L$6*(((Inputs!$I$6+(((A92)+1)/2)*(Inputs!$J$6-Inputs!$I$6)))/Inputs!$K$6)^2)</x:f>
        <x:v>400.25</x:v>
      </x:c>
      <x:c r="AA92" s="48" t="n">
        <x:f>(Inputs!$H$7+Inputs!$L$7*(((Inputs!$I$7+(((A92)+1)/2)*(Inputs!$J$7-Inputs!$I$7)))/Inputs!$K$7)^2)</x:f>
        <x:v>57.8125</x:v>
      </x:c>
      <x:c r="AB92" s="48" t="n">
        <x:f>(Inputs!$H$8+Inputs!$L$8*(((Inputs!$I$8+(((A92)+1)/2)*(Inputs!$J$8-Inputs!$I$8)))/Inputs!$K$8)^2)</x:f>
        <x:v>95.3125</x:v>
      </x:c>
      <x:c r="AC92" s="48" t="n">
        <x:f>(Inputs!$H$9+Inputs!$L$9*(((Inputs!$I$9+(((A92)+1)/2)*(Inputs!$J$9-Inputs!$I$9)))/Inputs!$K$9)^2)</x:f>
        <x:v>85.9375</x:v>
      </x:c>
      <x:c r="AD92" s="49"/>
      <x:c r="AE92" s="48" t="n">
        <x:f>A92</x:f>
        <x:v>-0.25</x:v>
      </x:c>
      <x:c r="AF92" s="48" t="n">
        <x:f>(((SQRT((Inputs!$C$52+((Inputs!$H$6+Inputs!$L$6*(((Inputs!$I$6+(((A92)+1)/2)*(Inputs!$J$6-Inputs!$I$6)))/Inputs!$K$6)^2)))^2+Inputs!$C$52^2-2*(Inputs!$C$52+((Inputs!$H$6+Inputs!$L$6*(((Inputs!$I$6+(((A92)+1)/2)*(Inputs!$J$6-Inputs!$I$6)))/Inputs!$K$6)^2)))*Inputs!$C$52*COS(SQRT(((Inputs!$I$6+(((A92)+1)/2)*(Inputs!$J$6-Inputs!$I$6)))^2+Inputs!$C$6^2)/Inputs!$C$52)))-((Inputs!$H$6+Inputs!$L$6*(((Inputs!$I$6+(((A92)+1)/2)*(Inputs!$J$6-Inputs!$I$6)))/Inputs!$K$6)^2)))*1000/Inputs!$C$12)</x:f>
        <x:v>748.2459723916826</x:v>
      </x:c>
      <x:c r="AG92" s="48" t="n">
        <x:f>(((SQRT((Inputs!$C$52+((Inputs!$H$7+Inputs!$L$7*(((Inputs!$I$7+(((A92)+1)/2)*(Inputs!$J$7-Inputs!$I$7)))/Inputs!$K$7)^2)))^2+Inputs!$C$52^2-2*(Inputs!$C$52+((Inputs!$H$7+Inputs!$L$7*(((Inputs!$I$7+(((A92)+1)/2)*(Inputs!$J$7-Inputs!$I$7)))/Inputs!$K$7)^2)))*Inputs!$C$52*COS(SQRT(((Inputs!$I$7+(((A92)+1)/2)*(Inputs!$J$7-Inputs!$I$7)))^2+Inputs!$C$6^2)/Inputs!$C$52)))-((Inputs!$H$7+Inputs!$L$7*(((Inputs!$I$7+(((A92)+1)/2)*(Inputs!$J$7-Inputs!$I$7)))/Inputs!$K$7)^2)))*1000/Inputs!$C$12)</x:f>
        <x:v>34835.67826622314</x:v>
      </x:c>
      <x:c r="AH92" s="48" t="n">
        <x:f>(((SQRT((Inputs!$C$52+((Inputs!$H$8+Inputs!$L$8*(((Inputs!$I$8+(((A92)+1)/2)*(Inputs!$J$8-Inputs!$I$8)))/Inputs!$K$8)^2)))^2+Inputs!$C$52^2-2*(Inputs!$C$52+((Inputs!$H$8+Inputs!$L$8*(((Inputs!$I$8+(((A92)+1)/2)*(Inputs!$J$8-Inputs!$I$8)))/Inputs!$K$8)^2)))*Inputs!$C$52*COS(SQRT(((Inputs!$I$8+(((A92)+1)/2)*(Inputs!$J$8-Inputs!$I$8)))^2+Inputs!$C$6^2)/Inputs!$C$52)))-((Inputs!$H$8+Inputs!$L$8*(((Inputs!$I$8+(((A92)+1)/2)*(Inputs!$J$8-Inputs!$I$8)))/Inputs!$K$8)^2)))*1000/Inputs!$C$12)</x:f>
        <x:v>74723.81163268053</x:v>
      </x:c>
      <x:c r="AI92" s="48" t="n">
        <x:f>(((SQRT((Inputs!$C$52+((Inputs!$H$9+Inputs!$L$9*(((Inputs!$I$9+(((A92)+1)/2)*(Inputs!$J$9-Inputs!$I$9)))/Inputs!$K$9)^2)))^2+Inputs!$C$52^2-2*(Inputs!$C$52+((Inputs!$H$9+Inputs!$L$9*(((Inputs!$I$9+(((A92)+1)/2)*(Inputs!$J$9-Inputs!$I$9)))/Inputs!$K$9)^2)))*Inputs!$C$52*COS(SQRT(((Inputs!$I$9+(((A92)+1)/2)*(Inputs!$J$9-Inputs!$I$9)))^2+Inputs!$C$6^2)/Inputs!$C$52)))-((Inputs!$H$9+Inputs!$L$9*(((Inputs!$I$9+(((A92)+1)/2)*(Inputs!$J$9-Inputs!$I$9)))/Inputs!$K$9)^2)))*1000/Inputs!$C$12)</x:f>
        <x:v>77577.66152805233</x:v>
      </x:c>
      <x:c r="AJ92" s="49"/>
      <x:c r="AK92" s="48" t="n">
        <x:f>A92</x:f>
        <x:v>-0.25</x:v>
      </x:c>
      <x:c r="AL92" s="48" t="n">
        <x: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x:f>
        <x:v>128.27762939589343</x:v>
      </x:c>
      <x:c r="AM92" s="48" t="n">
        <x: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x:f>
        <x:v>1756.7415501153985</x:v>
      </x:c>
      <x:c r="AN92" s="48" t="n">
        <x: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x:f>
        <x:v>1940.7603378833421</x:v>
      </x:c>
      <x:c r="AO92" s="48" t="n">
        <x: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x:f>
        <x:v>1933.4467080059392</x:v>
      </x:c>
      <x:c r="AP92" s="49"/>
      <x:c r="AQ92" s="48" t="n">
        <x:f>A92</x:f>
        <x:v>-0.25</x:v>
      </x:c>
      <x:c r="AR92" s="48" t="n">
        <x:f>0</x:f>
        <x:v>0</x:v>
      </x:c>
      <x:c r="AS92" s="48" t="n">
        <x: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(0.45*SIN(2*PI()*((((Inputs!$I$6+(((A92)+1)/2)*(Inputs!$J$6-Inputs!$I$6)))/Inputs!$C$49)+Inputs!$C$47*0.137))+0.35*COS(2*PI()*(((Inputs!$C$6)/Inputs!$C$50)+Inputs!$C$47*0.173))+0.20*SIN(2*PI()*((((Inputs!$I$6+(((A92)+1)/2)*(Inputs!$J$6-Inputs!$I$6)))+(Inputs!$C$6))/(0.5*(Inputs!$C$49+Inputs!$C$50))+Inputs!$C$47*0.097)))+0.30*(2*((SIN((((Inputs!$I$6+(((A92)+1)/2)*(Inputs!$J$6-Inputs!$I$6)))*12.9898+(Inputs!$C$6)*78.233+Inputs!$C$47*37.719))*43758.5453)-INT((SIN((((Inputs!$I$6+(((A92)+1)/2)*(Inputs!$J$6-Inputs!$I$6)))*12.9898+(Inputs!$C$6)*78.233+Inputs!$C$47*37.719))*43758.5453)))-1))),NA())</x:f>
        <x:v>416.63024006091615</x:v>
      </x:c>
      <x:c r="AT92" s="48" t="n">
        <x: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(0.45*SIN(2*PI()*((((Inputs!$I$7+(((A92)+1)/2)*(Inputs!$J$7-Inputs!$I$7)))/Inputs!$C$49)+Inputs!$C$47*0.137))+0.35*COS(2*PI()*(((Inputs!$C$6)/Inputs!$C$50)+Inputs!$C$47*0.173))+0.20*SIN(2*PI()*((((Inputs!$I$7+(((A92)+1)/2)*(Inputs!$J$7-Inputs!$I$7)))+(Inputs!$C$6))/(0.5*(Inputs!$C$49+Inputs!$C$50))+Inputs!$C$47*0.097)))+0.30*(2*((SIN((((Inputs!$I$7+(((A92)+1)/2)*(Inputs!$J$7-Inputs!$I$7)))*12.9898+(Inputs!$C$6)*78.233+Inputs!$C$47*37.719))*43758.5453)-INT((SIN((((Inputs!$I$7+(((A92)+1)/2)*(Inputs!$J$7-Inputs!$I$7)))*12.9898+(Inputs!$C$6)*78.233+Inputs!$C$47*37.719))*43758.5453)))-1))),NA())</x:f>
        <x:v>150.02974859207296</x:v>
      </x:c>
      <x:c r="AU92" s="48" t="n">
        <x: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(0.45*SIN(2*PI()*((((Inputs!$I$8+(((A92)+1)/2)*(Inputs!$J$8-Inputs!$I$8)))/Inputs!$C$49)+Inputs!$C$47*0.137))+0.35*COS(2*PI()*(((Inputs!$C$6)/Inputs!$C$50)+Inputs!$C$47*0.173))+0.20*SIN(2*PI()*((((Inputs!$I$8+(((A92)+1)/2)*(Inputs!$J$8-Inputs!$I$8)))+(Inputs!$C$6))/(0.5*(Inputs!$C$49+Inputs!$C$50))+Inputs!$C$47*0.097)))+0.30*(2*((SIN((((Inputs!$I$8+(((A92)+1)/2)*(Inputs!$J$8-Inputs!$I$8)))*12.9898+(Inputs!$C$6)*78.233+Inputs!$C$47*37.719))*43758.5453)-INT((SIN((((Inputs!$I$8+(((A92)+1)/2)*(Inputs!$J$8-Inputs!$I$8)))*12.9898+(Inputs!$C$6)*78.233+Inputs!$C$47*37.719))*43758.5453)))-1))),NA())</x:f>
        <x:v>148.2272687423736</x:v>
      </x:c>
      <x:c r="AV92" s="48" t="n">
        <x: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(0.45*SIN(2*PI()*((((Inputs!$I$9+(((A92)+1)/2)*(Inputs!$J$9-Inputs!$I$9)))/Inputs!$C$49)+Inputs!$C$47*0.137))+0.35*COS(2*PI()*(((Inputs!$C$6)/Inputs!$C$50)+Inputs!$C$47*0.173))+0.20*SIN(2*PI()*((((Inputs!$I$9+(((A92)+1)/2)*(Inputs!$J$9-Inputs!$I$9)))+(Inputs!$C$6))/(0.5*(Inputs!$C$49+Inputs!$C$50))+Inputs!$C$47*0.097)))+0.30*(2*((SIN((((Inputs!$I$9+(((A92)+1)/2)*(Inputs!$J$9-Inputs!$I$9)))*12.9898+(Inputs!$C$6)*78.233+Inputs!$C$47*37.719))*43758.5453)-INT((SIN((((Inputs!$I$9+(((A92)+1)/2)*(Inputs!$J$9-Inputs!$I$9)))*12.9898+(Inputs!$C$6)*78.233+Inputs!$C$47*37.719))*43758.5453)))-1))),NA())</x:f>
        <x:v>148.2272687423736</x:v>
      </x:c>
      <x:c r="AW92" s="49"/>
      <x:c r="AX92" s="48" t="n">
        <x:f>A92</x:f>
        <x:v>-0.25</x:v>
      </x:c>
      <x:c r="AY92" s="48" t="n">
        <x:f>0</x:f>
        <x:v>0</x:v>
      </x:c>
      <x:c r="AZ92" s="48" t="n">
        <x:f>IF(OR(Inputs!$F$6=TRUE,Inputs!$F$6="TRUE",Inputs!$F$6=1),(Inputs!$H$6+Inputs!$L$6*(((Inputs!$I$6+(((A92)+1)/2)*(Inputs!$J$6-Inputs!$I$6)))/Inputs!$K$6)^2),NA())</x:f>
        <x:v>400.25</x:v>
      </x:c>
      <x:c r="BA92" s="48" t="n">
        <x:f>IF(OR(Inputs!$F$7=TRUE,Inputs!$F$7="TRUE",Inputs!$F$7=1),(Inputs!$H$7+Inputs!$L$7*(((Inputs!$I$7+(((A92)+1)/2)*(Inputs!$J$7-Inputs!$I$7)))/Inputs!$K$7)^2),NA())</x:f>
        <x:v>57.8125</x:v>
      </x:c>
      <x:c r="BB92" s="48" t="n">
        <x:f>IF(OR(Inputs!$F$8=TRUE,Inputs!$F$8="TRUE",Inputs!$F$8=1),(Inputs!$H$8+Inputs!$L$8*(((Inputs!$I$8+(((A92)+1)/2)*(Inputs!$J$8-Inputs!$I$8)))/Inputs!$K$8)^2),NA())</x:f>
        <x:v>95.3125</x:v>
      </x:c>
      <x:c r="BC92" s="48" t="n">
        <x:f>IF(OR(Inputs!$F$9=TRUE,Inputs!$F$9="TRUE",Inputs!$F$9=1),(Inputs!$H$9+Inputs!$L$9*(((Inputs!$I$9+(((A92)+1)/2)*(Inputs!$J$9-Inputs!$I$9)))/Inputs!$K$9)^2),NA())</x:f>
        <x:v>85.9375</x:v>
      </x:c>
      <x:c r="BD92" s="49"/>
      <x:c r="BE92" s="48" t="n">
        <x:f>A92</x:f>
        <x:v>-0.25</x:v>
      </x:c>
      <x:c r="BF92" s="48" t="n">
        <x:f>0</x:f>
        <x:v>0</x:v>
      </x:c>
      <x:c r="BG92" s="48"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BH92" s="48"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BI92" s="48"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BJ92" s="48"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row>
    <x:row r="93">
      <x:c r="A93" s="48" t="n">
        <x:f>ROUND(-1+91*2/240,3)</x:f>
        <x:v>-0.242</x:v>
      </x:c>
      <x:c r="B93" s="48" t="n">
        <x:f>IF(OR(Inputs!$F$6=TRUE,Inputs!$F$6="TRUE",Inputs!$F$6=1),(Inputs!$H$6+Inputs!$L$6*(((Inputs!$I$6+(((A93)+1)/2)*(Inputs!$J$6-Inputs!$I$6)))/Inputs!$K$6)^2),NA())</x:f>
        <x:v>400.234256</x:v>
      </x:c>
      <x:c r="C93" s="48" t="n">
        <x:f>IF(OR(Inputs!$F$7=TRUE,Inputs!$F$7="TRUE",Inputs!$F$7=1),(Inputs!$H$7+Inputs!$L$7*(((Inputs!$I$7+(((A93)+1)/2)*(Inputs!$J$7-Inputs!$I$7)))/Inputs!$K$7)^2),NA())</x:f>
        <x:v>56.37586</x:v>
      </x:c>
      <x:c r="D93" s="48" t="n">
        <x:f>IF(OR(Inputs!$F$8=TRUE,Inputs!$F$8="TRUE",Inputs!$F$8=1),(Inputs!$H$8+Inputs!$L$8*(((Inputs!$I$8+(((A93)+1)/2)*(Inputs!$J$8-Inputs!$I$8)))/Inputs!$K$8)^2),NA())</x:f>
        <x:v>91.51426000000001</x:v>
      </x:c>
      <x:c r="E93" s="48" t="n">
        <x:f>IF(OR(Inputs!$F$9=TRUE,Inputs!$F$9="TRUE",Inputs!$F$9=1),(Inputs!$H$9+Inputs!$L$9*(((Inputs!$I$9+(((A93)+1)/2)*(Inputs!$J$9-Inputs!$I$9)))/Inputs!$K$9)^2),NA())</x:f>
        <x:v>82.09990000000002</x:v>
      </x:c>
      <x:c r="F93" s="49"/>
      <x:c r="G93" s="48" t="n">
        <x:f>A93</x:f>
        <x:v>-0.242</x:v>
      </x:c>
      <x:c r="H93" s="48"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I93" s="48"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J93" s="48"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K93" s="48"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c r="L93" s="49"/>
      <x:c r="M93" s="48" t="n">
        <x:f>A93</x:f>
        <x:v>-0.242</x:v>
      </x:c>
      <x:c r="N93" s="48" t="n">
        <x: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x:f>
        <x:v>124.18133486180761</x:v>
      </x:c>
      <x:c r="O93" s="48" t="n">
        <x: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x:f>
        <x:v>1740.536255332231</x:v>
      </x:c>
      <x:c r="P93" s="48" t="n">
        <x: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x:f>
        <x:v>1921.8010226962556</x:v>
      </x:c>
      <x:c r="Q93" s="48" t="n">
        <x: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x:f>
        <x:v>1914.653874069625</x:v>
      </x:c>
      <x:c r="R93" s="49"/>
      <x:c r="S93" s="48" t="n">
        <x:f>A93</x:f>
        <x:v>-0.242</x:v>
      </x:c>
      <x:c r="T93" s="48" t="n">
        <x:f>(Inputs!$I$6+(((A93)+1)/2)*(Inputs!$J$6-Inputs!$I$6))</x:f>
        <x:v>-14.519999999999996</x:v>
      </x:c>
      <x:c r="U93" s="48" t="n">
        <x:f>(Inputs!$I$7+(((A93)+1)/2)*(Inputs!$J$7-Inputs!$I$7))</x:f>
        <x:v>-96.80000000000001</x:v>
      </x:c>
      <x:c r="V93" s="48" t="n">
        <x:f>(Inputs!$I$8+(((A93)+1)/2)*(Inputs!$J$8-Inputs!$I$8))</x:f>
        <x:v>-193.60000000000002</x:v>
      </x:c>
      <x:c r="W93" s="48" t="n">
        <x:f>(Inputs!$I$9+(((A93)+1)/2)*(Inputs!$J$9-Inputs!$I$9))</x:f>
        <x:v>-193.60000000000002</x:v>
      </x:c>
      <x:c r="X93" s="49"/>
      <x:c r="Y93" s="48" t="n">
        <x:f>A93</x:f>
        <x:v>-0.242</x:v>
      </x:c>
      <x:c r="Z93" s="48" t="n">
        <x:f>(Inputs!$H$6+Inputs!$L$6*(((Inputs!$I$6+(((A93)+1)/2)*(Inputs!$J$6-Inputs!$I$6)))/Inputs!$K$6)^2)</x:f>
        <x:v>400.234256</x:v>
      </x:c>
      <x:c r="AA93" s="48" t="n">
        <x:f>(Inputs!$H$7+Inputs!$L$7*(((Inputs!$I$7+(((A93)+1)/2)*(Inputs!$J$7-Inputs!$I$7)))/Inputs!$K$7)^2)</x:f>
        <x:v>56.37586</x:v>
      </x:c>
      <x:c r="AB93" s="48" t="n">
        <x:f>(Inputs!$H$8+Inputs!$L$8*(((Inputs!$I$8+(((A93)+1)/2)*(Inputs!$J$8-Inputs!$I$8)))/Inputs!$K$8)^2)</x:f>
        <x:v>91.51426000000001</x:v>
      </x:c>
      <x:c r="AC93" s="48" t="n">
        <x:f>(Inputs!$H$9+Inputs!$L$9*(((Inputs!$I$9+(((A93)+1)/2)*(Inputs!$J$9-Inputs!$I$9)))/Inputs!$K$9)^2)</x:f>
        <x:v>82.09990000000002</x:v>
      </x:c>
      <x:c r="AD93" s="49"/>
      <x:c r="AE93" s="48" t="n">
        <x:f>A93</x:f>
        <x:v>-0.242</x:v>
      </x:c>
      <x:c r="AF93" s="48" t="n">
        <x:f>(((SQRT((Inputs!$C$52+((Inputs!$H$6+Inputs!$L$6*(((Inputs!$I$6+(((A93)+1)/2)*(Inputs!$J$6-Inputs!$I$6)))/Inputs!$K$6)^2)))^2+Inputs!$C$52^2-2*(Inputs!$C$52+((Inputs!$H$6+Inputs!$L$6*(((Inputs!$I$6+(((A93)+1)/2)*(Inputs!$J$6-Inputs!$I$6)))/Inputs!$K$6)^2)))*Inputs!$C$52*COS(SQRT(((Inputs!$I$6+(((A93)+1)/2)*(Inputs!$J$6-Inputs!$I$6)))^2+Inputs!$C$6^2)/Inputs!$C$52)))-((Inputs!$H$6+Inputs!$L$6*(((Inputs!$I$6+(((A93)+1)/2)*(Inputs!$J$6-Inputs!$I$6)))/Inputs!$K$6)^2)))*1000/Inputs!$C$12)</x:f>
        <x:v>735.816272463049</x:v>
      </x:c>
      <x:c r="AG93" s="48" t="n">
        <x:f>(((SQRT((Inputs!$C$52+((Inputs!$H$7+Inputs!$L$7*(((Inputs!$I$7+(((A93)+1)/2)*(Inputs!$J$7-Inputs!$I$7)))/Inputs!$K$7)^2)))^2+Inputs!$C$52^2-2*(Inputs!$C$52+((Inputs!$H$7+Inputs!$L$7*(((Inputs!$I$7+(((A93)+1)/2)*(Inputs!$J$7-Inputs!$I$7)))/Inputs!$K$7)^2)))*Inputs!$C$52*COS(SQRT(((Inputs!$I$7+(((A93)+1)/2)*(Inputs!$J$7-Inputs!$I$7)))^2+Inputs!$C$6^2)/Inputs!$C$52)))-((Inputs!$H$7+Inputs!$L$7*(((Inputs!$I$7+(((A93)+1)/2)*(Inputs!$J$7-Inputs!$I$7)))/Inputs!$K$7)^2)))*1000/Inputs!$C$12)</x:f>
        <x:v>33677.983434025526</x:v>
      </x:c>
      <x:c r="AH93" s="48" t="n">
        <x:f>(((SQRT((Inputs!$C$52+((Inputs!$H$8+Inputs!$L$8*(((Inputs!$I$8+(((A93)+1)/2)*(Inputs!$J$8-Inputs!$I$8)))/Inputs!$K$8)^2)))^2+Inputs!$C$52^2-2*(Inputs!$C$52+((Inputs!$H$8+Inputs!$L$8*(((Inputs!$I$8+(((A93)+1)/2)*(Inputs!$J$8-Inputs!$I$8)))/Inputs!$K$8)^2)))*Inputs!$C$52*COS(SQRT(((Inputs!$I$8+(((A93)+1)/2)*(Inputs!$J$8-Inputs!$I$8)))^2+Inputs!$C$6^2)/Inputs!$C$52)))-((Inputs!$H$8+Inputs!$L$8*(((Inputs!$I$8+(((A93)+1)/2)*(Inputs!$J$8-Inputs!$I$8)))/Inputs!$K$8)^2)))*1000/Inputs!$C$12)</x:f>
        <x:v>72517.74413656176</x:v>
      </x:c>
      <x:c r="AI93" s="48" t="n">
        <x:f>(((SQRT((Inputs!$C$52+((Inputs!$H$9+Inputs!$L$9*(((Inputs!$I$9+(((A93)+1)/2)*(Inputs!$J$9-Inputs!$I$9)))/Inputs!$K$9)^2)))^2+Inputs!$C$52^2-2*(Inputs!$C$52+((Inputs!$H$9+Inputs!$L$9*(((Inputs!$I$9+(((A93)+1)/2)*(Inputs!$J$9-Inputs!$I$9)))/Inputs!$K$9)^2)))*Inputs!$C$52*COS(SQRT(((Inputs!$I$9+(((A93)+1)/2)*(Inputs!$J$9-Inputs!$I$9)))^2+Inputs!$C$6^2)/Inputs!$C$52)))-((Inputs!$H$9+Inputs!$L$9*(((Inputs!$I$9+(((A93)+1)/2)*(Inputs!$J$9-Inputs!$I$9)))/Inputs!$K$9)^2)))*1000/Inputs!$C$12)</x:f>
        <x:v>75409.96760106955</x:v>
      </x:c>
      <x:c r="AJ93" s="49"/>
      <x:c r="AK93" s="48" t="n">
        <x:f>A93</x:f>
        <x:v>-0.242</x:v>
      </x:c>
      <x:c r="AL93" s="48" t="n">
        <x: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x:f>
        <x:v>124.18133486180761</x:v>
      </x:c>
      <x:c r="AM93" s="48" t="n">
        <x: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x:f>
        <x:v>1740.536255332231</x:v>
      </x:c>
      <x:c r="AN93" s="48" t="n">
        <x: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x:f>
        <x:v>1921.8010226962556</x:v>
      </x:c>
      <x:c r="AO93" s="48" t="n">
        <x: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x:f>
        <x:v>1914.653874069625</x:v>
      </x:c>
      <x:c r="AP93" s="49"/>
      <x:c r="AQ93" s="48" t="n">
        <x:f>A93</x:f>
        <x:v>-0.242</x:v>
      </x:c>
      <x:c r="AR93" s="48" t="n">
        <x:f>0</x:f>
        <x:v>0</x:v>
      </x:c>
      <x:c r="AS93" s="48" t="n">
        <x: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(0.45*SIN(2*PI()*((((Inputs!$I$6+(((A93)+1)/2)*(Inputs!$J$6-Inputs!$I$6)))/Inputs!$C$49)+Inputs!$C$47*0.137))+0.35*COS(2*PI()*(((Inputs!$C$6)/Inputs!$C$50)+Inputs!$C$47*0.173))+0.20*SIN(2*PI()*((((Inputs!$I$6+(((A93)+1)/2)*(Inputs!$J$6-Inputs!$I$6)))+(Inputs!$C$6))/(0.5*(Inputs!$C$49+Inputs!$C$50))+Inputs!$C$47*0.097)))+0.30*(2*((SIN((((Inputs!$I$6+(((A93)+1)/2)*(Inputs!$J$6-Inputs!$I$6)))*12.9898+(Inputs!$C$6)*78.233+Inputs!$C$47*37.719))*43758.5453)-INT((SIN((((Inputs!$I$6+(((A93)+1)/2)*(Inputs!$J$6-Inputs!$I$6)))*12.9898+(Inputs!$C$6)*78.233+Inputs!$C$47*37.719))*43758.5453)))-1))),NA())</x:f>
        <x:v>411.80681282193876</x:v>
      </x:c>
      <x:c r="AT93" s="48" t="n">
        <x: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(0.45*SIN(2*PI()*((((Inputs!$I$7+(((A93)+1)/2)*(Inputs!$J$7-Inputs!$I$7)))/Inputs!$C$49)+Inputs!$C$47*0.137))+0.35*COS(2*PI()*(((Inputs!$C$6)/Inputs!$C$50)+Inputs!$C$47*0.173))+0.20*SIN(2*PI()*((((Inputs!$I$7+(((A93)+1)/2)*(Inputs!$J$7-Inputs!$I$7)))+(Inputs!$C$6))/(0.5*(Inputs!$C$49+Inputs!$C$50))+Inputs!$C$47*0.097)))+0.30*(2*((SIN((((Inputs!$I$7+(((A93)+1)/2)*(Inputs!$J$7-Inputs!$I$7)))*12.9898+(Inputs!$C$6)*78.233+Inputs!$C$47*37.719))*43758.5453)-INT((SIN((((Inputs!$I$7+(((A93)+1)/2)*(Inputs!$J$7-Inputs!$I$7)))*12.9898+(Inputs!$C$6)*78.233+Inputs!$C$47*37.719))*43758.5453)))-1))),NA())</x:f>
        <x:v>80.77763409112393</x:v>
      </x:c>
      <x:c r="AU93" s="48" t="n">
        <x: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(0.45*SIN(2*PI()*((((Inputs!$I$8+(((A93)+1)/2)*(Inputs!$J$8-Inputs!$I$8)))/Inputs!$C$49)+Inputs!$C$47*0.137))+0.35*COS(2*PI()*(((Inputs!$C$6)/Inputs!$C$50)+Inputs!$C$47*0.173))+0.20*SIN(2*PI()*((((Inputs!$I$8+(((A93)+1)/2)*(Inputs!$J$8-Inputs!$I$8)))+(Inputs!$C$6))/(0.5*(Inputs!$C$49+Inputs!$C$50))+Inputs!$C$47*0.097)))+0.30*(2*((SIN((((Inputs!$I$8+(((A93)+1)/2)*(Inputs!$J$8-Inputs!$I$8)))*12.9898+(Inputs!$C$6)*78.233+Inputs!$C$47*37.719))*43758.5453)-INT((SIN((((Inputs!$I$8+(((A93)+1)/2)*(Inputs!$J$8-Inputs!$I$8)))*12.9898+(Inputs!$C$6)*78.233+Inputs!$C$47*37.719))*43758.5453)))-1))),NA())</x:f>
        <x:v>177.31758154206727</x:v>
      </x:c>
      <x:c r="AV93" s="48" t="n">
        <x: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(0.45*SIN(2*PI()*((((Inputs!$I$9+(((A93)+1)/2)*(Inputs!$J$9-Inputs!$I$9)))/Inputs!$C$49)+Inputs!$C$47*0.137))+0.35*COS(2*PI()*(((Inputs!$C$6)/Inputs!$C$50)+Inputs!$C$47*0.173))+0.20*SIN(2*PI()*((((Inputs!$I$9+(((A93)+1)/2)*(Inputs!$J$9-Inputs!$I$9)))+(Inputs!$C$6))/(0.5*(Inputs!$C$49+Inputs!$C$50))+Inputs!$C$47*0.097)))+0.30*(2*((SIN((((Inputs!$I$9+(((A93)+1)/2)*(Inputs!$J$9-Inputs!$I$9)))*12.9898+(Inputs!$C$6)*78.233+Inputs!$C$47*37.719))*43758.5453)-INT((SIN((((Inputs!$I$9+(((A93)+1)/2)*(Inputs!$J$9-Inputs!$I$9)))*12.9898+(Inputs!$C$6)*78.233+Inputs!$C$47*37.719))*43758.5453)))-1))),NA())</x:f>
        <x:v>177.31758154206727</x:v>
      </x:c>
      <x:c r="AW93" s="49"/>
      <x:c r="AX93" s="48" t="n">
        <x:f>A93</x:f>
        <x:v>-0.242</x:v>
      </x:c>
      <x:c r="AY93" s="48" t="n">
        <x:f>0</x:f>
        <x:v>0</x:v>
      </x:c>
      <x:c r="AZ93" s="48" t="n">
        <x:f>IF(OR(Inputs!$F$6=TRUE,Inputs!$F$6="TRUE",Inputs!$F$6=1),(Inputs!$H$6+Inputs!$L$6*(((Inputs!$I$6+(((A93)+1)/2)*(Inputs!$J$6-Inputs!$I$6)))/Inputs!$K$6)^2),NA())</x:f>
        <x:v>400.234256</x:v>
      </x:c>
      <x:c r="BA93" s="48" t="n">
        <x:f>IF(OR(Inputs!$F$7=TRUE,Inputs!$F$7="TRUE",Inputs!$F$7=1),(Inputs!$H$7+Inputs!$L$7*(((Inputs!$I$7+(((A93)+1)/2)*(Inputs!$J$7-Inputs!$I$7)))/Inputs!$K$7)^2),NA())</x:f>
        <x:v>56.37586</x:v>
      </x:c>
      <x:c r="BB93" s="48" t="n">
        <x:f>IF(OR(Inputs!$F$8=TRUE,Inputs!$F$8="TRUE",Inputs!$F$8=1),(Inputs!$H$8+Inputs!$L$8*(((Inputs!$I$8+(((A93)+1)/2)*(Inputs!$J$8-Inputs!$I$8)))/Inputs!$K$8)^2),NA())</x:f>
        <x:v>91.51426000000001</x:v>
      </x:c>
      <x:c r="BC93" s="48" t="n">
        <x:f>IF(OR(Inputs!$F$9=TRUE,Inputs!$F$9="TRUE",Inputs!$F$9=1),(Inputs!$H$9+Inputs!$L$9*(((Inputs!$I$9+(((A93)+1)/2)*(Inputs!$J$9-Inputs!$I$9)))/Inputs!$K$9)^2),NA())</x:f>
        <x:v>82.09990000000002</x:v>
      </x:c>
      <x:c r="BD93" s="49"/>
      <x:c r="BE93" s="48" t="n">
        <x:f>A93</x:f>
        <x:v>-0.242</x:v>
      </x:c>
      <x:c r="BF93" s="48" t="n">
        <x:f>0</x:f>
        <x:v>0</x:v>
      </x:c>
      <x:c r="BG93" s="48"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BH93" s="48"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BI93" s="48"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BJ93" s="48"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row>
    <x:row r="94">
      <x:c r="A94" s="48" t="n">
        <x:f>ROUND(-1+92*2/240,3)</x:f>
        <x:v>-0.233</x:v>
      </x:c>
      <x:c r="B94" s="48" t="n">
        <x:f>IF(OR(Inputs!$F$6=TRUE,Inputs!$F$6="TRUE",Inputs!$F$6=1),(Inputs!$H$6+Inputs!$L$6*(((Inputs!$I$6+(((A94)+1)/2)*(Inputs!$J$6-Inputs!$I$6)))/Inputs!$K$6)^2),NA())</x:f>
        <x:v>400.217156</x:v>
      </x:c>
      <x:c r="C94" s="48" t="n">
        <x:f>IF(OR(Inputs!$F$7=TRUE,Inputs!$F$7="TRUE",Inputs!$F$7=1),(Inputs!$H$7+Inputs!$L$7*(((Inputs!$I$7+(((A94)+1)/2)*(Inputs!$J$7-Inputs!$I$7)))/Inputs!$K$7)^2),NA())</x:f>
        <x:v>54.815484999999995</x:v>
      </x:c>
      <x:c r="D94" s="48" t="n">
        <x:f>IF(OR(Inputs!$F$8=TRUE,Inputs!$F$8="TRUE",Inputs!$F$8=1),(Inputs!$H$8+Inputs!$L$8*(((Inputs!$I$8+(((A94)+1)/2)*(Inputs!$J$8-Inputs!$I$8)))/Inputs!$K$8)^2),NA())</x:f>
        <x:v>87.38888499999999</x:v>
      </x:c>
      <x:c r="E94" s="48" t="n">
        <x:f>IF(OR(Inputs!$F$9=TRUE,Inputs!$F$9="TRUE",Inputs!$F$9=1),(Inputs!$H$9+Inputs!$L$9*(((Inputs!$I$9+(((A94)+1)/2)*(Inputs!$J$9-Inputs!$I$9)))/Inputs!$K$9)^2),NA())</x:f>
        <x:v>77.93177499999999</x:v>
      </x:c>
      <x:c r="F94" s="49"/>
      <x:c r="G94" s="48" t="n">
        <x:f>A94</x:f>
        <x:v>-0.233</x:v>
      </x:c>
      <x:c r="H94" s="48"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I94" s="48"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J94" s="48"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K94" s="48"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c r="L94" s="49"/>
      <x:c r="M94" s="48" t="n">
        <x:f>A94</x:f>
        <x:v>-0.233</x:v>
      </x:c>
      <x:c r="N94" s="48" t="n">
        <x: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x:f>
        <x:v>119.57200585587707</x:v>
      </x:c>
      <x:c r="O94" s="48" t="n">
        <x: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x:f>
        <x:v>1721.8385237392074</x:v>
      </x:c>
      <x:c r="P94" s="48" t="n">
        <x: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x:f>
        <x:v>1900.7550949797267</x:v>
      </x:c>
      <x:c r="Q94" s="48" t="n">
        <x: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x:f>
        <x:v>1893.8843896454048</x:v>
      </x:c>
      <x:c r="R94" s="49"/>
      <x:c r="S94" s="48" t="n">
        <x:f>A94</x:f>
        <x:v>-0.233</x:v>
      </x:c>
      <x:c r="T94" s="48" t="n">
        <x:f>(Inputs!$I$6+(((A94)+1)/2)*(Inputs!$J$6-Inputs!$I$6))</x:f>
        <x:v>-13.979999999999997</x:v>
      </x:c>
      <x:c r="U94" s="48" t="n">
        <x:f>(Inputs!$I$7+(((A94)+1)/2)*(Inputs!$J$7-Inputs!$I$7))</x:f>
        <x:v>-93.19999999999999</x:v>
      </x:c>
      <x:c r="V94" s="48" t="n">
        <x:f>(Inputs!$I$8+(((A94)+1)/2)*(Inputs!$J$8-Inputs!$I$8))</x:f>
        <x:v>-186.39999999999998</x:v>
      </x:c>
      <x:c r="W94" s="48" t="n">
        <x:f>(Inputs!$I$9+(((A94)+1)/2)*(Inputs!$J$9-Inputs!$I$9))</x:f>
        <x:v>-186.39999999999998</x:v>
      </x:c>
      <x:c r="X94" s="49"/>
      <x:c r="Y94" s="48" t="n">
        <x:f>A94</x:f>
        <x:v>-0.233</x:v>
      </x:c>
      <x:c r="Z94" s="48" t="n">
        <x:f>(Inputs!$H$6+Inputs!$L$6*(((Inputs!$I$6+(((A94)+1)/2)*(Inputs!$J$6-Inputs!$I$6)))/Inputs!$K$6)^2)</x:f>
        <x:v>400.217156</x:v>
      </x:c>
      <x:c r="AA94" s="48" t="n">
        <x:f>(Inputs!$H$7+Inputs!$L$7*(((Inputs!$I$7+(((A94)+1)/2)*(Inputs!$J$7-Inputs!$I$7)))/Inputs!$K$7)^2)</x:f>
        <x:v>54.815484999999995</x:v>
      </x:c>
      <x:c r="AB94" s="48" t="n">
        <x:f>(Inputs!$H$8+Inputs!$L$8*(((Inputs!$I$8+(((A94)+1)/2)*(Inputs!$J$8-Inputs!$I$8)))/Inputs!$K$8)^2)</x:f>
        <x:v>87.38888499999999</x:v>
      </x:c>
      <x:c r="AC94" s="48" t="n">
        <x:f>(Inputs!$H$9+Inputs!$L$9*(((Inputs!$I$9+(((A94)+1)/2)*(Inputs!$J$9-Inputs!$I$9)))/Inputs!$K$9)^2)</x:f>
        <x:v>77.93177499999999</x:v>
      </x:c>
      <x:c r="AD94" s="49"/>
      <x:c r="AE94" s="48" t="n">
        <x:f>A94</x:f>
        <x:v>-0.233</x:v>
      </x:c>
      <x:c r="AF94" s="48" t="n">
        <x:f>(((SQRT((Inputs!$C$52+((Inputs!$H$6+Inputs!$L$6*(((Inputs!$I$6+(((A94)+1)/2)*(Inputs!$J$6-Inputs!$I$6)))/Inputs!$K$6)^2)))^2+Inputs!$C$52^2-2*(Inputs!$C$52+((Inputs!$H$6+Inputs!$L$6*(((Inputs!$I$6+(((A94)+1)/2)*(Inputs!$J$6-Inputs!$I$6)))/Inputs!$K$6)^2)))*Inputs!$C$52*COS(SQRT(((Inputs!$I$6+(((A94)+1)/2)*(Inputs!$J$6-Inputs!$I$6)))^2+Inputs!$C$6^2)/Inputs!$C$52)))-((Inputs!$H$6+Inputs!$L$6*(((Inputs!$I$6+(((A94)+1)/2)*(Inputs!$J$6-Inputs!$I$6)))/Inputs!$K$6)^2)))*1000/Inputs!$C$12)</x:f>
        <x:v>722.3143592884536</x:v>
      </x:c>
      <x:c r="AG94" s="48" t="n">
        <x:f>(((SQRT((Inputs!$C$52+((Inputs!$H$7+Inputs!$L$7*(((Inputs!$I$7+(((A94)+1)/2)*(Inputs!$J$7-Inputs!$I$7)))/Inputs!$K$7)^2)))^2+Inputs!$C$52^2-2*(Inputs!$C$52+((Inputs!$H$7+Inputs!$L$7*(((Inputs!$I$7+(((A94)+1)/2)*(Inputs!$J$7-Inputs!$I$7)))/Inputs!$K$7)^2)))*Inputs!$C$52*COS(SQRT(((Inputs!$I$7+(((A94)+1)/2)*(Inputs!$J$7-Inputs!$I$7)))^2+Inputs!$C$6^2)/Inputs!$C$52)))-((Inputs!$H$7+Inputs!$L$7*(((Inputs!$I$7+(((A94)+1)/2)*(Inputs!$J$7-Inputs!$I$7)))/Inputs!$K$7)^2)))*1000/Inputs!$C$12)</x:f>
        <x:v>32366.24301137656</x:v>
      </x:c>
      <x:c r="AH94" s="48" t="n">
        <x:f>(((SQRT((Inputs!$C$52+((Inputs!$H$8+Inputs!$L$8*(((Inputs!$I$8+(((A94)+1)/2)*(Inputs!$J$8-Inputs!$I$8)))/Inputs!$K$8)^2)))^2+Inputs!$C$52^2-2*(Inputs!$C$52+((Inputs!$H$8+Inputs!$L$8*(((Inputs!$I$8+(((A94)+1)/2)*(Inputs!$J$8-Inputs!$I$8)))/Inputs!$K$8)^2)))*Inputs!$C$52*COS(SQRT(((Inputs!$I$8+(((A94)+1)/2)*(Inputs!$J$8-Inputs!$I$8)))^2+Inputs!$C$6^2)/Inputs!$C$52)))-((Inputs!$H$8+Inputs!$L$8*(((Inputs!$I$8+(((A94)+1)/2)*(Inputs!$J$8-Inputs!$I$8)))/Inputs!$K$8)^2)))*1000/Inputs!$C$12)</x:f>
        <x:v>70003.54808077247</x:v>
      </x:c>
      <x:c r="AI94" s="48" t="n">
        <x:f>(((SQRT((Inputs!$C$52+((Inputs!$H$9+Inputs!$L$9*(((Inputs!$I$9+(((A94)+1)/2)*(Inputs!$J$9-Inputs!$I$9)))/Inputs!$K$9)^2)))^2+Inputs!$C$52^2-2*(Inputs!$C$52+((Inputs!$H$9+Inputs!$L$9*(((Inputs!$I$9+(((A94)+1)/2)*(Inputs!$J$9-Inputs!$I$9)))/Inputs!$K$9)^2)))*Inputs!$C$52*COS(SQRT(((Inputs!$I$9+(((A94)+1)/2)*(Inputs!$J$9-Inputs!$I$9)))^2+Inputs!$C$6^2)/Inputs!$C$52)))-((Inputs!$H$9+Inputs!$L$9*(((Inputs!$I$9+(((A94)+1)/2)*(Inputs!$J$9-Inputs!$I$9)))/Inputs!$K$9)^2)))*1000/Inputs!$C$12)</x:f>
        <x:v>72937.52865569347</x:v>
      </x:c>
      <x:c r="AJ94" s="49"/>
      <x:c r="AK94" s="48" t="n">
        <x:f>A94</x:f>
        <x:v>-0.233</x:v>
      </x:c>
      <x:c r="AL94" s="48" t="n">
        <x: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x:f>
        <x:v>119.57200585587707</x:v>
      </x:c>
      <x:c r="AM94" s="48" t="n">
        <x: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x:f>
        <x:v>1721.8385237392074</x:v>
      </x:c>
      <x:c r="AN94" s="48" t="n">
        <x: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x:f>
        <x:v>1900.7550949797267</x:v>
      </x:c>
      <x:c r="AO94" s="48" t="n">
        <x: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x:f>
        <x:v>1893.8843896454048</x:v>
      </x:c>
      <x:c r="AP94" s="49"/>
      <x:c r="AQ94" s="48" t="n">
        <x:f>A94</x:f>
        <x:v>-0.233</x:v>
      </x:c>
      <x:c r="AR94" s="48" t="n">
        <x:f>0</x:f>
        <x:v>0</x:v>
      </x:c>
      <x:c r="AS94" s="48" t="n">
        <x: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(0.45*SIN(2*PI()*((((Inputs!$I$6+(((A94)+1)/2)*(Inputs!$J$6-Inputs!$I$6)))/Inputs!$C$49)+Inputs!$C$47*0.137))+0.35*COS(2*PI()*(((Inputs!$C$6)/Inputs!$C$50)+Inputs!$C$47*0.173))+0.20*SIN(2*PI()*((((Inputs!$I$6+(((A94)+1)/2)*(Inputs!$J$6-Inputs!$I$6)))+(Inputs!$C$6))/(0.5*(Inputs!$C$49+Inputs!$C$50))+Inputs!$C$47*0.097)))+0.30*(2*((SIN((((Inputs!$I$6+(((A94)+1)/2)*(Inputs!$J$6-Inputs!$I$6)))*12.9898+(Inputs!$C$6)*78.233+Inputs!$C$47*37.719))*43758.5453)-INT((SIN((((Inputs!$I$6+(((A94)+1)/2)*(Inputs!$J$6-Inputs!$I$6)))*12.9898+(Inputs!$C$6)*78.233+Inputs!$C$47*37.719))*43758.5453)))-1))),NA())</x:f>
        <x:v>419.99717181292027</x:v>
      </x:c>
      <x:c r="AT94" s="48" t="n">
        <x: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(0.45*SIN(2*PI()*((((Inputs!$I$7+(((A94)+1)/2)*(Inputs!$J$7-Inputs!$I$7)))/Inputs!$C$49)+Inputs!$C$47*0.137))+0.35*COS(2*PI()*(((Inputs!$C$6)/Inputs!$C$50)+Inputs!$C$47*0.173))+0.20*SIN(2*PI()*((((Inputs!$I$7+(((A94)+1)/2)*(Inputs!$J$7-Inputs!$I$7)))+(Inputs!$C$6))/(0.5*(Inputs!$C$49+Inputs!$C$50))+Inputs!$C$47*0.097)))+0.30*(2*((SIN((((Inputs!$I$7+(((A94)+1)/2)*(Inputs!$J$7-Inputs!$I$7)))*12.9898+(Inputs!$C$6)*78.233+Inputs!$C$47*37.719))*43758.5453)-INT((SIN((((Inputs!$I$7+(((A94)+1)/2)*(Inputs!$J$7-Inputs!$I$7)))*12.9898+(Inputs!$C$6)*78.233+Inputs!$C$47*37.719))*43758.5453)))-1))),NA())</x:f>
        <x:v>102.00835262265619</x:v>
      </x:c>
      <x:c r="AU94" s="48" t="n">
        <x: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(0.45*SIN(2*PI()*((((Inputs!$I$8+(((A94)+1)/2)*(Inputs!$J$8-Inputs!$I$8)))/Inputs!$C$49)+Inputs!$C$47*0.137))+0.35*COS(2*PI()*(((Inputs!$C$6)/Inputs!$C$50)+Inputs!$C$47*0.173))+0.20*SIN(2*PI()*((((Inputs!$I$8+(((A94)+1)/2)*(Inputs!$J$8-Inputs!$I$8)))+(Inputs!$C$6))/(0.5*(Inputs!$C$49+Inputs!$C$50))+Inputs!$C$47*0.097)))+0.30*(2*((SIN((((Inputs!$I$8+(((A94)+1)/2)*(Inputs!$J$8-Inputs!$I$8)))*12.9898+(Inputs!$C$6)*78.233+Inputs!$C$47*37.719))*43758.5453)-INT((SIN((((Inputs!$I$8+(((A94)+1)/2)*(Inputs!$J$8-Inputs!$I$8)))*12.9898+(Inputs!$C$6)*78.233+Inputs!$C$47*37.719))*43758.5453)))-1))),NA())</x:f>
        <x:v>139.93519543295716</x:v>
      </x:c>
      <x:c r="AV94" s="48" t="n">
        <x: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(0.45*SIN(2*PI()*((((Inputs!$I$9+(((A94)+1)/2)*(Inputs!$J$9-Inputs!$I$9)))/Inputs!$C$49)+Inputs!$C$47*0.137))+0.35*COS(2*PI()*(((Inputs!$C$6)/Inputs!$C$50)+Inputs!$C$47*0.173))+0.20*SIN(2*PI()*((((Inputs!$I$9+(((A94)+1)/2)*(Inputs!$J$9-Inputs!$I$9)))+(Inputs!$C$6))/(0.5*(Inputs!$C$49+Inputs!$C$50))+Inputs!$C$47*0.097)))+0.30*(2*((SIN((((Inputs!$I$9+(((A94)+1)/2)*(Inputs!$J$9-Inputs!$I$9)))*12.9898+(Inputs!$C$6)*78.233+Inputs!$C$47*37.719))*43758.5453)-INT((SIN((((Inputs!$I$9+(((A94)+1)/2)*(Inputs!$J$9-Inputs!$I$9)))*12.9898+(Inputs!$C$6)*78.233+Inputs!$C$47*37.719))*43758.5453)))-1))),NA())</x:f>
        <x:v>139.93519543295716</x:v>
      </x:c>
      <x:c r="AW94" s="49"/>
      <x:c r="AX94" s="48" t="n">
        <x:f>A94</x:f>
        <x:v>-0.233</x:v>
      </x:c>
      <x:c r="AY94" s="48" t="n">
        <x:f>0</x:f>
        <x:v>0</x:v>
      </x:c>
      <x:c r="AZ94" s="48" t="n">
        <x:f>IF(OR(Inputs!$F$6=TRUE,Inputs!$F$6="TRUE",Inputs!$F$6=1),(Inputs!$H$6+Inputs!$L$6*(((Inputs!$I$6+(((A94)+1)/2)*(Inputs!$J$6-Inputs!$I$6)))/Inputs!$K$6)^2),NA())</x:f>
        <x:v>400.217156</x:v>
      </x:c>
      <x:c r="BA94" s="48" t="n">
        <x:f>IF(OR(Inputs!$F$7=TRUE,Inputs!$F$7="TRUE",Inputs!$F$7=1),(Inputs!$H$7+Inputs!$L$7*(((Inputs!$I$7+(((A94)+1)/2)*(Inputs!$J$7-Inputs!$I$7)))/Inputs!$K$7)^2),NA())</x:f>
        <x:v>54.815484999999995</x:v>
      </x:c>
      <x:c r="BB94" s="48" t="n">
        <x:f>IF(OR(Inputs!$F$8=TRUE,Inputs!$F$8="TRUE",Inputs!$F$8=1),(Inputs!$H$8+Inputs!$L$8*(((Inputs!$I$8+(((A94)+1)/2)*(Inputs!$J$8-Inputs!$I$8)))/Inputs!$K$8)^2),NA())</x:f>
        <x:v>87.38888499999999</x:v>
      </x:c>
      <x:c r="BC94" s="48" t="n">
        <x:f>IF(OR(Inputs!$F$9=TRUE,Inputs!$F$9="TRUE",Inputs!$F$9=1),(Inputs!$H$9+Inputs!$L$9*(((Inputs!$I$9+(((A94)+1)/2)*(Inputs!$J$9-Inputs!$I$9)))/Inputs!$K$9)^2),NA())</x:f>
        <x:v>77.93177499999999</x:v>
      </x:c>
      <x:c r="BD94" s="49"/>
      <x:c r="BE94" s="48" t="n">
        <x:f>A94</x:f>
        <x:v>-0.233</x:v>
      </x:c>
      <x:c r="BF94" s="48" t="n">
        <x:f>0</x:f>
        <x:v>0</x:v>
      </x:c>
      <x:c r="BG94" s="48"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BH94" s="48"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BI94" s="48"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BJ94" s="48"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row>
    <x:row r="95">
      <x:c r="A95" s="48" t="n">
        <x:f>ROUND(-1+93*2/240,3)</x:f>
        <x:v>-0.225</x:v>
      </x:c>
      <x:c r="B95" s="48" t="n">
        <x:f>IF(OR(Inputs!$F$6=TRUE,Inputs!$F$6="TRUE",Inputs!$F$6=1),(Inputs!$H$6+Inputs!$L$6*(((Inputs!$I$6+(((A95)+1)/2)*(Inputs!$J$6-Inputs!$I$6)))/Inputs!$K$6)^2),NA())</x:f>
        <x:v>400.2025</x:v>
      </x:c>
      <x:c r="C95" s="48" t="n">
        <x:f>IF(OR(Inputs!$F$7=TRUE,Inputs!$F$7="TRUE",Inputs!$F$7=1),(Inputs!$H$7+Inputs!$L$7*(((Inputs!$I$7+(((A95)+1)/2)*(Inputs!$J$7-Inputs!$I$7)))/Inputs!$K$7)^2),NA())</x:f>
        <x:v>53.478125000000006</x:v>
      </x:c>
      <x:c r="D95" s="48" t="n">
        <x:f>IF(OR(Inputs!$F$8=TRUE,Inputs!$F$8="TRUE",Inputs!$F$8=1),(Inputs!$H$8+Inputs!$L$8*(((Inputs!$I$8+(((A95)+1)/2)*(Inputs!$J$8-Inputs!$I$8)))/Inputs!$K$8)^2),NA())</x:f>
        <x:v>83.853125</x:v>
      </x:c>
      <x:c r="E95" s="48" t="n">
        <x:f>IF(OR(Inputs!$F$9=TRUE,Inputs!$F$9="TRUE",Inputs!$F$9=1),(Inputs!$H$9+Inputs!$L$9*(((Inputs!$I$9+(((A95)+1)/2)*(Inputs!$J$9-Inputs!$I$9)))/Inputs!$K$9)^2),NA())</x:f>
        <x:v>74.359375</x:v>
      </x:c>
      <x:c r="F95" s="49"/>
      <x:c r="G95" s="48" t="n">
        <x:f>A95</x:f>
        <x:v>-0.225</x:v>
      </x:c>
      <x:c r="H95" s="48"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I95" s="48"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J95" s="48"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K95" s="48"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c r="L95" s="49"/>
      <x:c r="M95" s="48" t="n">
        <x:f>A95</x:f>
        <x:v>-0.225</x:v>
      </x:c>
      <x:c r="N95" s="48" t="n">
        <x: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x:f>
        <x:v>115.47396788625974</x:v>
      </x:c>
      <x:c r="O95" s="48" t="n">
        <x: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x:f>
        <x:v>1704.7217018039835</x:v>
      </x:c>
      <x:c r="P95" s="48" t="n">
        <x: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x:f>
        <x:v>1882.2740929695933</x:v>
      </x:c>
      <x:c r="Q95" s="48" t="n">
        <x: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x:f>
        <x:v>1875.7382315443301</x:v>
      </x:c>
      <x:c r="R95" s="49"/>
      <x:c r="S95" s="48" t="n">
        <x:f>A95</x:f>
        <x:v>-0.225</x:v>
      </x:c>
      <x:c r="T95" s="48" t="n">
        <x:f>(Inputs!$I$6+(((A95)+1)/2)*(Inputs!$J$6-Inputs!$I$6))</x:f>
        <x:v>-13.5</x:v>
      </x:c>
      <x:c r="U95" s="48" t="n">
        <x:f>(Inputs!$I$7+(((A95)+1)/2)*(Inputs!$J$7-Inputs!$I$7))</x:f>
        <x:v>-90</x:v>
      </x:c>
      <x:c r="V95" s="48" t="n">
        <x:f>(Inputs!$I$8+(((A95)+1)/2)*(Inputs!$J$8-Inputs!$I$8))</x:f>
        <x:v>-180</x:v>
      </x:c>
      <x:c r="W95" s="48" t="n">
        <x:f>(Inputs!$I$9+(((A95)+1)/2)*(Inputs!$J$9-Inputs!$I$9))</x:f>
        <x:v>-180</x:v>
      </x:c>
      <x:c r="X95" s="49"/>
      <x:c r="Y95" s="48" t="n">
        <x:f>A95</x:f>
        <x:v>-0.225</x:v>
      </x:c>
      <x:c r="Z95" s="48" t="n">
        <x:f>(Inputs!$H$6+Inputs!$L$6*(((Inputs!$I$6+(((A95)+1)/2)*(Inputs!$J$6-Inputs!$I$6)))/Inputs!$K$6)^2)</x:f>
        <x:v>400.2025</x:v>
      </x:c>
      <x:c r="AA95" s="48" t="n">
        <x:f>(Inputs!$H$7+Inputs!$L$7*(((Inputs!$I$7+(((A95)+1)/2)*(Inputs!$J$7-Inputs!$I$7)))/Inputs!$K$7)^2)</x:f>
        <x:v>53.478125000000006</x:v>
      </x:c>
      <x:c r="AB95" s="48" t="n">
        <x:f>(Inputs!$H$8+Inputs!$L$8*(((Inputs!$I$8+(((A95)+1)/2)*(Inputs!$J$8-Inputs!$I$8)))/Inputs!$K$8)^2)</x:f>
        <x:v>83.853125</x:v>
      </x:c>
      <x:c r="AC95" s="48" t="n">
        <x:f>(Inputs!$H$9+Inputs!$L$9*(((Inputs!$I$9+(((A95)+1)/2)*(Inputs!$J$9-Inputs!$I$9)))/Inputs!$K$9)^2)</x:f>
        <x:v>74.359375</x:v>
      </x:c>
      <x:c r="AD95" s="49"/>
      <x:c r="AE95" s="48" t="n">
        <x:f>A95</x:f>
        <x:v>-0.225</x:v>
      </x:c>
      <x:c r="AF95" s="48" t="n">
        <x:f>(((SQRT((Inputs!$C$52+((Inputs!$H$6+Inputs!$L$6*(((Inputs!$I$6+(((A95)+1)/2)*(Inputs!$J$6-Inputs!$I$6)))/Inputs!$K$6)^2)))^2+Inputs!$C$52^2-2*(Inputs!$C$52+((Inputs!$H$6+Inputs!$L$6*(((Inputs!$I$6+(((A95)+1)/2)*(Inputs!$J$6-Inputs!$I$6)))/Inputs!$K$6)^2)))*Inputs!$C$52*COS(SQRT(((Inputs!$I$6+(((A95)+1)/2)*(Inputs!$J$6-Inputs!$I$6)))^2+Inputs!$C$6^2)/Inputs!$C$52)))-((Inputs!$H$6+Inputs!$L$6*(((Inputs!$I$6+(((A95)+1)/2)*(Inputs!$J$6-Inputs!$I$6)))/Inputs!$K$6)^2)))*1000/Inputs!$C$12)</x:f>
        <x:v>710.7408110589965</x:v>
      </x:c>
      <x:c r="AG95" s="48" t="n">
        <x:f>(((SQRT((Inputs!$C$52+((Inputs!$H$7+Inputs!$L$7*(((Inputs!$I$7+(((A95)+1)/2)*(Inputs!$J$7-Inputs!$I$7)))/Inputs!$K$7)^2)))^2+Inputs!$C$52^2-2*(Inputs!$C$52+((Inputs!$H$7+Inputs!$L$7*(((Inputs!$I$7+(((A95)+1)/2)*(Inputs!$J$7-Inputs!$I$7)))/Inputs!$K$7)^2)))*Inputs!$C$52*COS(SQRT(((Inputs!$I$7+(((A95)+1)/2)*(Inputs!$J$7-Inputs!$I$7)))^2+Inputs!$C$6^2)/Inputs!$C$52)))-((Inputs!$H$7+Inputs!$L$7*(((Inputs!$I$7+(((A95)+1)/2)*(Inputs!$J$7-Inputs!$I$7)))/Inputs!$K$7)^2)))*1000/Inputs!$C$12)</x:f>
        <x:v>31192.48716549788</x:v>
      </x:c>
      <x:c r="AH95" s="48" t="n">
        <x:f>(((SQRT((Inputs!$C$52+((Inputs!$H$8+Inputs!$L$8*(((Inputs!$I$8+(((A95)+1)/2)*(Inputs!$J$8-Inputs!$I$8)))/Inputs!$K$8)^2)))^2+Inputs!$C$52^2-2*(Inputs!$C$52+((Inputs!$H$8+Inputs!$L$8*(((Inputs!$I$8+(((A95)+1)/2)*(Inputs!$J$8-Inputs!$I$8)))/Inputs!$K$8)^2)))*Inputs!$C$52*COS(SQRT(((Inputs!$I$8+(((A95)+1)/2)*(Inputs!$J$8-Inputs!$I$8)))^2+Inputs!$C$6^2)/Inputs!$C$52)))-((Inputs!$H$8+Inputs!$L$8*(((Inputs!$I$8+(((A95)+1)/2)*(Inputs!$J$8-Inputs!$I$8)))/Inputs!$K$8)^2)))*1000/Inputs!$C$12)</x:f>
        <x:v>67739.37276615949</x:v>
      </x:c>
      <x:c r="AI95" s="48" t="n">
        <x:f>(((SQRT((Inputs!$C$52+((Inputs!$H$9+Inputs!$L$9*(((Inputs!$I$9+(((A95)+1)/2)*(Inputs!$J$9-Inputs!$I$9)))/Inputs!$K$9)^2)))^2+Inputs!$C$52^2-2*(Inputs!$C$52+((Inputs!$H$9+Inputs!$L$9*(((Inputs!$I$9+(((A95)+1)/2)*(Inputs!$J$9-Inputs!$I$9)))/Inputs!$K$9)^2)))*Inputs!$C$52*COS(SQRT(((Inputs!$I$9+(((A95)+1)/2)*(Inputs!$J$9-Inputs!$I$9)))^2+Inputs!$C$6^2)/Inputs!$C$52)))-((Inputs!$H$9+Inputs!$L$9*(((Inputs!$I$9+(((A95)+1)/2)*(Inputs!$J$9-Inputs!$I$9)))/Inputs!$K$9)^2)))*1000/Inputs!$C$12)</x:f>
        <x:v>70709.01786813648</x:v>
      </x:c>
      <x:c r="AJ95" s="49"/>
      <x:c r="AK95" s="48" t="n">
        <x:f>A95</x:f>
        <x:v>-0.225</x:v>
      </x:c>
      <x:c r="AL95" s="48" t="n">
        <x: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x:f>
        <x:v>115.47396788625974</x:v>
      </x:c>
      <x:c r="AM95" s="48" t="n">
        <x: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x:f>
        <x:v>1704.7217018039835</x:v>
      </x:c>
      <x:c r="AN95" s="48" t="n">
        <x: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x:f>
        <x:v>1882.2740929695933</x:v>
      </x:c>
      <x:c r="AO95" s="48" t="n">
        <x: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x:f>
        <x:v>1875.7382315443301</x:v>
      </x:c>
      <x:c r="AP95" s="49"/>
      <x:c r="AQ95" s="48" t="n">
        <x:f>A95</x:f>
        <x:v>-0.225</x:v>
      </x:c>
      <x:c r="AR95" s="48" t="n">
        <x:f>0</x:f>
        <x:v>0</x:v>
      </x:c>
      <x:c r="AS95" s="48" t="n">
        <x: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(0.45*SIN(2*PI()*((((Inputs!$I$6+(((A95)+1)/2)*(Inputs!$J$6-Inputs!$I$6)))/Inputs!$C$49)+Inputs!$C$47*0.137))+0.35*COS(2*PI()*(((Inputs!$C$6)/Inputs!$C$50)+Inputs!$C$47*0.173))+0.20*SIN(2*PI()*((((Inputs!$I$6+(((A95)+1)/2)*(Inputs!$J$6-Inputs!$I$6)))+(Inputs!$C$6))/(0.5*(Inputs!$C$49+Inputs!$C$50))+Inputs!$C$47*0.097)))+0.30*(2*((SIN((((Inputs!$I$6+(((A95)+1)/2)*(Inputs!$J$6-Inputs!$I$6)))*12.9898+(Inputs!$C$6)*78.233+Inputs!$C$47*37.719))*43758.5453)-INT((SIN((((Inputs!$I$6+(((A95)+1)/2)*(Inputs!$J$6-Inputs!$I$6)))*12.9898+(Inputs!$C$6)*78.233+Inputs!$C$47*37.719))*43758.5453)))-1))),NA())</x:f>
        <x:v>418.7700178970381</x:v>
      </x:c>
      <x:c r="AT95" s="48" t="n">
        <x: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(0.45*SIN(2*PI()*((((Inputs!$I$7+(((A95)+1)/2)*(Inputs!$J$7-Inputs!$I$7)))/Inputs!$C$49)+Inputs!$C$47*0.137))+0.35*COS(2*PI()*(((Inputs!$C$6)/Inputs!$C$50)+Inputs!$C$47*0.173))+0.20*SIN(2*PI()*((((Inputs!$I$7+(((A95)+1)/2)*(Inputs!$J$7-Inputs!$I$7)))+(Inputs!$C$6))/(0.5*(Inputs!$C$49+Inputs!$C$50))+Inputs!$C$47*0.097)))+0.30*(2*((SIN((((Inputs!$I$7+(((A95)+1)/2)*(Inputs!$J$7-Inputs!$I$7)))*12.9898+(Inputs!$C$6)*78.233+Inputs!$C$47*37.719))*43758.5453)-INT((SIN((((Inputs!$I$7+(((A95)+1)/2)*(Inputs!$J$7-Inputs!$I$7)))*12.9898+(Inputs!$C$6)*78.233+Inputs!$C$47*37.719))*43758.5453)))-1))),NA())</x:f>
        <x:v>107.95718028019085</x:v>
      </x:c>
      <x:c r="AU95" s="48" t="n">
        <x: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(0.45*SIN(2*PI()*((((Inputs!$I$8+(((A95)+1)/2)*(Inputs!$J$8-Inputs!$I$8)))/Inputs!$C$49)+Inputs!$C$47*0.137))+0.35*COS(2*PI()*(((Inputs!$C$6)/Inputs!$C$50)+Inputs!$C$47*0.173))+0.20*SIN(2*PI()*((((Inputs!$I$8+(((A95)+1)/2)*(Inputs!$J$8-Inputs!$I$8)))+(Inputs!$C$6))/(0.5*(Inputs!$C$49+Inputs!$C$50))+Inputs!$C$47*0.097)))+0.30*(2*((SIN((((Inputs!$I$8+(((A95)+1)/2)*(Inputs!$J$8-Inputs!$I$8)))*12.9898+(Inputs!$C$6)*78.233+Inputs!$C$47*37.719))*43758.5453)-INT((SIN((((Inputs!$I$8+(((A95)+1)/2)*(Inputs!$J$8-Inputs!$I$8)))*12.9898+(Inputs!$C$6)*78.233+Inputs!$C$47*37.719))*43758.5453)))-1))),NA())</x:f>
        <x:v>141.8114340348771</x:v>
      </x:c>
      <x:c r="AV95" s="48" t="n">
        <x: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(0.45*SIN(2*PI()*((((Inputs!$I$9+(((A95)+1)/2)*(Inputs!$J$9-Inputs!$I$9)))/Inputs!$C$49)+Inputs!$C$47*0.137))+0.35*COS(2*PI()*(((Inputs!$C$6)/Inputs!$C$50)+Inputs!$C$47*0.173))+0.20*SIN(2*PI()*((((Inputs!$I$9+(((A95)+1)/2)*(Inputs!$J$9-Inputs!$I$9)))+(Inputs!$C$6))/(0.5*(Inputs!$C$49+Inputs!$C$50))+Inputs!$C$47*0.097)))+0.30*(2*((SIN((((Inputs!$I$9+(((A95)+1)/2)*(Inputs!$J$9-Inputs!$I$9)))*12.9898+(Inputs!$C$6)*78.233+Inputs!$C$47*37.719))*43758.5453)-INT((SIN((((Inputs!$I$9+(((A95)+1)/2)*(Inputs!$J$9-Inputs!$I$9)))*12.9898+(Inputs!$C$6)*78.233+Inputs!$C$47*37.719))*43758.5453)))-1))),NA())</x:f>
        <x:v>141.8114340348771</x:v>
      </x:c>
      <x:c r="AW95" s="49"/>
      <x:c r="AX95" s="48" t="n">
        <x:f>A95</x:f>
        <x:v>-0.225</x:v>
      </x:c>
      <x:c r="AY95" s="48" t="n">
        <x:f>0</x:f>
        <x:v>0</x:v>
      </x:c>
      <x:c r="AZ95" s="48" t="n">
        <x:f>IF(OR(Inputs!$F$6=TRUE,Inputs!$F$6="TRUE",Inputs!$F$6=1),(Inputs!$H$6+Inputs!$L$6*(((Inputs!$I$6+(((A95)+1)/2)*(Inputs!$J$6-Inputs!$I$6)))/Inputs!$K$6)^2),NA())</x:f>
        <x:v>400.2025</x:v>
      </x:c>
      <x:c r="BA95" s="48" t="n">
        <x:f>IF(OR(Inputs!$F$7=TRUE,Inputs!$F$7="TRUE",Inputs!$F$7=1),(Inputs!$H$7+Inputs!$L$7*(((Inputs!$I$7+(((A95)+1)/2)*(Inputs!$J$7-Inputs!$I$7)))/Inputs!$K$7)^2),NA())</x:f>
        <x:v>53.478125000000006</x:v>
      </x:c>
      <x:c r="BB95" s="48" t="n">
        <x:f>IF(OR(Inputs!$F$8=TRUE,Inputs!$F$8="TRUE",Inputs!$F$8=1),(Inputs!$H$8+Inputs!$L$8*(((Inputs!$I$8+(((A95)+1)/2)*(Inputs!$J$8-Inputs!$I$8)))/Inputs!$K$8)^2),NA())</x:f>
        <x:v>83.853125</x:v>
      </x:c>
      <x:c r="BC95" s="48" t="n">
        <x:f>IF(OR(Inputs!$F$9=TRUE,Inputs!$F$9="TRUE",Inputs!$F$9=1),(Inputs!$H$9+Inputs!$L$9*(((Inputs!$I$9+(((A95)+1)/2)*(Inputs!$J$9-Inputs!$I$9)))/Inputs!$K$9)^2),NA())</x:f>
        <x:v>74.359375</x:v>
      </x:c>
      <x:c r="BD95" s="49"/>
      <x:c r="BE95" s="48" t="n">
        <x:f>A95</x:f>
        <x:v>-0.225</x:v>
      </x:c>
      <x:c r="BF95" s="48" t="n">
        <x:f>0</x:f>
        <x:v>0</x:v>
      </x:c>
      <x:c r="BG95" s="48"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BH95" s="48"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BI95" s="48"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BJ95" s="48"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row>
    <x:row r="96">
      <x:c r="A96" s="48" t="n">
        <x:f>ROUND(-1+94*2/240,3)</x:f>
        <x:v>-0.217</x:v>
      </x:c>
      <x:c r="B96" s="48" t="n">
        <x:f>IF(OR(Inputs!$F$6=TRUE,Inputs!$F$6="TRUE",Inputs!$F$6=1),(Inputs!$H$6+Inputs!$L$6*(((Inputs!$I$6+(((A96)+1)/2)*(Inputs!$J$6-Inputs!$I$6)))/Inputs!$K$6)^2),NA())</x:f>
        <x:v>400.188356</x:v>
      </x:c>
      <x:c r="C96" s="48" t="n">
        <x:f>IF(OR(Inputs!$F$7=TRUE,Inputs!$F$7="TRUE",Inputs!$F$7=1),(Inputs!$H$7+Inputs!$L$7*(((Inputs!$I$7+(((A96)+1)/2)*(Inputs!$J$7-Inputs!$I$7)))/Inputs!$K$7)^2),NA())</x:f>
        <x:v>52.18748500000001</x:v>
      </x:c>
      <x:c r="D96" s="48" t="n">
        <x:f>IF(OR(Inputs!$F$8=TRUE,Inputs!$F$8="TRUE",Inputs!$F$8=1),(Inputs!$H$8+Inputs!$L$8*(((Inputs!$I$8+(((A96)+1)/2)*(Inputs!$J$8-Inputs!$I$8)))/Inputs!$K$8)^2),NA())</x:f>
        <x:v>80.44088500000001</x:v>
      </x:c>
      <x:c r="E96" s="48" t="n">
        <x:f>IF(OR(Inputs!$F$9=TRUE,Inputs!$F$9="TRUE",Inputs!$F$9=1),(Inputs!$H$9+Inputs!$L$9*(((Inputs!$I$9+(((A96)+1)/2)*(Inputs!$J$9-Inputs!$I$9)))/Inputs!$K$9)^2),NA())</x:f>
        <x:v>70.911775</x:v>
      </x:c>
      <x:c r="F96" s="49"/>
      <x:c r="G96" s="48" t="n">
        <x:f>A96</x:f>
        <x:v>-0.217</x:v>
      </x:c>
      <x:c r="H96" s="48"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I96" s="48"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J96" s="48"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K96" s="48"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c r="L96" s="49"/>
      <x:c r="M96" s="48" t="n">
        <x:f>A96</x:f>
        <x:v>-0.217</x:v>
      </x:c>
      <x:c r="N96" s="48" t="n">
        <x: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x:f>
        <x:v>111.3751521138943</x:v>
      </x:c>
      <x:c r="O96" s="48" t="n">
        <x: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x:f>
        <x:v>1687.0490582285954</x:v>
      </x:c>
      <x:c r="P96" s="48" t="n">
        <x: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x:f>
        <x:v>1863.9766572864032</x:v>
      </x:c>
      <x:c r="Q96" s="48" t="n">
        <x: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x:f>
        <x:v>1857.8702803822314</x:v>
      </x:c>
      <x:c r="R96" s="49"/>
      <x:c r="S96" s="48" t="n">
        <x:f>A96</x:f>
        <x:v>-0.217</x:v>
      </x:c>
      <x:c r="T96" s="48" t="n">
        <x:f>(Inputs!$I$6+(((A96)+1)/2)*(Inputs!$J$6-Inputs!$I$6))</x:f>
        <x:v>-13.019999999999996</x:v>
      </x:c>
      <x:c r="U96" s="48" t="n">
        <x:f>(Inputs!$I$7+(((A96)+1)/2)*(Inputs!$J$7-Inputs!$I$7))</x:f>
        <x:v>-86.80000000000001</x:v>
      </x:c>
      <x:c r="V96" s="48" t="n">
        <x:f>(Inputs!$I$8+(((A96)+1)/2)*(Inputs!$J$8-Inputs!$I$8))</x:f>
        <x:v>-173.60000000000002</x:v>
      </x:c>
      <x:c r="W96" s="48" t="n">
        <x:f>(Inputs!$I$9+(((A96)+1)/2)*(Inputs!$J$9-Inputs!$I$9))</x:f>
        <x:v>-173.60000000000002</x:v>
      </x:c>
      <x:c r="X96" s="49"/>
      <x:c r="Y96" s="48" t="n">
        <x:f>A96</x:f>
        <x:v>-0.217</x:v>
      </x:c>
      <x:c r="Z96" s="48" t="n">
        <x:f>(Inputs!$H$6+Inputs!$L$6*(((Inputs!$I$6+(((A96)+1)/2)*(Inputs!$J$6-Inputs!$I$6)))/Inputs!$K$6)^2)</x:f>
        <x:v>400.188356</x:v>
      </x:c>
      <x:c r="AA96" s="48" t="n">
        <x:f>(Inputs!$H$7+Inputs!$L$7*(((Inputs!$I$7+(((A96)+1)/2)*(Inputs!$J$7-Inputs!$I$7)))/Inputs!$K$7)^2)</x:f>
        <x:v>52.18748500000001</x:v>
      </x:c>
      <x:c r="AB96" s="48" t="n">
        <x:f>(Inputs!$H$8+Inputs!$L$8*(((Inputs!$I$8+(((A96)+1)/2)*(Inputs!$J$8-Inputs!$I$8)))/Inputs!$K$8)^2)</x:f>
        <x:v>80.44088500000001</x:v>
      </x:c>
      <x:c r="AC96" s="48" t="n">
        <x:f>(Inputs!$H$9+Inputs!$L$9*(((Inputs!$I$9+(((A96)+1)/2)*(Inputs!$J$9-Inputs!$I$9)))/Inputs!$K$9)^2)</x:f>
        <x:v>70.911775</x:v>
      </x:c>
      <x:c r="AD96" s="49"/>
      <x:c r="AE96" s="48" t="n">
        <x:f>A96</x:f>
        <x:v>-0.217</x:v>
      </x:c>
      <x:c r="AF96" s="48" t="n">
        <x:f>(((SQRT((Inputs!$C$52+((Inputs!$H$6+Inputs!$L$6*(((Inputs!$I$6+(((A96)+1)/2)*(Inputs!$J$6-Inputs!$I$6)))/Inputs!$K$6)^2)))^2+Inputs!$C$52^2-2*(Inputs!$C$52+((Inputs!$H$6+Inputs!$L$6*(((Inputs!$I$6+(((A96)+1)/2)*(Inputs!$J$6-Inputs!$I$6)))/Inputs!$K$6)^2)))*Inputs!$C$52*COS(SQRT(((Inputs!$I$6+(((A96)+1)/2)*(Inputs!$J$6-Inputs!$I$6)))^2+Inputs!$C$6^2)/Inputs!$C$52)))-((Inputs!$H$6+Inputs!$L$6*(((Inputs!$I$6+(((A96)+1)/2)*(Inputs!$J$6-Inputs!$I$6)))/Inputs!$K$6)^2)))*1000/Inputs!$C$12)</x:f>
        <x:v>699.5703688663037</x:v>
      </x:c>
      <x:c r="AG96" s="48" t="n">
        <x:f>(((SQRT((Inputs!$C$52+((Inputs!$H$7+Inputs!$L$7*(((Inputs!$I$7+(((A96)+1)/2)*(Inputs!$J$7-Inputs!$I$7)))/Inputs!$K$7)^2)))^2+Inputs!$C$52^2-2*(Inputs!$C$52+((Inputs!$H$7+Inputs!$L$7*(((Inputs!$I$7+(((A96)+1)/2)*(Inputs!$J$7-Inputs!$I$7)))/Inputs!$K$7)^2)))*Inputs!$C$52*COS(SQRT(((Inputs!$I$7+(((A96)+1)/2)*(Inputs!$J$7-Inputs!$I$7)))^2+Inputs!$C$6^2)/Inputs!$C$52)))-((Inputs!$H$7+Inputs!$L$7*(((Inputs!$I$7+(((A96)+1)/2)*(Inputs!$J$7-Inputs!$I$7)))/Inputs!$K$7)^2)))*1000/Inputs!$C$12)</x:f>
        <x:v>30012.020237868906</x:v>
      </x:c>
      <x:c r="AH96" s="48" t="n">
        <x:f>(((SQRT((Inputs!$C$52+((Inputs!$H$8+Inputs!$L$8*(((Inputs!$I$8+(((A96)+1)/2)*(Inputs!$J$8-Inputs!$I$8)))/Inputs!$K$8)^2)))^2+Inputs!$C$52^2-2*(Inputs!$C$52+((Inputs!$H$8+Inputs!$L$8*(((Inputs!$I$8+(((A96)+1)/2)*(Inputs!$J$8-Inputs!$I$8)))/Inputs!$K$8)^2)))*Inputs!$C$52*COS(SQRT(((Inputs!$I$8+(((A96)+1)/2)*(Inputs!$J$8-Inputs!$I$8)))^2+Inputs!$C$6^2)/Inputs!$C$52)))-((Inputs!$H$8+Inputs!$L$8*(((Inputs!$I$8+(((A96)+1)/2)*(Inputs!$J$8-Inputs!$I$8)))/Inputs!$K$8)^2)))*1000/Inputs!$C$12)</x:f>
        <x:v>65447.122357005865</x:v>
      </x:c>
      <x:c r="AI96" s="48" t="n">
        <x:f>(((SQRT((Inputs!$C$52+((Inputs!$H$9+Inputs!$L$9*(((Inputs!$I$9+(((A96)+1)/2)*(Inputs!$J$9-Inputs!$I$9)))/Inputs!$K$9)^2)))^2+Inputs!$C$52^2-2*(Inputs!$C$52+((Inputs!$H$9+Inputs!$L$9*(((Inputs!$I$9+(((A96)+1)/2)*(Inputs!$J$9-Inputs!$I$9)))/Inputs!$K$9)^2)))*Inputs!$C$52*COS(SQRT(((Inputs!$I$9+(((A96)+1)/2)*(Inputs!$J$9-Inputs!$I$9)))^2+Inputs!$C$6^2)/Inputs!$C$52)))-((Inputs!$H$9+Inputs!$L$9*(((Inputs!$I$9+(((A96)+1)/2)*(Inputs!$J$9-Inputs!$I$9)))/Inputs!$K$9)^2)))*1000/Inputs!$C$12)</x:f>
        <x:v>68450.85617748929</x:v>
      </x:c>
      <x:c r="AJ96" s="49"/>
      <x:c r="AK96" s="48" t="n">
        <x:f>A96</x:f>
        <x:v>-0.217</x:v>
      </x:c>
      <x:c r="AL96" s="48" t="n">
        <x: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x:f>
        <x:v>111.3751521138943</x:v>
      </x:c>
      <x:c r="AM96" s="48" t="n">
        <x: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x:f>
        <x:v>1687.0490582285954</x:v>
      </x:c>
      <x:c r="AN96" s="48" t="n">
        <x: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x:f>
        <x:v>1863.9766572864032</x:v>
      </x:c>
      <x:c r="AO96" s="48" t="n">
        <x: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x:f>
        <x:v>1857.8702803822314</x:v>
      </x:c>
      <x:c r="AP96" s="49"/>
      <x:c r="AQ96" s="48" t="n">
        <x:f>A96</x:f>
        <x:v>-0.217</x:v>
      </x:c>
      <x:c r="AR96" s="48" t="n">
        <x:f>0</x:f>
        <x:v>0</x:v>
      </x:c>
      <x:c r="AS96" s="48" t="n">
        <x: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(0.45*SIN(2*PI()*((((Inputs!$I$6+(((A96)+1)/2)*(Inputs!$J$6-Inputs!$I$6)))/Inputs!$C$49)+Inputs!$C$47*0.137))+0.35*COS(2*PI()*(((Inputs!$C$6)/Inputs!$C$50)+Inputs!$C$47*0.173))+0.20*SIN(2*PI()*((((Inputs!$I$6+(((A96)+1)/2)*(Inputs!$J$6-Inputs!$I$6)))+(Inputs!$C$6))/(0.5*(Inputs!$C$49+Inputs!$C$50))+Inputs!$C$47*0.097)))+0.30*(2*((SIN((((Inputs!$I$6+(((A96)+1)/2)*(Inputs!$J$6-Inputs!$I$6)))*12.9898+(Inputs!$C$6)*78.233+Inputs!$C$47*37.719))*43758.5453)-INT((SIN((((Inputs!$I$6+(((A96)+1)/2)*(Inputs!$J$6-Inputs!$I$6)))*12.9898+(Inputs!$C$6)*78.233+Inputs!$C$47*37.719))*43758.5453)))-1))),NA())</x:f>
        <x:v>426.3413775091645</x:v>
      </x:c>
      <x:c r="AT96" s="48" t="n">
        <x: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(0.45*SIN(2*PI()*((((Inputs!$I$7+(((A96)+1)/2)*(Inputs!$J$7-Inputs!$I$7)))/Inputs!$C$49)+Inputs!$C$47*0.137))+0.35*COS(2*PI()*(((Inputs!$C$6)/Inputs!$C$50)+Inputs!$C$47*0.173))+0.20*SIN(2*PI()*((((Inputs!$I$7+(((A96)+1)/2)*(Inputs!$J$7-Inputs!$I$7)))+(Inputs!$C$6))/(0.5*(Inputs!$C$49+Inputs!$C$50))+Inputs!$C$47*0.097)))+0.30*(2*((SIN((((Inputs!$I$7+(((A96)+1)/2)*(Inputs!$J$7-Inputs!$I$7)))*12.9898+(Inputs!$C$6)*78.233+Inputs!$C$47*37.719))*43758.5453)-INT((SIN((((Inputs!$I$7+(((A96)+1)/2)*(Inputs!$J$7-Inputs!$I$7)))*12.9898+(Inputs!$C$6)*78.233+Inputs!$C$47*37.719))*43758.5453)))-1))),NA())</x:f>
        <x:v>138.72213165552463</x:v>
      </x:c>
      <x:c r="AU96" s="48" t="n">
        <x: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(0.45*SIN(2*PI()*((((Inputs!$I$8+(((A96)+1)/2)*(Inputs!$J$8-Inputs!$I$8)))/Inputs!$C$49)+Inputs!$C$47*0.137))+0.35*COS(2*PI()*(((Inputs!$C$6)/Inputs!$C$50)+Inputs!$C$47*0.173))+0.20*SIN(2*PI()*((((Inputs!$I$8+(((A96)+1)/2)*(Inputs!$J$8-Inputs!$I$8)))+(Inputs!$C$6))/(0.5*(Inputs!$C$49+Inputs!$C$50))+Inputs!$C$47*0.097)))+0.30*(2*((SIN((((Inputs!$I$8+(((A96)+1)/2)*(Inputs!$J$8-Inputs!$I$8)))*12.9898+(Inputs!$C$6)*78.233+Inputs!$C$47*37.719))*43758.5453)-INT((SIN((((Inputs!$I$8+(((A96)+1)/2)*(Inputs!$J$8-Inputs!$I$8)))*12.9898+(Inputs!$C$6)*78.233+Inputs!$C$47*37.719))*43758.5453)))-1))),NA())</x:f>
        <x:v>197.49591161858112</x:v>
      </x:c>
      <x:c r="AV96" s="48" t="n">
        <x: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(0.45*SIN(2*PI()*((((Inputs!$I$9+(((A96)+1)/2)*(Inputs!$J$9-Inputs!$I$9)))/Inputs!$C$49)+Inputs!$C$47*0.137))+0.35*COS(2*PI()*(((Inputs!$C$6)/Inputs!$C$50)+Inputs!$C$47*0.173))+0.20*SIN(2*PI()*((((Inputs!$I$9+(((A96)+1)/2)*(Inputs!$J$9-Inputs!$I$9)))+(Inputs!$C$6))/(0.5*(Inputs!$C$49+Inputs!$C$50))+Inputs!$C$47*0.097)))+0.30*(2*((SIN((((Inputs!$I$9+(((A96)+1)/2)*(Inputs!$J$9-Inputs!$I$9)))*12.9898+(Inputs!$C$6)*78.233+Inputs!$C$47*37.719))*43758.5453)-INT((SIN((((Inputs!$I$9+(((A96)+1)/2)*(Inputs!$J$9-Inputs!$I$9)))*12.9898+(Inputs!$C$6)*78.233+Inputs!$C$47*37.719))*43758.5453)))-1))),NA())</x:f>
        <x:v>197.49591161858112</x:v>
      </x:c>
      <x:c r="AW96" s="49"/>
      <x:c r="AX96" s="48" t="n">
        <x:f>A96</x:f>
        <x:v>-0.217</x:v>
      </x:c>
      <x:c r="AY96" s="48" t="n">
        <x:f>0</x:f>
        <x:v>0</x:v>
      </x:c>
      <x:c r="AZ96" s="48" t="n">
        <x:f>IF(OR(Inputs!$F$6=TRUE,Inputs!$F$6="TRUE",Inputs!$F$6=1),(Inputs!$H$6+Inputs!$L$6*(((Inputs!$I$6+(((A96)+1)/2)*(Inputs!$J$6-Inputs!$I$6)))/Inputs!$K$6)^2),NA())</x:f>
        <x:v>400.188356</x:v>
      </x:c>
      <x:c r="BA96" s="48" t="n">
        <x:f>IF(OR(Inputs!$F$7=TRUE,Inputs!$F$7="TRUE",Inputs!$F$7=1),(Inputs!$H$7+Inputs!$L$7*(((Inputs!$I$7+(((A96)+1)/2)*(Inputs!$J$7-Inputs!$I$7)))/Inputs!$K$7)^2),NA())</x:f>
        <x:v>52.18748500000001</x:v>
      </x:c>
      <x:c r="BB96" s="48" t="n">
        <x:f>IF(OR(Inputs!$F$8=TRUE,Inputs!$F$8="TRUE",Inputs!$F$8=1),(Inputs!$H$8+Inputs!$L$8*(((Inputs!$I$8+(((A96)+1)/2)*(Inputs!$J$8-Inputs!$I$8)))/Inputs!$K$8)^2),NA())</x:f>
        <x:v>80.44088500000001</x:v>
      </x:c>
      <x:c r="BC96" s="48" t="n">
        <x:f>IF(OR(Inputs!$F$9=TRUE,Inputs!$F$9="TRUE",Inputs!$F$9=1),(Inputs!$H$9+Inputs!$L$9*(((Inputs!$I$9+(((A96)+1)/2)*(Inputs!$J$9-Inputs!$I$9)))/Inputs!$K$9)^2),NA())</x:f>
        <x:v>70.911775</x:v>
      </x:c>
      <x:c r="BD96" s="49"/>
      <x:c r="BE96" s="48" t="n">
        <x:f>A96</x:f>
        <x:v>-0.217</x:v>
      </x:c>
      <x:c r="BF96" s="48" t="n">
        <x:f>0</x:f>
        <x:v>0</x:v>
      </x:c>
      <x:c r="BG96" s="48"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BH96" s="48"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BI96" s="48"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BJ96" s="48"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row>
    <x:row r="97">
      <x:c r="A97" s="48" t="n">
        <x:f>ROUND(-1+95*2/240,3)</x:f>
        <x:v>-0.208</x:v>
      </x:c>
      <x:c r="B97" s="48" t="n">
        <x:f>IF(OR(Inputs!$F$6=TRUE,Inputs!$F$6="TRUE",Inputs!$F$6=1),(Inputs!$H$6+Inputs!$L$6*(((Inputs!$I$6+(((A97)+1)/2)*(Inputs!$J$6-Inputs!$I$6)))/Inputs!$K$6)^2),NA())</x:f>
        <x:v>400.173056</x:v>
      </x:c>
      <x:c r="C97" s="48" t="n">
        <x:f>IF(OR(Inputs!$F$7=TRUE,Inputs!$F$7="TRUE",Inputs!$F$7=1),(Inputs!$H$7+Inputs!$L$7*(((Inputs!$I$7+(((A97)+1)/2)*(Inputs!$J$7-Inputs!$I$7)))/Inputs!$K$7)^2),NA())</x:f>
        <x:v>50.79136</x:v>
      </x:c>
      <x:c r="D97" s="48" t="n">
        <x:f>IF(OR(Inputs!$F$8=TRUE,Inputs!$F$8="TRUE",Inputs!$F$8=1),(Inputs!$H$8+Inputs!$L$8*(((Inputs!$I$8+(((A97)+1)/2)*(Inputs!$J$8-Inputs!$I$8)))/Inputs!$K$8)^2),NA())</x:f>
        <x:v>76.74975999999998</x:v>
      </x:c>
      <x:c r="E97" s="48" t="n">
        <x:f>IF(OR(Inputs!$F$9=TRUE,Inputs!$F$9="TRUE",Inputs!$F$9=1),(Inputs!$H$9+Inputs!$L$9*(((Inputs!$I$9+(((A97)+1)/2)*(Inputs!$J$9-Inputs!$I$9)))/Inputs!$K$9)^2),NA())</x:f>
        <x:v>67.18239999999997</x:v>
      </x:c>
      <x:c r="F97" s="49"/>
      <x:c r="G97" s="48" t="n">
        <x:f>A97</x:f>
        <x:v>-0.208</x:v>
      </x:c>
      <x:c r="H97" s="48"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I97" s="48"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J97" s="48"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K97" s="48"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c r="L97" s="49"/>
      <x:c r="M97" s="48" t="n">
        <x:f>A97</x:f>
        <x:v>-0.208</x:v>
      </x:c>
      <x:c r="N97" s="48" t="n">
        <x: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x:f>
        <x:v>106.76308869225281</x:v>
      </x:c>
      <x:c r="O97" s="48" t="n">
        <x: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x:f>
        <x:v>1666.3807003058387</x:v>
      </x:c>
      <x:c r="P97" s="48" t="n">
        <x: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x:f>
        <x:v>1843.5674135532493</x:v>
      </x:c>
      <x:c r="Q97" s="48" t="n">
        <x: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x:f>
        <x:v>1838.0723898684603</x:v>
      </x:c>
      <x:c r="R97" s="49"/>
      <x:c r="S97" s="48" t="n">
        <x:f>A97</x:f>
        <x:v>-0.208</x:v>
      </x:c>
      <x:c r="T97" s="48" t="n">
        <x:f>(Inputs!$I$6+(((A97)+1)/2)*(Inputs!$J$6-Inputs!$I$6))</x:f>
        <x:v>-12.479999999999997</x:v>
      </x:c>
      <x:c r="U97" s="48" t="n">
        <x:f>(Inputs!$I$7+(((A97)+1)/2)*(Inputs!$J$7-Inputs!$I$7))</x:f>
        <x:v>-83.19999999999999</x:v>
      </x:c>
      <x:c r="V97" s="48" t="n">
        <x:f>(Inputs!$I$8+(((A97)+1)/2)*(Inputs!$J$8-Inputs!$I$8))</x:f>
        <x:v>-166.39999999999998</x:v>
      </x:c>
      <x:c r="W97" s="48" t="n">
        <x:f>(Inputs!$I$9+(((A97)+1)/2)*(Inputs!$J$9-Inputs!$I$9))</x:f>
        <x:v>-166.39999999999998</x:v>
      </x:c>
      <x:c r="X97" s="49"/>
      <x:c r="Y97" s="48" t="n">
        <x:f>A97</x:f>
        <x:v>-0.208</x:v>
      </x:c>
      <x:c r="Z97" s="48" t="n">
        <x:f>(Inputs!$H$6+Inputs!$L$6*(((Inputs!$I$6+(((A97)+1)/2)*(Inputs!$J$6-Inputs!$I$6)))/Inputs!$K$6)^2)</x:f>
        <x:v>400.173056</x:v>
      </x:c>
      <x:c r="AA97" s="48" t="n">
        <x:f>(Inputs!$H$7+Inputs!$L$7*(((Inputs!$I$7+(((A97)+1)/2)*(Inputs!$J$7-Inputs!$I$7)))/Inputs!$K$7)^2)</x:f>
        <x:v>50.79136</x:v>
      </x:c>
      <x:c r="AB97" s="48" t="n">
        <x:f>(Inputs!$H$8+Inputs!$L$8*(((Inputs!$I$8+(((A97)+1)/2)*(Inputs!$J$8-Inputs!$I$8)))/Inputs!$K$8)^2)</x:f>
        <x:v>76.74975999999998</x:v>
      </x:c>
      <x:c r="AC97" s="48" t="n">
        <x:f>(Inputs!$H$9+Inputs!$L$9*(((Inputs!$I$9+(((A97)+1)/2)*(Inputs!$J$9-Inputs!$I$9)))/Inputs!$K$9)^2)</x:f>
        <x:v>67.18239999999997</x:v>
      </x:c>
      <x:c r="AD97" s="49"/>
      <x:c r="AE97" s="48" t="n">
        <x:f>A97</x:f>
        <x:v>-0.208</x:v>
      </x:c>
      <x:c r="AF97" s="48" t="n">
        <x:f>(((SQRT((Inputs!$C$52+((Inputs!$H$6+Inputs!$L$6*(((Inputs!$I$6+(((A97)+1)/2)*(Inputs!$J$6-Inputs!$I$6)))/Inputs!$K$6)^2)))^2+Inputs!$C$52^2-2*(Inputs!$C$52+((Inputs!$H$6+Inputs!$L$6*(((Inputs!$I$6+(((A97)+1)/2)*(Inputs!$J$6-Inputs!$I$6)))/Inputs!$K$6)^2)))*Inputs!$C$52*COS(SQRT(((Inputs!$I$6+(((A97)+1)/2)*(Inputs!$J$6-Inputs!$I$6)))^2+Inputs!$C$6^2)/Inputs!$C$52)))-((Inputs!$H$6+Inputs!$L$6*(((Inputs!$I$6+(((A97)+1)/2)*(Inputs!$J$6-Inputs!$I$6)))/Inputs!$K$6)^2)))*1000/Inputs!$C$12)</x:f>
        <x:v>687.4856192586656</x:v>
      </x:c>
      <x:c r="AG97" s="48" t="n">
        <x:f>(((SQRT((Inputs!$C$52+((Inputs!$H$7+Inputs!$L$7*(((Inputs!$I$7+(((A97)+1)/2)*(Inputs!$J$7-Inputs!$I$7)))/Inputs!$K$7)^2)))^2+Inputs!$C$52^2-2*(Inputs!$C$52+((Inputs!$H$7+Inputs!$L$7*(((Inputs!$I$7+(((A97)+1)/2)*(Inputs!$J$7-Inputs!$I$7)))/Inputs!$K$7)^2)))*Inputs!$C$52*COS(SQRT(((Inputs!$I$7+(((A97)+1)/2)*(Inputs!$J$7-Inputs!$I$7)))^2+Inputs!$C$6^2)/Inputs!$C$52)))-((Inputs!$H$7+Inputs!$L$7*(((Inputs!$I$7+(((A97)+1)/2)*(Inputs!$J$7-Inputs!$I$7)))/Inputs!$K$7)^2)))*1000/Inputs!$C$12)</x:f>
        <x:v>28676.821975093742</x:v>
      </x:c>
      <x:c r="AH97" s="48" t="n">
        <x:f>(((SQRT((Inputs!$C$52+((Inputs!$H$8+Inputs!$L$8*(((Inputs!$I$8+(((A97)+1)/2)*(Inputs!$J$8-Inputs!$I$8)))/Inputs!$K$8)^2)))^2+Inputs!$C$52^2-2*(Inputs!$C$52+((Inputs!$H$8+Inputs!$L$8*(((Inputs!$I$8+(((A97)+1)/2)*(Inputs!$J$8-Inputs!$I$8)))/Inputs!$K$8)^2)))*Inputs!$C$52*COS(SQRT(((Inputs!$I$8+(((A97)+1)/2)*(Inputs!$J$8-Inputs!$I$8)))^2+Inputs!$C$6^2)/Inputs!$C$52)))-((Inputs!$H$8+Inputs!$L$8*(((Inputs!$I$8+(((A97)+1)/2)*(Inputs!$J$8-Inputs!$I$8)))/Inputs!$K$8)^2)))*1000/Inputs!$C$12)</x:f>
        <x:v>62834.319273826455</x:v>
      </x:c>
      <x:c r="AI97" s="48" t="n">
        <x:f>(((SQRT((Inputs!$C$52+((Inputs!$H$9+Inputs!$L$9*(((Inputs!$I$9+(((A97)+1)/2)*(Inputs!$J$9-Inputs!$I$9)))/Inputs!$K$9)^2)))^2+Inputs!$C$52^2-2*(Inputs!$C$52+((Inputs!$H$9+Inputs!$L$9*(((Inputs!$I$9+(((A97)+1)/2)*(Inputs!$J$9-Inputs!$I$9)))/Inputs!$K$9)^2)))*Inputs!$C$52*COS(SQRT(((Inputs!$I$9+(((A97)+1)/2)*(Inputs!$J$9-Inputs!$I$9)))^2+Inputs!$C$6^2)/Inputs!$C$52)))-((Inputs!$H$9+Inputs!$L$9*(((Inputs!$I$9+(((A97)+1)/2)*(Inputs!$J$9-Inputs!$I$9)))/Inputs!$K$9)^2)))*1000/Inputs!$C$12)</x:f>
        <x:v>65874.23699367428</x:v>
      </x:c>
      <x:c r="AJ97" s="49"/>
      <x:c r="AK97" s="48" t="n">
        <x:f>A97</x:f>
        <x:v>-0.208</x:v>
      </x:c>
      <x:c r="AL97" s="48" t="n">
        <x: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x:f>
        <x:v>106.76308869225281</x:v>
      </x:c>
      <x:c r="AM97" s="48" t="n">
        <x: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x:f>
        <x:v>1666.3807003058387</x:v>
      </x:c>
      <x:c r="AN97" s="48" t="n">
        <x: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x:f>
        <x:v>1843.5674135532493</x:v>
      </x:c>
      <x:c r="AO97" s="48" t="n">
        <x: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x:f>
        <x:v>1838.0723898684603</x:v>
      </x:c>
      <x:c r="AP97" s="49"/>
      <x:c r="AQ97" s="48" t="n">
        <x:f>A97</x:f>
        <x:v>-0.208</x:v>
      </x:c>
      <x:c r="AR97" s="48" t="n">
        <x:f>0</x:f>
        <x:v>0</x:v>
      </x:c>
      <x:c r="AS97" s="48" t="n">
        <x: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(0.45*SIN(2*PI()*((((Inputs!$I$6+(((A97)+1)/2)*(Inputs!$J$6-Inputs!$I$6)))/Inputs!$C$49)+Inputs!$C$47*0.137))+0.35*COS(2*PI()*(((Inputs!$C$6)/Inputs!$C$50)+Inputs!$C$47*0.173))+0.20*SIN(2*PI()*((((Inputs!$I$6+(((A97)+1)/2)*(Inputs!$J$6-Inputs!$I$6)))+(Inputs!$C$6))/(0.5*(Inputs!$C$49+Inputs!$C$50))+Inputs!$C$47*0.097)))+0.30*(2*((SIN((((Inputs!$I$6+(((A97)+1)/2)*(Inputs!$J$6-Inputs!$I$6)))*12.9898+(Inputs!$C$6)*78.233+Inputs!$C$47*37.719))*43758.5453)-INT((SIN((((Inputs!$I$6+(((A97)+1)/2)*(Inputs!$J$6-Inputs!$I$6)))*12.9898+(Inputs!$C$6)*78.233+Inputs!$C$47*37.719))*43758.5453)))-1))),NA())</x:f>
        <x:v>451.4582991196683</x:v>
      </x:c>
      <x:c r="AT97" s="48" t="n">
        <x: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(0.45*SIN(2*PI()*((((Inputs!$I$7+(((A97)+1)/2)*(Inputs!$J$7-Inputs!$I$7)))/Inputs!$C$49)+Inputs!$C$47*0.137))+0.35*COS(2*PI()*(((Inputs!$C$6)/Inputs!$C$50)+Inputs!$C$47*0.173))+0.20*SIN(2*PI()*((((Inputs!$I$7+(((A97)+1)/2)*(Inputs!$J$7-Inputs!$I$7)))+(Inputs!$C$6))/(0.5*(Inputs!$C$49+Inputs!$C$50))+Inputs!$C$47*0.097)))+0.30*(2*((SIN((((Inputs!$I$7+(((A97)+1)/2)*(Inputs!$J$7-Inputs!$I$7)))*12.9898+(Inputs!$C$6)*78.233+Inputs!$C$47*37.719))*43758.5453)-INT((SIN((((Inputs!$I$7+(((A97)+1)/2)*(Inputs!$J$7-Inputs!$I$7)))*12.9898+(Inputs!$C$6)*78.233+Inputs!$C$47*37.719))*43758.5453)))-1))),NA())</x:f>
        <x:v>192.0339669891648</x:v>
      </x:c>
      <x:c r="AU97" s="48" t="n">
        <x: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(0.45*SIN(2*PI()*((((Inputs!$I$8+(((A97)+1)/2)*(Inputs!$J$8-Inputs!$I$8)))/Inputs!$C$49)+Inputs!$C$47*0.137))+0.35*COS(2*PI()*(((Inputs!$C$6)/Inputs!$C$50)+Inputs!$C$47*0.173))+0.20*SIN(2*PI()*((((Inputs!$I$8+(((A97)+1)/2)*(Inputs!$J$8-Inputs!$I$8)))+(Inputs!$C$6))/(0.5*(Inputs!$C$49+Inputs!$C$50))+Inputs!$C$47*0.097)))+0.30*(2*((SIN((((Inputs!$I$8+(((A97)+1)/2)*(Inputs!$J$8-Inputs!$I$8)))*12.9898+(Inputs!$C$6)*78.233+Inputs!$C$47*37.719))*43758.5453)-INT((SIN((((Inputs!$I$8+(((A97)+1)/2)*(Inputs!$J$8-Inputs!$I$8)))*12.9898+(Inputs!$C$6)*78.233+Inputs!$C$47*37.719))*43758.5453)))-1))),NA())</x:f>
        <x:v>91.15467776318724</x:v>
      </x:c>
      <x:c r="AV97" s="48" t="n">
        <x: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(0.45*SIN(2*PI()*((((Inputs!$I$9+(((A97)+1)/2)*(Inputs!$J$9-Inputs!$I$9)))/Inputs!$C$49)+Inputs!$C$47*0.137))+0.35*COS(2*PI()*(((Inputs!$C$6)/Inputs!$C$50)+Inputs!$C$47*0.173))+0.20*SIN(2*PI()*((((Inputs!$I$9+(((A97)+1)/2)*(Inputs!$J$9-Inputs!$I$9)))+(Inputs!$C$6))/(0.5*(Inputs!$C$49+Inputs!$C$50))+Inputs!$C$47*0.097)))+0.30*(2*((SIN((((Inputs!$I$9+(((A97)+1)/2)*(Inputs!$J$9-Inputs!$I$9)))*12.9898+(Inputs!$C$6)*78.233+Inputs!$C$47*37.719))*43758.5453)-INT((SIN((((Inputs!$I$9+(((A97)+1)/2)*(Inputs!$J$9-Inputs!$I$9)))*12.9898+(Inputs!$C$6)*78.233+Inputs!$C$47*37.719))*43758.5453)))-1))),NA())</x:f>
        <x:v>91.15467776318724</x:v>
      </x:c>
      <x:c r="AW97" s="49"/>
      <x:c r="AX97" s="48" t="n">
        <x:f>A97</x:f>
        <x:v>-0.208</x:v>
      </x:c>
      <x:c r="AY97" s="48" t="n">
        <x:f>0</x:f>
        <x:v>0</x:v>
      </x:c>
      <x:c r="AZ97" s="48" t="n">
        <x:f>IF(OR(Inputs!$F$6=TRUE,Inputs!$F$6="TRUE",Inputs!$F$6=1),(Inputs!$H$6+Inputs!$L$6*(((Inputs!$I$6+(((A97)+1)/2)*(Inputs!$J$6-Inputs!$I$6)))/Inputs!$K$6)^2),NA())</x:f>
        <x:v>400.173056</x:v>
      </x:c>
      <x:c r="BA97" s="48" t="n">
        <x:f>IF(OR(Inputs!$F$7=TRUE,Inputs!$F$7="TRUE",Inputs!$F$7=1),(Inputs!$H$7+Inputs!$L$7*(((Inputs!$I$7+(((A97)+1)/2)*(Inputs!$J$7-Inputs!$I$7)))/Inputs!$K$7)^2),NA())</x:f>
        <x:v>50.79136</x:v>
      </x:c>
      <x:c r="BB97" s="48" t="n">
        <x:f>IF(OR(Inputs!$F$8=TRUE,Inputs!$F$8="TRUE",Inputs!$F$8=1),(Inputs!$H$8+Inputs!$L$8*(((Inputs!$I$8+(((A97)+1)/2)*(Inputs!$J$8-Inputs!$I$8)))/Inputs!$K$8)^2),NA())</x:f>
        <x:v>76.74975999999998</x:v>
      </x:c>
      <x:c r="BC97" s="48" t="n">
        <x:f>IF(OR(Inputs!$F$9=TRUE,Inputs!$F$9="TRUE",Inputs!$F$9=1),(Inputs!$H$9+Inputs!$L$9*(((Inputs!$I$9+(((A97)+1)/2)*(Inputs!$J$9-Inputs!$I$9)))/Inputs!$K$9)^2),NA())</x:f>
        <x:v>67.18239999999997</x:v>
      </x:c>
      <x:c r="BD97" s="49"/>
      <x:c r="BE97" s="48" t="n">
        <x:f>A97</x:f>
        <x:v>-0.208</x:v>
      </x:c>
      <x:c r="BF97" s="48" t="n">
        <x:f>0</x:f>
        <x:v>0</x:v>
      </x:c>
      <x:c r="BG97" s="48"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BH97" s="48"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BI97" s="48"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BJ97" s="48"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row>
    <x:row r="98">
      <x:c r="A98" s="48" t="n">
        <x:f>ROUND(-1+96*2/240,3)</x:f>
        <x:v>-0.2</x:v>
      </x:c>
      <x:c r="B98" s="48" t="n">
        <x:f>IF(OR(Inputs!$F$6=TRUE,Inputs!$F$6="TRUE",Inputs!$F$6=1),(Inputs!$H$6+Inputs!$L$6*(((Inputs!$I$6+(((A98)+1)/2)*(Inputs!$J$6-Inputs!$I$6)))/Inputs!$K$6)^2),NA())</x:f>
        <x:v>400.16</x:v>
      </x:c>
      <x:c r="C98" s="48" t="n">
        <x:f>IF(OR(Inputs!$F$7=TRUE,Inputs!$F$7="TRUE",Inputs!$F$7=1),(Inputs!$H$7+Inputs!$L$7*(((Inputs!$I$7+(((A98)+1)/2)*(Inputs!$J$7-Inputs!$I$7)))/Inputs!$K$7)^2),NA())</x:f>
        <x:v>49.6</x:v>
      </x:c>
      <x:c r="D98" s="48" t="n">
        <x:f>IF(OR(Inputs!$F$8=TRUE,Inputs!$F$8="TRUE",Inputs!$F$8=1),(Inputs!$H$8+Inputs!$L$8*(((Inputs!$I$8+(((A98)+1)/2)*(Inputs!$J$8-Inputs!$I$8)))/Inputs!$K$8)^2),NA())</x:f>
        <x:v>73.60000000000001</x:v>
      </x:c>
      <x:c r="E98" s="48" t="n">
        <x:f>IF(OR(Inputs!$F$9=TRUE,Inputs!$F$9="TRUE",Inputs!$F$9=1),(Inputs!$H$9+Inputs!$L$9*(((Inputs!$I$9+(((A98)+1)/2)*(Inputs!$J$9-Inputs!$I$9)))/Inputs!$K$9)^2),NA())</x:f>
        <x:v>64</x:v>
      </x:c>
      <x:c r="F98" s="49"/>
      <x:c r="G98" s="48" t="n">
        <x:f>A98</x:f>
        <x:v>-0.2</x:v>
      </x:c>
      <x:c r="H98" s="48"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I98" s="48"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J98" s="48"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K98" s="48"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c r="L98" s="49"/>
      <x:c r="M98" s="48" t="n">
        <x:f>A98</x:f>
        <x:v>-0.2</x:v>
      </x:c>
      <x:c r="N98" s="48" t="n">
        <x: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x:f>
        <x:v>102.66271090049356</x:v>
      </x:c>
      <x:c r="O98" s="48" t="n">
        <x: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x:f>
        <x:v>1647.1842199885127</x:v>
      </x:c>
      <x:c r="P98" s="48" t="n">
        <x: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x:f>
        <x:v>1825.5334020523155</x:v>
      </x:c>
      <x:c r="Q98" s="48" t="n">
        <x: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x:f>
        <x:v>1820.7114117933004</x:v>
      </x:c>
      <x:c r="R98" s="49"/>
      <x:c r="S98" s="48" t="n">
        <x:f>A98</x:f>
        <x:v>-0.2</x:v>
      </x:c>
      <x:c r="T98" s="48" t="n">
        <x:f>(Inputs!$I$6+(((A98)+1)/2)*(Inputs!$J$6-Inputs!$I$6))</x:f>
        <x:v>-12</x:v>
      </x:c>
      <x:c r="U98" s="48" t="n">
        <x:f>(Inputs!$I$7+(((A98)+1)/2)*(Inputs!$J$7-Inputs!$I$7))</x:f>
        <x:v>-80</x:v>
      </x:c>
      <x:c r="V98" s="48" t="n">
        <x:f>(Inputs!$I$8+(((A98)+1)/2)*(Inputs!$J$8-Inputs!$I$8))</x:f>
        <x:v>-160</x:v>
      </x:c>
      <x:c r="W98" s="48" t="n">
        <x:f>(Inputs!$I$9+(((A98)+1)/2)*(Inputs!$J$9-Inputs!$I$9))</x:f>
        <x:v>-160</x:v>
      </x:c>
      <x:c r="X98" s="49"/>
      <x:c r="Y98" s="48" t="n">
        <x:f>A98</x:f>
        <x:v>-0.2</x:v>
      </x:c>
      <x:c r="Z98" s="48" t="n">
        <x:f>(Inputs!$H$6+Inputs!$L$6*(((Inputs!$I$6+(((A98)+1)/2)*(Inputs!$J$6-Inputs!$I$6)))/Inputs!$K$6)^2)</x:f>
        <x:v>400.16</x:v>
      </x:c>
      <x:c r="AA98" s="48" t="n">
        <x:f>(Inputs!$H$7+Inputs!$L$7*(((Inputs!$I$7+(((A98)+1)/2)*(Inputs!$J$7-Inputs!$I$7)))/Inputs!$K$7)^2)</x:f>
        <x:v>49.6</x:v>
      </x:c>
      <x:c r="AB98" s="48" t="n">
        <x:f>(Inputs!$H$8+Inputs!$L$8*(((Inputs!$I$8+(((A98)+1)/2)*(Inputs!$J$8-Inputs!$I$8)))/Inputs!$K$8)^2)</x:f>
        <x:v>73.60000000000001</x:v>
      </x:c>
      <x:c r="AC98" s="48" t="n">
        <x:f>(Inputs!$H$9+Inputs!$L$9*(((Inputs!$I$9+(((A98)+1)/2)*(Inputs!$J$9-Inputs!$I$9)))/Inputs!$K$9)^2)</x:f>
        <x:v>64</x:v>
      </x:c>
      <x:c r="AD98" s="49"/>
      <x:c r="AE98" s="48" t="n">
        <x:f>A98</x:f>
        <x:v>-0.2</x:v>
      </x:c>
      <x:c r="AF98" s="48" t="n">
        <x:f>(((SQRT((Inputs!$C$52+((Inputs!$H$6+Inputs!$L$6*(((Inputs!$I$6+(((A98)+1)/2)*(Inputs!$J$6-Inputs!$I$6)))/Inputs!$K$6)^2)))^2+Inputs!$C$52^2-2*(Inputs!$C$52+((Inputs!$H$6+Inputs!$L$6*(((Inputs!$I$6+(((A98)+1)/2)*(Inputs!$J$6-Inputs!$I$6)))/Inputs!$K$6)^2)))*Inputs!$C$52*COS(SQRT(((Inputs!$I$6+(((A98)+1)/2)*(Inputs!$J$6-Inputs!$I$6)))^2+Inputs!$C$6^2)/Inputs!$C$52)))-((Inputs!$H$6+Inputs!$L$6*(((Inputs!$I$6+(((A98)+1)/2)*(Inputs!$J$6-Inputs!$I$6)))/Inputs!$K$6)^2)))*1000/Inputs!$C$12)</x:f>
        <x:v>677.1721992654893</x:v>
      </x:c>
      <x:c r="AG98" s="48" t="n">
        <x:f>(((SQRT((Inputs!$C$52+((Inputs!$H$7+Inputs!$L$7*(((Inputs!$I$7+(((A98)+1)/2)*(Inputs!$J$7-Inputs!$I$7)))/Inputs!$K$7)^2)))^2+Inputs!$C$52^2-2*(Inputs!$C$52+((Inputs!$H$7+Inputs!$L$7*(((Inputs!$I$7+(((A98)+1)/2)*(Inputs!$J$7-Inputs!$I$7)))/Inputs!$K$7)^2)))*Inputs!$C$52*COS(SQRT(((Inputs!$I$7+(((A98)+1)/2)*(Inputs!$J$7-Inputs!$I$7)))^2+Inputs!$C$6^2)/Inputs!$C$52)))-((Inputs!$H$7+Inputs!$L$7*(((Inputs!$I$7+(((A98)+1)/2)*(Inputs!$J$7-Inputs!$I$7)))/Inputs!$K$7)^2)))*1000/Inputs!$C$12)</x:f>
        <x:v>27484.49305665487</x:v>
      </x:c>
      <x:c r="AH98" s="48" t="n">
        <x:f>(((SQRT((Inputs!$C$52+((Inputs!$H$8+Inputs!$L$8*(((Inputs!$I$8+(((A98)+1)/2)*(Inputs!$J$8-Inputs!$I$8)))/Inputs!$K$8)^2)))^2+Inputs!$C$52^2-2*(Inputs!$C$52+((Inputs!$H$8+Inputs!$L$8*(((Inputs!$I$8+(((A98)+1)/2)*(Inputs!$J$8-Inputs!$I$8)))/Inputs!$K$8)^2)))*Inputs!$C$52*COS(SQRT(((Inputs!$I$8+(((A98)+1)/2)*(Inputs!$J$8-Inputs!$I$8)))^2+Inputs!$C$6^2)/Inputs!$C$52)))-((Inputs!$H$8+Inputs!$L$8*(((Inputs!$I$8+(((A98)+1)/2)*(Inputs!$J$8-Inputs!$I$8)))/Inputs!$K$8)^2)))*1000/Inputs!$C$12)</x:f>
        <x:v>60481.27607300804</x:v>
      </x:c>
      <x:c r="AI98" s="48" t="n">
        <x:f>(((SQRT((Inputs!$C$52+((Inputs!$H$9+Inputs!$L$9*(((Inputs!$I$9+(((A98)+1)/2)*(Inputs!$J$9-Inputs!$I$9)))/Inputs!$K$9)^2)))^2+Inputs!$C$52^2-2*(Inputs!$C$52+((Inputs!$H$9+Inputs!$L$9*(((Inputs!$I$9+(((A98)+1)/2)*(Inputs!$J$9-Inputs!$I$9)))/Inputs!$K$9)^2)))*Inputs!$C$52*COS(SQRT(((Inputs!$I$9+(((A98)+1)/2)*(Inputs!$J$9-Inputs!$I$9)))^2+Inputs!$C$6^2)/Inputs!$C$52)))-((Inputs!$H$9+Inputs!$L$9*(((Inputs!$I$9+(((A98)+1)/2)*(Inputs!$J$9-Inputs!$I$9)))/Inputs!$K$9)^2)))*1000/Inputs!$C$12)</x:f>
        <x:v>63551.14745527264</x:v>
      </x:c>
      <x:c r="AJ98" s="49"/>
      <x:c r="AK98" s="48" t="n">
        <x:f>A98</x:f>
        <x:v>-0.2</x:v>
      </x:c>
      <x:c r="AL98" s="48" t="n">
        <x: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x:f>
        <x:v>102.66271090049356</x:v>
      </x:c>
      <x:c r="AM98" s="48" t="n">
        <x: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x:f>
        <x:v>1647.1842199885127</x:v>
      </x:c>
      <x:c r="AN98" s="48" t="n">
        <x: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x:f>
        <x:v>1825.5334020523155</x:v>
      </x:c>
      <x:c r="AO98" s="48" t="n">
        <x: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x:f>
        <x:v>1820.7114117933004</x:v>
      </x:c>
      <x:c r="AP98" s="49"/>
      <x:c r="AQ98" s="48" t="n">
        <x:f>A98</x:f>
        <x:v>-0.2</x:v>
      </x:c>
      <x:c r="AR98" s="48" t="n">
        <x:f>0</x:f>
        <x:v>0</x:v>
      </x:c>
      <x:c r="AS98" s="48" t="n">
        <x: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(0.45*SIN(2*PI()*((((Inputs!$I$6+(((A98)+1)/2)*(Inputs!$J$6-Inputs!$I$6)))/Inputs!$C$49)+Inputs!$C$47*0.137))+0.35*COS(2*PI()*(((Inputs!$C$6)/Inputs!$C$50)+Inputs!$C$47*0.173))+0.20*SIN(2*PI()*((((Inputs!$I$6+(((A98)+1)/2)*(Inputs!$J$6-Inputs!$I$6)))+(Inputs!$C$6))/(0.5*(Inputs!$C$49+Inputs!$C$50))+Inputs!$C$47*0.097)))+0.30*(2*((SIN((((Inputs!$I$6+(((A98)+1)/2)*(Inputs!$J$6-Inputs!$I$6)))*12.9898+(Inputs!$C$6)*78.233+Inputs!$C$47*37.719))*43758.5453)-INT((SIN((((Inputs!$I$6+(((A98)+1)/2)*(Inputs!$J$6-Inputs!$I$6)))*12.9898+(Inputs!$C$6)*78.233+Inputs!$C$47*37.719))*43758.5453)))-1))),NA())</x:f>
        <x:v>437.9918993099811</x:v>
      </x:c>
      <x:c r="AT98" s="48" t="n">
        <x: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(0.45*SIN(2*PI()*((((Inputs!$I$7+(((A98)+1)/2)*(Inputs!$J$7-Inputs!$I$7)))/Inputs!$C$49)+Inputs!$C$47*0.137))+0.35*COS(2*PI()*(((Inputs!$C$6)/Inputs!$C$50)+Inputs!$C$47*0.173))+0.20*SIN(2*PI()*((((Inputs!$I$7+(((A98)+1)/2)*(Inputs!$J$7-Inputs!$I$7)))+(Inputs!$C$6))/(0.5*(Inputs!$C$49+Inputs!$C$50))+Inputs!$C$47*0.097)))+0.30*(2*((SIN((((Inputs!$I$7+(((A98)+1)/2)*(Inputs!$J$7-Inputs!$I$7)))*12.9898+(Inputs!$C$6)*78.233+Inputs!$C$47*37.719))*43758.5453)-INT((SIN((((Inputs!$I$7+(((A98)+1)/2)*(Inputs!$J$7-Inputs!$I$7)))*12.9898+(Inputs!$C$6)*78.233+Inputs!$C$47*37.719))*43758.5453)))-1))),NA())</x:f>
        <x:v>156.5351614447042</x:v>
      </x:c>
      <x:c r="AU98" s="48" t="n">
        <x: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(0.45*SIN(2*PI()*((((Inputs!$I$8+(((A98)+1)/2)*(Inputs!$J$8-Inputs!$I$8)))/Inputs!$C$49)+Inputs!$C$47*0.137))+0.35*COS(2*PI()*(((Inputs!$C$6)/Inputs!$C$50)+Inputs!$C$47*0.173))+0.20*SIN(2*PI()*((((Inputs!$I$8+(((A98)+1)/2)*(Inputs!$J$8-Inputs!$I$8)))+(Inputs!$C$6))/(0.5*(Inputs!$C$49+Inputs!$C$50))+Inputs!$C$47*0.097)))+0.30*(2*((SIN((((Inputs!$I$8+(((A98)+1)/2)*(Inputs!$J$8-Inputs!$I$8)))*12.9898+(Inputs!$C$6)*78.233+Inputs!$C$47*37.719))*43758.5453)-INT((SIN((((Inputs!$I$8+(((A98)+1)/2)*(Inputs!$J$8-Inputs!$I$8)))*12.9898+(Inputs!$C$6)*78.233+Inputs!$C$47*37.719))*43758.5453)))-1))),NA())</x:f>
        <x:v>138.70370323809672</x:v>
      </x:c>
      <x:c r="AV98" s="48" t="n">
        <x: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(0.45*SIN(2*PI()*((((Inputs!$I$9+(((A98)+1)/2)*(Inputs!$J$9-Inputs!$I$9)))/Inputs!$C$49)+Inputs!$C$47*0.137))+0.35*COS(2*PI()*(((Inputs!$C$6)/Inputs!$C$50)+Inputs!$C$47*0.173))+0.20*SIN(2*PI()*((((Inputs!$I$9+(((A98)+1)/2)*(Inputs!$J$9-Inputs!$I$9)))+(Inputs!$C$6))/(0.5*(Inputs!$C$49+Inputs!$C$50))+Inputs!$C$47*0.097)))+0.30*(2*((SIN((((Inputs!$I$9+(((A98)+1)/2)*(Inputs!$J$9-Inputs!$I$9)))*12.9898+(Inputs!$C$6)*78.233+Inputs!$C$47*37.719))*43758.5453)-INT((SIN((((Inputs!$I$9+(((A98)+1)/2)*(Inputs!$J$9-Inputs!$I$9)))*12.9898+(Inputs!$C$6)*78.233+Inputs!$C$47*37.719))*43758.5453)))-1))),NA())</x:f>
        <x:v>138.70370323809672</x:v>
      </x:c>
      <x:c r="AW98" s="49"/>
      <x:c r="AX98" s="48" t="n">
        <x:f>A98</x:f>
        <x:v>-0.2</x:v>
      </x:c>
      <x:c r="AY98" s="48" t="n">
        <x:f>0</x:f>
        <x:v>0</x:v>
      </x:c>
      <x:c r="AZ98" s="48" t="n">
        <x:f>IF(OR(Inputs!$F$6=TRUE,Inputs!$F$6="TRUE",Inputs!$F$6=1),(Inputs!$H$6+Inputs!$L$6*(((Inputs!$I$6+(((A98)+1)/2)*(Inputs!$J$6-Inputs!$I$6)))/Inputs!$K$6)^2),NA())</x:f>
        <x:v>400.16</x:v>
      </x:c>
      <x:c r="BA98" s="48" t="n">
        <x:f>IF(OR(Inputs!$F$7=TRUE,Inputs!$F$7="TRUE",Inputs!$F$7=1),(Inputs!$H$7+Inputs!$L$7*(((Inputs!$I$7+(((A98)+1)/2)*(Inputs!$J$7-Inputs!$I$7)))/Inputs!$K$7)^2),NA())</x:f>
        <x:v>49.6</x:v>
      </x:c>
      <x:c r="BB98" s="48" t="n">
        <x:f>IF(OR(Inputs!$F$8=TRUE,Inputs!$F$8="TRUE",Inputs!$F$8=1),(Inputs!$H$8+Inputs!$L$8*(((Inputs!$I$8+(((A98)+1)/2)*(Inputs!$J$8-Inputs!$I$8)))/Inputs!$K$8)^2),NA())</x:f>
        <x:v>73.60000000000001</x:v>
      </x:c>
      <x:c r="BC98" s="48" t="n">
        <x:f>IF(OR(Inputs!$F$9=TRUE,Inputs!$F$9="TRUE",Inputs!$F$9=1),(Inputs!$H$9+Inputs!$L$9*(((Inputs!$I$9+(((A98)+1)/2)*(Inputs!$J$9-Inputs!$I$9)))/Inputs!$K$9)^2),NA())</x:f>
        <x:v>64</x:v>
      </x:c>
      <x:c r="BD98" s="49"/>
      <x:c r="BE98" s="48" t="n">
        <x:f>A98</x:f>
        <x:v>-0.2</x:v>
      </x:c>
      <x:c r="BF98" s="48" t="n">
        <x:f>0</x:f>
        <x:v>0</x:v>
      </x:c>
      <x:c r="BG98" s="48"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BH98" s="48"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BI98" s="48"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BJ98" s="48"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row>
    <x:row r="99">
      <x:c r="A99" s="48" t="n">
        <x:f>ROUND(-1+97*2/240,3)</x:f>
        <x:v>-0.192</x:v>
      </x:c>
      <x:c r="B99" s="48" t="n">
        <x:f>IF(OR(Inputs!$F$6=TRUE,Inputs!$F$6="TRUE",Inputs!$F$6=1),(Inputs!$H$6+Inputs!$L$6*(((Inputs!$I$6+(((A99)+1)/2)*(Inputs!$J$6-Inputs!$I$6)))/Inputs!$K$6)^2),NA())</x:f>
        <x:v>400.147456</x:v>
      </x:c>
      <x:c r="C99" s="48" t="n">
        <x:f>IF(OR(Inputs!$F$7=TRUE,Inputs!$F$7="TRUE",Inputs!$F$7=1),(Inputs!$H$7+Inputs!$L$7*(((Inputs!$I$7+(((A99)+1)/2)*(Inputs!$J$7-Inputs!$I$7)))/Inputs!$K$7)^2),NA())</x:f>
        <x:v>48.455359999999985</x:v>
      </x:c>
      <x:c r="D99" s="48" t="n">
        <x:f>IF(OR(Inputs!$F$8=TRUE,Inputs!$F$8="TRUE",Inputs!$F$8=1),(Inputs!$H$8+Inputs!$L$8*(((Inputs!$I$8+(((A99)+1)/2)*(Inputs!$J$8-Inputs!$I$8)))/Inputs!$K$8)^2),NA())</x:f>
        <x:v>70.57375999999996</x:v>
      </x:c>
      <x:c r="E99" s="48" t="n">
        <x:f>IF(OR(Inputs!$F$9=TRUE,Inputs!$F$9="TRUE",Inputs!$F$9=1),(Inputs!$H$9+Inputs!$L$9*(((Inputs!$I$9+(((A99)+1)/2)*(Inputs!$J$9-Inputs!$I$9)))/Inputs!$K$9)^2),NA())</x:f>
        <x:v>60.942399999999964</x:v>
      </x:c>
      <x:c r="F99" s="49"/>
      <x:c r="G99" s="48" t="n">
        <x:f>A99</x:f>
        <x:v>-0.192</x:v>
      </x:c>
      <x:c r="H99" s="48"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I99" s="48"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J99" s="48"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K99" s="48"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c r="L99" s="49"/>
      <x:c r="M99" s="48" t="n">
        <x:f>A99</x:f>
        <x:v>-0.192</x:v>
      </x:c>
      <x:c r="N99" s="48" t="n">
        <x: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x:f>
        <x:v>98.56164084788621</x:v>
      </x:c>
      <x:c r="O99" s="48" t="n">
        <x: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x:f>
        <x:v>1627.0753088758588</x:v>
      </x:c>
      <x:c r="P99" s="48" t="n">
        <x: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x:f>
        <x:v>1807.544444136745</x:v>
      </x:c>
      <x:c r="Q99" s="48" t="n">
        <x: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x:f>
        <x:v>1803.534814031977</x:v>
      </x:c>
      <x:c r="R99" s="49"/>
      <x:c r="S99" s="48" t="n">
        <x:f>A99</x:f>
        <x:v>-0.192</x:v>
      </x:c>
      <x:c r="T99" s="48" t="n">
        <x:f>(Inputs!$I$6+(((A99)+1)/2)*(Inputs!$J$6-Inputs!$I$6))</x:f>
        <x:v>-11.519999999999996</x:v>
      </x:c>
      <x:c r="U99" s="48" t="n">
        <x:f>(Inputs!$I$7+(((A99)+1)/2)*(Inputs!$J$7-Inputs!$I$7))</x:f>
        <x:v>-76.79999999999995</x:v>
      </x:c>
      <x:c r="V99" s="48" t="n">
        <x:f>(Inputs!$I$8+(((A99)+1)/2)*(Inputs!$J$8-Inputs!$I$8))</x:f>
        <x:v>-153.5999999999999</x:v>
      </x:c>
      <x:c r="W99" s="48" t="n">
        <x:f>(Inputs!$I$9+(((A99)+1)/2)*(Inputs!$J$9-Inputs!$I$9))</x:f>
        <x:v>-153.5999999999999</x:v>
      </x:c>
      <x:c r="X99" s="49"/>
      <x:c r="Y99" s="48" t="n">
        <x:f>A99</x:f>
        <x:v>-0.192</x:v>
      </x:c>
      <x:c r="Z99" s="48" t="n">
        <x:f>(Inputs!$H$6+Inputs!$L$6*(((Inputs!$I$6+(((A99)+1)/2)*(Inputs!$J$6-Inputs!$I$6)))/Inputs!$K$6)^2)</x:f>
        <x:v>400.147456</x:v>
      </x:c>
      <x:c r="AA99" s="48" t="n">
        <x:f>(Inputs!$H$7+Inputs!$L$7*(((Inputs!$I$7+(((A99)+1)/2)*(Inputs!$J$7-Inputs!$I$7)))/Inputs!$K$7)^2)</x:f>
        <x:v>48.455359999999985</x:v>
      </x:c>
      <x:c r="AB99" s="48" t="n">
        <x:f>(Inputs!$H$8+Inputs!$L$8*(((Inputs!$I$8+(((A99)+1)/2)*(Inputs!$J$8-Inputs!$I$8)))/Inputs!$K$8)^2)</x:f>
        <x:v>70.57375999999996</x:v>
      </x:c>
      <x:c r="AC99" s="48" t="n">
        <x:f>(Inputs!$H$9+Inputs!$L$9*(((Inputs!$I$9+(((A99)+1)/2)*(Inputs!$J$9-Inputs!$I$9)))/Inputs!$K$9)^2)</x:f>
        <x:v>60.942399999999964</x:v>
      </x:c>
      <x:c r="AD99" s="49"/>
      <x:c r="AE99" s="48" t="n">
        <x:f>A99</x:f>
        <x:v>-0.192</x:v>
      </x:c>
      <x:c r="AF99" s="48" t="n">
        <x:f>(((SQRT((Inputs!$C$52+((Inputs!$H$6+Inputs!$L$6*(((Inputs!$I$6+(((A99)+1)/2)*(Inputs!$J$6-Inputs!$I$6)))/Inputs!$K$6)^2)))^2+Inputs!$C$52^2-2*(Inputs!$C$52+((Inputs!$H$6+Inputs!$L$6*(((Inputs!$I$6+(((A99)+1)/2)*(Inputs!$J$6-Inputs!$I$6)))/Inputs!$K$6)^2)))*Inputs!$C$52*COS(SQRT(((Inputs!$I$6+(((A99)+1)/2)*(Inputs!$J$6-Inputs!$I$6)))^2+Inputs!$C$6^2)/Inputs!$C$52)))-((Inputs!$H$6+Inputs!$L$6*(((Inputs!$I$6+(((A99)+1)/2)*(Inputs!$J$6-Inputs!$I$6)))/Inputs!$K$6)^2)))*1000/Inputs!$C$12)</x:f>
        <x:v>667.2622724531248</x:v>
      </x:c>
      <x:c r="AG99" s="48" t="n">
        <x:f>(((SQRT((Inputs!$C$52+((Inputs!$H$7+Inputs!$L$7*(((Inputs!$I$7+(((A99)+1)/2)*(Inputs!$J$7-Inputs!$I$7)))/Inputs!$K$7)^2)))^2+Inputs!$C$52^2-2*(Inputs!$C$52+((Inputs!$H$7+Inputs!$L$7*(((Inputs!$I$7+(((A99)+1)/2)*(Inputs!$J$7-Inputs!$I$7)))/Inputs!$K$7)^2)))*Inputs!$C$52*COS(SQRT(((Inputs!$I$7+(((A99)+1)/2)*(Inputs!$J$7-Inputs!$I$7)))^2+Inputs!$C$6^2)/Inputs!$C$52)))-((Inputs!$H$7+Inputs!$L$7*(((Inputs!$I$7+(((A99)+1)/2)*(Inputs!$J$7-Inputs!$I$7)))/Inputs!$K$7)^2)))*1000/Inputs!$C$12)</x:f>
        <x:v>26287.98543844219</x:v>
      </x:c>
      <x:c r="AH99" s="48" t="n">
        <x:f>(((SQRT((Inputs!$C$52+((Inputs!$H$8+Inputs!$L$8*(((Inputs!$I$8+(((A99)+1)/2)*(Inputs!$J$8-Inputs!$I$8)))/Inputs!$K$8)^2)))^2+Inputs!$C$52^2-2*(Inputs!$C$52+((Inputs!$H$8+Inputs!$L$8*(((Inputs!$I$8+(((A99)+1)/2)*(Inputs!$J$8-Inputs!$I$8)))/Inputs!$K$8)^2)))*Inputs!$C$52*COS(SQRT(((Inputs!$I$8+(((A99)+1)/2)*(Inputs!$J$8-Inputs!$I$8)))^2+Inputs!$C$6^2)/Inputs!$C$52)))-((Inputs!$H$8+Inputs!$L$8*(((Inputs!$I$8+(((A99)+1)/2)*(Inputs!$J$8-Inputs!$I$8)))/Inputs!$K$8)^2)))*1000/Inputs!$C$12)</x:f>
        <x:v>58099.3036369933</x:v>
      </x:c>
      <x:c r="AI99" s="48" t="n">
        <x:f>(((SQRT((Inputs!$C$52+((Inputs!$H$9+Inputs!$L$9*(((Inputs!$I$9+(((A99)+1)/2)*(Inputs!$J$9-Inputs!$I$9)))/Inputs!$K$9)^2)))^2+Inputs!$C$52^2-2*(Inputs!$C$52+((Inputs!$H$9+Inputs!$L$9*(((Inputs!$I$9+(((A99)+1)/2)*(Inputs!$J$9-Inputs!$I$9)))/Inputs!$K$9)^2)))*Inputs!$C$52*COS(SQRT(((Inputs!$I$9+(((A99)+1)/2)*(Inputs!$J$9-Inputs!$I$9)))^2+Inputs!$C$6^2)/Inputs!$C$52)))-((Inputs!$H$9+Inputs!$L$9*(((Inputs!$I$9+(((A99)+1)/2)*(Inputs!$J$9-Inputs!$I$9)))/Inputs!$K$9)^2)))*1000/Inputs!$C$12)</x:f>
        <x:v>61196.743987923845</x:v>
      </x:c>
      <x:c r="AJ99" s="49"/>
      <x:c r="AK99" s="48" t="n">
        <x:f>A99</x:f>
        <x:v>-0.192</x:v>
      </x:c>
      <x:c r="AL99" s="48" t="n">
        <x: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x:f>
        <x:v>98.56164084788621</x:v>
      </x:c>
      <x:c r="AM99" s="48" t="n">
        <x: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x:f>
        <x:v>1627.0753088758588</x:v>
      </x:c>
      <x:c r="AN99" s="48" t="n">
        <x: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x:f>
        <x:v>1807.544444136745</x:v>
      </x:c>
      <x:c r="AO99" s="48" t="n">
        <x: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x:f>
        <x:v>1803.534814031977</x:v>
      </x:c>
      <x:c r="AP99" s="49"/>
      <x:c r="AQ99" s="48" t="n">
        <x:f>A99</x:f>
        <x:v>-0.192</x:v>
      </x:c>
      <x:c r="AR99" s="48" t="n">
        <x:f>0</x:f>
        <x:v>0</x:v>
      </x:c>
      <x:c r="AS99" s="48" t="n">
        <x: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(0.45*SIN(2*PI()*((((Inputs!$I$6+(((A99)+1)/2)*(Inputs!$J$6-Inputs!$I$6)))/Inputs!$C$49)+Inputs!$C$47*0.137))+0.35*COS(2*PI()*(((Inputs!$C$6)/Inputs!$C$50)+Inputs!$C$47*0.173))+0.20*SIN(2*PI()*((((Inputs!$I$6+(((A99)+1)/2)*(Inputs!$J$6-Inputs!$I$6)))+(Inputs!$C$6))/(0.5*(Inputs!$C$49+Inputs!$C$50))+Inputs!$C$47*0.097)))+0.30*(2*((SIN((((Inputs!$I$6+(((A99)+1)/2)*(Inputs!$J$6-Inputs!$I$6)))*12.9898+(Inputs!$C$6)*78.233+Inputs!$C$47*37.719))*43758.5453)-INT((SIN((((Inputs!$I$6+(((A99)+1)/2)*(Inputs!$J$6-Inputs!$I$6)))*12.9898+(Inputs!$C$6)*78.233+Inputs!$C$47*37.719))*43758.5453)))-1))),NA())</x:f>
        <x:v>460.56683649359337</x:v>
      </x:c>
      <x:c r="AT99" s="48" t="n">
        <x: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(0.45*SIN(2*PI()*((((Inputs!$I$7+(((A99)+1)/2)*(Inputs!$J$7-Inputs!$I$7)))/Inputs!$C$49)+Inputs!$C$47*0.137))+0.35*COS(2*PI()*(((Inputs!$C$6)/Inputs!$C$50)+Inputs!$C$47*0.173))+0.20*SIN(2*PI()*((((Inputs!$I$7+(((A99)+1)/2)*(Inputs!$J$7-Inputs!$I$7)))+(Inputs!$C$6))/(0.5*(Inputs!$C$49+Inputs!$C$50))+Inputs!$C$47*0.097)))+0.30*(2*((SIN((((Inputs!$I$7+(((A99)+1)/2)*(Inputs!$J$7-Inputs!$I$7)))*12.9898+(Inputs!$C$6)*78.233+Inputs!$C$47*37.719))*43758.5453)-INT((SIN((((Inputs!$I$7+(((A99)+1)/2)*(Inputs!$J$7-Inputs!$I$7)))*12.9898+(Inputs!$C$6)*78.233+Inputs!$C$47*37.719))*43758.5453)))-1))),NA())</x:f>
        <x:v>83.71092690752916</x:v>
      </x:c>
      <x:c r="AU99" s="48" t="n">
        <x: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(0.45*SIN(2*PI()*((((Inputs!$I$8+(((A99)+1)/2)*(Inputs!$J$8-Inputs!$I$8)))/Inputs!$C$49)+Inputs!$C$47*0.137))+0.35*COS(2*PI()*(((Inputs!$C$6)/Inputs!$C$50)+Inputs!$C$47*0.173))+0.20*SIN(2*PI()*((((Inputs!$I$8+(((A99)+1)/2)*(Inputs!$J$8-Inputs!$I$8)))+(Inputs!$C$6))/(0.5*(Inputs!$C$49+Inputs!$C$50))+Inputs!$C$47*0.097)))+0.30*(2*((SIN((((Inputs!$I$8+(((A99)+1)/2)*(Inputs!$J$8-Inputs!$I$8)))*12.9898+(Inputs!$C$6)*78.233+Inputs!$C$47*37.719))*43758.5453)-INT((SIN((((Inputs!$I$8+(((A99)+1)/2)*(Inputs!$J$8-Inputs!$I$8)))*12.9898+(Inputs!$C$6)*78.233+Inputs!$C$47*37.719))*43758.5453)))-1))),NA())</x:f>
        <x:v>161.20300469800478</x:v>
      </x:c>
      <x:c r="AV99" s="48" t="n">
        <x: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(0.45*SIN(2*PI()*((((Inputs!$I$9+(((A99)+1)/2)*(Inputs!$J$9-Inputs!$I$9)))/Inputs!$C$49)+Inputs!$C$47*0.137))+0.35*COS(2*PI()*(((Inputs!$C$6)/Inputs!$C$50)+Inputs!$C$47*0.173))+0.20*SIN(2*PI()*((((Inputs!$I$9+(((A99)+1)/2)*(Inputs!$J$9-Inputs!$I$9)))+(Inputs!$C$6))/(0.5*(Inputs!$C$49+Inputs!$C$50))+Inputs!$C$47*0.097)))+0.30*(2*((SIN((((Inputs!$I$9+(((A99)+1)/2)*(Inputs!$J$9-Inputs!$I$9)))*12.9898+(Inputs!$C$6)*78.233+Inputs!$C$47*37.719))*43758.5453)-INT((SIN((((Inputs!$I$9+(((A99)+1)/2)*(Inputs!$J$9-Inputs!$I$9)))*12.9898+(Inputs!$C$6)*78.233+Inputs!$C$47*37.719))*43758.5453)))-1))),NA())</x:f>
        <x:v>161.20300469800478</x:v>
      </x:c>
      <x:c r="AW99" s="49"/>
      <x:c r="AX99" s="48" t="n">
        <x:f>A99</x:f>
        <x:v>-0.192</x:v>
      </x:c>
      <x:c r="AY99" s="48" t="n">
        <x:f>0</x:f>
        <x:v>0</x:v>
      </x:c>
      <x:c r="AZ99" s="48" t="n">
        <x:f>IF(OR(Inputs!$F$6=TRUE,Inputs!$F$6="TRUE",Inputs!$F$6=1),(Inputs!$H$6+Inputs!$L$6*(((Inputs!$I$6+(((A99)+1)/2)*(Inputs!$J$6-Inputs!$I$6)))/Inputs!$K$6)^2),NA())</x:f>
        <x:v>400.147456</x:v>
      </x:c>
      <x:c r="BA99" s="48" t="n">
        <x:f>IF(OR(Inputs!$F$7=TRUE,Inputs!$F$7="TRUE",Inputs!$F$7=1),(Inputs!$H$7+Inputs!$L$7*(((Inputs!$I$7+(((A99)+1)/2)*(Inputs!$J$7-Inputs!$I$7)))/Inputs!$K$7)^2),NA())</x:f>
        <x:v>48.455359999999985</x:v>
      </x:c>
      <x:c r="BB99" s="48" t="n">
        <x:f>IF(OR(Inputs!$F$8=TRUE,Inputs!$F$8="TRUE",Inputs!$F$8=1),(Inputs!$H$8+Inputs!$L$8*(((Inputs!$I$8+(((A99)+1)/2)*(Inputs!$J$8-Inputs!$I$8)))/Inputs!$K$8)^2),NA())</x:f>
        <x:v>70.57375999999996</x:v>
      </x:c>
      <x:c r="BC99" s="48" t="n">
        <x:f>IF(OR(Inputs!$F$9=TRUE,Inputs!$F$9="TRUE",Inputs!$F$9=1),(Inputs!$H$9+Inputs!$L$9*(((Inputs!$I$9+(((A99)+1)/2)*(Inputs!$J$9-Inputs!$I$9)))/Inputs!$K$9)^2),NA())</x:f>
        <x:v>60.942399999999964</x:v>
      </x:c>
      <x:c r="BD99" s="49"/>
      <x:c r="BE99" s="48" t="n">
        <x:f>A99</x:f>
        <x:v>-0.192</x:v>
      </x:c>
      <x:c r="BF99" s="48" t="n">
        <x:f>0</x:f>
        <x:v>0</x:v>
      </x:c>
      <x:c r="BG99" s="48"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BH99" s="48"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BI99" s="48"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BJ99" s="48"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row>
    <x:row r="100">
      <x:c r="A100" s="48" t="n">
        <x:f>ROUND(-1+98*2/240,3)</x:f>
        <x:v>-0.183</x:v>
      </x:c>
      <x:c r="B100" s="48" t="n">
        <x:f>IF(OR(Inputs!$F$6=TRUE,Inputs!$F$6="TRUE",Inputs!$F$6=1),(Inputs!$H$6+Inputs!$L$6*(((Inputs!$I$6+(((A100)+1)/2)*(Inputs!$J$6-Inputs!$I$6)))/Inputs!$K$6)^2),NA())</x:f>
        <x:v>400.133956</x:v>
      </x:c>
      <x:c r="C100" s="48" t="n">
        <x:f>IF(OR(Inputs!$F$7=TRUE,Inputs!$F$7="TRUE",Inputs!$F$7=1),(Inputs!$H$7+Inputs!$L$7*(((Inputs!$I$7+(((A100)+1)/2)*(Inputs!$J$7-Inputs!$I$7)))/Inputs!$K$7)^2),NA())</x:f>
        <x:v>47.22348500000001</x:v>
      </x:c>
      <x:c r="D100" s="48" t="n">
        <x:f>IF(OR(Inputs!$F$8=TRUE,Inputs!$F$8="TRUE",Inputs!$F$8=1),(Inputs!$H$8+Inputs!$L$8*(((Inputs!$I$8+(((A100)+1)/2)*(Inputs!$J$8-Inputs!$I$8)))/Inputs!$K$8)^2),NA())</x:f>
        <x:v>67.31688500000004</x:v>
      </x:c>
      <x:c r="E100" s="48" t="n">
        <x:f>IF(OR(Inputs!$F$9=TRUE,Inputs!$F$9="TRUE",Inputs!$F$9=1),(Inputs!$H$9+Inputs!$L$9*(((Inputs!$I$9+(((A100)+1)/2)*(Inputs!$J$9-Inputs!$I$9)))/Inputs!$K$9)^2),NA())</x:f>
        <x:v>57.651775000000036</x:v>
      </x:c>
      <x:c r="F100" s="49"/>
      <x:c r="G100" s="48" t="n">
        <x:f>A100</x:f>
        <x:v>-0.183</x:v>
      </x:c>
      <x:c r="H100" s="48"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I100" s="48"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J100" s="48"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K100" s="48"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c r="L100" s="49"/>
      <x:c r="M100" s="48" t="n">
        <x:f>A100</x:f>
        <x:v>-0.183</x:v>
      </x:c>
      <x:c r="N100" s="48" t="n">
        <x: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x:f>
        <x:v>93.94714373866205</x:v>
      </x:c>
      <x:c r="O100" s="48" t="n">
        <x: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x:f>
        <x:v>1603.172765395027</x:v>
      </x:c>
      <x:c r="P100" s="48" t="n">
        <x: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x:f>
        <x:v>1787.277233379359</x:v>
      </x:c>
      <x:c r="Q100" s="48" t="n">
        <x: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x:f>
        <x:v>1784.372674206615</x:v>
      </x:c>
      <x:c r="R100" s="49"/>
      <x:c r="S100" s="48" t="n">
        <x:f>A100</x:f>
        <x:v>-0.183</x:v>
      </x:c>
      <x:c r="T100" s="48" t="n">
        <x:f>(Inputs!$I$6+(((A100)+1)/2)*(Inputs!$J$6-Inputs!$I$6))</x:f>
        <x:v>-10.980000000000004</x:v>
      </x:c>
      <x:c r="U100" s="48" t="n">
        <x:f>(Inputs!$I$7+(((A100)+1)/2)*(Inputs!$J$7-Inputs!$I$7))</x:f>
        <x:v>-73.20000000000005</x:v>
      </x:c>
      <x:c r="V100" s="48" t="n">
        <x:f>(Inputs!$I$8+(((A100)+1)/2)*(Inputs!$J$8-Inputs!$I$8))</x:f>
        <x:v>-146.4000000000001</x:v>
      </x:c>
      <x:c r="W100" s="48" t="n">
        <x:f>(Inputs!$I$9+(((A100)+1)/2)*(Inputs!$J$9-Inputs!$I$9))</x:f>
        <x:v>-146.4000000000001</x:v>
      </x:c>
      <x:c r="X100" s="49"/>
      <x:c r="Y100" s="48" t="n">
        <x:f>A100</x:f>
        <x:v>-0.183</x:v>
      </x:c>
      <x:c r="Z100" s="48" t="n">
        <x:f>(Inputs!$H$6+Inputs!$L$6*(((Inputs!$I$6+(((A100)+1)/2)*(Inputs!$J$6-Inputs!$I$6)))/Inputs!$K$6)^2)</x:f>
        <x:v>400.133956</x:v>
      </x:c>
      <x:c r="AA100" s="48" t="n">
        <x:f>(Inputs!$H$7+Inputs!$L$7*(((Inputs!$I$7+(((A100)+1)/2)*(Inputs!$J$7-Inputs!$I$7)))/Inputs!$K$7)^2)</x:f>
        <x:v>47.22348500000001</x:v>
      </x:c>
      <x:c r="AB100" s="48" t="n">
        <x:f>(Inputs!$H$8+Inputs!$L$8*(((Inputs!$I$8+(((A100)+1)/2)*(Inputs!$J$8-Inputs!$I$8)))/Inputs!$K$8)^2)</x:f>
        <x:v>67.31688500000004</x:v>
      </x:c>
      <x:c r="AC100" s="48" t="n">
        <x:f>(Inputs!$H$9+Inputs!$L$9*(((Inputs!$I$9+(((A100)+1)/2)*(Inputs!$J$9-Inputs!$I$9)))/Inputs!$K$9)^2)</x:f>
        <x:v>57.651775000000036</x:v>
      </x:c>
      <x:c r="AD100" s="49"/>
      <x:c r="AE100" s="48" t="n">
        <x:f>A100</x:f>
        <x:v>-0.183</x:v>
      </x:c>
      <x:c r="AF100" s="48" t="n">
        <x:f>(((SQRT((Inputs!$C$52+((Inputs!$H$6+Inputs!$L$6*(((Inputs!$I$6+(((A100)+1)/2)*(Inputs!$J$6-Inputs!$I$6)))/Inputs!$K$6)^2)))^2+Inputs!$C$52^2-2*(Inputs!$C$52+((Inputs!$H$6+Inputs!$L$6*(((Inputs!$I$6+(((A100)+1)/2)*(Inputs!$J$6-Inputs!$I$6)))/Inputs!$K$6)^2)))*Inputs!$C$52*COS(SQRT(((Inputs!$I$6+(((A100)+1)/2)*(Inputs!$J$6-Inputs!$I$6)))^2+Inputs!$C$6^2)/Inputs!$C$52)))-((Inputs!$H$6+Inputs!$L$6*(((Inputs!$I$6+(((A100)+1)/2)*(Inputs!$J$6-Inputs!$I$6)))/Inputs!$K$6)^2)))*1000/Inputs!$C$12)</x:f>
        <x:v>656.5960474451427</x:v>
      </x:c>
      <x:c r="AG100" s="48" t="n">
        <x:f>(((SQRT((Inputs!$C$52+((Inputs!$H$7+Inputs!$L$7*(((Inputs!$I$7+(((A100)+1)/2)*(Inputs!$J$7-Inputs!$I$7)))/Inputs!$K$7)^2)))^2+Inputs!$C$52^2-2*(Inputs!$C$52+((Inputs!$H$7+Inputs!$L$7*(((Inputs!$I$7+(((A100)+1)/2)*(Inputs!$J$7-Inputs!$I$7)))/Inputs!$K$7)^2)))*Inputs!$C$52*COS(SQRT(((Inputs!$I$7+(((A100)+1)/2)*(Inputs!$J$7-Inputs!$I$7)))^2+Inputs!$C$6^2)/Inputs!$C$52)))-((Inputs!$H$7+Inputs!$L$7*(((Inputs!$I$7+(((A100)+1)/2)*(Inputs!$J$7-Inputs!$I$7)))/Inputs!$K$7)^2)))*1000/Inputs!$C$12)</x:f>
        <x:v>24938.306338684157</x:v>
      </x:c>
      <x:c r="AH100" s="48" t="n">
        <x:f>(((SQRT((Inputs!$C$52+((Inputs!$H$8+Inputs!$L$8*(((Inputs!$I$8+(((A100)+1)/2)*(Inputs!$J$8-Inputs!$I$8)))/Inputs!$K$8)^2)))^2+Inputs!$C$52^2-2*(Inputs!$C$52+((Inputs!$H$8+Inputs!$L$8*(((Inputs!$I$8+(((A100)+1)/2)*(Inputs!$J$8-Inputs!$I$8)))/Inputs!$K$8)^2)))*Inputs!$C$52*COS(SQRT(((Inputs!$I$8+(((A100)+1)/2)*(Inputs!$J$8-Inputs!$I$8)))^2+Inputs!$C$6^2)/Inputs!$C$52)))-((Inputs!$H$8+Inputs!$L$8*(((Inputs!$I$8+(((A100)+1)/2)*(Inputs!$J$8-Inputs!$I$8)))/Inputs!$K$8)^2)))*1000/Inputs!$C$12)</x:f>
        <x:v>55384.975297901554</x:v>
      </x:c>
      <x:c r="AI100" s="48" t="n">
        <x:f>(((SQRT((Inputs!$C$52+((Inputs!$H$9+Inputs!$L$9*(((Inputs!$I$9+(((A100)+1)/2)*(Inputs!$J$9-Inputs!$I$9)))/Inputs!$K$9)^2)))^2+Inputs!$C$52^2-2*(Inputs!$C$52+((Inputs!$H$9+Inputs!$L$9*(((Inputs!$I$9+(((A100)+1)/2)*(Inputs!$J$9-Inputs!$I$9)))/Inputs!$K$9)^2)))*Inputs!$C$52*COS(SQRT(((Inputs!$I$9+(((A100)+1)/2)*(Inputs!$J$9-Inputs!$I$9)))^2+Inputs!$C$6^2)/Inputs!$C$52)))-((Inputs!$H$9+Inputs!$L$9*(((Inputs!$I$9+(((A100)+1)/2)*(Inputs!$J$9-Inputs!$I$9)))/Inputs!$K$9)^2)))*1000/Inputs!$C$12)</x:f>
        <x:v>58510.16186477176</x:v>
      </x:c>
      <x:c r="AJ100" s="49"/>
      <x:c r="AK100" s="48" t="n">
        <x:f>A100</x:f>
        <x:v>-0.183</x:v>
      </x:c>
      <x:c r="AL100" s="48" t="n">
        <x: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x:f>
        <x:v>93.94714373866205</x:v>
      </x:c>
      <x:c r="AM100" s="48" t="n">
        <x: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x:f>
        <x:v>1603.172765395027</x:v>
      </x:c>
      <x:c r="AN100" s="48" t="n">
        <x: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x:f>
        <x:v>1787.277233379359</x:v>
      </x:c>
      <x:c r="AO100" s="48" t="n">
        <x: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x:f>
        <x:v>1784.372674206615</x:v>
      </x:c>
      <x:c r="AP100" s="49"/>
      <x:c r="AQ100" s="48" t="n">
        <x:f>A100</x:f>
        <x:v>-0.183</x:v>
      </x:c>
      <x:c r="AR100" s="48" t="n">
        <x:f>0</x:f>
        <x:v>0</x:v>
      </x:c>
      <x:c r="AS100" s="48" t="n">
        <x: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(0.45*SIN(2*PI()*((((Inputs!$I$6+(((A100)+1)/2)*(Inputs!$J$6-Inputs!$I$6)))/Inputs!$C$49)+Inputs!$C$47*0.137))+0.35*COS(2*PI()*(((Inputs!$C$6)/Inputs!$C$50)+Inputs!$C$47*0.173))+0.20*SIN(2*PI()*((((Inputs!$I$6+(((A100)+1)/2)*(Inputs!$J$6-Inputs!$I$6)))+(Inputs!$C$6))/(0.5*(Inputs!$C$49+Inputs!$C$50))+Inputs!$C$47*0.097)))+0.30*(2*((SIN((((Inputs!$I$6+(((A100)+1)/2)*(Inputs!$J$6-Inputs!$I$6)))*12.9898+(Inputs!$C$6)*78.233+Inputs!$C$47*37.719))*43758.5453)-INT((SIN((((Inputs!$I$6+(((A100)+1)/2)*(Inputs!$J$6-Inputs!$I$6)))*12.9898+(Inputs!$C$6)*78.233+Inputs!$C$47*37.719))*43758.5453)))-1))),NA())</x:f>
        <x:v>453.35905784425717</x:v>
      </x:c>
      <x:c r="AT100" s="48" t="n">
        <x: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(0.45*SIN(2*PI()*((((Inputs!$I$7+(((A100)+1)/2)*(Inputs!$J$7-Inputs!$I$7)))/Inputs!$C$49)+Inputs!$C$47*0.137))+0.35*COS(2*PI()*(((Inputs!$C$6)/Inputs!$C$50)+Inputs!$C$47*0.173))+0.20*SIN(2*PI()*((((Inputs!$I$7+(((A100)+1)/2)*(Inputs!$J$7-Inputs!$I$7)))+(Inputs!$C$6))/(0.5*(Inputs!$C$49+Inputs!$C$50))+Inputs!$C$47*0.097)))+0.30*(2*((SIN((((Inputs!$I$7+(((A100)+1)/2)*(Inputs!$J$7-Inputs!$I$7)))*12.9898+(Inputs!$C$6)*78.233+Inputs!$C$47*37.719))*43758.5453)-INT((SIN((((Inputs!$I$7+(((A100)+1)/2)*(Inputs!$J$7-Inputs!$I$7)))*12.9898+(Inputs!$C$6)*78.233+Inputs!$C$47*37.719))*43758.5453)))-1))),NA())</x:f>
        <x:v>100.11600821376301</x:v>
      </x:c>
      <x:c r="AU100" s="48" t="n">
        <x: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(0.45*SIN(2*PI()*((((Inputs!$I$8+(((A100)+1)/2)*(Inputs!$J$8-Inputs!$I$8)))/Inputs!$C$49)+Inputs!$C$47*0.137))+0.35*COS(2*PI()*(((Inputs!$C$6)/Inputs!$C$50)+Inputs!$C$47*0.173))+0.20*SIN(2*PI()*((((Inputs!$I$8+(((A100)+1)/2)*(Inputs!$J$8-Inputs!$I$8)))+(Inputs!$C$6))/(0.5*(Inputs!$C$49+Inputs!$C$50))+Inputs!$C$47*0.097)))+0.30*(2*((SIN((((Inputs!$I$8+(((A100)+1)/2)*(Inputs!$J$8-Inputs!$I$8)))*12.9898+(Inputs!$C$6)*78.233+Inputs!$C$47*37.719))*43758.5453)-INT((SIN((((Inputs!$I$8+(((A100)+1)/2)*(Inputs!$J$8-Inputs!$I$8)))*12.9898+(Inputs!$C$6)*78.233+Inputs!$C$47*37.719))*43758.5453)))-1))),NA())</x:f>
        <x:v>89.83401143233425</x:v>
      </x:c>
      <x:c r="AV100" s="48" t="n">
        <x: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(0.45*SIN(2*PI()*((((Inputs!$I$9+(((A100)+1)/2)*(Inputs!$J$9-Inputs!$I$9)))/Inputs!$C$49)+Inputs!$C$47*0.137))+0.35*COS(2*PI()*(((Inputs!$C$6)/Inputs!$C$50)+Inputs!$C$47*0.173))+0.20*SIN(2*PI()*((((Inputs!$I$9+(((A100)+1)/2)*(Inputs!$J$9-Inputs!$I$9)))+(Inputs!$C$6))/(0.5*(Inputs!$C$49+Inputs!$C$50))+Inputs!$C$47*0.097)))+0.30*(2*((SIN((((Inputs!$I$9+(((A100)+1)/2)*(Inputs!$J$9-Inputs!$I$9)))*12.9898+(Inputs!$C$6)*78.233+Inputs!$C$47*37.719))*43758.5453)-INT((SIN((((Inputs!$I$9+(((A100)+1)/2)*(Inputs!$J$9-Inputs!$I$9)))*12.9898+(Inputs!$C$6)*78.233+Inputs!$C$47*37.719))*43758.5453)))-1))),NA())</x:f>
        <x:v>89.83401143233425</x:v>
      </x:c>
      <x:c r="AW100" s="49"/>
      <x:c r="AX100" s="48" t="n">
        <x:f>A100</x:f>
        <x:v>-0.183</x:v>
      </x:c>
      <x:c r="AY100" s="48" t="n">
        <x:f>0</x:f>
        <x:v>0</x:v>
      </x:c>
      <x:c r="AZ100" s="48" t="n">
        <x:f>IF(OR(Inputs!$F$6=TRUE,Inputs!$F$6="TRUE",Inputs!$F$6=1),(Inputs!$H$6+Inputs!$L$6*(((Inputs!$I$6+(((A100)+1)/2)*(Inputs!$J$6-Inputs!$I$6)))/Inputs!$K$6)^2),NA())</x:f>
        <x:v>400.133956</x:v>
      </x:c>
      <x:c r="BA100" s="48" t="n">
        <x:f>IF(OR(Inputs!$F$7=TRUE,Inputs!$F$7="TRUE",Inputs!$F$7=1),(Inputs!$H$7+Inputs!$L$7*(((Inputs!$I$7+(((A100)+1)/2)*(Inputs!$J$7-Inputs!$I$7)))/Inputs!$K$7)^2),NA())</x:f>
        <x:v>47.22348500000001</x:v>
      </x:c>
      <x:c r="BB100" s="48" t="n">
        <x:f>IF(OR(Inputs!$F$8=TRUE,Inputs!$F$8="TRUE",Inputs!$F$8=1),(Inputs!$H$8+Inputs!$L$8*(((Inputs!$I$8+(((A100)+1)/2)*(Inputs!$J$8-Inputs!$I$8)))/Inputs!$K$8)^2),NA())</x:f>
        <x:v>67.31688500000004</x:v>
      </x:c>
      <x:c r="BC100" s="48" t="n">
        <x:f>IF(OR(Inputs!$F$9=TRUE,Inputs!$F$9="TRUE",Inputs!$F$9=1),(Inputs!$H$9+Inputs!$L$9*(((Inputs!$I$9+(((A100)+1)/2)*(Inputs!$J$9-Inputs!$I$9)))/Inputs!$K$9)^2),NA())</x:f>
        <x:v>57.651775000000036</x:v>
      </x:c>
      <x:c r="BD100" s="49"/>
      <x:c r="BE100" s="48" t="n">
        <x:f>A100</x:f>
        <x:v>-0.183</x:v>
      </x:c>
      <x:c r="BF100" s="48" t="n">
        <x:f>0</x:f>
        <x:v>0</x:v>
      </x:c>
      <x:c r="BG100" s="48"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BH100" s="48"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BI100" s="48"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BJ100" s="48"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row>
    <x:row r="101">
      <x:c r="A101" s="48" t="n">
        <x:f>ROUND(-1+99*2/240,3)</x:f>
        <x:v>-0.175</x:v>
      </x:c>
      <x:c r="B101" s="48" t="n">
        <x:f>IF(OR(Inputs!$F$6=TRUE,Inputs!$F$6="TRUE",Inputs!$F$6=1),(Inputs!$H$6+Inputs!$L$6*(((Inputs!$I$6+(((A101)+1)/2)*(Inputs!$J$6-Inputs!$I$6)))/Inputs!$K$6)^2),NA())</x:f>
        <x:v>400.1225</x:v>
      </x:c>
      <x:c r="C101" s="48" t="n">
        <x:f>IF(OR(Inputs!$F$7=TRUE,Inputs!$F$7="TRUE",Inputs!$F$7=1),(Inputs!$H$7+Inputs!$L$7*(((Inputs!$I$7+(((A101)+1)/2)*(Inputs!$J$7-Inputs!$I$7)))/Inputs!$K$7)^2),NA())</x:f>
        <x:v>46.178124999999994</x:v>
      </x:c>
      <x:c r="D101" s="48" t="n">
        <x:f>IF(OR(Inputs!$F$8=TRUE,Inputs!$F$8="TRUE",Inputs!$F$8=1),(Inputs!$H$8+Inputs!$L$8*(((Inputs!$I$8+(((A101)+1)/2)*(Inputs!$J$8-Inputs!$I$8)))/Inputs!$K$8)^2),NA())</x:f>
        <x:v>64.553125</x:v>
      </x:c>
      <x:c r="E101" s="48" t="n">
        <x:f>IF(OR(Inputs!$F$9=TRUE,Inputs!$F$9="TRUE",Inputs!$F$9=1),(Inputs!$H$9+Inputs!$L$9*(((Inputs!$I$9+(((A101)+1)/2)*(Inputs!$J$9-Inputs!$I$9)))/Inputs!$K$9)^2),NA())</x:f>
        <x:v>54.859375</x:v>
      </x:c>
      <x:c r="F101" s="49"/>
      <x:c r="G101" s="48" t="n">
        <x:f>A101</x:f>
        <x:v>-0.175</x:v>
      </x:c>
      <x:c r="H101" s="48"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I101" s="48"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J101" s="48"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K101" s="48"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c r="L101" s="49"/>
      <x:c r="M101" s="48" t="n">
        <x:f>A101</x:f>
        <x:v>-0.175</x:v>
      </x:c>
      <x:c r="N101" s="48" t="n">
        <x: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x:f>
        <x:v>89.84469378114167</x:v>
      </x:c>
      <x:c r="O101" s="48" t="n">
        <x: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x:f>
        <x:v>1580.593266241955</x:v>
      </x:c>
      <x:c r="P101" s="48" t="n">
        <x: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x:f>
        <x:v>1769.1436703985887</x:v>
      </x:c>
      <x:c r="Q101" s="48" t="n">
        <x: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x:f>
        <x:v>1767.4173230174663</x:v>
      </x:c>
      <x:c r="R101" s="49"/>
      <x:c r="S101" s="48" t="n">
        <x:f>A101</x:f>
        <x:v>-0.175</x:v>
      </x:c>
      <x:c r="T101" s="48" t="n">
        <x:f>(Inputs!$I$6+(((A101)+1)/2)*(Inputs!$J$6-Inputs!$I$6))</x:f>
        <x:v>-10.5</x:v>
      </x:c>
      <x:c r="U101" s="48" t="n">
        <x:f>(Inputs!$I$7+(((A101)+1)/2)*(Inputs!$J$7-Inputs!$I$7))</x:f>
        <x:v>-70</x:v>
      </x:c>
      <x:c r="V101" s="48" t="n">
        <x:f>(Inputs!$I$8+(((A101)+1)/2)*(Inputs!$J$8-Inputs!$I$8))</x:f>
        <x:v>-140</x:v>
      </x:c>
      <x:c r="W101" s="48" t="n">
        <x:f>(Inputs!$I$9+(((A101)+1)/2)*(Inputs!$J$9-Inputs!$I$9))</x:f>
        <x:v>-140</x:v>
      </x:c>
      <x:c r="X101" s="49"/>
      <x:c r="Y101" s="48" t="n">
        <x:f>A101</x:f>
        <x:v>-0.175</x:v>
      </x:c>
      <x:c r="Z101" s="48" t="n">
        <x:f>(Inputs!$H$6+Inputs!$L$6*(((Inputs!$I$6+(((A101)+1)/2)*(Inputs!$J$6-Inputs!$I$6)))/Inputs!$K$6)^2)</x:f>
        <x:v>400.1225</x:v>
      </x:c>
      <x:c r="AA101" s="48" t="n">
        <x:f>(Inputs!$H$7+Inputs!$L$7*(((Inputs!$I$7+(((A101)+1)/2)*(Inputs!$J$7-Inputs!$I$7)))/Inputs!$K$7)^2)</x:f>
        <x:v>46.178124999999994</x:v>
      </x:c>
      <x:c r="AB101" s="48" t="n">
        <x:f>(Inputs!$H$8+Inputs!$L$8*(((Inputs!$I$8+(((A101)+1)/2)*(Inputs!$J$8-Inputs!$I$8)))/Inputs!$K$8)^2)</x:f>
        <x:v>64.553125</x:v>
      </x:c>
      <x:c r="AC101" s="48" t="n">
        <x:f>(Inputs!$H$9+Inputs!$L$9*(((Inputs!$I$9+(((A101)+1)/2)*(Inputs!$J$9-Inputs!$I$9)))/Inputs!$K$9)^2)</x:f>
        <x:v>54.859375</x:v>
      </x:c>
      <x:c r="AD101" s="49"/>
      <x:c r="AE101" s="48" t="n">
        <x:f>A101</x:f>
        <x:v>-0.175</x:v>
      </x:c>
      <x:c r="AF101" s="48" t="n">
        <x:f>(((SQRT((Inputs!$C$52+((Inputs!$H$6+Inputs!$L$6*(((Inputs!$I$6+(((A101)+1)/2)*(Inputs!$J$6-Inputs!$I$6)))/Inputs!$K$6)^2)))^2+Inputs!$C$52^2-2*(Inputs!$C$52+((Inputs!$H$6+Inputs!$L$6*(((Inputs!$I$6+(((A101)+1)/2)*(Inputs!$J$6-Inputs!$I$6)))/Inputs!$K$6)^2)))*Inputs!$C$52*COS(SQRT(((Inputs!$I$6+(((A101)+1)/2)*(Inputs!$J$6-Inputs!$I$6)))^2+Inputs!$C$6^2)/Inputs!$C$52)))-((Inputs!$H$6+Inputs!$L$6*(((Inputs!$I$6+(((A101)+1)/2)*(Inputs!$J$6-Inputs!$I$6)))/Inputs!$K$6)^2)))*1000/Inputs!$C$12)</x:f>
        <x:v>647.5439175957033</x:v>
      </x:c>
      <x:c r="AG101" s="48" t="n">
        <x:f>(((SQRT((Inputs!$C$52+((Inputs!$H$7+Inputs!$L$7*(((Inputs!$I$7+(((A101)+1)/2)*(Inputs!$J$7-Inputs!$I$7)))/Inputs!$K$7)^2)))^2+Inputs!$C$52^2-2*(Inputs!$C$52+((Inputs!$H$7+Inputs!$L$7*(((Inputs!$I$7+(((A101)+1)/2)*(Inputs!$J$7-Inputs!$I$7)))/Inputs!$K$7)^2)))*Inputs!$C$52*COS(SQRT(((Inputs!$I$7+(((A101)+1)/2)*(Inputs!$J$7-Inputs!$I$7)))^2+Inputs!$C$6^2)/Inputs!$C$52)))-((Inputs!$H$7+Inputs!$L$7*(((Inputs!$I$7+(((A101)+1)/2)*(Inputs!$J$7-Inputs!$I$7)))/Inputs!$K$7)^2)))*1000/Inputs!$C$12)</x:f>
        <x:v>23736.82737098973</x:v>
      </x:c>
      <x:c r="AH101" s="48" t="n">
        <x:f>(((SQRT((Inputs!$C$52+((Inputs!$H$8+Inputs!$L$8*(((Inputs!$I$8+(((A101)+1)/2)*(Inputs!$J$8-Inputs!$I$8)))/Inputs!$K$8)^2)))^2+Inputs!$C$52^2-2*(Inputs!$C$52+((Inputs!$H$8+Inputs!$L$8*(((Inputs!$I$8+(((A101)+1)/2)*(Inputs!$J$8-Inputs!$I$8)))/Inputs!$K$8)^2)))*Inputs!$C$52*COS(SQRT(((Inputs!$I$8+(((A101)+1)/2)*(Inputs!$J$8-Inputs!$I$8)))^2+Inputs!$C$6^2)/Inputs!$C$52)))-((Inputs!$H$8+Inputs!$L$8*(((Inputs!$I$8+(((A101)+1)/2)*(Inputs!$J$8-Inputs!$I$8)))/Inputs!$K$8)^2)))*1000/Inputs!$C$12)</x:f>
        <x:v>52941.64041645862</x:v>
      </x:c>
      <x:c r="AI101" s="48" t="n">
        <x:f>(((SQRT((Inputs!$C$52+((Inputs!$H$9+Inputs!$L$9*(((Inputs!$I$9+(((A101)+1)/2)*(Inputs!$J$9-Inputs!$I$9)))/Inputs!$K$9)^2)))^2+Inputs!$C$52^2-2*(Inputs!$C$52+((Inputs!$H$9+Inputs!$L$9*(((Inputs!$I$9+(((A101)+1)/2)*(Inputs!$J$9-Inputs!$I$9)))/Inputs!$K$9)^2)))*Inputs!$C$52*COS(SQRT(((Inputs!$I$9+(((A101)+1)/2)*(Inputs!$J$9-Inputs!$I$9)))^2+Inputs!$C$6^2)/Inputs!$C$52)))-((Inputs!$H$9+Inputs!$L$9*(((Inputs!$I$9+(((A101)+1)/2)*(Inputs!$J$9-Inputs!$I$9)))/Inputs!$K$9)^2)))*1000/Inputs!$C$12)</x:f>
        <x:v>56088.15733083674</x:v>
      </x:c>
      <x:c r="AJ101" s="49"/>
      <x:c r="AK101" s="48" t="n">
        <x:f>A101</x:f>
        <x:v>-0.175</x:v>
      </x:c>
      <x:c r="AL101" s="48" t="n">
        <x: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x:f>
        <x:v>89.84469378114167</x:v>
      </x:c>
      <x:c r="AM101" s="48" t="n">
        <x: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x:f>
        <x:v>1580.593266241955</x:v>
      </x:c>
      <x:c r="AN101" s="48" t="n">
        <x: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x:f>
        <x:v>1769.1436703985887</x:v>
      </x:c>
      <x:c r="AO101" s="48" t="n">
        <x: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x:f>
        <x:v>1767.4173230174663</x:v>
      </x:c>
      <x:c r="AP101" s="49"/>
      <x:c r="AQ101" s="48" t="n">
        <x:f>A101</x:f>
        <x:v>-0.175</x:v>
      </x:c>
      <x:c r="AR101" s="48" t="n">
        <x:f>0</x:f>
        <x:v>0</x:v>
      </x:c>
      <x:c r="AS101" s="48" t="n">
        <x: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(0.45*SIN(2*PI()*((((Inputs!$I$6+(((A101)+1)/2)*(Inputs!$J$6-Inputs!$I$6)))/Inputs!$C$49)+Inputs!$C$47*0.137))+0.35*COS(2*PI()*(((Inputs!$C$6)/Inputs!$C$50)+Inputs!$C$47*0.173))+0.20*SIN(2*PI()*((((Inputs!$I$6+(((A101)+1)/2)*(Inputs!$J$6-Inputs!$I$6)))+(Inputs!$C$6))/(0.5*(Inputs!$C$49+Inputs!$C$50))+Inputs!$C$47*0.097)))+0.30*(2*((SIN((((Inputs!$I$6+(((A101)+1)/2)*(Inputs!$J$6-Inputs!$I$6)))*12.9898+(Inputs!$C$6)*78.233+Inputs!$C$47*37.719))*43758.5453)-INT((SIN((((Inputs!$I$6+(((A101)+1)/2)*(Inputs!$J$6-Inputs!$I$6)))*12.9898+(Inputs!$C$6)*78.233+Inputs!$C$47*37.719))*43758.5453)))-1))),NA())</x:f>
        <x:v>470.10163194835394</x:v>
      </x:c>
      <x:c r="AT101" s="48" t="n">
        <x: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(0.45*SIN(2*PI()*((((Inputs!$I$7+(((A101)+1)/2)*(Inputs!$J$7-Inputs!$I$7)))/Inputs!$C$49)+Inputs!$C$47*0.137))+0.35*COS(2*PI()*(((Inputs!$C$6)/Inputs!$C$50)+Inputs!$C$47*0.173))+0.20*SIN(2*PI()*((((Inputs!$I$7+(((A101)+1)/2)*(Inputs!$J$7-Inputs!$I$7)))+(Inputs!$C$6))/(0.5*(Inputs!$C$49+Inputs!$C$50))+Inputs!$C$47*0.097)))+0.30*(2*((SIN((((Inputs!$I$7+(((A101)+1)/2)*(Inputs!$J$7-Inputs!$I$7)))*12.9898+(Inputs!$C$6)*78.233+Inputs!$C$47*37.719))*43758.5453)-INT((SIN((((Inputs!$I$7+(((A101)+1)/2)*(Inputs!$J$7-Inputs!$I$7)))*12.9898+(Inputs!$C$6)*78.233+Inputs!$C$47*37.719))*43758.5453)))-1))),NA())</x:f>
        <x:v>196.96306248477907</x:v>
      </x:c>
      <x:c r="AU101" s="48" t="n">
        <x: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(0.45*SIN(2*PI()*((((Inputs!$I$8+(((A101)+1)/2)*(Inputs!$J$8-Inputs!$I$8)))/Inputs!$C$49)+Inputs!$C$47*0.137))+0.35*COS(2*PI()*(((Inputs!$C$6)/Inputs!$C$50)+Inputs!$C$47*0.173))+0.20*SIN(2*PI()*((((Inputs!$I$8+(((A101)+1)/2)*(Inputs!$J$8-Inputs!$I$8)))+(Inputs!$C$6))/(0.5*(Inputs!$C$49+Inputs!$C$50))+Inputs!$C$47*0.097)))+0.30*(2*((SIN((((Inputs!$I$8+(((A101)+1)/2)*(Inputs!$J$8-Inputs!$I$8)))*12.9898+(Inputs!$C$6)*78.233+Inputs!$C$47*37.719))*43758.5453)-INT((SIN((((Inputs!$I$8+(((A101)+1)/2)*(Inputs!$J$8-Inputs!$I$8)))*12.9898+(Inputs!$C$6)*78.233+Inputs!$C$47*37.719))*43758.5453)))-1))),NA())</x:f>
        <x:v>204.7986580113276</x:v>
      </x:c>
      <x:c r="AV101" s="48" t="n">
        <x: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(0.45*SIN(2*PI()*((((Inputs!$I$9+(((A101)+1)/2)*(Inputs!$J$9-Inputs!$I$9)))/Inputs!$C$49)+Inputs!$C$47*0.137))+0.35*COS(2*PI()*(((Inputs!$C$6)/Inputs!$C$50)+Inputs!$C$47*0.173))+0.20*SIN(2*PI()*((((Inputs!$I$9+(((A101)+1)/2)*(Inputs!$J$9-Inputs!$I$9)))+(Inputs!$C$6))/(0.5*(Inputs!$C$49+Inputs!$C$50))+Inputs!$C$47*0.097)))+0.30*(2*((SIN((((Inputs!$I$9+(((A101)+1)/2)*(Inputs!$J$9-Inputs!$I$9)))*12.9898+(Inputs!$C$6)*78.233+Inputs!$C$47*37.719))*43758.5453)-INT((SIN((((Inputs!$I$9+(((A101)+1)/2)*(Inputs!$J$9-Inputs!$I$9)))*12.9898+(Inputs!$C$6)*78.233+Inputs!$C$47*37.719))*43758.5453)))-1))),NA())</x:f>
        <x:v>204.7986580113276</x:v>
      </x:c>
      <x:c r="AW101" s="49"/>
      <x:c r="AX101" s="48" t="n">
        <x:f>A101</x:f>
        <x:v>-0.175</x:v>
      </x:c>
      <x:c r="AY101" s="48" t="n">
        <x:f>0</x:f>
        <x:v>0</x:v>
      </x:c>
      <x:c r="AZ101" s="48" t="n">
        <x:f>IF(OR(Inputs!$F$6=TRUE,Inputs!$F$6="TRUE",Inputs!$F$6=1),(Inputs!$H$6+Inputs!$L$6*(((Inputs!$I$6+(((A101)+1)/2)*(Inputs!$J$6-Inputs!$I$6)))/Inputs!$K$6)^2),NA())</x:f>
        <x:v>400.1225</x:v>
      </x:c>
      <x:c r="BA101" s="48" t="n">
        <x:f>IF(OR(Inputs!$F$7=TRUE,Inputs!$F$7="TRUE",Inputs!$F$7=1),(Inputs!$H$7+Inputs!$L$7*(((Inputs!$I$7+(((A101)+1)/2)*(Inputs!$J$7-Inputs!$I$7)))/Inputs!$K$7)^2),NA())</x:f>
        <x:v>46.178124999999994</x:v>
      </x:c>
      <x:c r="BB101" s="48" t="n">
        <x:f>IF(OR(Inputs!$F$8=TRUE,Inputs!$F$8="TRUE",Inputs!$F$8=1),(Inputs!$H$8+Inputs!$L$8*(((Inputs!$I$8+(((A101)+1)/2)*(Inputs!$J$8-Inputs!$I$8)))/Inputs!$K$8)^2),NA())</x:f>
        <x:v>64.553125</x:v>
      </x:c>
      <x:c r="BC101" s="48" t="n">
        <x:f>IF(OR(Inputs!$F$9=TRUE,Inputs!$F$9="TRUE",Inputs!$F$9=1),(Inputs!$H$9+Inputs!$L$9*(((Inputs!$I$9+(((A101)+1)/2)*(Inputs!$J$9-Inputs!$I$9)))/Inputs!$K$9)^2),NA())</x:f>
        <x:v>54.859375</x:v>
      </x:c>
      <x:c r="BD101" s="49"/>
      <x:c r="BE101" s="48" t="n">
        <x:f>A101</x:f>
        <x:v>-0.175</x:v>
      </x:c>
      <x:c r="BF101" s="48" t="n">
        <x:f>0</x:f>
        <x:v>0</x:v>
      </x:c>
      <x:c r="BG101" s="48"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BH101" s="48"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BI101" s="48"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BJ101" s="48"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row>
    <x:row r="102">
      <x:c r="A102" s="48" t="n">
        <x:f>ROUND(-1+100*2/240,3)</x:f>
        <x:v>-0.167</x:v>
      </x:c>
      <x:c r="B102" s="48" t="n">
        <x:f>IF(OR(Inputs!$F$6=TRUE,Inputs!$F$6="TRUE",Inputs!$F$6=1),(Inputs!$H$6+Inputs!$L$6*(((Inputs!$I$6+(((A102)+1)/2)*(Inputs!$J$6-Inputs!$I$6)))/Inputs!$K$6)^2),NA())</x:f>
        <x:v>400.111556</x:v>
      </x:c>
      <x:c r="C102" s="48" t="n">
        <x:f>IF(OR(Inputs!$F$7=TRUE,Inputs!$F$7="TRUE",Inputs!$F$7=1),(Inputs!$H$7+Inputs!$L$7*(((Inputs!$I$7+(((A102)+1)/2)*(Inputs!$J$7-Inputs!$I$7)))/Inputs!$K$7)^2),NA())</x:f>
        <x:v>45.179485</x:v>
      </x:c>
      <x:c r="D102" s="48" t="n">
        <x:f>IF(OR(Inputs!$F$8=TRUE,Inputs!$F$8="TRUE",Inputs!$F$8=1),(Inputs!$H$8+Inputs!$L$8*(((Inputs!$I$8+(((A102)+1)/2)*(Inputs!$J$8-Inputs!$I$8)))/Inputs!$K$8)^2),NA())</x:f>
        <x:v>61.91288500000001</x:v>
      </x:c>
      <x:c r="E102" s="48" t="n">
        <x:f>IF(OR(Inputs!$F$9=TRUE,Inputs!$F$9="TRUE",Inputs!$F$9=1),(Inputs!$H$9+Inputs!$L$9*(((Inputs!$I$9+(((A102)+1)/2)*(Inputs!$J$9-Inputs!$I$9)))/Inputs!$K$9)^2),NA())</x:f>
        <x:v>52.19177500000001</x:v>
      </x:c>
      <x:c r="F102" s="49"/>
      <x:c r="G102" s="48" t="n">
        <x:f>A102</x:f>
        <x:v>-0.167</x:v>
      </x:c>
      <x:c r="H102" s="48"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I102" s="48"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J102" s="48"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K102" s="48"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c r="L102" s="49"/>
      <x:c r="M102" s="48" t="n">
        <x:f>A102</x:f>
        <x:v>-0.167</x:v>
      </x:c>
      <x:c r="N102" s="48" t="n">
        <x: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x:f>
        <x:v>85.74163741440113</x:v>
      </x:c>
      <x:c r="O102" s="48" t="n">
        <x: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x:f>
        <x:v>1556.546637394312</x:v>
      </x:c>
      <x:c r="P102" s="48" t="n">
        <x: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x:f>
        <x:v>1750.791310857258</x:v>
      </x:c>
      <x:c r="Q102" s="48" t="n">
        <x: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x:f>
        <x:v>1750.4567699771662</x:v>
      </x:c>
      <x:c r="R102" s="49"/>
      <x:c r="S102" s="48" t="n">
        <x:f>A102</x:f>
        <x:v>-0.167</x:v>
      </x:c>
      <x:c r="T102" s="48" t="n">
        <x:f>(Inputs!$I$6+(((A102)+1)/2)*(Inputs!$J$6-Inputs!$I$6))</x:f>
        <x:v>-10.020000000000003</x:v>
      </x:c>
      <x:c r="U102" s="48" t="n">
        <x:f>(Inputs!$I$7+(((A102)+1)/2)*(Inputs!$J$7-Inputs!$I$7))</x:f>
        <x:v>-66.80000000000001</x:v>
      </x:c>
      <x:c r="V102" s="48" t="n">
        <x:f>(Inputs!$I$8+(((A102)+1)/2)*(Inputs!$J$8-Inputs!$I$8))</x:f>
        <x:v>-133.60000000000002</x:v>
      </x:c>
      <x:c r="W102" s="48" t="n">
        <x:f>(Inputs!$I$9+(((A102)+1)/2)*(Inputs!$J$9-Inputs!$I$9))</x:f>
        <x:v>-133.60000000000002</x:v>
      </x:c>
      <x:c r="X102" s="49"/>
      <x:c r="Y102" s="48" t="n">
        <x:f>A102</x:f>
        <x:v>-0.167</x:v>
      </x:c>
      <x:c r="Z102" s="48" t="n">
        <x:f>(Inputs!$H$6+Inputs!$L$6*(((Inputs!$I$6+(((A102)+1)/2)*(Inputs!$J$6-Inputs!$I$6)))/Inputs!$K$6)^2)</x:f>
        <x:v>400.111556</x:v>
      </x:c>
      <x:c r="AA102" s="48" t="n">
        <x:f>(Inputs!$H$7+Inputs!$L$7*(((Inputs!$I$7+(((A102)+1)/2)*(Inputs!$J$7-Inputs!$I$7)))/Inputs!$K$7)^2)</x:f>
        <x:v>45.179485</x:v>
      </x:c>
      <x:c r="AB102" s="48" t="n">
        <x:f>(Inputs!$H$8+Inputs!$L$8*(((Inputs!$I$8+(((A102)+1)/2)*(Inputs!$J$8-Inputs!$I$8)))/Inputs!$K$8)^2)</x:f>
        <x:v>61.91288500000001</x:v>
      </x:c>
      <x:c r="AC102" s="48" t="n">
        <x:f>(Inputs!$H$9+Inputs!$L$9*(((Inputs!$I$9+(((A102)+1)/2)*(Inputs!$J$9-Inputs!$I$9)))/Inputs!$K$9)^2)</x:f>
        <x:v>52.19177500000001</x:v>
      </x:c>
      <x:c r="AD102" s="49"/>
      <x:c r="AE102" s="48" t="n">
        <x:f>A102</x:f>
        <x:v>-0.167</x:v>
      </x:c>
      <x:c r="AF102" s="48" t="n">
        <x:f>(((SQRT((Inputs!$C$52+((Inputs!$H$6+Inputs!$L$6*(((Inputs!$I$6+(((A102)+1)/2)*(Inputs!$J$6-Inputs!$I$6)))/Inputs!$K$6)^2)))^2+Inputs!$C$52^2-2*(Inputs!$C$52+((Inputs!$H$6+Inputs!$L$6*(((Inputs!$I$6+(((A102)+1)/2)*(Inputs!$J$6-Inputs!$I$6)))/Inputs!$K$6)^2)))*Inputs!$C$52*COS(SQRT(((Inputs!$I$6+(((A102)+1)/2)*(Inputs!$J$6-Inputs!$I$6)))^2+Inputs!$C$6^2)/Inputs!$C$52)))-((Inputs!$H$6+Inputs!$L$6*(((Inputs!$I$6+(((A102)+1)/2)*(Inputs!$J$6-Inputs!$I$6)))/Inputs!$K$6)^2)))*1000/Inputs!$C$12)</x:f>
        <x:v>638.8956229355646</x:v>
      </x:c>
      <x:c r="AG102" s="48" t="n">
        <x:f>(((SQRT((Inputs!$C$52+((Inputs!$H$7+Inputs!$L$7*(((Inputs!$I$7+(((A102)+1)/2)*(Inputs!$J$7-Inputs!$I$7)))/Inputs!$K$7)^2)))^2+Inputs!$C$52^2-2*(Inputs!$C$52+((Inputs!$H$7+Inputs!$L$7*(((Inputs!$I$7+(((A102)+1)/2)*(Inputs!$J$7-Inputs!$I$7)))/Inputs!$K$7)^2)))*Inputs!$C$52*COS(SQRT(((Inputs!$I$7+(((A102)+1)/2)*(Inputs!$J$7-Inputs!$I$7)))^2+Inputs!$C$6^2)/Inputs!$C$52)))-((Inputs!$H$7+Inputs!$L$7*(((Inputs!$I$7+(((A102)+1)/2)*(Inputs!$J$7-Inputs!$I$7)))/Inputs!$K$7)^2)))*1000/Inputs!$C$12)</x:f>
        <x:v>22535.275057314186</x:v>
      </x:c>
      <x:c r="AH102" s="48" t="n">
        <x:f>(((SQRT((Inputs!$C$52+((Inputs!$H$8+Inputs!$L$8*(((Inputs!$I$8+(((A102)+1)/2)*(Inputs!$J$8-Inputs!$I$8)))/Inputs!$K$8)^2)))^2+Inputs!$C$52^2-2*(Inputs!$C$52+((Inputs!$H$8+Inputs!$L$8*(((Inputs!$I$8+(((A102)+1)/2)*(Inputs!$J$8-Inputs!$I$8)))/Inputs!$K$8)^2)))*Inputs!$C$52*COS(SQRT(((Inputs!$I$8+(((A102)+1)/2)*(Inputs!$J$8-Inputs!$I$8)))^2+Inputs!$C$6^2)/Inputs!$C$52)))-((Inputs!$H$8+Inputs!$L$8*(((Inputs!$I$8+(((A102)+1)/2)*(Inputs!$J$8-Inputs!$I$8)))/Inputs!$K$8)^2)))*1000/Inputs!$C$12)</x:f>
        <x:v>50469.88612276079</x:v>
      </x:c>
      <x:c r="AI102" s="48" t="n">
        <x:f>(((SQRT((Inputs!$C$52+((Inputs!$H$9+Inputs!$L$9*(((Inputs!$I$9+(((A102)+1)/2)*(Inputs!$J$9-Inputs!$I$9)))/Inputs!$K$9)^2)))^2+Inputs!$C$52^2-2*(Inputs!$C$52+((Inputs!$H$9+Inputs!$L$9*(((Inputs!$I$9+(((A102)+1)/2)*(Inputs!$J$9-Inputs!$I$9)))/Inputs!$K$9)^2)))*Inputs!$C$52*COS(SQRT(((Inputs!$I$9+(((A102)+1)/2)*(Inputs!$J$9-Inputs!$I$9)))^2+Inputs!$C$6^2)/Inputs!$C$52)))-((Inputs!$H$9+Inputs!$L$9*(((Inputs!$I$9+(((A102)+1)/2)*(Inputs!$J$9-Inputs!$I$9)))/Inputs!$K$9)^2)))*1000/Inputs!$C$12)</x:f>
        <x:v>53634.13236649723</x:v>
      </x:c>
      <x:c r="AJ102" s="49"/>
      <x:c r="AK102" s="48" t="n">
        <x:f>A102</x:f>
        <x:v>-0.167</x:v>
      </x:c>
      <x:c r="AL102" s="48" t="n">
        <x: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x:f>
        <x:v>85.74163741440113</x:v>
      </x:c>
      <x:c r="AM102" s="48" t="n">
        <x: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x:f>
        <x:v>1556.546637394312</x:v>
      </x:c>
      <x:c r="AN102" s="48" t="n">
        <x: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x:f>
        <x:v>1750.791310857258</x:v>
      </x:c>
      <x:c r="AO102" s="48" t="n">
        <x: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x:f>
        <x:v>1750.4567699771662</x:v>
      </x:c>
      <x:c r="AP102" s="49"/>
      <x:c r="AQ102" s="48" t="n">
        <x:f>A102</x:f>
        <x:v>-0.167</x:v>
      </x:c>
      <x:c r="AR102" s="48" t="n">
        <x:f>0</x:f>
        <x:v>0</x:v>
      </x:c>
      <x:c r="AS102" s="48" t="n">
        <x: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(0.45*SIN(2*PI()*((((Inputs!$I$6+(((A102)+1)/2)*(Inputs!$J$6-Inputs!$I$6)))/Inputs!$C$49)+Inputs!$C$47*0.137))+0.35*COS(2*PI()*(((Inputs!$C$6)/Inputs!$C$50)+Inputs!$C$47*0.173))+0.20*SIN(2*PI()*((((Inputs!$I$6+(((A102)+1)/2)*(Inputs!$J$6-Inputs!$I$6)))+(Inputs!$C$6))/(0.5*(Inputs!$C$49+Inputs!$C$50))+Inputs!$C$47*0.097)))+0.30*(2*((SIN((((Inputs!$I$6+(((A102)+1)/2)*(Inputs!$J$6-Inputs!$I$6)))*12.9898+(Inputs!$C$6)*78.233+Inputs!$C$47*37.719))*43758.5453)-INT((SIN((((Inputs!$I$6+(((A102)+1)/2)*(Inputs!$J$6-Inputs!$I$6)))*12.9898+(Inputs!$C$6)*78.233+Inputs!$C$47*37.719))*43758.5453)))-1))),NA())</x:f>
        <x:v>463.94875984945276</x:v>
      </x:c>
      <x:c r="AT102" s="48" t="n">
        <x: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(0.45*SIN(2*PI()*((((Inputs!$I$7+(((A102)+1)/2)*(Inputs!$J$7-Inputs!$I$7)))/Inputs!$C$49)+Inputs!$C$47*0.137))+0.35*COS(2*PI()*(((Inputs!$C$6)/Inputs!$C$50)+Inputs!$C$47*0.173))+0.20*SIN(2*PI()*((((Inputs!$I$7+(((A102)+1)/2)*(Inputs!$J$7-Inputs!$I$7)))+(Inputs!$C$6))/(0.5*(Inputs!$C$49+Inputs!$C$50))+Inputs!$C$47*0.097)))+0.30*(2*((SIN((((Inputs!$I$7+(((A102)+1)/2)*(Inputs!$J$7-Inputs!$I$7)))*12.9898+(Inputs!$C$6)*78.233+Inputs!$C$47*37.719))*43758.5453)-INT((SIN((((Inputs!$I$7+(((A102)+1)/2)*(Inputs!$J$7-Inputs!$I$7)))*12.9898+(Inputs!$C$6)*78.233+Inputs!$C$47*37.719))*43758.5453)))-1))),NA())</x:f>
        <x:v>218.3616731290067</x:v>
      </x:c>
      <x:c r="AU102" s="48" t="n">
        <x: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(0.45*SIN(2*PI()*((((Inputs!$I$8+(((A102)+1)/2)*(Inputs!$J$8-Inputs!$I$8)))/Inputs!$C$49)+Inputs!$C$47*0.137))+0.35*COS(2*PI()*(((Inputs!$C$6)/Inputs!$C$50)+Inputs!$C$47*0.173))+0.20*SIN(2*PI()*((((Inputs!$I$8+(((A102)+1)/2)*(Inputs!$J$8-Inputs!$I$8)))+(Inputs!$C$6))/(0.5*(Inputs!$C$49+Inputs!$C$50))+Inputs!$C$47*0.097)))+0.30*(2*((SIN((((Inputs!$I$8+(((A102)+1)/2)*(Inputs!$J$8-Inputs!$I$8)))*12.9898+(Inputs!$C$6)*78.233+Inputs!$C$47*37.719))*43758.5453)-INT((SIN((((Inputs!$I$8+(((A102)+1)/2)*(Inputs!$J$8-Inputs!$I$8)))*12.9898+(Inputs!$C$6)*78.233+Inputs!$C$47*37.719))*43758.5453)))-1))),NA())</x:f>
        <x:v>121.5271229913207</x:v>
      </x:c>
      <x:c r="AV102" s="48" t="n">
        <x: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(0.45*SIN(2*PI()*((((Inputs!$I$9+(((A102)+1)/2)*(Inputs!$J$9-Inputs!$I$9)))/Inputs!$C$49)+Inputs!$C$47*0.137))+0.35*COS(2*PI()*(((Inputs!$C$6)/Inputs!$C$50)+Inputs!$C$47*0.173))+0.20*SIN(2*PI()*((((Inputs!$I$9+(((A102)+1)/2)*(Inputs!$J$9-Inputs!$I$9)))+(Inputs!$C$6))/(0.5*(Inputs!$C$49+Inputs!$C$50))+Inputs!$C$47*0.097)))+0.30*(2*((SIN((((Inputs!$I$9+(((A102)+1)/2)*(Inputs!$J$9-Inputs!$I$9)))*12.9898+(Inputs!$C$6)*78.233+Inputs!$C$47*37.719))*43758.5453)-INT((SIN((((Inputs!$I$9+(((A102)+1)/2)*(Inputs!$J$9-Inputs!$I$9)))*12.9898+(Inputs!$C$6)*78.233+Inputs!$C$47*37.719))*43758.5453)))-1))),NA())</x:f>
        <x:v>121.5271229913207</x:v>
      </x:c>
      <x:c r="AW102" s="49"/>
      <x:c r="AX102" s="48" t="n">
        <x:f>A102</x:f>
        <x:v>-0.167</x:v>
      </x:c>
      <x:c r="AY102" s="48" t="n">
        <x:f>0</x:f>
        <x:v>0</x:v>
      </x:c>
      <x:c r="AZ102" s="48" t="n">
        <x:f>IF(OR(Inputs!$F$6=TRUE,Inputs!$F$6="TRUE",Inputs!$F$6=1),(Inputs!$H$6+Inputs!$L$6*(((Inputs!$I$6+(((A102)+1)/2)*(Inputs!$J$6-Inputs!$I$6)))/Inputs!$K$6)^2),NA())</x:f>
        <x:v>400.111556</x:v>
      </x:c>
      <x:c r="BA102" s="48" t="n">
        <x:f>IF(OR(Inputs!$F$7=TRUE,Inputs!$F$7="TRUE",Inputs!$F$7=1),(Inputs!$H$7+Inputs!$L$7*(((Inputs!$I$7+(((A102)+1)/2)*(Inputs!$J$7-Inputs!$I$7)))/Inputs!$K$7)^2),NA())</x:f>
        <x:v>45.179485</x:v>
      </x:c>
      <x:c r="BB102" s="48" t="n">
        <x:f>IF(OR(Inputs!$F$8=TRUE,Inputs!$F$8="TRUE",Inputs!$F$8=1),(Inputs!$H$8+Inputs!$L$8*(((Inputs!$I$8+(((A102)+1)/2)*(Inputs!$J$8-Inputs!$I$8)))/Inputs!$K$8)^2),NA())</x:f>
        <x:v>61.91288500000001</x:v>
      </x:c>
      <x:c r="BC102" s="48" t="n">
        <x:f>IF(OR(Inputs!$F$9=TRUE,Inputs!$F$9="TRUE",Inputs!$F$9=1),(Inputs!$H$9+Inputs!$L$9*(((Inputs!$I$9+(((A102)+1)/2)*(Inputs!$J$9-Inputs!$I$9)))/Inputs!$K$9)^2),NA())</x:f>
        <x:v>52.19177500000001</x:v>
      </x:c>
      <x:c r="BD102" s="49"/>
      <x:c r="BE102" s="48" t="n">
        <x:f>A102</x:f>
        <x:v>-0.167</x:v>
      </x:c>
      <x:c r="BF102" s="48" t="n">
        <x:f>0</x:f>
        <x:v>0</x:v>
      </x:c>
      <x:c r="BG102" s="48"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BH102" s="48"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BI102" s="48"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BJ102" s="48"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row>
    <x:row r="103">
      <x:c r="A103" s="48" t="n">
        <x:f>ROUND(-1+101*2/240,3)</x:f>
        <x:v>-0.158</x:v>
      </x:c>
      <x:c r="B103" s="48" t="n">
        <x:f>IF(OR(Inputs!$F$6=TRUE,Inputs!$F$6="TRUE",Inputs!$F$6=1),(Inputs!$H$6+Inputs!$L$6*(((Inputs!$I$6+(((A103)+1)/2)*(Inputs!$J$6-Inputs!$I$6)))/Inputs!$K$6)^2),NA())</x:f>
        <x:v>400.099856</x:v>
      </x:c>
      <x:c r="C103" s="48" t="n">
        <x:f>IF(OR(Inputs!$F$7=TRUE,Inputs!$F$7="TRUE",Inputs!$F$7=1),(Inputs!$H$7+Inputs!$L$7*(((Inputs!$I$7+(((A103)+1)/2)*(Inputs!$J$7-Inputs!$I$7)))/Inputs!$K$7)^2),NA())</x:f>
        <x:v>44.11186</x:v>
      </x:c>
      <x:c r="D103" s="48" t="n">
        <x:f>IF(OR(Inputs!$F$8=TRUE,Inputs!$F$8="TRUE",Inputs!$F$8=1),(Inputs!$H$8+Inputs!$L$8*(((Inputs!$I$8+(((A103)+1)/2)*(Inputs!$J$8-Inputs!$I$8)))/Inputs!$K$8)^2),NA())</x:f>
        <x:v>59.090259999999994</x:v>
      </x:c>
      <x:c r="E103" s="48" t="n">
        <x:f>IF(OR(Inputs!$F$9=TRUE,Inputs!$F$9="TRUE",Inputs!$F$9=1),(Inputs!$H$9+Inputs!$L$9*(((Inputs!$I$9+(((A103)+1)/2)*(Inputs!$J$9-Inputs!$I$9)))/Inputs!$K$9)^2),NA())</x:f>
        <x:v>49.33989999999999</x:v>
      </x:c>
      <x:c r="F103" s="49"/>
      <x:c r="G103" s="48" t="n">
        <x:f>A103</x:f>
        <x:v>-0.158</x:v>
      </x:c>
      <x:c r="H103" s="48"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I103" s="48"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J103" s="48"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K103" s="48"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c r="L103" s="49"/>
      <x:c r="M103" s="48" t="n">
        <x:f>A103</x:f>
        <x:v>-0.158</x:v>
      </x:c>
      <x:c r="N103" s="48" t="n">
        <x: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x:f>
        <x:v>81.12500843457005</x:v>
      </x:c>
      <x:c r="O103" s="48" t="n">
        <x: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x:f>
        <x:v>1527.4443088866037</x:v>
      </x:c>
      <x:c r="P103" s="48" t="n">
        <x: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x:f>
        <x:v>1729.7219498568793</x:v>
      </x:c>
      <x:c r="Q103" s="48" t="n">
        <x: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x:f>
        <x:v>1731.250542210164</x:v>
      </x:c>
      <x:c r="R103" s="49"/>
      <x:c r="S103" s="48" t="n">
        <x:f>A103</x:f>
        <x:v>-0.158</x:v>
      </x:c>
      <x:c r="T103" s="48" t="n">
        <x:f>(Inputs!$I$6+(((A103)+1)/2)*(Inputs!$J$6-Inputs!$I$6))</x:f>
        <x:v>-9.480000000000004</x:v>
      </x:c>
      <x:c r="U103" s="48" t="n">
        <x:f>(Inputs!$I$7+(((A103)+1)/2)*(Inputs!$J$7-Inputs!$I$7))</x:f>
        <x:v>-63.19999999999999</x:v>
      </x:c>
      <x:c r="V103" s="48" t="n">
        <x:f>(Inputs!$I$8+(((A103)+1)/2)*(Inputs!$J$8-Inputs!$I$8))</x:f>
        <x:v>-126.39999999999998</x:v>
      </x:c>
      <x:c r="W103" s="48" t="n">
        <x:f>(Inputs!$I$9+(((A103)+1)/2)*(Inputs!$J$9-Inputs!$I$9))</x:f>
        <x:v>-126.39999999999998</x:v>
      </x:c>
      <x:c r="X103" s="49"/>
      <x:c r="Y103" s="48" t="n">
        <x:f>A103</x:f>
        <x:v>-0.158</x:v>
      </x:c>
      <x:c r="Z103" s="48" t="n">
        <x:f>(Inputs!$H$6+Inputs!$L$6*(((Inputs!$I$6+(((A103)+1)/2)*(Inputs!$J$6-Inputs!$I$6)))/Inputs!$K$6)^2)</x:f>
        <x:v>400.099856</x:v>
      </x:c>
      <x:c r="AA103" s="48" t="n">
        <x:f>(Inputs!$H$7+Inputs!$L$7*(((Inputs!$I$7+(((A103)+1)/2)*(Inputs!$J$7-Inputs!$I$7)))/Inputs!$K$7)^2)</x:f>
        <x:v>44.11186</x:v>
      </x:c>
      <x:c r="AB103" s="48" t="n">
        <x:f>(Inputs!$H$8+Inputs!$L$8*(((Inputs!$I$8+(((A103)+1)/2)*(Inputs!$J$8-Inputs!$I$8)))/Inputs!$K$8)^2)</x:f>
        <x:v>59.090259999999994</x:v>
      </x:c>
      <x:c r="AC103" s="48" t="n">
        <x:f>(Inputs!$H$9+Inputs!$L$9*(((Inputs!$I$9+(((A103)+1)/2)*(Inputs!$J$9-Inputs!$I$9)))/Inputs!$K$9)^2)</x:f>
        <x:v>49.33989999999999</x:v>
      </x:c>
      <x:c r="AD103" s="49"/>
      <x:c r="AE103" s="48" t="n">
        <x:f>A103</x:f>
        <x:v>-0.158</x:v>
      </x:c>
      <x:c r="AF103" s="48" t="n">
        <x:f>(((SQRT((Inputs!$C$52+((Inputs!$H$6+Inputs!$L$6*(((Inputs!$I$6+(((A103)+1)/2)*(Inputs!$J$6-Inputs!$I$6)))/Inputs!$K$6)^2)))^2+Inputs!$C$52^2-2*(Inputs!$C$52+((Inputs!$H$6+Inputs!$L$6*(((Inputs!$I$6+(((A103)+1)/2)*(Inputs!$J$6-Inputs!$I$6)))/Inputs!$K$6)^2)))*Inputs!$C$52*COS(SQRT(((Inputs!$I$6+(((A103)+1)/2)*(Inputs!$J$6-Inputs!$I$6)))^2+Inputs!$C$6^2)/Inputs!$C$52)))-((Inputs!$H$6+Inputs!$L$6*(((Inputs!$I$6+(((A103)+1)/2)*(Inputs!$J$6-Inputs!$I$6)))/Inputs!$K$6)^2)))*1000/Inputs!$C$12)</x:f>
        <x:v>629.649124878404</x:v>
      </x:c>
      <x:c r="AG103" s="48" t="n">
        <x:f>(((SQRT((Inputs!$C$52+((Inputs!$H$7+Inputs!$L$7*(((Inputs!$I$7+(((A103)+1)/2)*(Inputs!$J$7-Inputs!$I$7)))/Inputs!$K$7)^2)))^2+Inputs!$C$52^2-2*(Inputs!$C$52+((Inputs!$H$7+Inputs!$L$7*(((Inputs!$I$7+(((A103)+1)/2)*(Inputs!$J$7-Inputs!$I$7)))/Inputs!$K$7)^2)))*Inputs!$C$52*COS(SQRT(((Inputs!$I$7+(((A103)+1)/2)*(Inputs!$J$7-Inputs!$I$7)))^2+Inputs!$C$6^2)/Inputs!$C$52)))-((Inputs!$H$7+Inputs!$L$7*(((Inputs!$I$7+(((A103)+1)/2)*(Inputs!$J$7-Inputs!$I$7)))/Inputs!$K$7)^2)))*1000/Inputs!$C$12)</x:f>
        <x:v>21185.66606469081</x:v>
      </x:c>
      <x:c r="AH103" s="48" t="n">
        <x:f>(((SQRT((Inputs!$C$52+((Inputs!$H$8+Inputs!$L$8*(((Inputs!$I$8+(((A103)+1)/2)*(Inputs!$J$8-Inputs!$I$8)))/Inputs!$K$8)^2)))^2+Inputs!$C$52^2-2*(Inputs!$C$52+((Inputs!$H$8+Inputs!$L$8*(((Inputs!$I$8+(((A103)+1)/2)*(Inputs!$J$8-Inputs!$I$8)))/Inputs!$K$8)^2)))*Inputs!$C$52*COS(SQRT(((Inputs!$I$8+(((A103)+1)/2)*(Inputs!$J$8-Inputs!$I$8)))^2+Inputs!$C$6^2)/Inputs!$C$52)))-((Inputs!$H$8+Inputs!$L$8*(((Inputs!$I$8+(((A103)+1)/2)*(Inputs!$J$8-Inputs!$I$8)))/Inputs!$K$8)^2)))*1000/Inputs!$C$12)</x:f>
        <x:v>47655.99028626687</x:v>
      </x:c>
      <x:c r="AI103" s="48" t="n">
        <x:f>(((SQRT((Inputs!$C$52+((Inputs!$H$9+Inputs!$L$9*(((Inputs!$I$9+(((A103)+1)/2)*(Inputs!$J$9-Inputs!$I$9)))/Inputs!$K$9)^2)))^2+Inputs!$C$52^2-2*(Inputs!$C$52+((Inputs!$H$9+Inputs!$L$9*(((Inputs!$I$9+(((A103)+1)/2)*(Inputs!$J$9-Inputs!$I$9)))/Inputs!$K$9)^2)))*Inputs!$C$52*COS(SQRT(((Inputs!$I$9+(((A103)+1)/2)*(Inputs!$J$9-Inputs!$I$9)))^2+Inputs!$C$6^2)/Inputs!$C$52)))-((Inputs!$H$9+Inputs!$L$9*(((Inputs!$I$9+(((A103)+1)/2)*(Inputs!$J$9-Inputs!$I$9)))/Inputs!$K$9)^2)))*1000/Inputs!$C$12)</x:f>
        <x:v>50835.2313610763</x:v>
      </x:c>
      <x:c r="AJ103" s="49"/>
      <x:c r="AK103" s="48" t="n">
        <x:f>A103</x:f>
        <x:v>-0.158</x:v>
      </x:c>
      <x:c r="AL103" s="48" t="n">
        <x: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x:f>
        <x:v>81.12500843457005</x:v>
      </x:c>
      <x:c r="AM103" s="48" t="n">
        <x: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x:f>
        <x:v>1527.4443088866037</x:v>
      </x:c>
      <x:c r="AN103" s="48" t="n">
        <x: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x:f>
        <x:v>1729.7219498568793</x:v>
      </x:c>
      <x:c r="AO103" s="48" t="n">
        <x: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x:f>
        <x:v>1731.250542210164</x:v>
      </x:c>
      <x:c r="AP103" s="49"/>
      <x:c r="AQ103" s="48" t="n">
        <x:f>A103</x:f>
        <x:v>-0.158</x:v>
      </x:c>
      <x:c r="AR103" s="48" t="n">
        <x:f>0</x:f>
        <x:v>0</x:v>
      </x:c>
      <x:c r="AS103" s="48" t="n">
        <x: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(0.45*SIN(2*PI()*((((Inputs!$I$6+(((A103)+1)/2)*(Inputs!$J$6-Inputs!$I$6)))/Inputs!$C$49)+Inputs!$C$47*0.137))+0.35*COS(2*PI()*(((Inputs!$C$6)/Inputs!$C$50)+Inputs!$C$47*0.173))+0.20*SIN(2*PI()*((((Inputs!$I$6+(((A103)+1)/2)*(Inputs!$J$6-Inputs!$I$6)))+(Inputs!$C$6))/(0.5*(Inputs!$C$49+Inputs!$C$50))+Inputs!$C$47*0.097)))+0.30*(2*((SIN((((Inputs!$I$6+(((A103)+1)/2)*(Inputs!$J$6-Inputs!$I$6)))*12.9898+(Inputs!$C$6)*78.233+Inputs!$C$47*37.719))*43758.5453)-INT((SIN((((Inputs!$I$6+(((A103)+1)/2)*(Inputs!$J$6-Inputs!$I$6)))*12.9898+(Inputs!$C$6)*78.233+Inputs!$C$47*37.719))*43758.5453)))-1))),NA())</x:f>
        <x:v>463.79010570511156</x:v>
      </x:c>
      <x:c r="AT103" s="48" t="n">
        <x: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(0.45*SIN(2*PI()*((((Inputs!$I$7+(((A103)+1)/2)*(Inputs!$J$7-Inputs!$I$7)))/Inputs!$C$49)+Inputs!$C$47*0.137))+0.35*COS(2*PI()*(((Inputs!$C$6)/Inputs!$C$50)+Inputs!$C$47*0.173))+0.20*SIN(2*PI()*((((Inputs!$I$7+(((A103)+1)/2)*(Inputs!$J$7-Inputs!$I$7)))+(Inputs!$C$6))/(0.5*(Inputs!$C$49+Inputs!$C$50))+Inputs!$C$47*0.097)))+0.30*(2*((SIN((((Inputs!$I$7+(((A103)+1)/2)*(Inputs!$J$7-Inputs!$I$7)))*12.9898+(Inputs!$C$6)*78.233+Inputs!$C$47*37.719))*43758.5453)-INT((SIN((((Inputs!$I$7+(((A103)+1)/2)*(Inputs!$J$7-Inputs!$I$7)))*12.9898+(Inputs!$C$6)*78.233+Inputs!$C$47*37.719))*43758.5453)))-1))),NA())</x:f>
        <x:v>154.66089405905174</x:v>
      </x:c>
      <x:c r="AU103" s="48" t="n">
        <x: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(0.45*SIN(2*PI()*((((Inputs!$I$8+(((A103)+1)/2)*(Inputs!$J$8-Inputs!$I$8)))/Inputs!$C$49)+Inputs!$C$47*0.137))+0.35*COS(2*PI()*(((Inputs!$C$6)/Inputs!$C$50)+Inputs!$C$47*0.173))+0.20*SIN(2*PI()*((((Inputs!$I$8+(((A103)+1)/2)*(Inputs!$J$8-Inputs!$I$8)))+(Inputs!$C$6))/(0.5*(Inputs!$C$49+Inputs!$C$50))+Inputs!$C$47*0.097)))+0.30*(2*((SIN((((Inputs!$I$8+(((A103)+1)/2)*(Inputs!$J$8-Inputs!$I$8)))*12.9898+(Inputs!$C$6)*78.233+Inputs!$C$47*37.719))*43758.5453)-INT((SIN((((Inputs!$I$8+(((A103)+1)/2)*(Inputs!$J$8-Inputs!$I$8)))*12.9898+(Inputs!$C$6)*78.233+Inputs!$C$47*37.719))*43758.5453)))-1))),NA())</x:f>
        <x:v>168.45952248322774</x:v>
      </x:c>
      <x:c r="AV103" s="48" t="n">
        <x: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(0.45*SIN(2*PI()*((((Inputs!$I$9+(((A103)+1)/2)*(Inputs!$J$9-Inputs!$I$9)))/Inputs!$C$49)+Inputs!$C$47*0.137))+0.35*COS(2*PI()*(((Inputs!$C$6)/Inputs!$C$50)+Inputs!$C$47*0.173))+0.20*SIN(2*PI()*((((Inputs!$I$9+(((A103)+1)/2)*(Inputs!$J$9-Inputs!$I$9)))+(Inputs!$C$6))/(0.5*(Inputs!$C$49+Inputs!$C$50))+Inputs!$C$47*0.097)))+0.30*(2*((SIN((((Inputs!$I$9+(((A103)+1)/2)*(Inputs!$J$9-Inputs!$I$9)))*12.9898+(Inputs!$C$6)*78.233+Inputs!$C$47*37.719))*43758.5453)-INT((SIN((((Inputs!$I$9+(((A103)+1)/2)*(Inputs!$J$9-Inputs!$I$9)))*12.9898+(Inputs!$C$6)*78.233+Inputs!$C$47*37.719))*43758.5453)))-1))),NA())</x:f>
        <x:v>168.45952248322774</x:v>
      </x:c>
      <x:c r="AW103" s="49"/>
      <x:c r="AX103" s="48" t="n">
        <x:f>A103</x:f>
        <x:v>-0.158</x:v>
      </x:c>
      <x:c r="AY103" s="48" t="n">
        <x:f>0</x:f>
        <x:v>0</x:v>
      </x:c>
      <x:c r="AZ103" s="48" t="n">
        <x:f>IF(OR(Inputs!$F$6=TRUE,Inputs!$F$6="TRUE",Inputs!$F$6=1),(Inputs!$H$6+Inputs!$L$6*(((Inputs!$I$6+(((A103)+1)/2)*(Inputs!$J$6-Inputs!$I$6)))/Inputs!$K$6)^2),NA())</x:f>
        <x:v>400.099856</x:v>
      </x:c>
      <x:c r="BA103" s="48" t="n">
        <x:f>IF(OR(Inputs!$F$7=TRUE,Inputs!$F$7="TRUE",Inputs!$F$7=1),(Inputs!$H$7+Inputs!$L$7*(((Inputs!$I$7+(((A103)+1)/2)*(Inputs!$J$7-Inputs!$I$7)))/Inputs!$K$7)^2),NA())</x:f>
        <x:v>44.11186</x:v>
      </x:c>
      <x:c r="BB103" s="48" t="n">
        <x:f>IF(OR(Inputs!$F$8=TRUE,Inputs!$F$8="TRUE",Inputs!$F$8=1),(Inputs!$H$8+Inputs!$L$8*(((Inputs!$I$8+(((A103)+1)/2)*(Inputs!$J$8-Inputs!$I$8)))/Inputs!$K$8)^2),NA())</x:f>
        <x:v>59.090259999999994</x:v>
      </x:c>
      <x:c r="BC103" s="48" t="n">
        <x:f>IF(OR(Inputs!$F$9=TRUE,Inputs!$F$9="TRUE",Inputs!$F$9=1),(Inputs!$H$9+Inputs!$L$9*(((Inputs!$I$9+(((A103)+1)/2)*(Inputs!$J$9-Inputs!$I$9)))/Inputs!$K$9)^2),NA())</x:f>
        <x:v>49.33989999999999</x:v>
      </x:c>
      <x:c r="BD103" s="49"/>
      <x:c r="BE103" s="48" t="n">
        <x:f>A103</x:f>
        <x:v>-0.158</x:v>
      </x:c>
      <x:c r="BF103" s="48" t="n">
        <x:f>0</x:f>
        <x:v>0</x:v>
      </x:c>
      <x:c r="BG103" s="48"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BH103" s="48"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BI103" s="48"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BJ103" s="48"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row>
    <x:row r="104">
      <x:c r="A104" s="48" t="n">
        <x:f>ROUND(-1+102*2/240,3)</x:f>
        <x:v>-0.15</x:v>
      </x:c>
      <x:c r="B104" s="48" t="n">
        <x:f>IF(OR(Inputs!$F$6=TRUE,Inputs!$F$6="TRUE",Inputs!$F$6=1),(Inputs!$H$6+Inputs!$L$6*(((Inputs!$I$6+(((A104)+1)/2)*(Inputs!$J$6-Inputs!$I$6)))/Inputs!$K$6)^2),NA())</x:f>
        <x:v>400.09</x:v>
      </x:c>
      <x:c r="C104" s="48" t="n">
        <x:f>IF(OR(Inputs!$F$7=TRUE,Inputs!$F$7="TRUE",Inputs!$F$7=1),(Inputs!$H$7+Inputs!$L$7*(((Inputs!$I$7+(((A104)+1)/2)*(Inputs!$J$7-Inputs!$I$7)))/Inputs!$K$7)^2),NA())</x:f>
        <x:v>43.2125</x:v>
      </x:c>
      <x:c r="D104" s="48" t="n">
        <x:f>IF(OR(Inputs!$F$8=TRUE,Inputs!$F$8="TRUE",Inputs!$F$8=1),(Inputs!$H$8+Inputs!$L$8*(((Inputs!$I$8+(((A104)+1)/2)*(Inputs!$J$8-Inputs!$I$8)))/Inputs!$K$8)^2),NA())</x:f>
        <x:v>56.7125</x:v>
      </x:c>
      <x:c r="E104" s="48" t="n">
        <x:f>IF(OR(Inputs!$F$9=TRUE,Inputs!$F$9="TRUE",Inputs!$F$9=1),(Inputs!$H$9+Inputs!$L$9*(((Inputs!$I$9+(((A104)+1)/2)*(Inputs!$J$9-Inputs!$I$9)))/Inputs!$K$9)^2),NA())</x:f>
        <x:v>46.9375</x:v>
      </x:c>
      <x:c r="F104" s="49"/>
      <x:c r="G104" s="48" t="n">
        <x:f>A104</x:f>
        <x:v>-0.15</x:v>
      </x:c>
      <x:c r="H104" s="48"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I104" s="48"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J104" s="48"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K104" s="48"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c r="L104" s="49"/>
      <x:c r="M104" s="48" t="n">
        <x:f>A104</x:f>
        <x:v>-0.15</x:v>
      </x:c>
      <x:c r="N104" s="48" t="n">
        <x: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x:f>
        <x:v>77.02075489521857</x:v>
      </x:c>
      <x:c r="O104" s="48" t="n">
        <x: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x:f>
        <x:v>1499.4482518447146</x:v>
      </x:c>
      <x:c r="P104" s="48" t="n">
        <x: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x:f>
        <x:v>1710.43763936689</x:v>
      </x:c>
      <x:c r="Q104" s="48" t="n">
        <x: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x:f>
        <x:v>1713.9315995349498</x:v>
      </x:c>
      <x:c r="R104" s="49"/>
      <x:c r="S104" s="48" t="n">
        <x:f>A104</x:f>
        <x:v>-0.15</x:v>
      </x:c>
      <x:c r="T104" s="48" t="n">
        <x:f>(Inputs!$I$6+(((A104)+1)/2)*(Inputs!$J$6-Inputs!$I$6))</x:f>
        <x:v>-9</x:v>
      </x:c>
      <x:c r="U104" s="48" t="n">
        <x:f>(Inputs!$I$7+(((A104)+1)/2)*(Inputs!$J$7-Inputs!$I$7))</x:f>
        <x:v>-60</x:v>
      </x:c>
      <x:c r="V104" s="48" t="n">
        <x:f>(Inputs!$I$8+(((A104)+1)/2)*(Inputs!$J$8-Inputs!$I$8))</x:f>
        <x:v>-120</x:v>
      </x:c>
      <x:c r="W104" s="48" t="n">
        <x:f>(Inputs!$I$9+(((A104)+1)/2)*(Inputs!$J$9-Inputs!$I$9))</x:f>
        <x:v>-120</x:v>
      </x:c>
      <x:c r="X104" s="49"/>
      <x:c r="Y104" s="48" t="n">
        <x:f>A104</x:f>
        <x:v>-0.15</x:v>
      </x:c>
      <x:c r="Z104" s="48" t="n">
        <x:f>(Inputs!$H$6+Inputs!$L$6*(((Inputs!$I$6+(((A104)+1)/2)*(Inputs!$J$6-Inputs!$I$6)))/Inputs!$K$6)^2)</x:f>
        <x:v>400.09</x:v>
      </x:c>
      <x:c r="AA104" s="48" t="n">
        <x:f>(Inputs!$H$7+Inputs!$L$7*(((Inputs!$I$7+(((A104)+1)/2)*(Inputs!$J$7-Inputs!$I$7)))/Inputs!$K$7)^2)</x:f>
        <x:v>43.2125</x:v>
      </x:c>
      <x:c r="AB104" s="48" t="n">
        <x:f>(Inputs!$H$8+Inputs!$L$8*(((Inputs!$I$8+(((A104)+1)/2)*(Inputs!$J$8-Inputs!$I$8)))/Inputs!$K$8)^2)</x:f>
        <x:v>56.7125</x:v>
      </x:c>
      <x:c r="AC104" s="48" t="n">
        <x:f>(Inputs!$H$9+Inputs!$L$9*(((Inputs!$I$9+(((A104)+1)/2)*(Inputs!$J$9-Inputs!$I$9)))/Inputs!$K$9)^2)</x:f>
        <x:v>46.9375</x:v>
      </x:c>
      <x:c r="AD104" s="49"/>
      <x:c r="AE104" s="48" t="n">
        <x:f>A104</x:f>
        <x:v>-0.15</x:v>
      </x:c>
      <x:c r="AF104" s="48" t="n">
        <x:f>(((SQRT((Inputs!$C$52+((Inputs!$H$6+Inputs!$L$6*(((Inputs!$I$6+(((A104)+1)/2)*(Inputs!$J$6-Inputs!$I$6)))/Inputs!$K$6)^2)))^2+Inputs!$C$52^2-2*(Inputs!$C$52+((Inputs!$H$6+Inputs!$L$6*(((Inputs!$I$6+(((A104)+1)/2)*(Inputs!$J$6-Inputs!$I$6)))/Inputs!$K$6)^2)))*Inputs!$C$52*COS(SQRT(((Inputs!$I$6+(((A104)+1)/2)*(Inputs!$J$6-Inputs!$I$6)))^2+Inputs!$C$6^2)/Inputs!$C$52)))-((Inputs!$H$6+Inputs!$L$6*(((Inputs!$I$6+(((A104)+1)/2)*(Inputs!$J$6-Inputs!$I$6)))/Inputs!$K$6)^2)))*1000/Inputs!$C$12)</x:f>
        <x:v>621.8593058607947</x:v>
      </x:c>
      <x:c r="AG104" s="48" t="n">
        <x:f>(((SQRT((Inputs!$C$52+((Inputs!$H$7+Inputs!$L$7*(((Inputs!$I$7+(((A104)+1)/2)*(Inputs!$J$7-Inputs!$I$7)))/Inputs!$K$7)^2)))^2+Inputs!$C$52^2-2*(Inputs!$C$52+((Inputs!$H$7+Inputs!$L$7*(((Inputs!$I$7+(((A104)+1)/2)*(Inputs!$J$7-Inputs!$I$7)))/Inputs!$K$7)^2)))*Inputs!$C$52*COS(SQRT(((Inputs!$I$7+(((A104)+1)/2)*(Inputs!$J$7-Inputs!$I$7)))^2+Inputs!$C$6^2)/Inputs!$C$52)))-((Inputs!$H$7+Inputs!$L$7*(((Inputs!$I$7+(((A104)+1)/2)*(Inputs!$J$7-Inputs!$I$7)))/Inputs!$K$7)^2)))*1000/Inputs!$C$12)</x:f>
        <x:v>19990.220230096023</x:v>
      </x:c>
      <x:c r="AH104" s="48" t="n">
        <x:f>(((SQRT((Inputs!$C$52+((Inputs!$H$8+Inputs!$L$8*(((Inputs!$I$8+(((A104)+1)/2)*(Inputs!$J$8-Inputs!$I$8)))/Inputs!$K$8)^2)))^2+Inputs!$C$52^2-2*(Inputs!$C$52+((Inputs!$H$8+Inputs!$L$8*(((Inputs!$I$8+(((A104)+1)/2)*(Inputs!$J$8-Inputs!$I$8)))/Inputs!$K$8)^2)))*Inputs!$C$52*COS(SQRT(((Inputs!$I$8+(((A104)+1)/2)*(Inputs!$J$8-Inputs!$I$8)))^2+Inputs!$C$6^2)/Inputs!$C$52)))-((Inputs!$H$8+Inputs!$L$8*(((Inputs!$I$8+(((A104)+1)/2)*(Inputs!$J$8-Inputs!$I$8)))/Inputs!$K$8)^2)))*1000/Inputs!$C$12)</x:f>
        <x:v>45126.34559367568</x:v>
      </x:c>
      <x:c r="AI104" s="48" t="n">
        <x:f>(((SQRT((Inputs!$C$52+((Inputs!$H$9+Inputs!$L$9*(((Inputs!$I$9+(((A104)+1)/2)*(Inputs!$J$9-Inputs!$I$9)))/Inputs!$K$9)^2)))^2+Inputs!$C$52^2-2*(Inputs!$C$52+((Inputs!$H$9+Inputs!$L$9*(((Inputs!$I$9+(((A104)+1)/2)*(Inputs!$J$9-Inputs!$I$9)))/Inputs!$K$9)^2)))*Inputs!$C$52*COS(SQRT(((Inputs!$I$9+(((A104)+1)/2)*(Inputs!$J$9-Inputs!$I$9)))^2+Inputs!$C$6^2)/Inputs!$C$52)))-((Inputs!$H$9+Inputs!$L$9*(((Inputs!$I$9+(((A104)+1)/2)*(Inputs!$J$9-Inputs!$I$9)))/Inputs!$K$9)^2)))*1000/Inputs!$C$12)</x:f>
        <x:v>48313.84518554431</x:v>
      </x:c>
      <x:c r="AJ104" s="49"/>
      <x:c r="AK104" s="48" t="n">
        <x:f>A104</x:f>
        <x:v>-0.15</x:v>
      </x:c>
      <x:c r="AL104" s="48" t="n">
        <x: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x:f>
        <x:v>77.02075489521857</x:v>
      </x:c>
      <x:c r="AM104" s="48" t="n">
        <x: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x:f>
        <x:v>1499.4482518447146</x:v>
      </x:c>
      <x:c r="AN104" s="48" t="n">
        <x: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x:f>
        <x:v>1710.43763936689</x:v>
      </x:c>
      <x:c r="AO104" s="48" t="n">
        <x: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x:f>
        <x:v>1713.9315995349498</x:v>
      </x:c>
      <x:c r="AP104" s="49"/>
      <x:c r="AQ104" s="48" t="n">
        <x:f>A104</x:f>
        <x:v>-0.15</x:v>
      </x:c>
      <x:c r="AR104" s="48" t="n">
        <x:f>0</x:f>
        <x:v>0</x:v>
      </x:c>
      <x:c r="AS104" s="48" t="n">
        <x: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(0.45*SIN(2*PI()*((((Inputs!$I$6+(((A104)+1)/2)*(Inputs!$J$6-Inputs!$I$6)))/Inputs!$C$49)+Inputs!$C$47*0.137))+0.35*COS(2*PI()*(((Inputs!$C$6)/Inputs!$C$50)+Inputs!$C$47*0.173))+0.20*SIN(2*PI()*((((Inputs!$I$6+(((A104)+1)/2)*(Inputs!$J$6-Inputs!$I$6)))+(Inputs!$C$6))/(0.5*(Inputs!$C$49+Inputs!$C$50))+Inputs!$C$47*0.097)))+0.30*(2*((SIN((((Inputs!$I$6+(((A104)+1)/2)*(Inputs!$J$6-Inputs!$I$6)))*12.9898+(Inputs!$C$6)*78.233+Inputs!$C$47*37.719))*43758.5453)-INT((SIN((((Inputs!$I$6+(((A104)+1)/2)*(Inputs!$J$6-Inputs!$I$6)))*12.9898+(Inputs!$C$6)*78.233+Inputs!$C$47*37.719))*43758.5453)))-1))),NA())</x:f>
        <x:v>480.618285675218</x:v>
      </x:c>
      <x:c r="AT104" s="48" t="n">
        <x: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(0.45*SIN(2*PI()*((((Inputs!$I$7+(((A104)+1)/2)*(Inputs!$J$7-Inputs!$I$7)))/Inputs!$C$49)+Inputs!$C$47*0.137))+0.35*COS(2*PI()*(((Inputs!$C$6)/Inputs!$C$50)+Inputs!$C$47*0.173))+0.20*SIN(2*PI()*((((Inputs!$I$7+(((A104)+1)/2)*(Inputs!$J$7-Inputs!$I$7)))+(Inputs!$C$6))/(0.5*(Inputs!$C$49+Inputs!$C$50))+Inputs!$C$47*0.097)))+0.30*(2*((SIN((((Inputs!$I$7+(((A104)+1)/2)*(Inputs!$J$7-Inputs!$I$7)))*12.9898+(Inputs!$C$6)*78.233+Inputs!$C$47*37.719))*43758.5453)-INT((SIN((((Inputs!$I$7+(((A104)+1)/2)*(Inputs!$J$7-Inputs!$I$7)))*12.9898+(Inputs!$C$6)*78.233+Inputs!$C$47*37.719))*43758.5453)))-1))),NA())</x:f>
        <x:v>119.42638570504096</x:v>
      </x:c>
      <x:c r="AU104" s="48" t="n">
        <x: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(0.45*SIN(2*PI()*((((Inputs!$I$8+(((A104)+1)/2)*(Inputs!$J$8-Inputs!$I$8)))/Inputs!$C$49)+Inputs!$C$47*0.137))+0.35*COS(2*PI()*(((Inputs!$C$6)/Inputs!$C$50)+Inputs!$C$47*0.173))+0.20*SIN(2*PI()*((((Inputs!$I$8+(((A104)+1)/2)*(Inputs!$J$8-Inputs!$I$8)))+(Inputs!$C$6))/(0.5*(Inputs!$C$49+Inputs!$C$50))+Inputs!$C$47*0.097)))+0.30*(2*((SIN((((Inputs!$I$8+(((A104)+1)/2)*(Inputs!$J$8-Inputs!$I$8)))*12.9898+(Inputs!$C$6)*78.233+Inputs!$C$47*37.719))*43758.5453)-INT((SIN((((Inputs!$I$8+(((A104)+1)/2)*(Inputs!$J$8-Inputs!$I$8)))*12.9898+(Inputs!$C$6)*78.233+Inputs!$C$47*37.719))*43758.5453)))-1))),NA())</x:f>
        <x:v>187.74824264735327</x:v>
      </x:c>
      <x:c r="AV104" s="48" t="n">
        <x: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(0.45*SIN(2*PI()*((((Inputs!$I$9+(((A104)+1)/2)*(Inputs!$J$9-Inputs!$I$9)))/Inputs!$C$49)+Inputs!$C$47*0.137))+0.35*COS(2*PI()*(((Inputs!$C$6)/Inputs!$C$50)+Inputs!$C$47*0.173))+0.20*SIN(2*PI()*((((Inputs!$I$9+(((A104)+1)/2)*(Inputs!$J$9-Inputs!$I$9)))+(Inputs!$C$6))/(0.5*(Inputs!$C$49+Inputs!$C$50))+Inputs!$C$47*0.097)))+0.30*(2*((SIN((((Inputs!$I$9+(((A104)+1)/2)*(Inputs!$J$9-Inputs!$I$9)))*12.9898+(Inputs!$C$6)*78.233+Inputs!$C$47*37.719))*43758.5453)-INT((SIN((((Inputs!$I$9+(((A104)+1)/2)*(Inputs!$J$9-Inputs!$I$9)))*12.9898+(Inputs!$C$6)*78.233+Inputs!$C$47*37.719))*43758.5453)))-1))),NA())</x:f>
        <x:v>187.74824264735327</x:v>
      </x:c>
      <x:c r="AW104" s="49"/>
      <x:c r="AX104" s="48" t="n">
        <x:f>A104</x:f>
        <x:v>-0.15</x:v>
      </x:c>
      <x:c r="AY104" s="48" t="n">
        <x:f>0</x:f>
        <x:v>0</x:v>
      </x:c>
      <x:c r="AZ104" s="48" t="n">
        <x:f>IF(OR(Inputs!$F$6=TRUE,Inputs!$F$6="TRUE",Inputs!$F$6=1),(Inputs!$H$6+Inputs!$L$6*(((Inputs!$I$6+(((A104)+1)/2)*(Inputs!$J$6-Inputs!$I$6)))/Inputs!$K$6)^2),NA())</x:f>
        <x:v>400.09</x:v>
      </x:c>
      <x:c r="BA104" s="48" t="n">
        <x:f>IF(OR(Inputs!$F$7=TRUE,Inputs!$F$7="TRUE",Inputs!$F$7=1),(Inputs!$H$7+Inputs!$L$7*(((Inputs!$I$7+(((A104)+1)/2)*(Inputs!$J$7-Inputs!$I$7)))/Inputs!$K$7)^2),NA())</x:f>
        <x:v>43.2125</x:v>
      </x:c>
      <x:c r="BB104" s="48" t="n">
        <x:f>IF(OR(Inputs!$F$8=TRUE,Inputs!$F$8="TRUE",Inputs!$F$8=1),(Inputs!$H$8+Inputs!$L$8*(((Inputs!$I$8+(((A104)+1)/2)*(Inputs!$J$8-Inputs!$I$8)))/Inputs!$K$8)^2),NA())</x:f>
        <x:v>56.7125</x:v>
      </x:c>
      <x:c r="BC104" s="48" t="n">
        <x:f>IF(OR(Inputs!$F$9=TRUE,Inputs!$F$9="TRUE",Inputs!$F$9=1),(Inputs!$H$9+Inputs!$L$9*(((Inputs!$I$9+(((A104)+1)/2)*(Inputs!$J$9-Inputs!$I$9)))/Inputs!$K$9)^2),NA())</x:f>
        <x:v>46.9375</x:v>
      </x:c>
      <x:c r="BD104" s="49"/>
      <x:c r="BE104" s="48" t="n">
        <x:f>A104</x:f>
        <x:v>-0.15</x:v>
      </x:c>
      <x:c r="BF104" s="48" t="n">
        <x:f>0</x:f>
        <x:v>0</x:v>
      </x:c>
      <x:c r="BG104" s="48"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BH104" s="48"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BI104" s="48"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BJ104" s="48"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row>
    <x:row r="105">
      <x:c r="A105" s="48" t="n">
        <x:f>ROUND(-1+103*2/240,3)</x:f>
        <x:v>-0.142</x:v>
      </x:c>
      <x:c r="B105" s="48" t="n">
        <x:f>IF(OR(Inputs!$F$6=TRUE,Inputs!$F$6="TRUE",Inputs!$F$6=1),(Inputs!$H$6+Inputs!$L$6*(((Inputs!$I$6+(((A105)+1)/2)*(Inputs!$J$6-Inputs!$I$6)))/Inputs!$K$6)^2),NA())</x:f>
        <x:v>400.080656</x:v>
      </x:c>
      <x:c r="C105" s="48" t="n">
        <x:f>IF(OR(Inputs!$F$7=TRUE,Inputs!$F$7="TRUE",Inputs!$F$7=1),(Inputs!$H$7+Inputs!$L$7*(((Inputs!$I$7+(((A105)+1)/2)*(Inputs!$J$7-Inputs!$I$7)))/Inputs!$K$7)^2),NA())</x:f>
        <x:v>42.359860000000005</x:v>
      </x:c>
      <x:c r="D105" s="48" t="n">
        <x:f>IF(OR(Inputs!$F$8=TRUE,Inputs!$F$8="TRUE",Inputs!$F$8=1),(Inputs!$H$8+Inputs!$L$8*(((Inputs!$I$8+(((A105)+1)/2)*(Inputs!$J$8-Inputs!$I$8)))/Inputs!$K$8)^2),NA())</x:f>
        <x:v>54.45826000000001</x:v>
      </x:c>
      <x:c r="E105" s="48" t="n">
        <x:f>IF(OR(Inputs!$F$9=TRUE,Inputs!$F$9="TRUE",Inputs!$F$9=1),(Inputs!$H$9+Inputs!$L$9*(((Inputs!$I$9+(((A105)+1)/2)*(Inputs!$J$9-Inputs!$I$9)))/Inputs!$K$9)^2),NA())</x:f>
        <x:v>44.65990000000001</x:v>
      </x:c>
      <x:c r="F105" s="49"/>
      <x:c r="G105" s="48" t="n">
        <x:f>A105</x:f>
        <x:v>-0.142</x:v>
      </x:c>
      <x:c r="H105" s="48"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I105" s="48"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J105" s="48"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K105" s="48"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c r="L105" s="49"/>
      <x:c r="M105" s="48" t="n">
        <x:f>A105</x:f>
        <x:v>-0.142</x:v>
      </x:c>
      <x:c r="N105" s="48" t="n">
        <x: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x:f>
        <x:v>72.91598106996182</x:v>
      </x:c>
      <x:c r="O105" s="48" t="n">
        <x: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x:f>
        <x:v>1469.1174397232394</x:v>
      </x:c>
      <x:c r="P105" s="48" t="n">
        <x: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x:f>
        <x:v>1690.4162808103333</x:v>
      </x:c>
      <x:c r="Q105" s="48" t="n">
        <x: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x:f>
        <x:v>1696.217651389492</x:v>
      </x:c>
      <x:c r="R105" s="49"/>
      <x:c r="S105" s="48" t="n">
        <x:f>A105</x:f>
        <x:v>-0.142</x:v>
      </x:c>
      <x:c r="T105" s="48" t="n">
        <x:f>(Inputs!$I$6+(((A105)+1)/2)*(Inputs!$J$6-Inputs!$I$6))</x:f>
        <x:v>-8.520000000000003</x:v>
      </x:c>
      <x:c r="U105" s="48" t="n">
        <x:f>(Inputs!$I$7+(((A105)+1)/2)*(Inputs!$J$7-Inputs!$I$7))</x:f>
        <x:v>-56.80000000000001</x:v>
      </x:c>
      <x:c r="V105" s="48" t="n">
        <x:f>(Inputs!$I$8+(((A105)+1)/2)*(Inputs!$J$8-Inputs!$I$8))</x:f>
        <x:v>-113.60000000000002</x:v>
      </x:c>
      <x:c r="W105" s="48" t="n">
        <x:f>(Inputs!$I$9+(((A105)+1)/2)*(Inputs!$J$9-Inputs!$I$9))</x:f>
        <x:v>-113.60000000000002</x:v>
      </x:c>
      <x:c r="X105" s="49"/>
      <x:c r="Y105" s="48" t="n">
        <x:f>A105</x:f>
        <x:v>-0.142</x:v>
      </x:c>
      <x:c r="Z105" s="48" t="n">
        <x:f>(Inputs!$H$6+Inputs!$L$6*(((Inputs!$I$6+(((A105)+1)/2)*(Inputs!$J$6-Inputs!$I$6)))/Inputs!$K$6)^2)</x:f>
        <x:v>400.080656</x:v>
      </x:c>
      <x:c r="AA105" s="48" t="n">
        <x:f>(Inputs!$H$7+Inputs!$L$7*(((Inputs!$I$7+(((A105)+1)/2)*(Inputs!$J$7-Inputs!$I$7)))/Inputs!$K$7)^2)</x:f>
        <x:v>42.359860000000005</x:v>
      </x:c>
      <x:c r="AB105" s="48" t="n">
        <x:f>(Inputs!$H$8+Inputs!$L$8*(((Inputs!$I$8+(((A105)+1)/2)*(Inputs!$J$8-Inputs!$I$8)))/Inputs!$K$8)^2)</x:f>
        <x:v>54.45826000000001</x:v>
      </x:c>
      <x:c r="AC105" s="48" t="n">
        <x:f>(Inputs!$H$9+Inputs!$L$9*(((Inputs!$I$9+(((A105)+1)/2)*(Inputs!$J$9-Inputs!$I$9)))/Inputs!$K$9)^2)</x:f>
        <x:v>44.65990000000001</x:v>
      </x:c>
      <x:c r="AD105" s="49"/>
      <x:c r="AE105" s="48" t="n">
        <x:f>A105</x:f>
        <x:v>-0.142</x:v>
      </x:c>
      <x:c r="AF105" s="48" t="n">
        <x:f>(((SQRT((Inputs!$C$52+((Inputs!$H$6+Inputs!$L$6*(((Inputs!$I$6+(((A105)+1)/2)*(Inputs!$J$6-Inputs!$I$6)))/Inputs!$K$6)^2)))^2+Inputs!$C$52^2-2*(Inputs!$C$52+((Inputs!$H$6+Inputs!$L$6*(((Inputs!$I$6+(((A105)+1)/2)*(Inputs!$J$6-Inputs!$I$6)))/Inputs!$K$6)^2)))*Inputs!$C$52*COS(SQRT(((Inputs!$I$6+(((A105)+1)/2)*(Inputs!$J$6-Inputs!$I$6)))^2+Inputs!$C$6^2)/Inputs!$C$52)))-((Inputs!$H$6+Inputs!$L$6*(((Inputs!$I$6+(((A105)+1)/2)*(Inputs!$J$6-Inputs!$I$6)))/Inputs!$K$6)^2)))*1000/Inputs!$C$12)</x:f>
        <x:v>614.4736187505341</x:v>
      </x:c>
      <x:c r="AG105" s="48" t="n">
        <x:f>(((SQRT((Inputs!$C$52+((Inputs!$H$7+Inputs!$L$7*(((Inputs!$I$7+(((A105)+1)/2)*(Inputs!$J$7-Inputs!$I$7)))/Inputs!$K$7)^2)))^2+Inputs!$C$52^2-2*(Inputs!$C$52+((Inputs!$H$7+Inputs!$L$7*(((Inputs!$I$7+(((A105)+1)/2)*(Inputs!$J$7-Inputs!$I$7)))/Inputs!$K$7)^2)))*Inputs!$C$52*COS(SQRT(((Inputs!$I$7+(((A105)+1)/2)*(Inputs!$J$7-Inputs!$I$7)))^2+Inputs!$C$6^2)/Inputs!$C$52)))-((Inputs!$H$7+Inputs!$L$7*(((Inputs!$I$7+(((A105)+1)/2)*(Inputs!$J$7-Inputs!$I$7)))/Inputs!$K$7)^2)))*1000/Inputs!$C$12)</x:f>
        <x:v>18801.262933795897</x:v>
      </x:c>
      <x:c r="AH105" s="48" t="n">
        <x:f>(((SQRT((Inputs!$C$52+((Inputs!$H$8+Inputs!$L$8*(((Inputs!$I$8+(((A105)+1)/2)*(Inputs!$J$8-Inputs!$I$8)))/Inputs!$K$8)^2)))^2+Inputs!$C$52^2-2*(Inputs!$C$52+((Inputs!$H$8+Inputs!$L$8*(((Inputs!$I$8+(((A105)+1)/2)*(Inputs!$J$8-Inputs!$I$8)))/Inputs!$K$8)^2)))*Inputs!$C$52*COS(SQRT(((Inputs!$I$8+(((A105)+1)/2)*(Inputs!$J$8-Inputs!$I$8)))^2+Inputs!$C$6^2)/Inputs!$C$52)))-((Inputs!$H$8+Inputs!$L$8*(((Inputs!$I$8+(((A105)+1)/2)*(Inputs!$J$8-Inputs!$I$8)))/Inputs!$K$8)^2)))*1000/Inputs!$C$12)</x:f>
        <x:v>42571.42806161403</x:v>
      </x:c>
      <x:c r="AI105" s="48" t="n">
        <x:f>(((SQRT((Inputs!$C$52+((Inputs!$H$9+Inputs!$L$9*(((Inputs!$I$9+(((A105)+1)/2)*(Inputs!$J$9-Inputs!$I$9)))/Inputs!$K$9)^2)))^2+Inputs!$C$52^2-2*(Inputs!$C$52+((Inputs!$H$9+Inputs!$L$9*(((Inputs!$I$9+(((A105)+1)/2)*(Inputs!$J$9-Inputs!$I$9)))/Inputs!$K$9)^2)))*Inputs!$C$52*COS(SQRT(((Inputs!$I$9+(((A105)+1)/2)*(Inputs!$J$9-Inputs!$I$9)))^2+Inputs!$C$6^2)/Inputs!$C$52)))-((Inputs!$H$9+Inputs!$L$9*(((Inputs!$I$9+(((A105)+1)/2)*(Inputs!$J$9-Inputs!$I$9)))/Inputs!$K$9)^2)))*1000/Inputs!$C$12)</x:f>
        <x:v>45761.67627041434</x:v>
      </x:c>
      <x:c r="AJ105" s="49"/>
      <x:c r="AK105" s="48" t="n">
        <x:f>A105</x:f>
        <x:v>-0.142</x:v>
      </x:c>
      <x:c r="AL105" s="48" t="n">
        <x: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x:f>
        <x:v>72.91598106996182</x:v>
      </x:c>
      <x:c r="AM105" s="48" t="n">
        <x: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x:f>
        <x:v>1469.1174397232394</x:v>
      </x:c>
      <x:c r="AN105" s="48" t="n">
        <x: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x:f>
        <x:v>1690.4162808103333</x:v>
      </x:c>
      <x:c r="AO105" s="48" t="n">
        <x: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x:f>
        <x:v>1696.217651389492</x:v>
      </x:c>
      <x:c r="AP105" s="49"/>
      <x:c r="AQ105" s="48" t="n">
        <x:f>A105</x:f>
        <x:v>-0.142</x:v>
      </x:c>
      <x:c r="AR105" s="48" t="n">
        <x:f>0</x:f>
        <x:v>0</x:v>
      </x:c>
      <x:c r="AS105" s="48" t="n">
        <x: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(0.45*SIN(2*PI()*((((Inputs!$I$6+(((A105)+1)/2)*(Inputs!$J$6-Inputs!$I$6)))/Inputs!$C$49)+Inputs!$C$47*0.137))+0.35*COS(2*PI()*(((Inputs!$C$6)/Inputs!$C$50)+Inputs!$C$47*0.173))+0.20*SIN(2*PI()*((((Inputs!$I$6+(((A105)+1)/2)*(Inputs!$J$6-Inputs!$I$6)))+(Inputs!$C$6))/(0.5*(Inputs!$C$49+Inputs!$C$50))+Inputs!$C$47*0.097)))+0.30*(2*((SIN((((Inputs!$I$6+(((A105)+1)/2)*(Inputs!$J$6-Inputs!$I$6)))*12.9898+(Inputs!$C$6)*78.233+Inputs!$C$47*37.719))*43758.5453)-INT((SIN((((Inputs!$I$6+(((A105)+1)/2)*(Inputs!$J$6-Inputs!$I$6)))*12.9898+(Inputs!$C$6)*78.233+Inputs!$C$47*37.719))*43758.5453)))-1))),NA())</x:f>
        <x:v>472.3343784605022</x:v>
      </x:c>
      <x:c r="AT105" s="48" t="n">
        <x: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(0.45*SIN(2*PI()*((((Inputs!$I$7+(((A105)+1)/2)*(Inputs!$J$7-Inputs!$I$7)))/Inputs!$C$49)+Inputs!$C$47*0.137))+0.35*COS(2*PI()*(((Inputs!$C$6)/Inputs!$C$50)+Inputs!$C$47*0.173))+0.20*SIN(2*PI()*((((Inputs!$I$7+(((A105)+1)/2)*(Inputs!$J$7-Inputs!$I$7)))+(Inputs!$C$6))/(0.5*(Inputs!$C$49+Inputs!$C$50))+Inputs!$C$47*0.097)))+0.30*(2*((SIN((((Inputs!$I$7+(((A105)+1)/2)*(Inputs!$J$7-Inputs!$I$7)))*12.9898+(Inputs!$C$6)*78.233+Inputs!$C$47*37.719))*43758.5453)-INT((SIN((((Inputs!$I$7+(((A105)+1)/2)*(Inputs!$J$7-Inputs!$I$7)))*12.9898+(Inputs!$C$6)*78.233+Inputs!$C$47*37.719))*43758.5453)))-1))),NA())</x:f>
        <x:v>145.9535394897241</x:v>
      </x:c>
      <x:c r="AU105" s="48" t="n">
        <x: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(0.45*SIN(2*PI()*((((Inputs!$I$8+(((A105)+1)/2)*(Inputs!$J$8-Inputs!$I$8)))/Inputs!$C$49)+Inputs!$C$47*0.137))+0.35*COS(2*PI()*(((Inputs!$C$6)/Inputs!$C$50)+Inputs!$C$47*0.173))+0.20*SIN(2*PI()*((((Inputs!$I$8+(((A105)+1)/2)*(Inputs!$J$8-Inputs!$I$8)))+(Inputs!$C$6))/(0.5*(Inputs!$C$49+Inputs!$C$50))+Inputs!$C$47*0.097)))+0.30*(2*((SIN((((Inputs!$I$8+(((A105)+1)/2)*(Inputs!$J$8-Inputs!$I$8)))*12.9898+(Inputs!$C$6)*78.233+Inputs!$C$47*37.719))*43758.5453)-INT((SIN((((Inputs!$I$8+(((A105)+1)/2)*(Inputs!$J$8-Inputs!$I$8)))*12.9898+(Inputs!$C$6)*78.233+Inputs!$C$47*37.719))*43758.5453)))-1))),NA())</x:f>
        <x:v>116.3409478722638</x:v>
      </x:c>
      <x:c r="AV105" s="48" t="n">
        <x: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(0.45*SIN(2*PI()*((((Inputs!$I$9+(((A105)+1)/2)*(Inputs!$J$9-Inputs!$I$9)))/Inputs!$C$49)+Inputs!$C$47*0.137))+0.35*COS(2*PI()*(((Inputs!$C$6)/Inputs!$C$50)+Inputs!$C$47*0.173))+0.20*SIN(2*PI()*((((Inputs!$I$9+(((A105)+1)/2)*(Inputs!$J$9-Inputs!$I$9)))+(Inputs!$C$6))/(0.5*(Inputs!$C$49+Inputs!$C$50))+Inputs!$C$47*0.097)))+0.30*(2*((SIN((((Inputs!$I$9+(((A105)+1)/2)*(Inputs!$J$9-Inputs!$I$9)))*12.9898+(Inputs!$C$6)*78.233+Inputs!$C$47*37.719))*43758.5453)-INT((SIN((((Inputs!$I$9+(((A105)+1)/2)*(Inputs!$J$9-Inputs!$I$9)))*12.9898+(Inputs!$C$6)*78.233+Inputs!$C$47*37.719))*43758.5453)))-1))),NA())</x:f>
        <x:v>116.3409478722638</x:v>
      </x:c>
      <x:c r="AW105" s="49"/>
      <x:c r="AX105" s="48" t="n">
        <x:f>A105</x:f>
        <x:v>-0.142</x:v>
      </x:c>
      <x:c r="AY105" s="48" t="n">
        <x:f>0</x:f>
        <x:v>0</x:v>
      </x:c>
      <x:c r="AZ105" s="48" t="n">
        <x:f>IF(OR(Inputs!$F$6=TRUE,Inputs!$F$6="TRUE",Inputs!$F$6=1),(Inputs!$H$6+Inputs!$L$6*(((Inputs!$I$6+(((A105)+1)/2)*(Inputs!$J$6-Inputs!$I$6)))/Inputs!$K$6)^2),NA())</x:f>
        <x:v>400.080656</x:v>
      </x:c>
      <x:c r="BA105" s="48" t="n">
        <x:f>IF(OR(Inputs!$F$7=TRUE,Inputs!$F$7="TRUE",Inputs!$F$7=1),(Inputs!$H$7+Inputs!$L$7*(((Inputs!$I$7+(((A105)+1)/2)*(Inputs!$J$7-Inputs!$I$7)))/Inputs!$K$7)^2),NA())</x:f>
        <x:v>42.359860000000005</x:v>
      </x:c>
      <x:c r="BB105" s="48" t="n">
        <x:f>IF(OR(Inputs!$F$8=TRUE,Inputs!$F$8="TRUE",Inputs!$F$8=1),(Inputs!$H$8+Inputs!$L$8*(((Inputs!$I$8+(((A105)+1)/2)*(Inputs!$J$8-Inputs!$I$8)))/Inputs!$K$8)^2),NA())</x:f>
        <x:v>54.45826000000001</x:v>
      </x:c>
      <x:c r="BC105" s="48" t="n">
        <x:f>IF(OR(Inputs!$F$9=TRUE,Inputs!$F$9="TRUE",Inputs!$F$9=1),(Inputs!$H$9+Inputs!$L$9*(((Inputs!$I$9+(((A105)+1)/2)*(Inputs!$J$9-Inputs!$I$9)))/Inputs!$K$9)^2),NA())</x:f>
        <x:v>44.65990000000001</x:v>
      </x:c>
      <x:c r="BD105" s="49"/>
      <x:c r="BE105" s="48" t="n">
        <x:f>A105</x:f>
        <x:v>-0.142</x:v>
      </x:c>
      <x:c r="BF105" s="48" t="n">
        <x:f>0</x:f>
        <x:v>0</x:v>
      </x:c>
      <x:c r="BG105" s="48"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BH105" s="48"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BI105" s="48"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BJ105" s="48"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row>
    <x:row r="106">
      <x:c r="A106" s="48" t="n">
        <x:f>ROUND(-1+104*2/240,3)</x:f>
        <x:v>-0.133</x:v>
      </x:c>
      <x:c r="B106" s="48" t="n">
        <x:f>IF(OR(Inputs!$F$6=TRUE,Inputs!$F$6="TRUE",Inputs!$F$6=1),(Inputs!$H$6+Inputs!$L$6*(((Inputs!$I$6+(((A106)+1)/2)*(Inputs!$J$6-Inputs!$I$6)))/Inputs!$K$6)^2),NA())</x:f>
        <x:v>400.070756</x:v>
      </x:c>
      <x:c r="C106" s="48" t="n">
        <x:f>IF(OR(Inputs!$F$7=TRUE,Inputs!$F$7="TRUE",Inputs!$F$7=1),(Inputs!$H$7+Inputs!$L$7*(((Inputs!$I$7+(((A106)+1)/2)*(Inputs!$J$7-Inputs!$I$7)))/Inputs!$K$7)^2),NA())</x:f>
        <x:v>41.456485</x:v>
      </x:c>
      <x:c r="D106" s="48" t="n">
        <x:f>IF(OR(Inputs!$F$8=TRUE,Inputs!$F$8="TRUE",Inputs!$F$8=1),(Inputs!$H$8+Inputs!$L$8*(((Inputs!$I$8+(((A106)+1)/2)*(Inputs!$J$8-Inputs!$I$8)))/Inputs!$K$8)^2),NA())</x:f>
        <x:v>52.06988499999999</x:v>
      </x:c>
      <x:c r="E106" s="48" t="n">
        <x:f>IF(OR(Inputs!$F$9=TRUE,Inputs!$F$9="TRUE",Inputs!$F$9=1),(Inputs!$H$9+Inputs!$L$9*(((Inputs!$I$9+(((A106)+1)/2)*(Inputs!$J$9-Inputs!$I$9)))/Inputs!$K$9)^2),NA())</x:f>
        <x:v>42.24677499999999</x:v>
      </x:c>
      <x:c r="F106" s="49"/>
      <x:c r="G106" s="48" t="n">
        <x:f>A106</x:f>
        <x:v>-0.133</x:v>
      </x:c>
      <x:c r="H106" s="48"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I106" s="48"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J106" s="48"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K106" s="48"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c r="L106" s="49"/>
      <x:c r="M106" s="48" t="n">
        <x:f>A106</x:f>
        <x:v>-0.133</x:v>
      </x:c>
      <x:c r="N106" s="48" t="n">
        <x: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x:f>
        <x:v>68.29752299161274</x:v>
      </x:c>
      <x:c r="O106" s="48" t="n">
        <x: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x:f>
        <x:v>1431.7433363369678</x:v>
      </x:c>
      <x:c r="P106" s="48" t="n">
        <x: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x:f>
        <x:v>1666.6842877350293</x:v>
      </x:c>
      <x:c r="Q106" s="48" t="n">
        <x: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x:f>
        <x:v>1675.5643234080285</x:v>
      </x:c>
      <x:c r="R106" s="49"/>
      <x:c r="S106" s="48" t="n">
        <x:f>A106</x:f>
        <x:v>-0.133</x:v>
      </x:c>
      <x:c r="T106" s="48" t="n">
        <x:f>(Inputs!$I$6+(((A106)+1)/2)*(Inputs!$J$6-Inputs!$I$6))</x:f>
        <x:v>-7.980000000000004</x:v>
      </x:c>
      <x:c r="U106" s="48" t="n">
        <x:f>(Inputs!$I$7+(((A106)+1)/2)*(Inputs!$J$7-Inputs!$I$7))</x:f>
        <x:v>-53.19999999999999</x:v>
      </x:c>
      <x:c r="V106" s="48" t="n">
        <x:f>(Inputs!$I$8+(((A106)+1)/2)*(Inputs!$J$8-Inputs!$I$8))</x:f>
        <x:v>-106.39999999999998</x:v>
      </x:c>
      <x:c r="W106" s="48" t="n">
        <x:f>(Inputs!$I$9+(((A106)+1)/2)*(Inputs!$J$9-Inputs!$I$9))</x:f>
        <x:v>-106.39999999999998</x:v>
      </x:c>
      <x:c r="X106" s="49"/>
      <x:c r="Y106" s="48" t="n">
        <x:f>A106</x:f>
        <x:v>-0.133</x:v>
      </x:c>
      <x:c r="Z106" s="48" t="n">
        <x:f>(Inputs!$H$6+Inputs!$L$6*(((Inputs!$I$6+(((A106)+1)/2)*(Inputs!$J$6-Inputs!$I$6)))/Inputs!$K$6)^2)</x:f>
        <x:v>400.070756</x:v>
      </x:c>
      <x:c r="AA106" s="48" t="n">
        <x:f>(Inputs!$H$7+Inputs!$L$7*(((Inputs!$I$7+(((A106)+1)/2)*(Inputs!$J$7-Inputs!$I$7)))/Inputs!$K$7)^2)</x:f>
        <x:v>41.456485</x:v>
      </x:c>
      <x:c r="AB106" s="48" t="n">
        <x:f>(Inputs!$H$8+Inputs!$L$8*(((Inputs!$I$8+(((A106)+1)/2)*(Inputs!$J$8-Inputs!$I$8)))/Inputs!$K$8)^2)</x:f>
        <x:v>52.06988499999999</x:v>
      </x:c>
      <x:c r="AC106" s="48" t="n">
        <x:f>(Inputs!$H$9+Inputs!$L$9*(((Inputs!$I$9+(((A106)+1)/2)*(Inputs!$J$9-Inputs!$I$9)))/Inputs!$K$9)^2)</x:f>
        <x:v>42.24677499999999</x:v>
      </x:c>
      <x:c r="AD106" s="49"/>
      <x:c r="AE106" s="48" t="n">
        <x:f>A106</x:f>
        <x:v>-0.133</x:v>
      </x:c>
      <x:c r="AF106" s="48" t="n">
        <x:f>(((SQRT((Inputs!$C$52+((Inputs!$H$6+Inputs!$L$6*(((Inputs!$I$6+(((A106)+1)/2)*(Inputs!$J$6-Inputs!$I$6)))/Inputs!$K$6)^2)))^2+Inputs!$C$52^2-2*(Inputs!$C$52+((Inputs!$H$6+Inputs!$L$6*(((Inputs!$I$6+(((A106)+1)/2)*(Inputs!$J$6-Inputs!$I$6)))/Inputs!$K$6)^2)))*Inputs!$C$52*COS(SQRT(((Inputs!$I$6+(((A106)+1)/2)*(Inputs!$J$6-Inputs!$I$6)))^2+Inputs!$C$6^2)/Inputs!$C$52)))-((Inputs!$H$6+Inputs!$L$6*(((Inputs!$I$6+(((A106)+1)/2)*(Inputs!$J$6-Inputs!$I$6)))/Inputs!$K$6)^2)))*1000/Inputs!$C$12)</x:f>
        <x:v>606.6478907754753</x:v>
      </x:c>
      <x:c r="AG106" s="48" t="n">
        <x:f>(((SQRT((Inputs!$C$52+((Inputs!$H$7+Inputs!$L$7*(((Inputs!$I$7+(((A106)+1)/2)*(Inputs!$J$7-Inputs!$I$7)))/Inputs!$K$7)^2)))^2+Inputs!$C$52^2-2*(Inputs!$C$52+((Inputs!$H$7+Inputs!$L$7*(((Inputs!$I$7+(((A106)+1)/2)*(Inputs!$J$7-Inputs!$I$7)))/Inputs!$K$7)^2)))*Inputs!$C$52*COS(SQRT(((Inputs!$I$7+(((A106)+1)/2)*(Inputs!$J$7-Inputs!$I$7)))^2+Inputs!$C$6^2)/Inputs!$C$52)))-((Inputs!$H$7+Inputs!$L$7*(((Inputs!$I$7+(((A106)+1)/2)*(Inputs!$J$7-Inputs!$I$7)))/Inputs!$K$7)^2)))*1000/Inputs!$C$12)</x:f>
        <x:v>17474.976993364235</x:v>
      </x:c>
      <x:c r="AH106" s="48" t="n">
        <x:f>(((SQRT((Inputs!$C$52+((Inputs!$H$8+Inputs!$L$8*(((Inputs!$I$8+(((A106)+1)/2)*(Inputs!$J$8-Inputs!$I$8)))/Inputs!$K$8)^2)))^2+Inputs!$C$52^2-2*(Inputs!$C$52+((Inputs!$H$8+Inputs!$L$8*(((Inputs!$I$8+(((A106)+1)/2)*(Inputs!$J$8-Inputs!$I$8)))/Inputs!$K$8)^2)))*Inputs!$C$52*COS(SQRT(((Inputs!$I$8+(((A106)+1)/2)*(Inputs!$J$8-Inputs!$I$8)))^2+Inputs!$C$6^2)/Inputs!$C$52)))-((Inputs!$H$8+Inputs!$L$8*(((Inputs!$I$8+(((A106)+1)/2)*(Inputs!$J$8-Inputs!$I$8)))/Inputs!$K$8)^2)))*1000/Inputs!$C$12)</x:f>
        <x:v>39669.37393534311</x:v>
      </x:c>
      <x:c r="AI106" s="48" t="n">
        <x:f>(((SQRT((Inputs!$C$52+((Inputs!$H$9+Inputs!$L$9*(((Inputs!$I$9+(((A106)+1)/2)*(Inputs!$J$9-Inputs!$I$9)))/Inputs!$K$9)^2)))^2+Inputs!$C$52^2-2*(Inputs!$C$52+((Inputs!$H$9+Inputs!$L$9*(((Inputs!$I$9+(((A106)+1)/2)*(Inputs!$J$9-Inputs!$I$9)))/Inputs!$K$9)^2)))*Inputs!$C$52*COS(SQRT(((Inputs!$I$9+(((A106)+1)/2)*(Inputs!$J$9-Inputs!$I$9)))^2+Inputs!$C$6^2)/Inputs!$C$52)))-((Inputs!$H$9+Inputs!$L$9*(((Inputs!$I$9+(((A106)+1)/2)*(Inputs!$J$9-Inputs!$I$9)))/Inputs!$K$9)^2)))*1000/Inputs!$C$12)</x:f>
        <x:v>42855.08565261963</x:v>
      </x:c>
      <x:c r="AJ106" s="49"/>
      <x:c r="AK106" s="48" t="n">
        <x:f>A106</x:f>
        <x:v>-0.133</x:v>
      </x:c>
      <x:c r="AL106" s="48" t="n">
        <x: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x:f>
        <x:v>68.29752299161274</x:v>
      </x:c>
      <x:c r="AM106" s="48" t="n">
        <x: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x:f>
        <x:v>1431.7433363369678</x:v>
      </x:c>
      <x:c r="AN106" s="48" t="n">
        <x: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x:f>
        <x:v>1666.6842877350293</x:v>
      </x:c>
      <x:c r="AO106" s="48" t="n">
        <x: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x:f>
        <x:v>1675.5643234080285</x:v>
      </x:c>
      <x:c r="AP106" s="49"/>
      <x:c r="AQ106" s="48" t="n">
        <x:f>A106</x:f>
        <x:v>-0.133</x:v>
      </x:c>
      <x:c r="AR106" s="48" t="n">
        <x:f>0</x:f>
        <x:v>0</x:v>
      </x:c>
      <x:c r="AS106" s="48" t="n">
        <x: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(0.45*SIN(2*PI()*((((Inputs!$I$6+(((A106)+1)/2)*(Inputs!$J$6-Inputs!$I$6)))/Inputs!$C$49)+Inputs!$C$47*0.137))+0.35*COS(2*PI()*(((Inputs!$C$6)/Inputs!$C$50)+Inputs!$C$47*0.173))+0.20*SIN(2*PI()*((((Inputs!$I$6+(((A106)+1)/2)*(Inputs!$J$6-Inputs!$I$6)))+(Inputs!$C$6))/(0.5*(Inputs!$C$49+Inputs!$C$50))+Inputs!$C$47*0.097)))+0.30*(2*((SIN((((Inputs!$I$6+(((A106)+1)/2)*(Inputs!$J$6-Inputs!$I$6)))*12.9898+(Inputs!$C$6)*78.233+Inputs!$C$47*37.719))*43758.5453)-INT((SIN((((Inputs!$I$6+(((A106)+1)/2)*(Inputs!$J$6-Inputs!$I$6)))*12.9898+(Inputs!$C$6)*78.233+Inputs!$C$47*37.719))*43758.5453)))-1))),NA())</x:f>
        <x:v>453.6399764700884</x:v>
      </x:c>
      <x:c r="AT106" s="48" t="n">
        <x: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(0.45*SIN(2*PI()*((((Inputs!$I$7+(((A106)+1)/2)*(Inputs!$J$7-Inputs!$I$7)))/Inputs!$C$49)+Inputs!$C$47*0.137))+0.35*COS(2*PI()*(((Inputs!$C$6)/Inputs!$C$50)+Inputs!$C$47*0.173))+0.20*SIN(2*PI()*((((Inputs!$I$7+(((A106)+1)/2)*(Inputs!$J$7-Inputs!$I$7)))+(Inputs!$C$6))/(0.5*(Inputs!$C$49+Inputs!$C$50))+Inputs!$C$47*0.097)))+0.30*(2*((SIN((((Inputs!$I$7+(((A106)+1)/2)*(Inputs!$J$7-Inputs!$I$7)))*12.9898+(Inputs!$C$6)*78.233+Inputs!$C$47*37.719))*43758.5453)-INT((SIN((((Inputs!$I$7+(((A106)+1)/2)*(Inputs!$J$7-Inputs!$I$7)))*12.9898+(Inputs!$C$6)*78.233+Inputs!$C$47*37.719))*43758.5453)))-1))),NA())</x:f>
        <x:v>225.85584980731934</x:v>
      </x:c>
      <x:c r="AU106" s="48" t="n">
        <x: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(0.45*SIN(2*PI()*((((Inputs!$I$8+(((A106)+1)/2)*(Inputs!$J$8-Inputs!$I$8)))/Inputs!$C$49)+Inputs!$C$47*0.137))+0.35*COS(2*PI()*(((Inputs!$C$6)/Inputs!$C$50)+Inputs!$C$47*0.173))+0.20*SIN(2*PI()*((((Inputs!$I$8+(((A106)+1)/2)*(Inputs!$J$8-Inputs!$I$8)))+(Inputs!$C$6))/(0.5*(Inputs!$C$49+Inputs!$C$50))+Inputs!$C$47*0.097)))+0.30*(2*((SIN((((Inputs!$I$8+(((A106)+1)/2)*(Inputs!$J$8-Inputs!$I$8)))*12.9898+(Inputs!$C$6)*78.233+Inputs!$C$47*37.719))*43758.5453)-INT((SIN((((Inputs!$I$8+(((A106)+1)/2)*(Inputs!$J$8-Inputs!$I$8)))*12.9898+(Inputs!$C$6)*78.233+Inputs!$C$47*37.719))*43758.5453)))-1))),NA())</x:f>
        <x:v>181.11559070301047</x:v>
      </x:c>
      <x:c r="AV106" s="48" t="n">
        <x: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(0.45*SIN(2*PI()*((((Inputs!$I$9+(((A106)+1)/2)*(Inputs!$J$9-Inputs!$I$9)))/Inputs!$C$49)+Inputs!$C$47*0.137))+0.35*COS(2*PI()*(((Inputs!$C$6)/Inputs!$C$50)+Inputs!$C$47*0.173))+0.20*SIN(2*PI()*((((Inputs!$I$9+(((A106)+1)/2)*(Inputs!$J$9-Inputs!$I$9)))+(Inputs!$C$6))/(0.5*(Inputs!$C$49+Inputs!$C$50))+Inputs!$C$47*0.097)))+0.30*(2*((SIN((((Inputs!$I$9+(((A106)+1)/2)*(Inputs!$J$9-Inputs!$I$9)))*12.9898+(Inputs!$C$6)*78.233+Inputs!$C$47*37.719))*43758.5453)-INT((SIN((((Inputs!$I$9+(((A106)+1)/2)*(Inputs!$J$9-Inputs!$I$9)))*12.9898+(Inputs!$C$6)*78.233+Inputs!$C$47*37.719))*43758.5453)))-1))),NA())</x:f>
        <x:v>181.11559070301047</x:v>
      </x:c>
      <x:c r="AW106" s="49"/>
      <x:c r="AX106" s="48" t="n">
        <x:f>A106</x:f>
        <x:v>-0.133</x:v>
      </x:c>
      <x:c r="AY106" s="48" t="n">
        <x:f>0</x:f>
        <x:v>0</x:v>
      </x:c>
      <x:c r="AZ106" s="48" t="n">
        <x:f>IF(OR(Inputs!$F$6=TRUE,Inputs!$F$6="TRUE",Inputs!$F$6=1),(Inputs!$H$6+Inputs!$L$6*(((Inputs!$I$6+(((A106)+1)/2)*(Inputs!$J$6-Inputs!$I$6)))/Inputs!$K$6)^2),NA())</x:f>
        <x:v>400.070756</x:v>
      </x:c>
      <x:c r="BA106" s="48" t="n">
        <x:f>IF(OR(Inputs!$F$7=TRUE,Inputs!$F$7="TRUE",Inputs!$F$7=1),(Inputs!$H$7+Inputs!$L$7*(((Inputs!$I$7+(((A106)+1)/2)*(Inputs!$J$7-Inputs!$I$7)))/Inputs!$K$7)^2),NA())</x:f>
        <x:v>41.456485</x:v>
      </x:c>
      <x:c r="BB106" s="48" t="n">
        <x:f>IF(OR(Inputs!$F$8=TRUE,Inputs!$F$8="TRUE",Inputs!$F$8=1),(Inputs!$H$8+Inputs!$L$8*(((Inputs!$I$8+(((A106)+1)/2)*(Inputs!$J$8-Inputs!$I$8)))/Inputs!$K$8)^2),NA())</x:f>
        <x:v>52.06988499999999</x:v>
      </x:c>
      <x:c r="BC106" s="48" t="n">
        <x:f>IF(OR(Inputs!$F$9=TRUE,Inputs!$F$9="TRUE",Inputs!$F$9=1),(Inputs!$H$9+Inputs!$L$9*(((Inputs!$I$9+(((A106)+1)/2)*(Inputs!$J$9-Inputs!$I$9)))/Inputs!$K$9)^2),NA())</x:f>
        <x:v>42.24677499999999</x:v>
      </x:c>
      <x:c r="BD106" s="49"/>
      <x:c r="BE106" s="48" t="n">
        <x:f>A106</x:f>
        <x:v>-0.133</x:v>
      </x:c>
      <x:c r="BF106" s="48" t="n">
        <x:f>0</x:f>
        <x:v>0</x:v>
      </x:c>
      <x:c r="BG106" s="48"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BH106" s="48"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BI106" s="48"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BJ106" s="48"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row>
    <x:row r="107">
      <x:c r="A107" s="48" t="n">
        <x:f>ROUND(-1+105*2/240,3)</x:f>
        <x:v>-0.125</x:v>
      </x:c>
      <x:c r="B107" s="48" t="n">
        <x:f>IF(OR(Inputs!$F$6=TRUE,Inputs!$F$6="TRUE",Inputs!$F$6=1),(Inputs!$H$6+Inputs!$L$6*(((Inputs!$I$6+(((A107)+1)/2)*(Inputs!$J$6-Inputs!$I$6)))/Inputs!$K$6)^2),NA())</x:f>
        <x:v>400.0625</x:v>
      </x:c>
      <x:c r="C107" s="48" t="n">
        <x:f>IF(OR(Inputs!$F$7=TRUE,Inputs!$F$7="TRUE",Inputs!$F$7=1),(Inputs!$H$7+Inputs!$L$7*(((Inputs!$I$7+(((A107)+1)/2)*(Inputs!$J$7-Inputs!$I$7)))/Inputs!$K$7)^2),NA())</x:f>
        <x:v>40.703125</x:v>
      </x:c>
      <x:c r="D107" s="48" t="n">
        <x:f>IF(OR(Inputs!$F$8=TRUE,Inputs!$F$8="TRUE",Inputs!$F$8=1),(Inputs!$H$8+Inputs!$L$8*(((Inputs!$I$8+(((A107)+1)/2)*(Inputs!$J$8-Inputs!$I$8)))/Inputs!$K$8)^2),NA())</x:f>
        <x:v>50.078125</x:v>
      </x:c>
      <x:c r="E107" s="48" t="n">
        <x:f>IF(OR(Inputs!$F$9=TRUE,Inputs!$F$9="TRUE",Inputs!$F$9=1),(Inputs!$H$9+Inputs!$L$9*(((Inputs!$I$9+(((A107)+1)/2)*(Inputs!$J$9-Inputs!$I$9)))/Inputs!$K$9)^2),NA())</x:f>
        <x:v>40.234375</x:v>
      </x:c>
      <x:c r="F107" s="49"/>
      <x:c r="G107" s="48" t="n">
        <x:f>A107</x:f>
        <x:v>-0.125</x:v>
      </x:c>
      <x:c r="H107" s="48"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I107" s="48"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J107" s="48"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K107" s="48"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c r="L107" s="49"/>
      <x:c r="M107" s="48" t="n">
        <x:f>A107</x:f>
        <x:v>-0.125</x:v>
      </x:c>
      <x:c r="N107" s="48" t="n">
        <x: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x:f>
        <x:v>64.19173526273599</x:v>
      </x:c>
      <x:c r="O107" s="48" t="n">
        <x: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x:f>
        <x:v>1395.1596365231271</x:v>
      </x:c>
      <x:c r="P107" s="48" t="n">
        <x: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x:f>
        <x:v>1644.14345858545</x:v>
      </x:c>
      <x:c r="Q107" s="48" t="n">
        <x: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x:f>
        <x:v>1656.2685555541652</x:v>
      </x:c>
      <x:c r="R107" s="49"/>
      <x:c r="S107" s="48" t="n">
        <x:f>A107</x:f>
        <x:v>-0.125</x:v>
      </x:c>
      <x:c r="T107" s="48" t="n">
        <x:f>(Inputs!$I$6+(((A107)+1)/2)*(Inputs!$J$6-Inputs!$I$6))</x:f>
        <x:v>-7.5</x:v>
      </x:c>
      <x:c r="U107" s="48" t="n">
        <x:f>(Inputs!$I$7+(((A107)+1)/2)*(Inputs!$J$7-Inputs!$I$7))</x:f>
        <x:v>-50</x:v>
      </x:c>
      <x:c r="V107" s="48" t="n">
        <x:f>(Inputs!$I$8+(((A107)+1)/2)*(Inputs!$J$8-Inputs!$I$8))</x:f>
        <x:v>-100</x:v>
      </x:c>
      <x:c r="W107" s="48" t="n">
        <x:f>(Inputs!$I$9+(((A107)+1)/2)*(Inputs!$J$9-Inputs!$I$9))</x:f>
        <x:v>-100</x:v>
      </x:c>
      <x:c r="X107" s="49"/>
      <x:c r="Y107" s="48" t="n">
        <x:f>A107</x:f>
        <x:v>-0.125</x:v>
      </x:c>
      <x:c r="Z107" s="48" t="n">
        <x:f>(Inputs!$H$6+Inputs!$L$6*(((Inputs!$I$6+(((A107)+1)/2)*(Inputs!$J$6-Inputs!$I$6)))/Inputs!$K$6)^2)</x:f>
        <x:v>400.0625</x:v>
      </x:c>
      <x:c r="AA107" s="48" t="n">
        <x:f>(Inputs!$H$7+Inputs!$L$7*(((Inputs!$I$7+(((A107)+1)/2)*(Inputs!$J$7-Inputs!$I$7)))/Inputs!$K$7)^2)</x:f>
        <x:v>40.703125</x:v>
      </x:c>
      <x:c r="AB107" s="48" t="n">
        <x:f>(Inputs!$H$8+Inputs!$L$8*(((Inputs!$I$8+(((A107)+1)/2)*(Inputs!$J$8-Inputs!$I$8)))/Inputs!$K$8)^2)</x:f>
        <x:v>50.078125</x:v>
      </x:c>
      <x:c r="AC107" s="48" t="n">
        <x:f>(Inputs!$H$9+Inputs!$L$9*(((Inputs!$I$9+(((A107)+1)/2)*(Inputs!$J$9-Inputs!$I$9)))/Inputs!$K$9)^2)</x:f>
        <x:v>40.234375</x:v>
      </x:c>
      <x:c r="AD107" s="49"/>
      <x:c r="AE107" s="48" t="n">
        <x:f>A107</x:f>
        <x:v>-0.125</x:v>
      </x:c>
      <x:c r="AF107" s="48" t="n">
        <x:f>(((SQRT((Inputs!$C$52+((Inputs!$H$6+Inputs!$L$6*(((Inputs!$I$6+(((A107)+1)/2)*(Inputs!$J$6-Inputs!$I$6)))/Inputs!$K$6)^2)))^2+Inputs!$C$52^2-2*(Inputs!$C$52+((Inputs!$H$6+Inputs!$L$6*(((Inputs!$I$6+(((A107)+1)/2)*(Inputs!$J$6-Inputs!$I$6)))/Inputs!$K$6)^2)))*Inputs!$C$52*COS(SQRT(((Inputs!$I$6+(((A107)+1)/2)*(Inputs!$J$6-Inputs!$I$6)))^2+Inputs!$C$6^2)/Inputs!$C$52)))-((Inputs!$H$6+Inputs!$L$6*(((Inputs!$I$6+(((A107)+1)/2)*(Inputs!$J$6-Inputs!$I$6)))/Inputs!$K$6)^2)))*1000/Inputs!$C$12)</x:f>
        <x:v>600.1212615998473</x:v>
      </x:c>
      <x:c r="AG107" s="48" t="n">
        <x:f>(((SQRT((Inputs!$C$52+((Inputs!$H$7+Inputs!$L$7*(((Inputs!$I$7+(((A107)+1)/2)*(Inputs!$J$7-Inputs!$I$7)))/Inputs!$K$7)^2)))^2+Inputs!$C$52^2-2*(Inputs!$C$52+((Inputs!$H$7+Inputs!$L$7*(((Inputs!$I$7+(((A107)+1)/2)*(Inputs!$J$7-Inputs!$I$7)))/Inputs!$K$7)^2)))*Inputs!$C$52*COS(SQRT(((Inputs!$I$7+(((A107)+1)/2)*(Inputs!$J$7-Inputs!$I$7)))^2+Inputs!$C$6^2)/Inputs!$C$52)))-((Inputs!$H$7+Inputs!$L$7*(((Inputs!$I$7+(((A107)+1)/2)*(Inputs!$J$7-Inputs!$I$7)))/Inputs!$K$7)^2)))*1000/Inputs!$C$12)</x:f>
        <x:v>16309.74534120257</x:v>
      </x:c>
      <x:c r="AH107" s="48" t="n">
        <x:f>(((SQRT((Inputs!$C$52+((Inputs!$H$8+Inputs!$L$8*(((Inputs!$I$8+(((A107)+1)/2)*(Inputs!$J$8-Inputs!$I$8)))/Inputs!$K$8)^2)))^2+Inputs!$C$52^2-2*(Inputs!$C$52+((Inputs!$H$8+Inputs!$L$8*(((Inputs!$I$8+(((A107)+1)/2)*(Inputs!$J$8-Inputs!$I$8)))/Inputs!$K$8)^2)))*Inputs!$C$52*COS(SQRT(((Inputs!$I$8+(((A107)+1)/2)*(Inputs!$J$8-Inputs!$I$8)))^2+Inputs!$C$6^2)/Inputs!$C$52)))-((Inputs!$H$8+Inputs!$L$8*(((Inputs!$I$8+(((A107)+1)/2)*(Inputs!$J$8-Inputs!$I$8)))/Inputs!$K$8)^2)))*1000/Inputs!$C$12)</x:f>
        <x:v>37068.01432519924</x:v>
      </x:c>
      <x:c r="AI107" s="48" t="n">
        <x:f>(((SQRT((Inputs!$C$52+((Inputs!$H$9+Inputs!$L$9*(((Inputs!$I$9+(((A107)+1)/2)*(Inputs!$J$9-Inputs!$I$9)))/Inputs!$K$9)^2)))^2+Inputs!$C$52^2-2*(Inputs!$C$52+((Inputs!$H$9+Inputs!$L$9*(((Inputs!$I$9+(((A107)+1)/2)*(Inputs!$J$9-Inputs!$I$9)))/Inputs!$K$9)^2)))*Inputs!$C$52*COS(SQRT(((Inputs!$I$9+(((A107)+1)/2)*(Inputs!$J$9-Inputs!$I$9)))^2+Inputs!$C$6^2)/Inputs!$C$52)))-((Inputs!$H$9+Inputs!$L$9*(((Inputs!$I$9+(((A107)+1)/2)*(Inputs!$J$9-Inputs!$I$9)))/Inputs!$K$9)^2)))*1000/Inputs!$C$12)</x:f>
        <x:v>40241.81805751648</x:v>
      </x:c>
      <x:c r="AJ107" s="49"/>
      <x:c r="AK107" s="48" t="n">
        <x:f>A107</x:f>
        <x:v>-0.125</x:v>
      </x:c>
      <x:c r="AL107" s="48" t="n">
        <x: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x:f>
        <x:v>64.19173526273599</x:v>
      </x:c>
      <x:c r="AM107" s="48" t="n">
        <x: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x:f>
        <x:v>1395.1596365231271</x:v>
      </x:c>
      <x:c r="AN107" s="48" t="n">
        <x: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x:f>
        <x:v>1644.14345858545</x:v>
      </x:c>
      <x:c r="AO107" s="48" t="n">
        <x: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x:f>
        <x:v>1656.2685555541652</x:v>
      </x:c>
      <x:c r="AP107" s="49"/>
      <x:c r="AQ107" s="48" t="n">
        <x:f>A107</x:f>
        <x:v>-0.125</x:v>
      </x:c>
      <x:c r="AR107" s="48" t="n">
        <x:f>0</x:f>
        <x:v>0</x:v>
      </x:c>
      <x:c r="AS107" s="48" t="n">
        <x: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(0.45*SIN(2*PI()*((((Inputs!$I$6+(((A107)+1)/2)*(Inputs!$J$6-Inputs!$I$6)))/Inputs!$C$49)+Inputs!$C$47*0.137))+0.35*COS(2*PI()*(((Inputs!$C$6)/Inputs!$C$50)+Inputs!$C$47*0.173))+0.20*SIN(2*PI()*((((Inputs!$I$6+(((A107)+1)/2)*(Inputs!$J$6-Inputs!$I$6)))+(Inputs!$C$6))/(0.5*(Inputs!$C$49+Inputs!$C$50))+Inputs!$C$47*0.097)))+0.30*(2*((SIN((((Inputs!$I$6+(((A107)+1)/2)*(Inputs!$J$6-Inputs!$I$6)))*12.9898+(Inputs!$C$6)*78.233+Inputs!$C$47*37.719))*43758.5453)-INT((SIN((((Inputs!$I$6+(((A107)+1)/2)*(Inputs!$J$6-Inputs!$I$6)))*12.9898+(Inputs!$C$6)*78.233+Inputs!$C$47*37.719))*43758.5453)))-1))),NA())</x:f>
        <x:v>470.2640951439132</x:v>
      </x:c>
      <x:c r="AT107" s="48" t="n">
        <x: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(0.45*SIN(2*PI()*((((Inputs!$I$7+(((A107)+1)/2)*(Inputs!$J$7-Inputs!$I$7)))/Inputs!$C$49)+Inputs!$C$47*0.137))+0.35*COS(2*PI()*(((Inputs!$C$6)/Inputs!$C$50)+Inputs!$C$47*0.173))+0.20*SIN(2*PI()*((((Inputs!$I$7+(((A107)+1)/2)*(Inputs!$J$7-Inputs!$I$7)))+(Inputs!$C$6))/(0.5*(Inputs!$C$49+Inputs!$C$50))+Inputs!$C$47*0.097)))+0.30*(2*((SIN((((Inputs!$I$7+(((A107)+1)/2)*(Inputs!$J$7-Inputs!$I$7)))*12.9898+(Inputs!$C$6)*78.233+Inputs!$C$47*37.719))*43758.5453)-INT((SIN((((Inputs!$I$7+(((A107)+1)/2)*(Inputs!$J$7-Inputs!$I$7)))*12.9898+(Inputs!$C$6)*78.233+Inputs!$C$47*37.719))*43758.5453)))-1))),NA())</x:f>
        <x:v>273.71504099052385</x:v>
      </x:c>
      <x:c r="AU107" s="48" t="n">
        <x: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(0.45*SIN(2*PI()*((((Inputs!$I$8+(((A107)+1)/2)*(Inputs!$J$8-Inputs!$I$8)))/Inputs!$C$49)+Inputs!$C$47*0.137))+0.35*COS(2*PI()*(((Inputs!$C$6)/Inputs!$C$50)+Inputs!$C$47*0.173))+0.20*SIN(2*PI()*((((Inputs!$I$8+(((A107)+1)/2)*(Inputs!$J$8-Inputs!$I$8)))+(Inputs!$C$6))/(0.5*(Inputs!$C$49+Inputs!$C$50))+Inputs!$C$47*0.097)))+0.30*(2*((SIN((((Inputs!$I$8+(((A107)+1)/2)*(Inputs!$J$8-Inputs!$I$8)))*12.9898+(Inputs!$C$6)*78.233+Inputs!$C$47*37.719))*43758.5453)-INT((SIN((((Inputs!$I$8+(((A107)+1)/2)*(Inputs!$J$8-Inputs!$I$8)))*12.9898+(Inputs!$C$6)*78.233+Inputs!$C$47*37.719))*43758.5453)))-1))),NA())</x:f>
        <x:v>150.02974859207296</x:v>
      </x:c>
      <x:c r="AV107" s="48" t="n">
        <x: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(0.45*SIN(2*PI()*((((Inputs!$I$9+(((A107)+1)/2)*(Inputs!$J$9-Inputs!$I$9)))/Inputs!$C$49)+Inputs!$C$47*0.137))+0.35*COS(2*PI()*(((Inputs!$C$6)/Inputs!$C$50)+Inputs!$C$47*0.173))+0.20*SIN(2*PI()*((((Inputs!$I$9+(((A107)+1)/2)*(Inputs!$J$9-Inputs!$I$9)))+(Inputs!$C$6))/(0.5*(Inputs!$C$49+Inputs!$C$50))+Inputs!$C$47*0.097)))+0.30*(2*((SIN((((Inputs!$I$9+(((A107)+1)/2)*(Inputs!$J$9-Inputs!$I$9)))*12.9898+(Inputs!$C$6)*78.233+Inputs!$C$47*37.719))*43758.5453)-INT((SIN((((Inputs!$I$9+(((A107)+1)/2)*(Inputs!$J$9-Inputs!$I$9)))*12.9898+(Inputs!$C$6)*78.233+Inputs!$C$47*37.719))*43758.5453)))-1))),NA())</x:f>
        <x:v>150.02974859207296</x:v>
      </x:c>
      <x:c r="AW107" s="49"/>
      <x:c r="AX107" s="48" t="n">
        <x:f>A107</x:f>
        <x:v>-0.125</x:v>
      </x:c>
      <x:c r="AY107" s="48" t="n">
        <x:f>0</x:f>
        <x:v>0</x:v>
      </x:c>
      <x:c r="AZ107" s="48" t="n">
        <x:f>IF(OR(Inputs!$F$6=TRUE,Inputs!$F$6="TRUE",Inputs!$F$6=1),(Inputs!$H$6+Inputs!$L$6*(((Inputs!$I$6+(((A107)+1)/2)*(Inputs!$J$6-Inputs!$I$6)))/Inputs!$K$6)^2),NA())</x:f>
        <x:v>400.0625</x:v>
      </x:c>
      <x:c r="BA107" s="48" t="n">
        <x:f>IF(OR(Inputs!$F$7=TRUE,Inputs!$F$7="TRUE",Inputs!$F$7=1),(Inputs!$H$7+Inputs!$L$7*(((Inputs!$I$7+(((A107)+1)/2)*(Inputs!$J$7-Inputs!$I$7)))/Inputs!$K$7)^2),NA())</x:f>
        <x:v>40.703125</x:v>
      </x:c>
      <x:c r="BB107" s="48" t="n">
        <x:f>IF(OR(Inputs!$F$8=TRUE,Inputs!$F$8="TRUE",Inputs!$F$8=1),(Inputs!$H$8+Inputs!$L$8*(((Inputs!$I$8+(((A107)+1)/2)*(Inputs!$J$8-Inputs!$I$8)))/Inputs!$K$8)^2),NA())</x:f>
        <x:v>50.078125</x:v>
      </x:c>
      <x:c r="BC107" s="48" t="n">
        <x:f>IF(OR(Inputs!$F$9=TRUE,Inputs!$F$9="TRUE",Inputs!$F$9=1),(Inputs!$H$9+Inputs!$L$9*(((Inputs!$I$9+(((A107)+1)/2)*(Inputs!$J$9-Inputs!$I$9)))/Inputs!$K$9)^2),NA())</x:f>
        <x:v>40.234375</x:v>
      </x:c>
      <x:c r="BD107" s="49"/>
      <x:c r="BE107" s="48" t="n">
        <x:f>A107</x:f>
        <x:v>-0.125</x:v>
      </x:c>
      <x:c r="BF107" s="48" t="n">
        <x:f>0</x:f>
        <x:v>0</x:v>
      </x:c>
      <x:c r="BG107" s="48"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BH107" s="48"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BI107" s="48"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BJ107" s="48"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row>
    <x:row r="108">
      <x:c r="A108" s="48" t="n">
        <x:f>ROUND(-1+106*2/240,3)</x:f>
        <x:v>-0.117</x:v>
      </x:c>
      <x:c r="B108" s="48" t="n">
        <x:f>IF(OR(Inputs!$F$6=TRUE,Inputs!$F$6="TRUE",Inputs!$F$6=1),(Inputs!$H$6+Inputs!$L$6*(((Inputs!$I$6+(((A108)+1)/2)*(Inputs!$J$6-Inputs!$I$6)))/Inputs!$K$6)^2),NA())</x:f>
        <x:v>400.054756</x:v>
      </x:c>
      <x:c r="C108" s="48" t="n">
        <x:f>IF(OR(Inputs!$F$7=TRUE,Inputs!$F$7="TRUE",Inputs!$F$7=1),(Inputs!$H$7+Inputs!$L$7*(((Inputs!$I$7+(((A108)+1)/2)*(Inputs!$J$7-Inputs!$I$7)))/Inputs!$K$7)^2),NA())</x:f>
        <x:v>39.99648500000001</x:v>
      </x:c>
      <x:c r="D108" s="48" t="n">
        <x:f>IF(OR(Inputs!$F$8=TRUE,Inputs!$F$8="TRUE",Inputs!$F$8=1),(Inputs!$H$8+Inputs!$L$8*(((Inputs!$I$8+(((A108)+1)/2)*(Inputs!$J$8-Inputs!$I$8)))/Inputs!$K$8)^2),NA())</x:f>
        <x:v>48.20988500000001</x:v>
      </x:c>
      <x:c r="E108" s="48" t="n">
        <x:f>IF(OR(Inputs!$F$9=TRUE,Inputs!$F$9="TRUE",Inputs!$F$9=1),(Inputs!$H$9+Inputs!$L$9*(((Inputs!$I$9+(((A108)+1)/2)*(Inputs!$J$9-Inputs!$I$9)))/Inputs!$K$9)^2),NA())</x:f>
        <x:v>38.34677500000001</x:v>
      </x:c>
      <x:c r="F108" s="49"/>
      <x:c r="G108" s="48" t="n">
        <x:f>A108</x:f>
        <x:v>-0.117</x:v>
      </x:c>
      <x:c r="H108" s="48"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I108" s="48"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J108" s="48"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K108" s="48"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c r="L108" s="49"/>
      <x:c r="M108" s="48" t="n">
        <x:f>A108</x:f>
        <x:v>-0.117</x:v>
      </x:c>
      <x:c r="N108" s="48" t="n">
        <x: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x:f>
        <x:v>60.08551360464571</x:v>
      </x:c>
      <x:c r="O108" s="48" t="n">
        <x: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x:f>
        <x:v>1354.9037405376112</x:v>
      </x:c>
      <x:c r="P108" s="48" t="n">
        <x: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x:f>
        <x:v>1619.7906101947278</x:v>
      </x:c>
      <x:c r="Q108" s="48" t="n">
        <x: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x:f>
        <x:v>1635.7288561983473</x:v>
      </x:c>
      <x:c r="R108" s="49"/>
      <x:c r="S108" s="48" t="n">
        <x:f>A108</x:f>
        <x:v>-0.117</x:v>
      </x:c>
      <x:c r="T108" s="48" t="n">
        <x:f>(Inputs!$I$6+(((A108)+1)/2)*(Inputs!$J$6-Inputs!$I$6))</x:f>
        <x:v>-7.019999999999996</x:v>
      </x:c>
      <x:c r="U108" s="48" t="n">
        <x:f>(Inputs!$I$7+(((A108)+1)/2)*(Inputs!$J$7-Inputs!$I$7))</x:f>
        <x:v>-46.80000000000001</x:v>
      </x:c>
      <x:c r="V108" s="48" t="n">
        <x:f>(Inputs!$I$8+(((A108)+1)/2)*(Inputs!$J$8-Inputs!$I$8))</x:f>
        <x:v>-93.60000000000002</x:v>
      </x:c>
      <x:c r="W108" s="48" t="n">
        <x:f>(Inputs!$I$9+(((A108)+1)/2)*(Inputs!$J$9-Inputs!$I$9))</x:f>
        <x:v>-93.60000000000002</x:v>
      </x:c>
      <x:c r="X108" s="49"/>
      <x:c r="Y108" s="48" t="n">
        <x:f>A108</x:f>
        <x:v>-0.117</x:v>
      </x:c>
      <x:c r="Z108" s="48" t="n">
        <x:f>(Inputs!$H$6+Inputs!$L$6*(((Inputs!$I$6+(((A108)+1)/2)*(Inputs!$J$6-Inputs!$I$6)))/Inputs!$K$6)^2)</x:f>
        <x:v>400.054756</x:v>
      </x:c>
      <x:c r="AA108" s="48" t="n">
        <x:f>(Inputs!$H$7+Inputs!$L$7*(((Inputs!$I$7+(((A108)+1)/2)*(Inputs!$J$7-Inputs!$I$7)))/Inputs!$K$7)^2)</x:f>
        <x:v>39.99648500000001</x:v>
      </x:c>
      <x:c r="AB108" s="48" t="n">
        <x:f>(Inputs!$H$8+Inputs!$L$8*(((Inputs!$I$8+(((A108)+1)/2)*(Inputs!$J$8-Inputs!$I$8)))/Inputs!$K$8)^2)</x:f>
        <x:v>48.20988500000001</x:v>
      </x:c>
      <x:c r="AC108" s="48" t="n">
        <x:f>(Inputs!$H$9+Inputs!$L$9*(((Inputs!$I$9+(((A108)+1)/2)*(Inputs!$J$9-Inputs!$I$9)))/Inputs!$K$9)^2)</x:f>
        <x:v>38.34677500000001</x:v>
      </x:c>
      <x:c r="AD108" s="49"/>
      <x:c r="AE108" s="48" t="n">
        <x:f>A108</x:f>
        <x:v>-0.117</x:v>
      </x:c>
      <x:c r="AF108" s="48" t="n">
        <x:f>(((SQRT((Inputs!$C$52+((Inputs!$H$6+Inputs!$L$6*(((Inputs!$I$6+(((A108)+1)/2)*(Inputs!$J$6-Inputs!$I$6)))/Inputs!$K$6)^2)))^2+Inputs!$C$52^2-2*(Inputs!$C$52+((Inputs!$H$6+Inputs!$L$6*(((Inputs!$I$6+(((A108)+1)/2)*(Inputs!$J$6-Inputs!$I$6)))/Inputs!$K$6)^2)))*Inputs!$C$52*COS(SQRT(((Inputs!$I$6+(((A108)+1)/2)*(Inputs!$J$6-Inputs!$I$6)))^2+Inputs!$C$6^2)/Inputs!$C$52)))-((Inputs!$H$6+Inputs!$L$6*(((Inputs!$I$6+(((A108)+1)/2)*(Inputs!$J$6-Inputs!$I$6)))/Inputs!$K$6)^2)))*1000/Inputs!$C$12)</x:f>
        <x:v>593.9990156266146</x:v>
      </x:c>
      <x:c r="AG108" s="48" t="n">
        <x:f>(((SQRT((Inputs!$C$52+((Inputs!$H$7+Inputs!$L$7*(((Inputs!$I$7+(((A108)+1)/2)*(Inputs!$J$7-Inputs!$I$7)))/Inputs!$K$7)^2)))^2+Inputs!$C$52^2-2*(Inputs!$C$52+((Inputs!$H$7+Inputs!$L$7*(((Inputs!$I$7+(((A108)+1)/2)*(Inputs!$J$7-Inputs!$I$7)))/Inputs!$K$7)^2)))*Inputs!$C$52*COS(SQRT(((Inputs!$I$7+(((A108)+1)/2)*(Inputs!$J$7-Inputs!$I$7)))^2+Inputs!$C$6^2)/Inputs!$C$52)))-((Inputs!$H$7+Inputs!$L$7*(((Inputs!$I$7+(((A108)+1)/2)*(Inputs!$J$7-Inputs!$I$7)))/Inputs!$K$7)^2)))*1000/Inputs!$C$12)</x:f>
        <x:v>15161.386077704814</x:v>
      </x:c>
      <x:c r="AH108" s="48" t="n">
        <x:f>(((SQRT((Inputs!$C$52+((Inputs!$H$8+Inputs!$L$8*(((Inputs!$I$8+(((A108)+1)/2)*(Inputs!$J$8-Inputs!$I$8)))/Inputs!$K$8)^2)))^2+Inputs!$C$52^2-2*(Inputs!$C$52+((Inputs!$H$8+Inputs!$L$8*(((Inputs!$I$8+(((A108)+1)/2)*(Inputs!$J$8-Inputs!$I$8)))/Inputs!$K$8)^2)))*Inputs!$C$52*COS(SQRT(((Inputs!$I$8+(((A108)+1)/2)*(Inputs!$J$8-Inputs!$I$8)))^2+Inputs!$C$6^2)/Inputs!$C$52)))-((Inputs!$H$8+Inputs!$L$8*(((Inputs!$I$8+(((A108)+1)/2)*(Inputs!$J$8-Inputs!$I$8)))/Inputs!$K$8)^2)))*1000/Inputs!$C$12)</x:f>
        <x:v>34449.85865380583</x:v>
      </x:c>
      <x:c r="AI108" s="48" t="n">
        <x:f>(((SQRT((Inputs!$C$52+((Inputs!$H$9+Inputs!$L$9*(((Inputs!$I$9+(((A108)+1)/2)*(Inputs!$J$9-Inputs!$I$9)))/Inputs!$K$9)^2)))^2+Inputs!$C$52^2-2*(Inputs!$C$52+((Inputs!$H$9+Inputs!$L$9*(((Inputs!$I$9+(((A108)+1)/2)*(Inputs!$J$9-Inputs!$I$9)))/Inputs!$K$9)^2)))*Inputs!$C$52*COS(SQRT(((Inputs!$I$9+(((A108)+1)/2)*(Inputs!$J$9-Inputs!$I$9)))^2+Inputs!$C$6^2)/Inputs!$C$52)))-((Inputs!$H$9+Inputs!$L$9*(((Inputs!$I$9+(((A108)+1)/2)*(Inputs!$J$9-Inputs!$I$9)))/Inputs!$K$9)^2)))*1000/Inputs!$C$12)</x:f>
        <x:v>37603.12232218852</x:v>
      </x:c>
      <x:c r="AJ108" s="49"/>
      <x:c r="AK108" s="48" t="n">
        <x:f>A108</x:f>
        <x:v>-0.117</x:v>
      </x:c>
      <x:c r="AL108" s="48" t="n">
        <x: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x:f>
        <x:v>60.08551360464571</x:v>
      </x:c>
      <x:c r="AM108" s="48" t="n">
        <x: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x:f>
        <x:v>1354.9037405376112</x:v>
      </x:c>
      <x:c r="AN108" s="48" t="n">
        <x: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x:f>
        <x:v>1619.7906101947278</x:v>
      </x:c>
      <x:c r="AO108" s="48" t="n">
        <x: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x:f>
        <x:v>1635.7288561983473</x:v>
      </x:c>
      <x:c r="AP108" s="49"/>
      <x:c r="AQ108" s="48" t="n">
        <x:f>A108</x:f>
        <x:v>-0.117</x:v>
      </x:c>
      <x:c r="AR108" s="48" t="n">
        <x:f>0</x:f>
        <x:v>0</x:v>
      </x:c>
      <x:c r="AS108" s="48" t="n">
        <x: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(0.45*SIN(2*PI()*((((Inputs!$I$6+(((A108)+1)/2)*(Inputs!$J$6-Inputs!$I$6)))/Inputs!$C$49)+Inputs!$C$47*0.137))+0.35*COS(2*PI()*(((Inputs!$C$6)/Inputs!$C$50)+Inputs!$C$47*0.173))+0.20*SIN(2*PI()*((((Inputs!$I$6+(((A108)+1)/2)*(Inputs!$J$6-Inputs!$I$6)))+(Inputs!$C$6))/(0.5*(Inputs!$C$49+Inputs!$C$50))+Inputs!$C$47*0.097)))+0.30*(2*((SIN((((Inputs!$I$6+(((A108)+1)/2)*(Inputs!$J$6-Inputs!$I$6)))*12.9898+(Inputs!$C$6)*78.233+Inputs!$C$47*37.719))*43758.5453)-INT((SIN((((Inputs!$I$6+(((A108)+1)/2)*(Inputs!$J$6-Inputs!$I$6)))*12.9898+(Inputs!$C$6)*78.233+Inputs!$C$47*37.719))*43758.5453)))-1))),NA())</x:f>
        <x:v>457.71586844855193</x:v>
      </x:c>
      <x:c r="AT108" s="48" t="n">
        <x: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(0.45*SIN(2*PI()*((((Inputs!$I$7+(((A108)+1)/2)*(Inputs!$J$7-Inputs!$I$7)))/Inputs!$C$49)+Inputs!$C$47*0.137))+0.35*COS(2*PI()*(((Inputs!$C$6)/Inputs!$C$50)+Inputs!$C$47*0.173))+0.20*SIN(2*PI()*((((Inputs!$I$7+(((A108)+1)/2)*(Inputs!$J$7-Inputs!$I$7)))+(Inputs!$C$6))/(0.5*(Inputs!$C$49+Inputs!$C$50))+Inputs!$C$47*0.097)))+0.30*(2*((SIN((((Inputs!$I$7+(((A108)+1)/2)*(Inputs!$J$7-Inputs!$I$7)))*12.9898+(Inputs!$C$6)*78.233+Inputs!$C$47*37.719))*43758.5453)-INT((SIN((((Inputs!$I$7+(((A108)+1)/2)*(Inputs!$J$7-Inputs!$I$7)))*12.9898+(Inputs!$C$6)*78.233+Inputs!$C$47*37.719))*43758.5453)))-1))),NA())</x:f>
        <x:v>241.3197670230771</x:v>
      </x:c>
      <x:c r="AU108" s="48" t="n">
        <x: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(0.45*SIN(2*PI()*((((Inputs!$I$8+(((A108)+1)/2)*(Inputs!$J$8-Inputs!$I$8)))/Inputs!$C$49)+Inputs!$C$47*0.137))+0.35*COS(2*PI()*(((Inputs!$C$6)/Inputs!$C$50)+Inputs!$C$47*0.173))+0.20*SIN(2*PI()*((((Inputs!$I$8+(((A108)+1)/2)*(Inputs!$J$8-Inputs!$I$8)))+(Inputs!$C$6))/(0.5*(Inputs!$C$49+Inputs!$C$50))+Inputs!$C$47*0.097)))+0.30*(2*((SIN((((Inputs!$I$8+(((A108)+1)/2)*(Inputs!$J$8-Inputs!$I$8)))*12.9898+(Inputs!$C$6)*78.233+Inputs!$C$47*37.719))*43758.5453)-INT((SIN((((Inputs!$I$8+(((A108)+1)/2)*(Inputs!$J$8-Inputs!$I$8)))*12.9898+(Inputs!$C$6)*78.233+Inputs!$C$47*37.719))*43758.5453)))-1))),NA())</x:f>
        <x:v>94.37597104725926</x:v>
      </x:c>
      <x:c r="AV108" s="48" t="n">
        <x: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(0.45*SIN(2*PI()*((((Inputs!$I$9+(((A108)+1)/2)*(Inputs!$J$9-Inputs!$I$9)))/Inputs!$C$49)+Inputs!$C$47*0.137))+0.35*COS(2*PI()*(((Inputs!$C$6)/Inputs!$C$50)+Inputs!$C$47*0.173))+0.20*SIN(2*PI()*((((Inputs!$I$9+(((A108)+1)/2)*(Inputs!$J$9-Inputs!$I$9)))+(Inputs!$C$6))/(0.5*(Inputs!$C$49+Inputs!$C$50))+Inputs!$C$47*0.097)))+0.30*(2*((SIN((((Inputs!$I$9+(((A108)+1)/2)*(Inputs!$J$9-Inputs!$I$9)))*12.9898+(Inputs!$C$6)*78.233+Inputs!$C$47*37.719))*43758.5453)-INT((SIN((((Inputs!$I$9+(((A108)+1)/2)*(Inputs!$J$9-Inputs!$I$9)))*12.9898+(Inputs!$C$6)*78.233+Inputs!$C$47*37.719))*43758.5453)))-1))),NA())</x:f>
        <x:v>94.37597104725926</x:v>
      </x:c>
      <x:c r="AW108" s="49"/>
      <x:c r="AX108" s="48" t="n">
        <x:f>A108</x:f>
        <x:v>-0.117</x:v>
      </x:c>
      <x:c r="AY108" s="48" t="n">
        <x:f>0</x:f>
        <x:v>0</x:v>
      </x:c>
      <x:c r="AZ108" s="48" t="n">
        <x:f>IF(OR(Inputs!$F$6=TRUE,Inputs!$F$6="TRUE",Inputs!$F$6=1),(Inputs!$H$6+Inputs!$L$6*(((Inputs!$I$6+(((A108)+1)/2)*(Inputs!$J$6-Inputs!$I$6)))/Inputs!$K$6)^2),NA())</x:f>
        <x:v>400.054756</x:v>
      </x:c>
      <x:c r="BA108" s="48" t="n">
        <x:f>IF(OR(Inputs!$F$7=TRUE,Inputs!$F$7="TRUE",Inputs!$F$7=1),(Inputs!$H$7+Inputs!$L$7*(((Inputs!$I$7+(((A108)+1)/2)*(Inputs!$J$7-Inputs!$I$7)))/Inputs!$K$7)^2),NA())</x:f>
        <x:v>39.99648500000001</x:v>
      </x:c>
      <x:c r="BB108" s="48" t="n">
        <x:f>IF(OR(Inputs!$F$8=TRUE,Inputs!$F$8="TRUE",Inputs!$F$8=1),(Inputs!$H$8+Inputs!$L$8*(((Inputs!$I$8+(((A108)+1)/2)*(Inputs!$J$8-Inputs!$I$8)))/Inputs!$K$8)^2),NA())</x:f>
        <x:v>48.20988500000001</x:v>
      </x:c>
      <x:c r="BC108" s="48" t="n">
        <x:f>IF(OR(Inputs!$F$9=TRUE,Inputs!$F$9="TRUE",Inputs!$F$9=1),(Inputs!$H$9+Inputs!$L$9*(((Inputs!$I$9+(((A108)+1)/2)*(Inputs!$J$9-Inputs!$I$9)))/Inputs!$K$9)^2),NA())</x:f>
        <x:v>38.34677500000001</x:v>
      </x:c>
      <x:c r="BD108" s="49"/>
      <x:c r="BE108" s="48" t="n">
        <x:f>A108</x:f>
        <x:v>-0.117</x:v>
      </x:c>
      <x:c r="BF108" s="48" t="n">
        <x:f>0</x:f>
        <x:v>0</x:v>
      </x:c>
      <x:c r="BG108" s="48"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BH108" s="48"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BI108" s="48"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BJ108" s="48"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row>
    <x:row r="109">
      <x:c r="A109" s="48" t="n">
        <x:f>ROUND(-1+107*2/240,3)</x:f>
        <x:v>-0.108</x:v>
      </x:c>
      <x:c r="B109" s="48" t="n">
        <x:f>IF(OR(Inputs!$F$6=TRUE,Inputs!$F$6="TRUE",Inputs!$F$6=1),(Inputs!$H$6+Inputs!$L$6*(((Inputs!$I$6+(((A109)+1)/2)*(Inputs!$J$6-Inputs!$I$6)))/Inputs!$K$6)^2),NA())</x:f>
        <x:v>400.046656</x:v>
      </x:c>
      <x:c r="C109" s="48" t="n">
        <x:f>IF(OR(Inputs!$F$7=TRUE,Inputs!$F$7="TRUE",Inputs!$F$7=1),(Inputs!$H$7+Inputs!$L$7*(((Inputs!$I$7+(((A109)+1)/2)*(Inputs!$J$7-Inputs!$I$7)))/Inputs!$K$7)^2),NA())</x:f>
        <x:v>39.25736</x:v>
      </x:c>
      <x:c r="D109" s="48" t="n">
        <x:f>IF(OR(Inputs!$F$8=TRUE,Inputs!$F$8="TRUE",Inputs!$F$8=1),(Inputs!$H$8+Inputs!$L$8*(((Inputs!$I$8+(((A109)+1)/2)*(Inputs!$J$8-Inputs!$I$8)))/Inputs!$K$8)^2),NA())</x:f>
        <x:v>46.255759999999995</x:v>
      </x:c>
      <x:c r="E109" s="48" t="n">
        <x:f>IF(OR(Inputs!$F$9=TRUE,Inputs!$F$9="TRUE",Inputs!$F$9=1),(Inputs!$H$9+Inputs!$L$9*(((Inputs!$I$9+(((A109)+1)/2)*(Inputs!$J$9-Inputs!$I$9)))/Inputs!$K$9)^2),NA())</x:f>
        <x:v>36.37239999999999</x:v>
      </x:c>
      <x:c r="F109" s="49"/>
      <x:c r="G109" s="48" t="n">
        <x:f>A109</x:f>
        <x:v>-0.108</x:v>
      </x:c>
      <x:c r="H109" s="48"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I109" s="48"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J109" s="48"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K109" s="48"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c r="L109" s="49"/>
      <x:c r="M109" s="48" t="n">
        <x:f>A109</x:f>
        <x:v>-0.108</x:v>
      </x:c>
      <x:c r="N109" s="48" t="n">
        <x: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x:f>
        <x:v>55.46553002030133</x:v>
      </x:c>
      <x:c r="O109" s="48" t="n">
        <x: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x:f>
        <x:v>1304.5358380491298</x:v>
      </x:c>
      <x:c r="P109" s="48" t="n">
        <x: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x:f>
        <x:v>1589.5208239516596</x:v>
      </x:c>
      <x:c r="Q109" s="48" t="n">
        <x: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x:f>
        <x:v>1610.555533718442</x:v>
      </x:c>
      <x:c r="R109" s="49"/>
      <x:c r="S109" s="48" t="n">
        <x:f>A109</x:f>
        <x:v>-0.108</x:v>
      </x:c>
      <x:c r="T109" s="48" t="n">
        <x:f>(Inputs!$I$6+(((A109)+1)/2)*(Inputs!$J$6-Inputs!$I$6))</x:f>
        <x:v>-6.479999999999997</x:v>
      </x:c>
      <x:c r="U109" s="48" t="n">
        <x:f>(Inputs!$I$7+(((A109)+1)/2)*(Inputs!$J$7-Inputs!$I$7))</x:f>
        <x:v>-43.19999999999999</x:v>
      </x:c>
      <x:c r="V109" s="48" t="n">
        <x:f>(Inputs!$I$8+(((A109)+1)/2)*(Inputs!$J$8-Inputs!$I$8))</x:f>
        <x:v>-86.39999999999998</x:v>
      </x:c>
      <x:c r="W109" s="48" t="n">
        <x:f>(Inputs!$I$9+(((A109)+1)/2)*(Inputs!$J$9-Inputs!$I$9))</x:f>
        <x:v>-86.39999999999998</x:v>
      </x:c>
      <x:c r="X109" s="49"/>
      <x:c r="Y109" s="48" t="n">
        <x:f>A109</x:f>
        <x:v>-0.108</x:v>
      </x:c>
      <x:c r="Z109" s="48" t="n">
        <x:f>(Inputs!$H$6+Inputs!$L$6*(((Inputs!$I$6+(((A109)+1)/2)*(Inputs!$J$6-Inputs!$I$6)))/Inputs!$K$6)^2)</x:f>
        <x:v>400.046656</x:v>
      </x:c>
      <x:c r="AA109" s="48" t="n">
        <x:f>(Inputs!$H$7+Inputs!$L$7*(((Inputs!$I$7+(((A109)+1)/2)*(Inputs!$J$7-Inputs!$I$7)))/Inputs!$K$7)^2)</x:f>
        <x:v>39.25736</x:v>
      </x:c>
      <x:c r="AB109" s="48" t="n">
        <x:f>(Inputs!$H$8+Inputs!$L$8*(((Inputs!$I$8+(((A109)+1)/2)*(Inputs!$J$8-Inputs!$I$8)))/Inputs!$K$8)^2)</x:f>
        <x:v>46.255759999999995</x:v>
      </x:c>
      <x:c r="AC109" s="48" t="n">
        <x:f>(Inputs!$H$9+Inputs!$L$9*(((Inputs!$I$9+(((A109)+1)/2)*(Inputs!$J$9-Inputs!$I$9)))/Inputs!$K$9)^2)</x:f>
        <x:v>36.37239999999999</x:v>
      </x:c>
      <x:c r="AD109" s="49"/>
      <x:c r="AE109" s="48" t="n">
        <x:f>A109</x:f>
        <x:v>-0.108</x:v>
      </x:c>
      <x:c r="AF109" s="48" t="n">
        <x:f>(((SQRT((Inputs!$C$52+((Inputs!$H$6+Inputs!$L$6*(((Inputs!$I$6+(((A109)+1)/2)*(Inputs!$J$6-Inputs!$I$6)))/Inputs!$K$6)^2)))^2+Inputs!$C$52^2-2*(Inputs!$C$52+((Inputs!$H$6+Inputs!$L$6*(((Inputs!$I$6+(((A109)+1)/2)*(Inputs!$J$6-Inputs!$I$6)))/Inputs!$K$6)^2)))*Inputs!$C$52*COS(SQRT(((Inputs!$I$6+(((A109)+1)/2)*(Inputs!$J$6-Inputs!$I$6)))^2+Inputs!$C$6^2)/Inputs!$C$52)))-((Inputs!$H$6+Inputs!$L$6*(((Inputs!$I$6+(((A109)+1)/2)*(Inputs!$J$6-Inputs!$I$6)))/Inputs!$K$6)^2)))*1000/Inputs!$C$12)</x:f>
        <x:v>587.5949411787768</x:v>
      </x:c>
      <x:c r="AG109" s="48" t="n">
        <x:f>(((SQRT((Inputs!$C$52+((Inputs!$H$7+Inputs!$L$7*(((Inputs!$I$7+(((A109)+1)/2)*(Inputs!$J$7-Inputs!$I$7)))/Inputs!$K$7)^2)))^2+Inputs!$C$52^2-2*(Inputs!$C$52+((Inputs!$H$7+Inputs!$L$7*(((Inputs!$I$7+(((A109)+1)/2)*(Inputs!$J$7-Inputs!$I$7)))/Inputs!$K$7)^2)))*Inputs!$C$52*COS(SQRT(((Inputs!$I$7+(((A109)+1)/2)*(Inputs!$J$7-Inputs!$I$7)))^2+Inputs!$C$6^2)/Inputs!$C$52)))-((Inputs!$H$7+Inputs!$L$7*(((Inputs!$I$7+(((A109)+1)/2)*(Inputs!$J$7-Inputs!$I$7)))/Inputs!$K$7)^2)))*1000/Inputs!$C$12)</x:f>
        <x:v>13895.191239175561</x:v>
      </x:c>
      <x:c r="AH109" s="48" t="n">
        <x:f>(((SQRT((Inputs!$C$52+((Inputs!$H$8+Inputs!$L$8*(((Inputs!$I$8+(((A109)+1)/2)*(Inputs!$J$8-Inputs!$I$8)))/Inputs!$K$8)^2)))^2+Inputs!$C$52^2-2*(Inputs!$C$52+((Inputs!$H$8+Inputs!$L$8*(((Inputs!$I$8+(((A109)+1)/2)*(Inputs!$J$8-Inputs!$I$8)))/Inputs!$K$8)^2)))*Inputs!$C$52*COS(SQRT(((Inputs!$I$8+(((A109)+1)/2)*(Inputs!$J$8-Inputs!$I$8)))^2+Inputs!$C$6^2)/Inputs!$C$52)))-((Inputs!$H$8+Inputs!$L$8*(((Inputs!$I$8+(((A109)+1)/2)*(Inputs!$J$8-Inputs!$I$8)))/Inputs!$K$8)^2)))*1000/Inputs!$C$12)</x:f>
        <x:v>31490.234040914544</x:v>
      </x:c>
      <x:c r="AI109" s="48" t="n">
        <x:f>(((SQRT((Inputs!$C$52+((Inputs!$H$9+Inputs!$L$9*(((Inputs!$I$9+(((A109)+1)/2)*(Inputs!$J$9-Inputs!$I$9)))/Inputs!$K$9)^2)))^2+Inputs!$C$52^2-2*(Inputs!$C$52+((Inputs!$H$9+Inputs!$L$9*(((Inputs!$I$9+(((A109)+1)/2)*(Inputs!$J$9-Inputs!$I$9)))/Inputs!$K$9)^2)))*Inputs!$C$52*COS(SQRT(((Inputs!$I$9+(((A109)+1)/2)*(Inputs!$J$9-Inputs!$I$9)))^2+Inputs!$C$6^2)/Inputs!$C$52)))-((Inputs!$H$9+Inputs!$L$9*(((Inputs!$I$9+(((A109)+1)/2)*(Inputs!$J$9-Inputs!$I$9)))/Inputs!$K$9)^2)))*1000/Inputs!$C$12)</x:f>
        <x:v>34608.33428149622</x:v>
      </x:c>
      <x:c r="AJ109" s="49"/>
      <x:c r="AK109" s="48" t="n">
        <x:f>A109</x:f>
        <x:v>-0.108</x:v>
      </x:c>
      <x:c r="AL109" s="48" t="n">
        <x: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x:f>
        <x:v>55.46553002030133</x:v>
      </x:c>
      <x:c r="AM109" s="48" t="n">
        <x: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x:f>
        <x:v>1304.5358380491298</x:v>
      </x:c>
      <x:c r="AN109" s="48" t="n">
        <x: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x:f>
        <x:v>1589.5208239516596</x:v>
      </x:c>
      <x:c r="AO109" s="48" t="n">
        <x: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x:f>
        <x:v>1610.555533718442</x:v>
      </x:c>
      <x:c r="AP109" s="49"/>
      <x:c r="AQ109" s="48" t="n">
        <x:f>A109</x:f>
        <x:v>-0.108</x:v>
      </x:c>
      <x:c r="AR109" s="48" t="n">
        <x:f>0</x:f>
        <x:v>0</x:v>
      </x:c>
      <x:c r="AS109" s="48" t="n">
        <x: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(0.45*SIN(2*PI()*((((Inputs!$I$6+(((A109)+1)/2)*(Inputs!$J$6-Inputs!$I$6)))/Inputs!$C$49)+Inputs!$C$47*0.137))+0.35*COS(2*PI()*(((Inputs!$C$6)/Inputs!$C$50)+Inputs!$C$47*0.173))+0.20*SIN(2*PI()*((((Inputs!$I$6+(((A109)+1)/2)*(Inputs!$J$6-Inputs!$I$6)))+(Inputs!$C$6))/(0.5*(Inputs!$C$49+Inputs!$C$50))+Inputs!$C$47*0.097)))+0.30*(2*((SIN((((Inputs!$I$6+(((A109)+1)/2)*(Inputs!$J$6-Inputs!$I$6)))*12.9898+(Inputs!$C$6)*78.233+Inputs!$C$47*37.719))*43758.5453)-INT((SIN((((Inputs!$I$6+(((A109)+1)/2)*(Inputs!$J$6-Inputs!$I$6)))*12.9898+(Inputs!$C$6)*78.233+Inputs!$C$47*37.719))*43758.5453)))-1))),NA())</x:f>
        <x:v>444.0644465219527</x:v>
      </x:c>
      <x:c r="AT109" s="48" t="n">
        <x: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(0.45*SIN(2*PI()*((((Inputs!$I$7+(((A109)+1)/2)*(Inputs!$J$7-Inputs!$I$7)))/Inputs!$C$49)+Inputs!$C$47*0.137))+0.35*COS(2*PI()*(((Inputs!$C$6)/Inputs!$C$50)+Inputs!$C$47*0.173))+0.20*SIN(2*PI()*((((Inputs!$I$7+(((A109)+1)/2)*(Inputs!$J$7-Inputs!$I$7)))+(Inputs!$C$6))/(0.5*(Inputs!$C$49+Inputs!$C$50))+Inputs!$C$47*0.097)))+0.30*(2*((SIN((((Inputs!$I$7+(((A109)+1)/2)*(Inputs!$J$7-Inputs!$I$7)))*12.9898+(Inputs!$C$6)*78.233+Inputs!$C$47*37.719))*43758.5453)-INT((SIN((((Inputs!$I$7+(((A109)+1)/2)*(Inputs!$J$7-Inputs!$I$7)))*12.9898+(Inputs!$C$6)*78.233+Inputs!$C$47*37.719))*43758.5453)))-1))),NA())</x:f>
        <x:v>192.25438093115514</x:v>
      </x:c>
      <x:c r="AU109" s="48" t="n">
        <x: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(0.45*SIN(2*PI()*((((Inputs!$I$8+(((A109)+1)/2)*(Inputs!$J$8-Inputs!$I$8)))/Inputs!$C$49)+Inputs!$C$47*0.137))+0.35*COS(2*PI()*(((Inputs!$C$6)/Inputs!$C$50)+Inputs!$C$47*0.173))+0.20*SIN(2*PI()*((((Inputs!$I$8+(((A109)+1)/2)*(Inputs!$J$8-Inputs!$I$8)))+(Inputs!$C$6))/(0.5*(Inputs!$C$49+Inputs!$C$50))+Inputs!$C$47*0.097)))+0.30*(2*((SIN((((Inputs!$I$8+(((A109)+1)/2)*(Inputs!$J$8-Inputs!$I$8)))*12.9898+(Inputs!$C$6)*78.233+Inputs!$C$47*37.719))*43758.5453)-INT((SIN((((Inputs!$I$8+(((A109)+1)/2)*(Inputs!$J$8-Inputs!$I$8)))*12.9898+(Inputs!$C$6)*78.233+Inputs!$C$47*37.719))*43758.5453)))-1))),NA())</x:f>
        <x:v>152.19304949418353</x:v>
      </x:c>
      <x:c r="AV109" s="48" t="n">
        <x: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(0.45*SIN(2*PI()*((((Inputs!$I$9+(((A109)+1)/2)*(Inputs!$J$9-Inputs!$I$9)))/Inputs!$C$49)+Inputs!$C$47*0.137))+0.35*COS(2*PI()*(((Inputs!$C$6)/Inputs!$C$50)+Inputs!$C$47*0.173))+0.20*SIN(2*PI()*((((Inputs!$I$9+(((A109)+1)/2)*(Inputs!$J$9-Inputs!$I$9)))+(Inputs!$C$6))/(0.5*(Inputs!$C$49+Inputs!$C$50))+Inputs!$C$47*0.097)))+0.30*(2*((SIN((((Inputs!$I$9+(((A109)+1)/2)*(Inputs!$J$9-Inputs!$I$9)))*12.9898+(Inputs!$C$6)*78.233+Inputs!$C$47*37.719))*43758.5453)-INT((SIN((((Inputs!$I$9+(((A109)+1)/2)*(Inputs!$J$9-Inputs!$I$9)))*12.9898+(Inputs!$C$6)*78.233+Inputs!$C$47*37.719))*43758.5453)))-1))),NA())</x:f>
        <x:v>152.19304949418353</x:v>
      </x:c>
      <x:c r="AW109" s="49"/>
      <x:c r="AX109" s="48" t="n">
        <x:f>A109</x:f>
        <x:v>-0.108</x:v>
      </x:c>
      <x:c r="AY109" s="48" t="n">
        <x:f>0</x:f>
        <x:v>0</x:v>
      </x:c>
      <x:c r="AZ109" s="48" t="n">
        <x:f>IF(OR(Inputs!$F$6=TRUE,Inputs!$F$6="TRUE",Inputs!$F$6=1),(Inputs!$H$6+Inputs!$L$6*(((Inputs!$I$6+(((A109)+1)/2)*(Inputs!$J$6-Inputs!$I$6)))/Inputs!$K$6)^2),NA())</x:f>
        <x:v>400.046656</x:v>
      </x:c>
      <x:c r="BA109" s="48" t="n">
        <x:f>IF(OR(Inputs!$F$7=TRUE,Inputs!$F$7="TRUE",Inputs!$F$7=1),(Inputs!$H$7+Inputs!$L$7*(((Inputs!$I$7+(((A109)+1)/2)*(Inputs!$J$7-Inputs!$I$7)))/Inputs!$K$7)^2),NA())</x:f>
        <x:v>39.25736</x:v>
      </x:c>
      <x:c r="BB109" s="48" t="n">
        <x:f>IF(OR(Inputs!$F$8=TRUE,Inputs!$F$8="TRUE",Inputs!$F$8=1),(Inputs!$H$8+Inputs!$L$8*(((Inputs!$I$8+(((A109)+1)/2)*(Inputs!$J$8-Inputs!$I$8)))/Inputs!$K$8)^2),NA())</x:f>
        <x:v>46.255759999999995</x:v>
      </x:c>
      <x:c r="BC109" s="48" t="n">
        <x:f>IF(OR(Inputs!$F$9=TRUE,Inputs!$F$9="TRUE",Inputs!$F$9=1),(Inputs!$H$9+Inputs!$L$9*(((Inputs!$I$9+(((A109)+1)/2)*(Inputs!$J$9-Inputs!$I$9)))/Inputs!$K$9)^2),NA())</x:f>
        <x:v>36.37239999999999</x:v>
      </x:c>
      <x:c r="BD109" s="49"/>
      <x:c r="BE109" s="48" t="n">
        <x:f>A109</x:f>
        <x:v>-0.108</x:v>
      </x:c>
      <x:c r="BF109" s="48" t="n">
        <x:f>0</x:f>
        <x:v>0</x:v>
      </x:c>
      <x:c r="BG109" s="48"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BH109" s="48"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BI109" s="48"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BJ109" s="48"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row>
    <x:row r="110">
      <x:c r="A110" s="48" t="n">
        <x:f>ROUND(-1+108*2/240,3)</x:f>
        <x:v>-0.1</x:v>
      </x:c>
      <x:c r="B110" s="48" t="n">
        <x:f>IF(OR(Inputs!$F$6=TRUE,Inputs!$F$6="TRUE",Inputs!$F$6=1),(Inputs!$H$6+Inputs!$L$6*(((Inputs!$I$6+(((A110)+1)/2)*(Inputs!$J$6-Inputs!$I$6)))/Inputs!$K$6)^2),NA())</x:f>
        <x:v>400.04</x:v>
      </x:c>
      <x:c r="C110" s="48" t="n">
        <x:f>IF(OR(Inputs!$F$7=TRUE,Inputs!$F$7="TRUE",Inputs!$F$7=1),(Inputs!$H$7+Inputs!$L$7*(((Inputs!$I$7+(((A110)+1)/2)*(Inputs!$J$7-Inputs!$I$7)))/Inputs!$K$7)^2),NA())</x:f>
        <x:v>38.65</x:v>
      </x:c>
      <x:c r="D110" s="48" t="n">
        <x:f>IF(OR(Inputs!$F$8=TRUE,Inputs!$F$8="TRUE",Inputs!$F$8=1),(Inputs!$H$8+Inputs!$L$8*(((Inputs!$I$8+(((A110)+1)/2)*(Inputs!$J$8-Inputs!$I$8)))/Inputs!$K$8)^2),NA())</x:f>
        <x:v>44.650000000000006</x:v>
      </x:c>
      <x:c r="E110" s="48" t="n">
        <x:f>IF(OR(Inputs!$F$9=TRUE,Inputs!$F$9="TRUE",Inputs!$F$9=1),(Inputs!$H$9+Inputs!$L$9*(((Inputs!$I$9+(((A110)+1)/2)*(Inputs!$J$9-Inputs!$I$9)))/Inputs!$K$9)^2),NA())</x:f>
        <x:v>34.75</x:v>
      </x:c>
      <x:c r="F110" s="49"/>
      <x:c r="G110" s="48" t="n">
        <x:f>A110</x:f>
        <x:v>-0.1</x:v>
      </x:c>
      <x:c r="H110" s="48"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I110" s="48"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J110" s="48"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K110" s="48"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c r="L110" s="49"/>
      <x:c r="M110" s="48" t="n">
        <x:f>A110</x:f>
        <x:v>-0.1</x:v>
      </x:c>
      <x:c r="N110" s="48" t="n">
        <x: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x:f>
        <x:v>51.35847818260713</x:v>
      </x:c>
      <x:c r="O110" s="48" t="n">
        <x: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x:f>
        <x:v>1254.5616506235933</x:v>
      </x:c>
      <x:c r="P110" s="48" t="n">
        <x: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x:f>
        <x:v>1559.2372196507524</x:v>
      </x:c>
      <x:c r="Q110" s="48" t="n">
        <x: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x:f>
        <x:v>1585.6508365801885</x:v>
      </x:c>
      <x:c r="R110" s="49"/>
      <x:c r="S110" s="48" t="n">
        <x:f>A110</x:f>
        <x:v>-0.1</x:v>
      </x:c>
      <x:c r="T110" s="48" t="n">
        <x:f>(Inputs!$I$6+(((A110)+1)/2)*(Inputs!$J$6-Inputs!$I$6))</x:f>
        <x:v>-6</x:v>
      </x:c>
      <x:c r="U110" s="48" t="n">
        <x:f>(Inputs!$I$7+(((A110)+1)/2)*(Inputs!$J$7-Inputs!$I$7))</x:f>
        <x:v>-40</x:v>
      </x:c>
      <x:c r="V110" s="48" t="n">
        <x:f>(Inputs!$I$8+(((A110)+1)/2)*(Inputs!$J$8-Inputs!$I$8))</x:f>
        <x:v>-80</x:v>
      </x:c>
      <x:c r="W110" s="48" t="n">
        <x:f>(Inputs!$I$9+(((A110)+1)/2)*(Inputs!$J$9-Inputs!$I$9))</x:f>
        <x:v>-80</x:v>
      </x:c>
      <x:c r="X110" s="49"/>
      <x:c r="Y110" s="48" t="n">
        <x:f>A110</x:f>
        <x:v>-0.1</x:v>
      </x:c>
      <x:c r="Z110" s="48" t="n">
        <x:f>(Inputs!$H$6+Inputs!$L$6*(((Inputs!$I$6+(((A110)+1)/2)*(Inputs!$J$6-Inputs!$I$6)))/Inputs!$K$6)^2)</x:f>
        <x:v>400.04</x:v>
      </x:c>
      <x:c r="AA110" s="48" t="n">
        <x:f>(Inputs!$H$7+Inputs!$L$7*(((Inputs!$I$7+(((A110)+1)/2)*(Inputs!$J$7-Inputs!$I$7)))/Inputs!$K$7)^2)</x:f>
        <x:v>38.65</x:v>
      </x:c>
      <x:c r="AB110" s="48" t="n">
        <x:f>(Inputs!$H$8+Inputs!$L$8*(((Inputs!$I$8+(((A110)+1)/2)*(Inputs!$J$8-Inputs!$I$8)))/Inputs!$K$8)^2)</x:f>
        <x:v>44.650000000000006</x:v>
      </x:c>
      <x:c r="AC110" s="48" t="n">
        <x:f>(Inputs!$H$9+Inputs!$L$9*(((Inputs!$I$9+(((A110)+1)/2)*(Inputs!$J$9-Inputs!$I$9)))/Inputs!$K$9)^2)</x:f>
        <x:v>34.75</x:v>
      </x:c>
      <x:c r="AD110" s="49"/>
      <x:c r="AE110" s="48" t="n">
        <x:f>A110</x:f>
        <x:v>-0.1</x:v>
      </x:c>
      <x:c r="AF110" s="48" t="n">
        <x:f>(((SQRT((Inputs!$C$52+((Inputs!$H$6+Inputs!$L$6*(((Inputs!$I$6+(((A110)+1)/2)*(Inputs!$J$6-Inputs!$I$6)))/Inputs!$K$6)^2)))^2+Inputs!$C$52^2-2*(Inputs!$C$52+((Inputs!$H$6+Inputs!$L$6*(((Inputs!$I$6+(((A110)+1)/2)*(Inputs!$J$6-Inputs!$I$6)))/Inputs!$K$6)^2)))*Inputs!$C$52*COS(SQRT(((Inputs!$I$6+(((A110)+1)/2)*(Inputs!$J$6-Inputs!$I$6)))^2+Inputs!$C$6^2)/Inputs!$C$52)))-((Inputs!$H$6+Inputs!$L$6*(((Inputs!$I$6+(((A110)+1)/2)*(Inputs!$J$6-Inputs!$I$6)))/Inputs!$K$6)^2)))*1000/Inputs!$C$12)</x:f>
        <x:v>582.3322387853748</x:v>
      </x:c>
      <x:c r="AG110" s="48" t="n">
        <x:f>(((SQRT((Inputs!$C$52+((Inputs!$H$7+Inputs!$L$7*(((Inputs!$I$7+(((A110)+1)/2)*(Inputs!$J$7-Inputs!$I$7)))/Inputs!$K$7)^2)))^2+Inputs!$C$52^2-2*(Inputs!$C$52+((Inputs!$H$7+Inputs!$L$7*(((Inputs!$I$7+(((A110)+1)/2)*(Inputs!$J$7-Inputs!$I$7)))/Inputs!$K$7)^2)))*Inputs!$C$52*COS(SQRT(((Inputs!$I$7+(((A110)+1)/2)*(Inputs!$J$7-Inputs!$I$7)))^2+Inputs!$C$6^2)/Inputs!$C$52)))-((Inputs!$H$7+Inputs!$L$7*(((Inputs!$I$7+(((A110)+1)/2)*(Inputs!$J$7-Inputs!$I$7)))/Inputs!$K$7)^2)))*1000/Inputs!$C$12)</x:f>
        <x:v>12798.21742613866</x:v>
      </x:c>
      <x:c r="AH110" s="48" t="n">
        <x:f>(((SQRT((Inputs!$C$52+((Inputs!$H$8+Inputs!$L$8*(((Inputs!$I$8+(((A110)+1)/2)*(Inputs!$J$8-Inputs!$I$8)))/Inputs!$K$8)^2)))^2+Inputs!$C$52^2-2*(Inputs!$C$52+((Inputs!$H$8+Inputs!$L$8*(((Inputs!$I$8+(((A110)+1)/2)*(Inputs!$J$8-Inputs!$I$8)))/Inputs!$K$8)^2)))*Inputs!$C$52*COS(SQRT(((Inputs!$I$8+(((A110)+1)/2)*(Inputs!$J$8-Inputs!$I$8)))^2+Inputs!$C$6^2)/Inputs!$C$52)))-((Inputs!$H$8+Inputs!$L$8*(((Inputs!$I$8+(((A110)+1)/2)*(Inputs!$J$8-Inputs!$I$8)))/Inputs!$K$8)^2)))*1000/Inputs!$C$12)</x:f>
        <x:v>28853.731148627216</x:v>
      </x:c>
      <x:c r="AI110" s="48" t="n">
        <x:f>(((SQRT((Inputs!$C$52+((Inputs!$H$9+Inputs!$L$9*(((Inputs!$I$9+(((A110)+1)/2)*(Inputs!$J$9-Inputs!$I$9)))/Inputs!$K$9)^2)))^2+Inputs!$C$52^2-2*(Inputs!$C$52+((Inputs!$H$9+Inputs!$L$9*(((Inputs!$I$9+(((A110)+1)/2)*(Inputs!$J$9-Inputs!$I$9)))/Inputs!$K$9)^2)))*Inputs!$C$52*COS(SQRT(((Inputs!$I$9+(((A110)+1)/2)*(Inputs!$J$9-Inputs!$I$9)))^2+Inputs!$C$6^2)/Inputs!$C$52)))-((Inputs!$H$9+Inputs!$L$9*(((Inputs!$I$9+(((A110)+1)/2)*(Inputs!$J$9-Inputs!$I$9)))/Inputs!$K$9)^2)))*1000/Inputs!$C$12)</x:f>
        <x:v>31928.02962704473</x:v>
      </x:c>
      <x:c r="AJ110" s="49"/>
      <x:c r="AK110" s="48" t="n">
        <x:f>A110</x:f>
        <x:v>-0.1</x:v>
      </x:c>
      <x:c r="AL110" s="48" t="n">
        <x: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x:f>
        <x:v>51.35847818260713</x:v>
      </x:c>
      <x:c r="AM110" s="48" t="n">
        <x: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x:f>
        <x:v>1254.5616506235933</x:v>
      </x:c>
      <x:c r="AN110" s="48" t="n">
        <x: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x:f>
        <x:v>1559.2372196507524</x:v>
      </x:c>
      <x:c r="AO110" s="48" t="n">
        <x: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x:f>
        <x:v>1585.6508365801885</x:v>
      </x:c>
      <x:c r="AP110" s="49"/>
      <x:c r="AQ110" s="48" t="n">
        <x:f>A110</x:f>
        <x:v>-0.1</x:v>
      </x:c>
      <x:c r="AR110" s="48" t="n">
        <x:f>0</x:f>
        <x:v>0</x:v>
      </x:c>
      <x:c r="AS110" s="48" t="n">
        <x: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(0.45*SIN(2*PI()*((((Inputs!$I$6+(((A110)+1)/2)*(Inputs!$J$6-Inputs!$I$6)))/Inputs!$C$49)+Inputs!$C$47*0.137))+0.35*COS(2*PI()*(((Inputs!$C$6)/Inputs!$C$50)+Inputs!$C$47*0.173))+0.20*SIN(2*PI()*((((Inputs!$I$6+(((A110)+1)/2)*(Inputs!$J$6-Inputs!$I$6)))+(Inputs!$C$6))/(0.5*(Inputs!$C$49+Inputs!$C$50))+Inputs!$C$47*0.097)))+0.30*(2*((SIN((((Inputs!$I$6+(((A110)+1)/2)*(Inputs!$J$6-Inputs!$I$6)))*12.9898+(Inputs!$C$6)*78.233+Inputs!$C$47*37.719))*43758.5453)-INT((SIN((((Inputs!$I$6+(((A110)+1)/2)*(Inputs!$J$6-Inputs!$I$6)))*12.9898+(Inputs!$C$6)*78.233+Inputs!$C$47*37.719))*43758.5453)))-1))),NA())</x:f>
        <x:v>447.7534427220802</x:v>
      </x:c>
      <x:c r="AT110" s="48" t="n">
        <x: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(0.45*SIN(2*PI()*((((Inputs!$I$7+(((A110)+1)/2)*(Inputs!$J$7-Inputs!$I$7)))/Inputs!$C$49)+Inputs!$C$47*0.137))+0.35*COS(2*PI()*(((Inputs!$C$6)/Inputs!$C$50)+Inputs!$C$47*0.173))+0.20*SIN(2*PI()*((((Inputs!$I$7+(((A110)+1)/2)*(Inputs!$J$7-Inputs!$I$7)))+(Inputs!$C$6))/(0.5*(Inputs!$C$49+Inputs!$C$50))+Inputs!$C$47*0.097)))+0.30*(2*((SIN((((Inputs!$I$7+(((A110)+1)/2)*(Inputs!$J$7-Inputs!$I$7)))*12.9898+(Inputs!$C$6)*78.233+Inputs!$C$47*37.719))*43758.5453)-INT((SIN((((Inputs!$I$7+(((A110)+1)/2)*(Inputs!$J$7-Inputs!$I$7)))*12.9898+(Inputs!$C$6)*78.233+Inputs!$C$47*37.719))*43758.5453)))-1))),NA())</x:f>
        <x:v>197.66557297497732</x:v>
      </x:c>
      <x:c r="AU110" s="48" t="n">
        <x: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(0.45*SIN(2*PI()*((((Inputs!$I$8+(((A110)+1)/2)*(Inputs!$J$8-Inputs!$I$8)))/Inputs!$C$49)+Inputs!$C$47*0.137))+0.35*COS(2*PI()*(((Inputs!$C$6)/Inputs!$C$50)+Inputs!$C$47*0.173))+0.20*SIN(2*PI()*((((Inputs!$I$8+(((A110)+1)/2)*(Inputs!$J$8-Inputs!$I$8)))+(Inputs!$C$6))/(0.5*(Inputs!$C$49+Inputs!$C$50))+Inputs!$C$47*0.097)))+0.30*(2*((SIN((((Inputs!$I$8+(((A110)+1)/2)*(Inputs!$J$8-Inputs!$I$8)))*12.9898+(Inputs!$C$6)*78.233+Inputs!$C$47*37.719))*43758.5453)-INT((SIN((((Inputs!$I$8+(((A110)+1)/2)*(Inputs!$J$8-Inputs!$I$8)))*12.9898+(Inputs!$C$6)*78.233+Inputs!$C$47*37.719))*43758.5453)))-1))),NA())</x:f>
        <x:v>156.5351614447042</x:v>
      </x:c>
      <x:c r="AV110" s="48" t="n">
        <x: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(0.45*SIN(2*PI()*((((Inputs!$I$9+(((A110)+1)/2)*(Inputs!$J$9-Inputs!$I$9)))/Inputs!$C$49)+Inputs!$C$47*0.137))+0.35*COS(2*PI()*(((Inputs!$C$6)/Inputs!$C$50)+Inputs!$C$47*0.173))+0.20*SIN(2*PI()*((((Inputs!$I$9+(((A110)+1)/2)*(Inputs!$J$9-Inputs!$I$9)))+(Inputs!$C$6))/(0.5*(Inputs!$C$49+Inputs!$C$50))+Inputs!$C$47*0.097)))+0.30*(2*((SIN((((Inputs!$I$9+(((A110)+1)/2)*(Inputs!$J$9-Inputs!$I$9)))*12.9898+(Inputs!$C$6)*78.233+Inputs!$C$47*37.719))*43758.5453)-INT((SIN((((Inputs!$I$9+(((A110)+1)/2)*(Inputs!$J$9-Inputs!$I$9)))*12.9898+(Inputs!$C$6)*78.233+Inputs!$C$47*37.719))*43758.5453)))-1))),NA())</x:f>
        <x:v>156.5351614447042</x:v>
      </x:c>
      <x:c r="AW110" s="49"/>
      <x:c r="AX110" s="48" t="n">
        <x:f>A110</x:f>
        <x:v>-0.1</x:v>
      </x:c>
      <x:c r="AY110" s="48" t="n">
        <x:f>0</x:f>
        <x:v>0</x:v>
      </x:c>
      <x:c r="AZ110" s="48" t="n">
        <x:f>IF(OR(Inputs!$F$6=TRUE,Inputs!$F$6="TRUE",Inputs!$F$6=1),(Inputs!$H$6+Inputs!$L$6*(((Inputs!$I$6+(((A110)+1)/2)*(Inputs!$J$6-Inputs!$I$6)))/Inputs!$K$6)^2),NA())</x:f>
        <x:v>400.04</x:v>
      </x:c>
      <x:c r="BA110" s="48" t="n">
        <x:f>IF(OR(Inputs!$F$7=TRUE,Inputs!$F$7="TRUE",Inputs!$F$7=1),(Inputs!$H$7+Inputs!$L$7*(((Inputs!$I$7+(((A110)+1)/2)*(Inputs!$J$7-Inputs!$I$7)))/Inputs!$K$7)^2),NA())</x:f>
        <x:v>38.65</x:v>
      </x:c>
      <x:c r="BB110" s="48" t="n">
        <x:f>IF(OR(Inputs!$F$8=TRUE,Inputs!$F$8="TRUE",Inputs!$F$8=1),(Inputs!$H$8+Inputs!$L$8*(((Inputs!$I$8+(((A110)+1)/2)*(Inputs!$J$8-Inputs!$I$8)))/Inputs!$K$8)^2),NA())</x:f>
        <x:v>44.650000000000006</x:v>
      </x:c>
      <x:c r="BC110" s="48" t="n">
        <x:f>IF(OR(Inputs!$F$9=TRUE,Inputs!$F$9="TRUE",Inputs!$F$9=1),(Inputs!$H$9+Inputs!$L$9*(((Inputs!$I$9+(((A110)+1)/2)*(Inputs!$J$9-Inputs!$I$9)))/Inputs!$K$9)^2),NA())</x:f>
        <x:v>34.75</x:v>
      </x:c>
      <x:c r="BD110" s="49"/>
      <x:c r="BE110" s="48" t="n">
        <x:f>A110</x:f>
        <x:v>-0.1</x:v>
      </x:c>
      <x:c r="BF110" s="48" t="n">
        <x:f>0</x:f>
        <x:v>0</x:v>
      </x:c>
      <x:c r="BG110" s="48"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BH110" s="48"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BI110" s="48"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BJ110" s="48"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row>
    <x:row r="111">
      <x:c r="A111" s="48" t="n">
        <x:f>ROUND(-1+109*2/240,3)</x:f>
        <x:v>-0.092</x:v>
      </x:c>
      <x:c r="B111" s="48" t="n">
        <x:f>IF(OR(Inputs!$F$6=TRUE,Inputs!$F$6="TRUE",Inputs!$F$6=1),(Inputs!$H$6+Inputs!$L$6*(((Inputs!$I$6+(((A111)+1)/2)*(Inputs!$J$6-Inputs!$I$6)))/Inputs!$K$6)^2),NA())</x:f>
        <x:v>400.033856</x:v>
      </x:c>
      <x:c r="C111" s="48" t="n">
        <x:f>IF(OR(Inputs!$F$7=TRUE,Inputs!$F$7="TRUE",Inputs!$F$7=1),(Inputs!$H$7+Inputs!$L$7*(((Inputs!$I$7+(((A111)+1)/2)*(Inputs!$J$7-Inputs!$I$7)))/Inputs!$K$7)^2),NA())</x:f>
        <x:v>38.08936</x:v>
      </x:c>
      <x:c r="D111" s="48" t="n">
        <x:f>IF(OR(Inputs!$F$8=TRUE,Inputs!$F$8="TRUE",Inputs!$F$8=1),(Inputs!$H$8+Inputs!$L$8*(((Inputs!$I$8+(((A111)+1)/2)*(Inputs!$J$8-Inputs!$I$8)))/Inputs!$K$8)^2),NA())</x:f>
        <x:v>43.16776</x:v>
      </x:c>
      <x:c r="E111" s="48" t="n">
        <x:f>IF(OR(Inputs!$F$9=TRUE,Inputs!$F$9="TRUE",Inputs!$F$9=1),(Inputs!$H$9+Inputs!$L$9*(((Inputs!$I$9+(((A111)+1)/2)*(Inputs!$J$9-Inputs!$I$9)))/Inputs!$K$9)^2),NA())</x:f>
        <x:v>33.25240000000001</x:v>
      </x:c>
      <x:c r="F111" s="49"/>
      <x:c r="G111" s="48" t="n">
        <x:f>A111</x:f>
        <x:v>-0.092</x:v>
      </x:c>
      <x:c r="H111" s="48"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I111" s="48"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J111" s="48"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K111" s="48"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c r="L111" s="49"/>
      <x:c r="M111" s="48" t="n">
        <x:f>A111</x:f>
        <x:v>-0.092</x:v>
      </x:c>
      <x:c r="N111" s="48" t="n">
        <x: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x:f>
        <x:v>47.25107896722717</x:v>
      </x:c>
      <x:c r="O111" s="48" t="n">
        <x: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x:f>
        <x:v>1198.979589355481</x:v>
      </x:c>
      <x:c r="P111" s="48" t="n">
        <x: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x:f>
        <x:v>1524.7524745215871</x:v>
      </x:c>
      <x:c r="Q111" s="48" t="n">
        <x: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x:f>
        <x:v>1557.481764365157</x:v>
      </x:c>
      <x:c r="R111" s="49"/>
      <x:c r="S111" s="48" t="n">
        <x:f>A111</x:f>
        <x:v>-0.092</x:v>
      </x:c>
      <x:c r="T111" s="48" t="n">
        <x:f>(Inputs!$I$6+(((A111)+1)/2)*(Inputs!$J$6-Inputs!$I$6))</x:f>
        <x:v>-5.519999999999996</x:v>
      </x:c>
      <x:c r="U111" s="48" t="n">
        <x:f>(Inputs!$I$7+(((A111)+1)/2)*(Inputs!$J$7-Inputs!$I$7))</x:f>
        <x:v>-36.80000000000001</x:v>
      </x:c>
      <x:c r="V111" s="48" t="n">
        <x:f>(Inputs!$I$8+(((A111)+1)/2)*(Inputs!$J$8-Inputs!$I$8))</x:f>
        <x:v>-73.60000000000002</x:v>
      </x:c>
      <x:c r="W111" s="48" t="n">
        <x:f>(Inputs!$I$9+(((A111)+1)/2)*(Inputs!$J$9-Inputs!$I$9))</x:f>
        <x:v>-73.60000000000002</x:v>
      </x:c>
      <x:c r="X111" s="49"/>
      <x:c r="Y111" s="48" t="n">
        <x:f>A111</x:f>
        <x:v>-0.092</x:v>
      </x:c>
      <x:c r="Z111" s="48" t="n">
        <x:f>(Inputs!$H$6+Inputs!$L$6*(((Inputs!$I$6+(((A111)+1)/2)*(Inputs!$J$6-Inputs!$I$6)))/Inputs!$K$6)^2)</x:f>
        <x:v>400.033856</x:v>
      </x:c>
      <x:c r="AA111" s="48" t="n">
        <x:f>(Inputs!$H$7+Inputs!$L$7*(((Inputs!$I$7+(((A111)+1)/2)*(Inputs!$J$7-Inputs!$I$7)))/Inputs!$K$7)^2)</x:f>
        <x:v>38.08936</x:v>
      </x:c>
      <x:c r="AB111" s="48" t="n">
        <x:f>(Inputs!$H$8+Inputs!$L$8*(((Inputs!$I$8+(((A111)+1)/2)*(Inputs!$J$8-Inputs!$I$8)))/Inputs!$K$8)^2)</x:f>
        <x:v>43.16776</x:v>
      </x:c>
      <x:c r="AC111" s="48" t="n">
        <x:f>(Inputs!$H$9+Inputs!$L$9*(((Inputs!$I$9+(((A111)+1)/2)*(Inputs!$J$9-Inputs!$I$9)))/Inputs!$K$9)^2)</x:f>
        <x:v>33.25240000000001</x:v>
      </x:c>
      <x:c r="AD111" s="49"/>
      <x:c r="AE111" s="48" t="n">
        <x:f>A111</x:f>
        <x:v>-0.092</x:v>
      </x:c>
      <x:c r="AF111" s="48" t="n">
        <x:f>(((SQRT((Inputs!$C$52+((Inputs!$H$6+Inputs!$L$6*(((Inputs!$I$6+(((A111)+1)/2)*(Inputs!$J$6-Inputs!$I$6)))/Inputs!$K$6)^2)))^2+Inputs!$C$52^2-2*(Inputs!$C$52+((Inputs!$H$6+Inputs!$L$6*(((Inputs!$I$6+(((A111)+1)/2)*(Inputs!$J$6-Inputs!$I$6)))/Inputs!$K$6)^2)))*Inputs!$C$52*COS(SQRT(((Inputs!$I$6+(((A111)+1)/2)*(Inputs!$J$6-Inputs!$I$6)))^2+Inputs!$C$6^2)/Inputs!$C$52)))-((Inputs!$H$6+Inputs!$L$6*(((Inputs!$I$6+(((A111)+1)/2)*(Inputs!$J$6-Inputs!$I$6)))/Inputs!$K$6)^2)))*1000/Inputs!$C$12)</x:f>
        <x:v>577.4741253522795</x:v>
      </x:c>
      <x:c r="AG111" s="48" t="n">
        <x:f>(((SQRT((Inputs!$C$52+((Inputs!$H$7+Inputs!$L$7*(((Inputs!$I$7+(((A111)+1)/2)*(Inputs!$J$7-Inputs!$I$7)))/Inputs!$K$7)^2)))^2+Inputs!$C$52^2-2*(Inputs!$C$52+((Inputs!$H$7+Inputs!$L$7*(((Inputs!$I$7+(((A111)+1)/2)*(Inputs!$J$7-Inputs!$I$7)))/Inputs!$K$7)^2)))*Inputs!$C$52*COS(SQRT(((Inputs!$I$7+(((A111)+1)/2)*(Inputs!$J$7-Inputs!$I$7)))^2+Inputs!$C$6^2)/Inputs!$C$52)))-((Inputs!$H$7+Inputs!$L$7*(((Inputs!$I$7+(((A111)+1)/2)*(Inputs!$J$7-Inputs!$I$7)))/Inputs!$K$7)^2)))*1000/Inputs!$C$12)</x:f>
        <x:v>11734.231066539389</x:v>
      </x:c>
      <x:c r="AH111" s="48" t="n">
        <x:f>(((SQRT((Inputs!$C$52+((Inputs!$H$8+Inputs!$L$8*(((Inputs!$I$8+(((A111)+1)/2)*(Inputs!$J$8-Inputs!$I$8)))/Inputs!$K$8)^2)))^2+Inputs!$C$52^2-2*(Inputs!$C$52+((Inputs!$H$8+Inputs!$L$8*(((Inputs!$I$8+(((A111)+1)/2)*(Inputs!$J$8-Inputs!$I$8)))/Inputs!$K$8)^2)))*Inputs!$C$52*COS(SQRT(((Inputs!$I$8+(((A111)+1)/2)*(Inputs!$J$8-Inputs!$I$8)))^2+Inputs!$C$6^2)/Inputs!$C$52)))-((Inputs!$H$8+Inputs!$L$8*(((Inputs!$I$8+(((A111)+1)/2)*(Inputs!$J$8-Inputs!$I$8)))/Inputs!$K$8)^2)))*1000/Inputs!$C$12)</x:f>
        <x:v>26220.39695278472</x:v>
      </x:c>
      <x:c r="AI111" s="48" t="n">
        <x:f>(((SQRT((Inputs!$C$52+((Inputs!$H$9+Inputs!$L$9*(((Inputs!$I$9+(((A111)+1)/2)*(Inputs!$J$9-Inputs!$I$9)))/Inputs!$K$9)^2)))^2+Inputs!$C$52^2-2*(Inputs!$C$52+((Inputs!$H$9+Inputs!$L$9*(((Inputs!$I$9+(((A111)+1)/2)*(Inputs!$J$9-Inputs!$I$9)))/Inputs!$K$9)^2)))*Inputs!$C$52*COS(SQRT(((Inputs!$I$9+(((A111)+1)/2)*(Inputs!$J$9-Inputs!$I$9)))^2+Inputs!$C$6^2)/Inputs!$C$52)))-((Inputs!$H$9+Inputs!$L$9*(((Inputs!$I$9+(((A111)+1)/2)*(Inputs!$J$9-Inputs!$I$9)))/Inputs!$K$9)^2)))*1000/Inputs!$C$12)</x:f>
        <x:v>29237.06024749032</x:v>
      </x:c>
      <x:c r="AJ111" s="49"/>
      <x:c r="AK111" s="48" t="n">
        <x:f>A111</x:f>
        <x:v>-0.092</x:v>
      </x:c>
      <x:c r="AL111" s="48" t="n">
        <x: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x:f>
        <x:v>47.25107896722717</x:v>
      </x:c>
      <x:c r="AM111" s="48" t="n">
        <x: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x:f>
        <x:v>1198.979589355481</x:v>
      </x:c>
      <x:c r="AN111" s="48" t="n">
        <x: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x:f>
        <x:v>1524.7524745215871</x:v>
      </x:c>
      <x:c r="AO111" s="48" t="n">
        <x: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x:f>
        <x:v>1557.481764365157</x:v>
      </x:c>
      <x:c r="AP111" s="49"/>
      <x:c r="AQ111" s="48" t="n">
        <x:f>A111</x:f>
        <x:v>-0.092</x:v>
      </x:c>
      <x:c r="AR111" s="48" t="n">
        <x:f>0</x:f>
        <x:v>0</x:v>
      </x:c>
      <x:c r="AS111" s="48" t="n">
        <x: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(0.45*SIN(2*PI()*((((Inputs!$I$6+(((A111)+1)/2)*(Inputs!$J$6-Inputs!$I$6)))/Inputs!$C$49)+Inputs!$C$47*0.137))+0.35*COS(2*PI()*(((Inputs!$C$6)/Inputs!$C$50)+Inputs!$C$47*0.173))+0.20*SIN(2*PI()*((((Inputs!$I$6+(((A111)+1)/2)*(Inputs!$J$6-Inputs!$I$6)))+(Inputs!$C$6))/(0.5*(Inputs!$C$49+Inputs!$C$50))+Inputs!$C$47*0.097)))+0.30*(2*((SIN((((Inputs!$I$6+(((A111)+1)/2)*(Inputs!$J$6-Inputs!$I$6)))*12.9898+(Inputs!$C$6)*78.233+Inputs!$C$47*37.719))*43758.5453)-INT((SIN((((Inputs!$I$6+(((A111)+1)/2)*(Inputs!$J$6-Inputs!$I$6)))*12.9898+(Inputs!$C$6)*78.233+Inputs!$C$47*37.719))*43758.5453)))-1))),NA())</x:f>
        <x:v>423.9268348091652</x:v>
      </x:c>
      <x:c r="AT111" s="48" t="n">
        <x: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(0.45*SIN(2*PI()*((((Inputs!$I$7+(((A111)+1)/2)*(Inputs!$J$7-Inputs!$I$7)))/Inputs!$C$49)+Inputs!$C$47*0.137))+0.35*COS(2*PI()*(((Inputs!$C$6)/Inputs!$C$50)+Inputs!$C$47*0.173))+0.20*SIN(2*PI()*((((Inputs!$I$7+(((A111)+1)/2)*(Inputs!$J$7-Inputs!$I$7)))+(Inputs!$C$6))/(0.5*(Inputs!$C$49+Inputs!$C$50))+Inputs!$C$47*0.097)))+0.30*(2*((SIN((((Inputs!$I$7+(((A111)+1)/2)*(Inputs!$J$7-Inputs!$I$7)))*12.9898+(Inputs!$C$6)*78.233+Inputs!$C$47*37.719))*43758.5453)-INT((SIN((((Inputs!$I$7+(((A111)+1)/2)*(Inputs!$J$7-Inputs!$I$7)))*12.9898+(Inputs!$C$6)*78.233+Inputs!$C$47*37.719))*43758.5453)))-1))),NA())</x:f>
        <x:v>240.73038217752708</x:v>
      </x:c>
      <x:c r="AU111" s="48" t="n">
        <x: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(0.45*SIN(2*PI()*((((Inputs!$I$8+(((A111)+1)/2)*(Inputs!$J$8-Inputs!$I$8)))/Inputs!$C$49)+Inputs!$C$47*0.137))+0.35*COS(2*PI()*(((Inputs!$C$6)/Inputs!$C$50)+Inputs!$C$47*0.173))+0.20*SIN(2*PI()*((((Inputs!$I$8+(((A111)+1)/2)*(Inputs!$J$8-Inputs!$I$8)))+(Inputs!$C$6))/(0.5*(Inputs!$C$49+Inputs!$C$50))+Inputs!$C$47*0.097)))+0.30*(2*((SIN((((Inputs!$I$8+(((A111)+1)/2)*(Inputs!$J$8-Inputs!$I$8)))*12.9898+(Inputs!$C$6)*78.233+Inputs!$C$47*37.719))*43758.5453)-INT((SIN((((Inputs!$I$8+(((A111)+1)/2)*(Inputs!$J$8-Inputs!$I$8)))*12.9898+(Inputs!$C$6)*78.233+Inputs!$C$47*37.719))*43758.5453)))-1))),NA())</x:f>
        <x:v>92.38014791700866</x:v>
      </x:c>
      <x:c r="AV111" s="48" t="n">
        <x: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(0.45*SIN(2*PI()*((((Inputs!$I$9+(((A111)+1)/2)*(Inputs!$J$9-Inputs!$I$9)))/Inputs!$C$49)+Inputs!$C$47*0.137))+0.35*COS(2*PI()*(((Inputs!$C$6)/Inputs!$C$50)+Inputs!$C$47*0.173))+0.20*SIN(2*PI()*((((Inputs!$I$9+(((A111)+1)/2)*(Inputs!$J$9-Inputs!$I$9)))+(Inputs!$C$6))/(0.5*(Inputs!$C$49+Inputs!$C$50))+Inputs!$C$47*0.097)))+0.30*(2*((SIN((((Inputs!$I$9+(((A111)+1)/2)*(Inputs!$J$9-Inputs!$I$9)))*12.9898+(Inputs!$C$6)*78.233+Inputs!$C$47*37.719))*43758.5453)-INT((SIN((((Inputs!$I$9+(((A111)+1)/2)*(Inputs!$J$9-Inputs!$I$9)))*12.9898+(Inputs!$C$6)*78.233+Inputs!$C$47*37.719))*43758.5453)))-1))),NA())</x:f>
        <x:v>92.38014791700866</x:v>
      </x:c>
      <x:c r="AW111" s="49"/>
      <x:c r="AX111" s="48" t="n">
        <x:f>A111</x:f>
        <x:v>-0.092</x:v>
      </x:c>
      <x:c r="AY111" s="48" t="n">
        <x:f>0</x:f>
        <x:v>0</x:v>
      </x:c>
      <x:c r="AZ111" s="48" t="n">
        <x:f>IF(OR(Inputs!$F$6=TRUE,Inputs!$F$6="TRUE",Inputs!$F$6=1),(Inputs!$H$6+Inputs!$L$6*(((Inputs!$I$6+(((A111)+1)/2)*(Inputs!$J$6-Inputs!$I$6)))/Inputs!$K$6)^2),NA())</x:f>
        <x:v>400.033856</x:v>
      </x:c>
      <x:c r="BA111" s="48" t="n">
        <x:f>IF(OR(Inputs!$F$7=TRUE,Inputs!$F$7="TRUE",Inputs!$F$7=1),(Inputs!$H$7+Inputs!$L$7*(((Inputs!$I$7+(((A111)+1)/2)*(Inputs!$J$7-Inputs!$I$7)))/Inputs!$K$7)^2),NA())</x:f>
        <x:v>38.08936</x:v>
      </x:c>
      <x:c r="BB111" s="48" t="n">
        <x:f>IF(OR(Inputs!$F$8=TRUE,Inputs!$F$8="TRUE",Inputs!$F$8=1),(Inputs!$H$8+Inputs!$L$8*(((Inputs!$I$8+(((A111)+1)/2)*(Inputs!$J$8-Inputs!$I$8)))/Inputs!$K$8)^2),NA())</x:f>
        <x:v>43.16776</x:v>
      </x:c>
      <x:c r="BC111" s="48" t="n">
        <x:f>IF(OR(Inputs!$F$9=TRUE,Inputs!$F$9="TRUE",Inputs!$F$9=1),(Inputs!$H$9+Inputs!$L$9*(((Inputs!$I$9+(((A111)+1)/2)*(Inputs!$J$9-Inputs!$I$9)))/Inputs!$K$9)^2),NA())</x:f>
        <x:v>33.25240000000001</x:v>
      </x:c>
      <x:c r="BD111" s="49"/>
      <x:c r="BE111" s="48" t="n">
        <x:f>A111</x:f>
        <x:v>-0.092</x:v>
      </x:c>
      <x:c r="BF111" s="48" t="n">
        <x:f>0</x:f>
        <x:v>0</x:v>
      </x:c>
      <x:c r="BG111" s="48"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BH111" s="48"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BI111" s="48"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BJ111" s="48"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row>
    <x:row r="112">
      <x:c r="A112" s="48" t="n">
        <x:f>ROUND(-1+110*2/240,3)</x:f>
        <x:v>-0.083</x:v>
      </x:c>
      <x:c r="B112" s="48" t="n">
        <x:f>IF(OR(Inputs!$F$6=TRUE,Inputs!$F$6="TRUE",Inputs!$F$6=1),(Inputs!$H$6+Inputs!$L$6*(((Inputs!$I$6+(((A112)+1)/2)*(Inputs!$J$6-Inputs!$I$6)))/Inputs!$K$6)^2),NA())</x:f>
        <x:v>400.027556</x:v>
      </x:c>
      <x:c r="C112" s="48" t="n">
        <x:f>IF(OR(Inputs!$F$7=TRUE,Inputs!$F$7="TRUE",Inputs!$F$7=1),(Inputs!$H$7+Inputs!$L$7*(((Inputs!$I$7+(((A112)+1)/2)*(Inputs!$J$7-Inputs!$I$7)))/Inputs!$K$7)^2),NA())</x:f>
        <x:v>37.514485</x:v>
      </x:c>
      <x:c r="D112" s="48" t="n">
        <x:f>IF(OR(Inputs!$F$8=TRUE,Inputs!$F$8="TRUE",Inputs!$F$8=1),(Inputs!$H$8+Inputs!$L$8*(((Inputs!$I$8+(((A112)+1)/2)*(Inputs!$J$8-Inputs!$I$8)))/Inputs!$K$8)^2),NA())</x:f>
        <x:v>41.647884999999995</x:v>
      </x:c>
      <x:c r="E112" s="48" t="n">
        <x:f>IF(OR(Inputs!$F$9=TRUE,Inputs!$F$9="TRUE",Inputs!$F$9=1),(Inputs!$H$9+Inputs!$L$9*(((Inputs!$I$9+(((A112)+1)/2)*(Inputs!$J$9-Inputs!$I$9)))/Inputs!$K$9)^2),NA())</x:f>
        <x:v>31.716774999999995</x:v>
      </x:c>
      <x:c r="F112" s="49"/>
      <x:c r="G112" s="48" t="n">
        <x:f>A112</x:f>
        <x:v>-0.083</x:v>
      </x:c>
      <x:c r="H112" s="48"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I112" s="48"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J112" s="48"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K112" s="48"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c r="L112" s="49"/>
      <x:c r="M112" s="48" t="n">
        <x:f>A112</x:f>
        <x:v>-0.083</x:v>
      </x:c>
      <x:c r="N112" s="48" t="n">
        <x: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x:f>
        <x:v>42.62987415435435</x:v>
      </x:c>
      <x:c r="O112" s="48" t="n">
        <x: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x:f>
        <x:v>1128.8337721741261</x:v>
      </x:c>
      <x:c r="P112" s="48" t="n">
        <x: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x:f>
        <x:v>1479.2982654164057</x:v>
      </x:c>
      <x:c r="Q112" s="48" t="n">
        <x: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x:f>
        <x:v>1520.4206404983338</x:v>
      </x:c>
      <x:c r="R112" s="49"/>
      <x:c r="S112" s="48" t="n">
        <x:f>A112</x:f>
        <x:v>-0.083</x:v>
      </x:c>
      <x:c r="T112" s="48" t="n">
        <x:f>(Inputs!$I$6+(((A112)+1)/2)*(Inputs!$J$6-Inputs!$I$6))</x:f>
        <x:v>-4.979999999999997</x:v>
      </x:c>
      <x:c r="U112" s="48" t="n">
        <x:f>(Inputs!$I$7+(((A112)+1)/2)*(Inputs!$J$7-Inputs!$I$7))</x:f>
        <x:v>-33.19999999999999</x:v>
      </x:c>
      <x:c r="V112" s="48" t="n">
        <x:f>(Inputs!$I$8+(((A112)+1)/2)*(Inputs!$J$8-Inputs!$I$8))</x:f>
        <x:v>-66.39999999999998</x:v>
      </x:c>
      <x:c r="W112" s="48" t="n">
        <x:f>(Inputs!$I$9+(((A112)+1)/2)*(Inputs!$J$9-Inputs!$I$9))</x:f>
        <x:v>-66.39999999999998</x:v>
      </x:c>
      <x:c r="X112" s="49"/>
      <x:c r="Y112" s="48" t="n">
        <x:f>A112</x:f>
        <x:v>-0.083</x:v>
      </x:c>
      <x:c r="Z112" s="48" t="n">
        <x:f>(Inputs!$H$6+Inputs!$L$6*(((Inputs!$I$6+(((A112)+1)/2)*(Inputs!$J$6-Inputs!$I$6)))/Inputs!$K$6)^2)</x:f>
        <x:v>400.027556</x:v>
      </x:c>
      <x:c r="AA112" s="48" t="n">
        <x:f>(Inputs!$H$7+Inputs!$L$7*(((Inputs!$I$7+(((A112)+1)/2)*(Inputs!$J$7-Inputs!$I$7)))/Inputs!$K$7)^2)</x:f>
        <x:v>37.514485</x:v>
      </x:c>
      <x:c r="AB112" s="48" t="n">
        <x:f>(Inputs!$H$8+Inputs!$L$8*(((Inputs!$I$8+(((A112)+1)/2)*(Inputs!$J$8-Inputs!$I$8)))/Inputs!$K$8)^2)</x:f>
        <x:v>41.647884999999995</x:v>
      </x:c>
      <x:c r="AC112" s="48" t="n">
        <x:f>(Inputs!$H$9+Inputs!$L$9*(((Inputs!$I$9+(((A112)+1)/2)*(Inputs!$J$9-Inputs!$I$9)))/Inputs!$K$9)^2)</x:f>
        <x:v>31.716774999999995</x:v>
      </x:c>
      <x:c r="AD112" s="49"/>
      <x:c r="AE112" s="48" t="n">
        <x:f>A112</x:f>
        <x:v>-0.083</x:v>
      </x:c>
      <x:c r="AF112" s="48" t="n">
        <x:f>(((SQRT((Inputs!$C$52+((Inputs!$H$6+Inputs!$L$6*(((Inputs!$I$6+(((A112)+1)/2)*(Inputs!$J$6-Inputs!$I$6)))/Inputs!$K$6)^2)))^2+Inputs!$C$52^2-2*(Inputs!$C$52+((Inputs!$H$6+Inputs!$L$6*(((Inputs!$I$6+(((A112)+1)/2)*(Inputs!$J$6-Inputs!$I$6)))/Inputs!$K$6)^2)))*Inputs!$C$52*COS(SQRT(((Inputs!$I$6+(((A112)+1)/2)*(Inputs!$J$6-Inputs!$I$6)))^2+Inputs!$C$6^2)/Inputs!$C$52)))-((Inputs!$H$6+Inputs!$L$6*(((Inputs!$I$6+(((A112)+1)/2)*(Inputs!$J$6-Inputs!$I$6)))/Inputs!$K$6)^2)))*1000/Inputs!$C$12)</x:f>
        <x:v>572.4924277890129</x:v>
      </x:c>
      <x:c r="AG112" s="48" t="n">
        <x:f>(((SQRT((Inputs!$C$52+((Inputs!$H$7+Inputs!$L$7*(((Inputs!$I$7+(((A112)+1)/2)*(Inputs!$J$7-Inputs!$I$7)))/Inputs!$K$7)^2)))^2+Inputs!$C$52^2-2*(Inputs!$C$52+((Inputs!$H$7+Inputs!$L$7*(((Inputs!$I$7+(((A112)+1)/2)*(Inputs!$J$7-Inputs!$I$7)))/Inputs!$K$7)^2)))*Inputs!$C$52*COS(SQRT(((Inputs!$I$7+(((A112)+1)/2)*(Inputs!$J$7-Inputs!$I$7)))^2+Inputs!$C$6^2)/Inputs!$C$52)))-((Inputs!$H$7+Inputs!$L$7*(((Inputs!$I$7+(((A112)+1)/2)*(Inputs!$J$7-Inputs!$I$7)))/Inputs!$K$7)^2)))*1000/Inputs!$C$12)</x:f>
        <x:v>10585.062394302196</x:v>
      </x:c>
      <x:c r="AH112" s="48" t="n">
        <x:f>(((SQRT((Inputs!$C$52+((Inputs!$H$8+Inputs!$L$8*(((Inputs!$I$8+(((A112)+1)/2)*(Inputs!$J$8-Inputs!$I$8)))/Inputs!$K$8)^2)))^2+Inputs!$C$52^2-2*(Inputs!$C$52+((Inputs!$H$8+Inputs!$L$8*(((Inputs!$I$8+(((A112)+1)/2)*(Inputs!$J$8-Inputs!$I$8)))/Inputs!$K$8)^2)))*Inputs!$C$52*COS(SQRT(((Inputs!$I$8+(((A112)+1)/2)*(Inputs!$J$8-Inputs!$I$8)))^2+Inputs!$C$6^2)/Inputs!$C$52)))-((Inputs!$H$8+Inputs!$L$8*(((Inputs!$I$8+(((A112)+1)/2)*(Inputs!$J$8-Inputs!$I$8)))/Inputs!$K$8)^2)))*1000/Inputs!$C$12)</x:f>
        <x:v>23275.301181611485</x:v>
      </x:c>
      <x:c r="AI112" s="48" t="n">
        <x:f>(((SQRT((Inputs!$C$52+((Inputs!$H$9+Inputs!$L$9*(((Inputs!$I$9+(((A112)+1)/2)*(Inputs!$J$9-Inputs!$I$9)))/Inputs!$K$9)^2)))^2+Inputs!$C$52^2-2*(Inputs!$C$52+((Inputs!$H$9+Inputs!$L$9*(((Inputs!$I$9+(((A112)+1)/2)*(Inputs!$J$9-Inputs!$I$9)))/Inputs!$K$9)^2)))*Inputs!$C$52*COS(SQRT(((Inputs!$I$9+(((A112)+1)/2)*(Inputs!$J$9-Inputs!$I$9)))^2+Inputs!$C$6^2)/Inputs!$C$52)))-((Inputs!$H$9+Inputs!$L$9*(((Inputs!$I$9+(((A112)+1)/2)*(Inputs!$J$9-Inputs!$I$9)))/Inputs!$K$9)^2)))*1000/Inputs!$C$12)</x:f>
        <x:v>26207.765915968655</x:v>
      </x:c>
      <x:c r="AJ112" s="49"/>
      <x:c r="AK112" s="48" t="n">
        <x:f>A112</x:f>
        <x:v>-0.083</x:v>
      </x:c>
      <x:c r="AL112" s="48" t="n">
        <x: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x:f>
        <x:v>42.62987415435435</x:v>
      </x:c>
      <x:c r="AM112" s="48" t="n">
        <x: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x:f>
        <x:v>1128.8337721741261</x:v>
      </x:c>
      <x:c r="AN112" s="48" t="n">
        <x: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x:f>
        <x:v>1479.2982654164057</x:v>
      </x:c>
      <x:c r="AO112" s="48" t="n">
        <x: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x:f>
        <x:v>1520.4206404983338</x:v>
      </x:c>
      <x:c r="AP112" s="49"/>
      <x:c r="AQ112" s="48" t="n">
        <x:f>A112</x:f>
        <x:v>-0.083</x:v>
      </x:c>
      <x:c r="AR112" s="48" t="n">
        <x:f>0</x:f>
        <x:v>0</x:v>
      </x:c>
      <x:c r="AS112" s="48" t="n">
        <x: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(0.45*SIN(2*PI()*((((Inputs!$I$6+(((A112)+1)/2)*(Inputs!$J$6-Inputs!$I$6)))/Inputs!$C$49)+Inputs!$C$47*0.137))+0.35*COS(2*PI()*(((Inputs!$C$6)/Inputs!$C$50)+Inputs!$C$47*0.173))+0.20*SIN(2*PI()*((((Inputs!$I$6+(((A112)+1)/2)*(Inputs!$J$6-Inputs!$I$6)))+(Inputs!$C$6))/(0.5*(Inputs!$C$49+Inputs!$C$50))+Inputs!$C$47*0.097)))+0.30*(2*((SIN((((Inputs!$I$6+(((A112)+1)/2)*(Inputs!$J$6-Inputs!$I$6)))*12.9898+(Inputs!$C$6)*78.233+Inputs!$C$47*37.719))*43758.5453)-INT((SIN((((Inputs!$I$6+(((A112)+1)/2)*(Inputs!$J$6-Inputs!$I$6)))*12.9898+(Inputs!$C$6)*78.233+Inputs!$C$47*37.719))*43758.5453)))-1))),NA())</x:f>
        <x:v>417.178785372835</x:v>
      </x:c>
      <x:c r="AT112" s="48" t="n">
        <x: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(0.45*SIN(2*PI()*((((Inputs!$I$7+(((A112)+1)/2)*(Inputs!$J$7-Inputs!$I$7)))/Inputs!$C$49)+Inputs!$C$47*0.137))+0.35*COS(2*PI()*(((Inputs!$C$6)/Inputs!$C$50)+Inputs!$C$47*0.173))+0.20*SIN(2*PI()*((((Inputs!$I$7+(((A112)+1)/2)*(Inputs!$J$7-Inputs!$I$7)))+(Inputs!$C$6))/(0.5*(Inputs!$C$49+Inputs!$C$50))+Inputs!$C$47*0.097)))+0.30*(2*((SIN((((Inputs!$I$7+(((A112)+1)/2)*(Inputs!$J$7-Inputs!$I$7)))*12.9898+(Inputs!$C$6)*78.233+Inputs!$C$47*37.719))*43758.5453)-INT((SIN((((Inputs!$I$7+(((A112)+1)/2)*(Inputs!$J$7-Inputs!$I$7)))*12.9898+(Inputs!$C$6)*78.233+Inputs!$C$47*37.719))*43758.5453)))-1))),NA())</x:f>
        <x:v>328.74222430435594</x:v>
      </x:c>
      <x:c r="AU112" s="48" t="n">
        <x: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(0.45*SIN(2*PI()*((((Inputs!$I$8+(((A112)+1)/2)*(Inputs!$J$8-Inputs!$I$8)))/Inputs!$C$49)+Inputs!$C$47*0.137))+0.35*COS(2*PI()*(((Inputs!$C$6)/Inputs!$C$50)+Inputs!$C$47*0.173))+0.20*SIN(2*PI()*((((Inputs!$I$8+(((A112)+1)/2)*(Inputs!$J$8-Inputs!$I$8)))+(Inputs!$C$6))/(0.5*(Inputs!$C$49+Inputs!$C$50))+Inputs!$C$47*0.097)))+0.30*(2*((SIN((((Inputs!$I$8+(((A112)+1)/2)*(Inputs!$J$8-Inputs!$I$8)))*12.9898+(Inputs!$C$6)*78.233+Inputs!$C$47*37.719))*43758.5453)-INT((SIN((((Inputs!$I$8+(((A112)+1)/2)*(Inputs!$J$8-Inputs!$I$8)))*12.9898+(Inputs!$C$6)*78.233+Inputs!$C$47*37.719))*43758.5453)))-1))),NA())</x:f>
        <x:v>230.41709698752425</x:v>
      </x:c>
      <x:c r="AV112" s="48" t="n">
        <x: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(0.45*SIN(2*PI()*((((Inputs!$I$9+(((A112)+1)/2)*(Inputs!$J$9-Inputs!$I$9)))/Inputs!$C$49)+Inputs!$C$47*0.137))+0.35*COS(2*PI()*(((Inputs!$C$6)/Inputs!$C$50)+Inputs!$C$47*0.173))+0.20*SIN(2*PI()*((((Inputs!$I$9+(((A112)+1)/2)*(Inputs!$J$9-Inputs!$I$9)))+(Inputs!$C$6))/(0.5*(Inputs!$C$49+Inputs!$C$50))+Inputs!$C$47*0.097)))+0.30*(2*((SIN((((Inputs!$I$9+(((A112)+1)/2)*(Inputs!$J$9-Inputs!$I$9)))*12.9898+(Inputs!$C$6)*78.233+Inputs!$C$47*37.719))*43758.5453)-INT((SIN((((Inputs!$I$9+(((A112)+1)/2)*(Inputs!$J$9-Inputs!$I$9)))*12.9898+(Inputs!$C$6)*78.233+Inputs!$C$47*37.719))*43758.5453)))-1))),NA())</x:f>
        <x:v>230.41709698752425</x:v>
      </x:c>
      <x:c r="AW112" s="49"/>
      <x:c r="AX112" s="48" t="n">
        <x:f>A112</x:f>
        <x:v>-0.083</x:v>
      </x:c>
      <x:c r="AY112" s="48" t="n">
        <x:f>0</x:f>
        <x:v>0</x:v>
      </x:c>
      <x:c r="AZ112" s="48" t="n">
        <x:f>IF(OR(Inputs!$F$6=TRUE,Inputs!$F$6="TRUE",Inputs!$F$6=1),(Inputs!$H$6+Inputs!$L$6*(((Inputs!$I$6+(((A112)+1)/2)*(Inputs!$J$6-Inputs!$I$6)))/Inputs!$K$6)^2),NA())</x:f>
        <x:v>400.027556</x:v>
      </x:c>
      <x:c r="BA112" s="48" t="n">
        <x:f>IF(OR(Inputs!$F$7=TRUE,Inputs!$F$7="TRUE",Inputs!$F$7=1),(Inputs!$H$7+Inputs!$L$7*(((Inputs!$I$7+(((A112)+1)/2)*(Inputs!$J$7-Inputs!$I$7)))/Inputs!$K$7)^2),NA())</x:f>
        <x:v>37.514485</x:v>
      </x:c>
      <x:c r="BB112" s="48" t="n">
        <x:f>IF(OR(Inputs!$F$8=TRUE,Inputs!$F$8="TRUE",Inputs!$F$8=1),(Inputs!$H$8+Inputs!$L$8*(((Inputs!$I$8+(((A112)+1)/2)*(Inputs!$J$8-Inputs!$I$8)))/Inputs!$K$8)^2),NA())</x:f>
        <x:v>41.647884999999995</x:v>
      </x:c>
      <x:c r="BC112" s="48" t="n">
        <x:f>IF(OR(Inputs!$F$9=TRUE,Inputs!$F$9="TRUE",Inputs!$F$9=1),(Inputs!$H$9+Inputs!$L$9*(((Inputs!$I$9+(((A112)+1)/2)*(Inputs!$J$9-Inputs!$I$9)))/Inputs!$K$9)^2),NA())</x:f>
        <x:v>31.716774999999995</x:v>
      </x:c>
      <x:c r="BD112" s="49"/>
      <x:c r="BE112" s="48" t="n">
        <x:f>A112</x:f>
        <x:v>-0.083</x:v>
      </x:c>
      <x:c r="BF112" s="48" t="n">
        <x:f>0</x:f>
        <x:v>0</x:v>
      </x:c>
      <x:c r="BG112" s="48"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BH112" s="48"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BI112" s="48"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BJ112" s="48"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row>
    <x:row r="113">
      <x:c r="A113" s="48" t="n">
        <x:f>ROUND(-1+111*2/240,3)</x:f>
        <x:v>-0.075</x:v>
      </x:c>
      <x:c r="B113" s="48" t="n">
        <x:f>IF(OR(Inputs!$F$6=TRUE,Inputs!$F$6="TRUE",Inputs!$F$6=1),(Inputs!$H$6+Inputs!$L$6*(((Inputs!$I$6+(((A113)+1)/2)*(Inputs!$J$6-Inputs!$I$6)))/Inputs!$K$6)^2),NA())</x:f>
        <x:v>400.0225</x:v>
      </x:c>
      <x:c r="C113" s="48" t="n">
        <x:f>IF(OR(Inputs!$F$7=TRUE,Inputs!$F$7="TRUE",Inputs!$F$7=1),(Inputs!$H$7+Inputs!$L$7*(((Inputs!$I$7+(((A113)+1)/2)*(Inputs!$J$7-Inputs!$I$7)))/Inputs!$K$7)^2),NA())</x:f>
        <x:v>37.053125</x:v>
      </x:c>
      <x:c r="D113" s="48" t="n">
        <x:f>IF(OR(Inputs!$F$8=TRUE,Inputs!$F$8="TRUE",Inputs!$F$8=1),(Inputs!$H$8+Inputs!$L$8*(((Inputs!$I$8+(((A113)+1)/2)*(Inputs!$J$8-Inputs!$I$8)))/Inputs!$K$8)^2),NA())</x:f>
        <x:v>40.428125</x:v>
      </x:c>
      <x:c r="E113" s="48" t="n">
        <x:f>IF(OR(Inputs!$F$9=TRUE,Inputs!$F$9="TRUE",Inputs!$F$9=1),(Inputs!$H$9+Inputs!$L$9*(((Inputs!$I$9+(((A113)+1)/2)*(Inputs!$J$9-Inputs!$I$9)))/Inputs!$K$9)^2),NA())</x:f>
        <x:v>30.484375</x:v>
      </x:c>
      <x:c r="F113" s="49"/>
      <x:c r="G113" s="48" t="n">
        <x:f>A113</x:f>
        <x:v>-0.075</x:v>
      </x:c>
      <x:c r="H113" s="48"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I113" s="48"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J113" s="48"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K113" s="48"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c r="L113" s="49"/>
      <x:c r="M113" s="48" t="n">
        <x:f>A113</x:f>
        <x:v>-0.075</x:v>
      </x:c>
      <x:c r="N113" s="48" t="n">
        <x: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x:f>
        <x:v>38.52182885629811</x:v>
      </x:c>
      <x:c r="O113" s="48" t="n">
        <x: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x:f>
        <x:v>1058.8749722809732</x:v>
      </x:c>
      <x:c r="P113" s="48" t="n">
        <x: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x:f>
        <x:v>1431.0362626313524</x:v>
      </x:c>
      <x:c r="Q113" s="48" t="n">
        <x: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x:f>
        <x:v>1480.8862192067272</x:v>
      </x:c>
      <x:c r="R113" s="49"/>
      <x:c r="S113" s="48" t="n">
        <x:f>A113</x:f>
        <x:v>-0.075</x:v>
      </x:c>
      <x:c r="T113" s="48" t="n">
        <x:f>(Inputs!$I$6+(((A113)+1)/2)*(Inputs!$J$6-Inputs!$I$6))</x:f>
        <x:v>-4.5</x:v>
      </x:c>
      <x:c r="U113" s="48" t="n">
        <x:f>(Inputs!$I$7+(((A113)+1)/2)*(Inputs!$J$7-Inputs!$I$7))</x:f>
        <x:v>-30</x:v>
      </x:c>
      <x:c r="V113" s="48" t="n">
        <x:f>(Inputs!$I$8+(((A113)+1)/2)*(Inputs!$J$8-Inputs!$I$8))</x:f>
        <x:v>-60</x:v>
      </x:c>
      <x:c r="W113" s="48" t="n">
        <x:f>(Inputs!$I$9+(((A113)+1)/2)*(Inputs!$J$9-Inputs!$I$9))</x:f>
        <x:v>-60</x:v>
      </x:c>
      <x:c r="X113" s="49"/>
      <x:c r="Y113" s="48" t="n">
        <x:f>A113</x:f>
        <x:v>-0.075</x:v>
      </x:c>
      <x:c r="Z113" s="48" t="n">
        <x:f>(Inputs!$H$6+Inputs!$L$6*(((Inputs!$I$6+(((A113)+1)/2)*(Inputs!$J$6-Inputs!$I$6)))/Inputs!$K$6)^2)</x:f>
        <x:v>400.0225</x:v>
      </x:c>
      <x:c r="AA113" s="48" t="n">
        <x:f>(Inputs!$H$7+Inputs!$L$7*(((Inputs!$I$7+(((A113)+1)/2)*(Inputs!$J$7-Inputs!$I$7)))/Inputs!$K$7)^2)</x:f>
        <x:v>37.053125</x:v>
      </x:c>
      <x:c r="AB113" s="48" t="n">
        <x:f>(Inputs!$H$8+Inputs!$L$8*(((Inputs!$I$8+(((A113)+1)/2)*(Inputs!$J$8-Inputs!$I$8)))/Inputs!$K$8)^2)</x:f>
        <x:v>40.428125</x:v>
      </x:c>
      <x:c r="AC113" s="48" t="n">
        <x:f>(Inputs!$H$9+Inputs!$L$9*(((Inputs!$I$9+(((A113)+1)/2)*(Inputs!$J$9-Inputs!$I$9)))/Inputs!$K$9)^2)</x:f>
        <x:v>30.484375</x:v>
      </x:c>
      <x:c r="AD113" s="49"/>
      <x:c r="AE113" s="48" t="n">
        <x:f>A113</x:f>
        <x:v>-0.075</x:v>
      </x:c>
      <x:c r="AF113" s="48" t="n">
        <x:f>(((SQRT((Inputs!$C$52+((Inputs!$H$6+Inputs!$L$6*(((Inputs!$I$6+(((A113)+1)/2)*(Inputs!$J$6-Inputs!$I$6)))/Inputs!$K$6)^2)))^2+Inputs!$C$52^2-2*(Inputs!$C$52+((Inputs!$H$6+Inputs!$L$6*(((Inputs!$I$6+(((A113)+1)/2)*(Inputs!$J$6-Inputs!$I$6)))/Inputs!$K$6)^2)))*Inputs!$C$52*COS(SQRT(((Inputs!$I$6+(((A113)+1)/2)*(Inputs!$J$6-Inputs!$I$6)))^2+Inputs!$C$6^2)/Inputs!$C$52)))-((Inputs!$H$6+Inputs!$L$6*(((Inputs!$I$6+(((A113)+1)/2)*(Inputs!$J$6-Inputs!$I$6)))/Inputs!$K$6)^2)))*1000/Inputs!$C$12)</x:f>
        <x:v>568.494246712671</x:v>
      </x:c>
      <x:c r="AG113" s="48" t="n">
        <x:f>(((SQRT((Inputs!$C$52+((Inputs!$H$7+Inputs!$L$7*(((Inputs!$I$7+(((A113)+1)/2)*(Inputs!$J$7-Inputs!$I$7)))/Inputs!$K$7)^2)))^2+Inputs!$C$52^2-2*(Inputs!$C$52+((Inputs!$H$7+Inputs!$L$7*(((Inputs!$I$7+(((A113)+1)/2)*(Inputs!$J$7-Inputs!$I$7)))/Inputs!$K$7)^2)))*Inputs!$C$52*COS(SQRT(((Inputs!$I$7+(((A113)+1)/2)*(Inputs!$J$7-Inputs!$I$7)))^2+Inputs!$C$6^2)/Inputs!$C$52)))-((Inputs!$H$7+Inputs!$L$7*(((Inputs!$I$7+(((A113)+1)/2)*(Inputs!$J$7-Inputs!$I$7)))/Inputs!$K$7)^2)))*1000/Inputs!$C$12)</x:f>
        <x:v>9614.494932634681</x:v>
      </x:c>
      <x:c r="AH113" s="48" t="n">
        <x:f>(((SQRT((Inputs!$C$52+((Inputs!$H$8+Inputs!$L$8*(((Inputs!$I$8+(((A113)+1)/2)*(Inputs!$J$8-Inputs!$I$8)))/Inputs!$K$8)^2)))^2+Inputs!$C$52^2-2*(Inputs!$C$52+((Inputs!$H$8+Inputs!$L$8*(((Inputs!$I$8+(((A113)+1)/2)*(Inputs!$J$8-Inputs!$I$8)))/Inputs!$K$8)^2)))*Inputs!$C$52*COS(SQRT(((Inputs!$I$8+(((A113)+1)/2)*(Inputs!$J$8-Inputs!$I$8)))^2+Inputs!$C$6^2)/Inputs!$C$52)))-((Inputs!$H$8+Inputs!$L$8*(((Inputs!$I$8+(((A113)+1)/2)*(Inputs!$J$8-Inputs!$I$8)))/Inputs!$K$8)^2)))*1000/Inputs!$C$12)</x:f>
        <x:v>20688.923189965295</x:v>
      </x:c>
      <x:c r="AI113" s="48" t="n">
        <x:f>(((SQRT((Inputs!$C$52+((Inputs!$H$9+Inputs!$L$9*(((Inputs!$I$9+(((A113)+1)/2)*(Inputs!$J$9-Inputs!$I$9)))/Inputs!$K$9)^2)))^2+Inputs!$C$52^2-2*(Inputs!$C$52+((Inputs!$H$9+Inputs!$L$9*(((Inputs!$I$9+(((A113)+1)/2)*(Inputs!$J$9-Inputs!$I$9)))/Inputs!$K$9)^2)))*Inputs!$C$52*COS(SQRT(((Inputs!$I$9+(((A113)+1)/2)*(Inputs!$J$9-Inputs!$I$9)))^2+Inputs!$C$6^2)/Inputs!$C$52)))-((Inputs!$H$9+Inputs!$L$9*(((Inputs!$I$9+(((A113)+1)/2)*(Inputs!$J$9-Inputs!$I$9)))/Inputs!$K$9)^2)))*1000/Inputs!$C$12)</x:f>
        <x:v>23526.503633044715</x:v>
      </x:c>
      <x:c r="AJ113" s="49"/>
      <x:c r="AK113" s="48" t="n">
        <x:f>A113</x:f>
        <x:v>-0.075</x:v>
      </x:c>
      <x:c r="AL113" s="48" t="n">
        <x: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x:f>
        <x:v>38.52182885629811</x:v>
      </x:c>
      <x:c r="AM113" s="48" t="n">
        <x: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x:f>
        <x:v>1058.8749722809732</x:v>
      </x:c>
      <x:c r="AN113" s="48" t="n">
        <x: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x:f>
        <x:v>1431.0362626313524</x:v>
      </x:c>
      <x:c r="AO113" s="48" t="n">
        <x: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x:f>
        <x:v>1480.8862192067272</x:v>
      </x:c>
      <x:c r="AP113" s="49"/>
      <x:c r="AQ113" s="48" t="n">
        <x:f>A113</x:f>
        <x:v>-0.075</x:v>
      </x:c>
      <x:c r="AR113" s="48" t="n">
        <x:f>0</x:f>
        <x:v>0</x:v>
      </x:c>
      <x:c r="AS113" s="48" t="n">
        <x: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(0.45*SIN(2*PI()*((((Inputs!$I$6+(((A113)+1)/2)*(Inputs!$J$6-Inputs!$I$6)))/Inputs!$C$49)+Inputs!$C$47*0.137))+0.35*COS(2*PI()*(((Inputs!$C$6)/Inputs!$C$50)+Inputs!$C$47*0.173))+0.20*SIN(2*PI()*((((Inputs!$I$6+(((A113)+1)/2)*(Inputs!$J$6-Inputs!$I$6)))+(Inputs!$C$6))/(0.5*(Inputs!$C$49+Inputs!$C$50))+Inputs!$C$47*0.097)))+0.30*(2*((SIN((((Inputs!$I$6+(((A113)+1)/2)*(Inputs!$J$6-Inputs!$I$6)))*12.9898+(Inputs!$C$6)*78.233+Inputs!$C$47*37.719))*43758.5453)-INT((SIN((((Inputs!$I$6+(((A113)+1)/2)*(Inputs!$J$6-Inputs!$I$6)))*12.9898+(Inputs!$C$6)*78.233+Inputs!$C$47*37.719))*43758.5453)))-1))),NA())</x:f>
        <x:v>423.30568039510905</x:v>
      </x:c>
      <x:c r="AT113" s="48" t="n">
        <x: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(0.45*SIN(2*PI()*((((Inputs!$I$7+(((A113)+1)/2)*(Inputs!$J$7-Inputs!$I$7)))/Inputs!$C$49)+Inputs!$C$47*0.137))+0.35*COS(2*PI()*(((Inputs!$C$6)/Inputs!$C$50)+Inputs!$C$47*0.173))+0.20*SIN(2*PI()*((((Inputs!$I$7+(((A113)+1)/2)*(Inputs!$J$7-Inputs!$I$7)))+(Inputs!$C$6))/(0.5*(Inputs!$C$49+Inputs!$C$50))+Inputs!$C$47*0.097)))+0.30*(2*((SIN((((Inputs!$I$7+(((A113)+1)/2)*(Inputs!$J$7-Inputs!$I$7)))*12.9898+(Inputs!$C$6)*78.233+Inputs!$C$47*37.719))*43758.5453)-INT((SIN((((Inputs!$I$7+(((A113)+1)/2)*(Inputs!$J$7-Inputs!$I$7)))*12.9898+(Inputs!$C$6)*78.233+Inputs!$C$47*37.719))*43758.5453)))-1))),NA())</x:f>
        <x:v>336.97644838088075</x:v>
      </x:c>
      <x:c r="AU113" s="48" t="n">
        <x: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(0.45*SIN(2*PI()*((((Inputs!$I$8+(((A113)+1)/2)*(Inputs!$J$8-Inputs!$I$8)))/Inputs!$C$49)+Inputs!$C$47*0.137))+0.35*COS(2*PI()*(((Inputs!$C$6)/Inputs!$C$50)+Inputs!$C$47*0.173))+0.20*SIN(2*PI()*((((Inputs!$I$8+(((A113)+1)/2)*(Inputs!$J$8-Inputs!$I$8)))+(Inputs!$C$6))/(0.5*(Inputs!$C$49+Inputs!$C$50))+Inputs!$C$47*0.097)))+0.30*(2*((SIN((((Inputs!$I$8+(((A113)+1)/2)*(Inputs!$J$8-Inputs!$I$8)))*12.9898+(Inputs!$C$6)*78.233+Inputs!$C$47*37.719))*43758.5453)-INT((SIN((((Inputs!$I$8+(((A113)+1)/2)*(Inputs!$J$8-Inputs!$I$8)))*12.9898+(Inputs!$C$6)*78.233+Inputs!$C$47*37.719))*43758.5453)))-1))),NA())</x:f>
        <x:v>119.42638570504096</x:v>
      </x:c>
      <x:c r="AV113" s="48" t="n">
        <x: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(0.45*SIN(2*PI()*((((Inputs!$I$9+(((A113)+1)/2)*(Inputs!$J$9-Inputs!$I$9)))/Inputs!$C$49)+Inputs!$C$47*0.137))+0.35*COS(2*PI()*(((Inputs!$C$6)/Inputs!$C$50)+Inputs!$C$47*0.173))+0.20*SIN(2*PI()*((((Inputs!$I$9+(((A113)+1)/2)*(Inputs!$J$9-Inputs!$I$9)))+(Inputs!$C$6))/(0.5*(Inputs!$C$49+Inputs!$C$50))+Inputs!$C$47*0.097)))+0.30*(2*((SIN((((Inputs!$I$9+(((A113)+1)/2)*(Inputs!$J$9-Inputs!$I$9)))*12.9898+(Inputs!$C$6)*78.233+Inputs!$C$47*37.719))*43758.5453)-INT((SIN((((Inputs!$I$9+(((A113)+1)/2)*(Inputs!$J$9-Inputs!$I$9)))*12.9898+(Inputs!$C$6)*78.233+Inputs!$C$47*37.719))*43758.5453)))-1))),NA())</x:f>
        <x:v>119.42638570504096</x:v>
      </x:c>
      <x:c r="AW113" s="49"/>
      <x:c r="AX113" s="48" t="n">
        <x:f>A113</x:f>
        <x:v>-0.075</x:v>
      </x:c>
      <x:c r="AY113" s="48" t="n">
        <x:f>0</x:f>
        <x:v>0</x:v>
      </x:c>
      <x:c r="AZ113" s="48" t="n">
        <x:f>IF(OR(Inputs!$F$6=TRUE,Inputs!$F$6="TRUE",Inputs!$F$6=1),(Inputs!$H$6+Inputs!$L$6*(((Inputs!$I$6+(((A113)+1)/2)*(Inputs!$J$6-Inputs!$I$6)))/Inputs!$K$6)^2),NA())</x:f>
        <x:v>400.0225</x:v>
      </x:c>
      <x:c r="BA113" s="48" t="n">
        <x:f>IF(OR(Inputs!$F$7=TRUE,Inputs!$F$7="TRUE",Inputs!$F$7=1),(Inputs!$H$7+Inputs!$L$7*(((Inputs!$I$7+(((A113)+1)/2)*(Inputs!$J$7-Inputs!$I$7)))/Inputs!$K$7)^2),NA())</x:f>
        <x:v>37.053125</x:v>
      </x:c>
      <x:c r="BB113" s="48" t="n">
        <x:f>IF(OR(Inputs!$F$8=TRUE,Inputs!$F$8="TRUE",Inputs!$F$8=1),(Inputs!$H$8+Inputs!$L$8*(((Inputs!$I$8+(((A113)+1)/2)*(Inputs!$J$8-Inputs!$I$8)))/Inputs!$K$8)^2),NA())</x:f>
        <x:v>40.428125</x:v>
      </x:c>
      <x:c r="BC113" s="48" t="n">
        <x:f>IF(OR(Inputs!$F$9=TRUE,Inputs!$F$9="TRUE",Inputs!$F$9=1),(Inputs!$H$9+Inputs!$L$9*(((Inputs!$I$9+(((A113)+1)/2)*(Inputs!$J$9-Inputs!$I$9)))/Inputs!$K$9)^2),NA())</x:f>
        <x:v>30.484375</x:v>
      </x:c>
      <x:c r="BD113" s="49"/>
      <x:c r="BE113" s="48" t="n">
        <x:f>A113</x:f>
        <x:v>-0.075</x:v>
      </x:c>
      <x:c r="BF113" s="48" t="n">
        <x:f>0</x:f>
        <x:v>0</x:v>
      </x:c>
      <x:c r="BG113" s="48"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BH113" s="48"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BI113" s="48"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BJ113" s="48"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row>
    <x:row r="114">
      <x:c r="A114" s="48" t="n">
        <x:f>ROUND(-1+112*2/240,3)</x:f>
        <x:v>-0.067</x:v>
      </x:c>
      <x:c r="B114" s="48" t="n">
        <x:f>IF(OR(Inputs!$F$6=TRUE,Inputs!$F$6="TRUE",Inputs!$F$6=1),(Inputs!$H$6+Inputs!$L$6*(((Inputs!$I$6+(((A114)+1)/2)*(Inputs!$J$6-Inputs!$I$6)))/Inputs!$K$6)^2),NA())</x:f>
        <x:v>400.017956</x:v>
      </x:c>
      <x:c r="C114" s="48" t="n">
        <x:f>IF(OR(Inputs!$F$7=TRUE,Inputs!$F$7="TRUE",Inputs!$F$7=1),(Inputs!$H$7+Inputs!$L$7*(((Inputs!$I$7+(((A114)+1)/2)*(Inputs!$J$7-Inputs!$I$7)))/Inputs!$K$7)^2),NA())</x:f>
        <x:v>36.638484999999996</x:v>
      </x:c>
      <x:c r="D114" s="48" t="n">
        <x:f>IF(OR(Inputs!$F$8=TRUE,Inputs!$F$8="TRUE",Inputs!$F$8=1),(Inputs!$H$8+Inputs!$L$8*(((Inputs!$I$8+(((A114)+1)/2)*(Inputs!$J$8-Inputs!$I$8)))/Inputs!$K$8)^2),NA())</x:f>
        <x:v>39.331884999999986</x:v>
      </x:c>
      <x:c r="E114" s="48" t="n">
        <x:f>IF(OR(Inputs!$F$9=TRUE,Inputs!$F$9="TRUE",Inputs!$F$9=1),(Inputs!$H$9+Inputs!$L$9*(((Inputs!$I$9+(((A114)+1)/2)*(Inputs!$J$9-Inputs!$I$9)))/Inputs!$K$9)^2),NA())</x:f>
        <x:v>29.376774999999988</x:v>
      </x:c>
      <x:c r="F114" s="49"/>
      <x:c r="G114" s="48" t="n">
        <x:f>A114</x:f>
        <x:v>-0.067</x:v>
      </x:c>
      <x:c r="H114" s="48"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I114" s="48"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J114" s="48"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K114" s="48"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c r="L114" s="49"/>
      <x:c r="M114" s="48" t="n">
        <x:f>A114</x:f>
        <x:v>-0.067</x:v>
      </x:c>
      <x:c r="N114" s="48" t="n">
        <x: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x:f>
        <x:v>34.413522888184524</x:v>
      </x:c>
      <x:c r="O114" s="48" t="n">
        <x: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x:f>
        <x:v>980.9880733779468</x:v>
      </x:c>
      <x:c r="P114" s="48" t="n">
        <x: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x:f>
        <x:v>1372.9504843158597</x:v>
      </x:c>
      <x:c r="Q114" s="48" t="n">
        <x: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x:f>
        <x:v>1432.7492733841825</x:v>
      </x:c>
      <x:c r="R114" s="49"/>
      <x:c r="S114" s="48" t="n">
        <x:f>A114</x:f>
        <x:v>-0.067</x:v>
      </x:c>
      <x:c r="T114" s="48" t="n">
        <x:f>(Inputs!$I$6+(((A114)+1)/2)*(Inputs!$J$6-Inputs!$I$6))</x:f>
        <x:v>-4.019999999999996</x:v>
      </x:c>
      <x:c r="U114" s="48" t="n">
        <x:f>(Inputs!$I$7+(((A114)+1)/2)*(Inputs!$J$7-Inputs!$I$7))</x:f>
        <x:v>-26.799999999999955</x:v>
      </x:c>
      <x:c r="V114" s="48" t="n">
        <x:f>(Inputs!$I$8+(((A114)+1)/2)*(Inputs!$J$8-Inputs!$I$8))</x:f>
        <x:v>-53.59999999999991</x:v>
      </x:c>
      <x:c r="W114" s="48" t="n">
        <x:f>(Inputs!$I$9+(((A114)+1)/2)*(Inputs!$J$9-Inputs!$I$9))</x:f>
        <x:v>-53.59999999999991</x:v>
      </x:c>
      <x:c r="X114" s="49"/>
      <x:c r="Y114" s="48" t="n">
        <x:f>A114</x:f>
        <x:v>-0.067</x:v>
      </x:c>
      <x:c r="Z114" s="48" t="n">
        <x:f>(Inputs!$H$6+Inputs!$L$6*(((Inputs!$I$6+(((A114)+1)/2)*(Inputs!$J$6-Inputs!$I$6)))/Inputs!$K$6)^2)</x:f>
        <x:v>400.017956</x:v>
      </x:c>
      <x:c r="AA114" s="48" t="n">
        <x:f>(Inputs!$H$7+Inputs!$L$7*(((Inputs!$I$7+(((A114)+1)/2)*(Inputs!$J$7-Inputs!$I$7)))/Inputs!$K$7)^2)</x:f>
        <x:v>36.638484999999996</x:v>
      </x:c>
      <x:c r="AB114" s="48" t="n">
        <x:f>(Inputs!$H$8+Inputs!$L$8*(((Inputs!$I$8+(((A114)+1)/2)*(Inputs!$J$8-Inputs!$I$8)))/Inputs!$K$8)^2)</x:f>
        <x:v>39.331884999999986</x:v>
      </x:c>
      <x:c r="AC114" s="48" t="n">
        <x:f>(Inputs!$H$9+Inputs!$L$9*(((Inputs!$I$9+(((A114)+1)/2)*(Inputs!$J$9-Inputs!$I$9)))/Inputs!$K$9)^2)</x:f>
        <x:v>29.376774999999988</x:v>
      </x:c>
      <x:c r="AD114" s="49"/>
      <x:c r="AE114" s="48" t="n">
        <x:f>A114</x:f>
        <x:v>-0.067</x:v>
      </x:c>
      <x:c r="AF114" s="48" t="n">
        <x:f>(((SQRT((Inputs!$C$52+((Inputs!$H$6+Inputs!$L$6*(((Inputs!$I$6+(((A114)+1)/2)*(Inputs!$J$6-Inputs!$I$6)))/Inputs!$K$6)^2)))^2+Inputs!$C$52^2-2*(Inputs!$C$52+((Inputs!$H$6+Inputs!$L$6*(((Inputs!$I$6+(((A114)+1)/2)*(Inputs!$J$6-Inputs!$I$6)))/Inputs!$K$6)^2)))*Inputs!$C$52*COS(SQRT(((Inputs!$I$6+(((A114)+1)/2)*(Inputs!$J$6-Inputs!$I$6)))^2+Inputs!$C$6^2)/Inputs!$C$52)))-((Inputs!$H$6+Inputs!$L$6*(((Inputs!$I$6+(((A114)+1)/2)*(Inputs!$J$6-Inputs!$I$6)))/Inputs!$K$6)^2)))*1000/Inputs!$C$12)</x:f>
        <x:v>564.900814729465</x:v>
      </x:c>
      <x:c r="AG114" s="48" t="n">
        <x:f>(((SQRT((Inputs!$C$52+((Inputs!$H$7+Inputs!$L$7*(((Inputs!$I$7+(((A114)+1)/2)*(Inputs!$J$7-Inputs!$I$7)))/Inputs!$K$7)^2)))^2+Inputs!$C$52^2-2*(Inputs!$C$52+((Inputs!$H$7+Inputs!$L$7*(((Inputs!$I$7+(((A114)+1)/2)*(Inputs!$J$7-Inputs!$I$7)))/Inputs!$K$7)^2)))*Inputs!$C$52*COS(SQRT(((Inputs!$I$7+(((A114)+1)/2)*(Inputs!$J$7-Inputs!$I$7)))^2+Inputs!$C$6^2)/Inputs!$C$52)))-((Inputs!$H$7+Inputs!$L$7*(((Inputs!$I$7+(((A114)+1)/2)*(Inputs!$J$7-Inputs!$I$7)))/Inputs!$K$7)^2)))*1000/Inputs!$C$12)</x:f>
        <x:v>8700.673200303603</x:v>
      </x:c>
      <x:c r="AH114" s="48" t="n">
        <x:f>(((SQRT((Inputs!$C$52+((Inputs!$H$8+Inputs!$L$8*(((Inputs!$I$8+(((A114)+1)/2)*(Inputs!$J$8-Inputs!$I$8)))/Inputs!$K$8)^2)))^2+Inputs!$C$52^2-2*(Inputs!$C$52+((Inputs!$H$8+Inputs!$L$8*(((Inputs!$I$8+(((A114)+1)/2)*(Inputs!$J$8-Inputs!$I$8)))/Inputs!$K$8)^2)))*Inputs!$C$52*COS(SQRT(((Inputs!$I$8+(((A114)+1)/2)*(Inputs!$J$8-Inputs!$I$8)))^2+Inputs!$C$6^2)/Inputs!$C$52)))-((Inputs!$H$8+Inputs!$L$8*(((Inputs!$I$8+(((A114)+1)/2)*(Inputs!$J$8-Inputs!$I$8)))/Inputs!$K$8)^2)))*1000/Inputs!$C$12)</x:f>
        <x:v>18152.14171640008</x:v>
      </x:c>
      <x:c r="AI114" s="48" t="n">
        <x:f>(((SQRT((Inputs!$C$52+((Inputs!$H$9+Inputs!$L$9*(((Inputs!$I$9+(((A114)+1)/2)*(Inputs!$J$9-Inputs!$I$9)))/Inputs!$K$9)^2)))^2+Inputs!$C$52^2-2*(Inputs!$C$52+((Inputs!$H$9+Inputs!$L$9*(((Inputs!$I$9+(((A114)+1)/2)*(Inputs!$J$9-Inputs!$I$9)))/Inputs!$K$9)^2)))*Inputs!$C$52*COS(SQRT(((Inputs!$I$9+(((A114)+1)/2)*(Inputs!$J$9-Inputs!$I$9)))^2+Inputs!$C$6^2)/Inputs!$C$52)))-((Inputs!$H$9+Inputs!$L$9*(((Inputs!$I$9+(((A114)+1)/2)*(Inputs!$J$9-Inputs!$I$9)))/Inputs!$K$9)^2)))*1000/Inputs!$C$12)</x:f>
        <x:v>20873.125437216957</x:v>
      </x:c>
      <x:c r="AJ114" s="49"/>
      <x:c r="AK114" s="48" t="n">
        <x:f>A114</x:f>
        <x:v>-0.067</x:v>
      </x:c>
      <x:c r="AL114" s="48" t="n">
        <x: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x:f>
        <x:v>34.413522888184524</x:v>
      </x:c>
      <x:c r="AM114" s="48" t="n">
        <x: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x:f>
        <x:v>980.9880733779468</x:v>
      </x:c>
      <x:c r="AN114" s="48" t="n">
        <x: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x:f>
        <x:v>1372.9504843158597</x:v>
      </x:c>
      <x:c r="AO114" s="48" t="n">
        <x: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x:f>
        <x:v>1432.7492733841825</x:v>
      </x:c>
      <x:c r="AP114" s="49"/>
      <x:c r="AQ114" s="48" t="n">
        <x:f>A114</x:f>
        <x:v>-0.067</x:v>
      </x:c>
      <x:c r="AR114" s="48" t="n">
        <x:f>0</x:f>
        <x:v>0</x:v>
      </x:c>
      <x:c r="AS114" s="48" t="n">
        <x: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(0.45*SIN(2*PI()*((((Inputs!$I$6+(((A114)+1)/2)*(Inputs!$J$6-Inputs!$I$6)))/Inputs!$C$49)+Inputs!$C$47*0.137))+0.35*COS(2*PI()*(((Inputs!$C$6)/Inputs!$C$50)+Inputs!$C$47*0.173))+0.20*SIN(2*PI()*((((Inputs!$I$6+(((A114)+1)/2)*(Inputs!$J$6-Inputs!$I$6)))+(Inputs!$C$6))/(0.5*(Inputs!$C$49+Inputs!$C$50))+Inputs!$C$47*0.097)))+0.30*(2*((SIN((((Inputs!$I$6+(((A114)+1)/2)*(Inputs!$J$6-Inputs!$I$6)))*12.9898+(Inputs!$C$6)*78.233+Inputs!$C$47*37.719))*43758.5453)-INT((SIN((((Inputs!$I$6+(((A114)+1)/2)*(Inputs!$J$6-Inputs!$I$6)))*12.9898+(Inputs!$C$6)*78.233+Inputs!$C$47*37.719))*43758.5453)))-1))),NA())</x:f>
        <x:v>409.5634307369741</x:v>
      </x:c>
      <x:c r="AT114" s="48" t="n">
        <x: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(0.45*SIN(2*PI()*((((Inputs!$I$7+(((A114)+1)/2)*(Inputs!$J$7-Inputs!$I$7)))/Inputs!$C$49)+Inputs!$C$47*0.137))+0.35*COS(2*PI()*(((Inputs!$C$6)/Inputs!$C$50)+Inputs!$C$47*0.173))+0.20*SIN(2*PI()*((((Inputs!$I$7+(((A114)+1)/2)*(Inputs!$J$7-Inputs!$I$7)))+(Inputs!$C$6))/(0.5*(Inputs!$C$49+Inputs!$C$50))+Inputs!$C$47*0.097)))+0.30*(2*((SIN((((Inputs!$I$7+(((A114)+1)/2)*(Inputs!$J$7-Inputs!$I$7)))*12.9898+(Inputs!$C$6)*78.233+Inputs!$C$47*37.719))*43758.5453)-INT((SIN((((Inputs!$I$7+(((A114)+1)/2)*(Inputs!$J$7-Inputs!$I$7)))*12.9898+(Inputs!$C$6)*78.233+Inputs!$C$47*37.719))*43758.5453)))-1))),NA())</x:f>
        <x:v>293.46080497988197</x:v>
      </x:c>
      <x:c r="AU114" s="48" t="n">
        <x: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(0.45*SIN(2*PI()*((((Inputs!$I$8+(((A114)+1)/2)*(Inputs!$J$8-Inputs!$I$8)))/Inputs!$C$49)+Inputs!$C$47*0.137))+0.35*COS(2*PI()*(((Inputs!$C$6)/Inputs!$C$50)+Inputs!$C$47*0.173))+0.20*SIN(2*PI()*((((Inputs!$I$8+(((A114)+1)/2)*(Inputs!$J$8-Inputs!$I$8)))+(Inputs!$C$6))/(0.5*(Inputs!$C$49+Inputs!$C$50))+Inputs!$C$47*0.097)))+0.30*(2*((SIN((((Inputs!$I$8+(((A114)+1)/2)*(Inputs!$J$8-Inputs!$I$8)))*12.9898+(Inputs!$C$6)*78.233+Inputs!$C$47*37.719))*43758.5453)-INT((SIN((((Inputs!$I$8+(((A114)+1)/2)*(Inputs!$J$8-Inputs!$I$8)))*12.9898+(Inputs!$C$6)*78.233+Inputs!$C$47*37.719))*43758.5453)))-1))),NA())</x:f>
        <x:v>221.26774039965932</x:v>
      </x:c>
      <x:c r="AV114" s="48" t="n">
        <x: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(0.45*SIN(2*PI()*((((Inputs!$I$9+(((A114)+1)/2)*(Inputs!$J$9-Inputs!$I$9)))/Inputs!$C$49)+Inputs!$C$47*0.137))+0.35*COS(2*PI()*(((Inputs!$C$6)/Inputs!$C$50)+Inputs!$C$47*0.173))+0.20*SIN(2*PI()*((((Inputs!$I$9+(((A114)+1)/2)*(Inputs!$J$9-Inputs!$I$9)))+(Inputs!$C$6))/(0.5*(Inputs!$C$49+Inputs!$C$50))+Inputs!$C$47*0.097)))+0.30*(2*((SIN((((Inputs!$I$9+(((A114)+1)/2)*(Inputs!$J$9-Inputs!$I$9)))*12.9898+(Inputs!$C$6)*78.233+Inputs!$C$47*37.719))*43758.5453)-INT((SIN((((Inputs!$I$9+(((A114)+1)/2)*(Inputs!$J$9-Inputs!$I$9)))*12.9898+(Inputs!$C$6)*78.233+Inputs!$C$47*37.719))*43758.5453)))-1))),NA())</x:f>
        <x:v>221.26774039965932</x:v>
      </x:c>
      <x:c r="AW114" s="49"/>
      <x:c r="AX114" s="48" t="n">
        <x:f>A114</x:f>
        <x:v>-0.067</x:v>
      </x:c>
      <x:c r="AY114" s="48" t="n">
        <x:f>0</x:f>
        <x:v>0</x:v>
      </x:c>
      <x:c r="AZ114" s="48" t="n">
        <x:f>IF(OR(Inputs!$F$6=TRUE,Inputs!$F$6="TRUE",Inputs!$F$6=1),(Inputs!$H$6+Inputs!$L$6*(((Inputs!$I$6+(((A114)+1)/2)*(Inputs!$J$6-Inputs!$I$6)))/Inputs!$K$6)^2),NA())</x:f>
        <x:v>400.017956</x:v>
      </x:c>
      <x:c r="BA114" s="48" t="n">
        <x:f>IF(OR(Inputs!$F$7=TRUE,Inputs!$F$7="TRUE",Inputs!$F$7=1),(Inputs!$H$7+Inputs!$L$7*(((Inputs!$I$7+(((A114)+1)/2)*(Inputs!$J$7-Inputs!$I$7)))/Inputs!$K$7)^2),NA())</x:f>
        <x:v>36.638484999999996</x:v>
      </x:c>
      <x:c r="BB114" s="48" t="n">
        <x:f>IF(OR(Inputs!$F$8=TRUE,Inputs!$F$8="TRUE",Inputs!$F$8=1),(Inputs!$H$8+Inputs!$L$8*(((Inputs!$I$8+(((A114)+1)/2)*(Inputs!$J$8-Inputs!$I$8)))/Inputs!$K$8)^2),NA())</x:f>
        <x:v>39.331884999999986</x:v>
      </x:c>
      <x:c r="BC114" s="48" t="n">
        <x:f>IF(OR(Inputs!$F$9=TRUE,Inputs!$F$9="TRUE",Inputs!$F$9=1),(Inputs!$H$9+Inputs!$L$9*(((Inputs!$I$9+(((A114)+1)/2)*(Inputs!$J$9-Inputs!$I$9)))/Inputs!$K$9)^2),NA())</x:f>
        <x:v>29.376774999999988</x:v>
      </x:c>
      <x:c r="BD114" s="49"/>
      <x:c r="BE114" s="48" t="n">
        <x:f>A114</x:f>
        <x:v>-0.067</x:v>
      </x:c>
      <x:c r="BF114" s="48" t="n">
        <x:f>0</x:f>
        <x:v>0</x:v>
      </x:c>
      <x:c r="BG114" s="48"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BH114" s="48"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BI114" s="48"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BJ114" s="48"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row>
    <x:row r="115">
      <x:c r="A115" s="48" t="n">
        <x:f>ROUND(-1+113*2/240,3)</x:f>
        <x:v>-0.058</x:v>
      </x:c>
      <x:c r="B115" s="48" t="n">
        <x:f>IF(OR(Inputs!$F$6=TRUE,Inputs!$F$6="TRUE",Inputs!$F$6=1),(Inputs!$H$6+Inputs!$L$6*(((Inputs!$I$6+(((A115)+1)/2)*(Inputs!$J$6-Inputs!$I$6)))/Inputs!$K$6)^2),NA())</x:f>
        <x:v>400.013456</x:v>
      </x:c>
      <x:c r="C115" s="48" t="n">
        <x:f>IF(OR(Inputs!$F$7=TRUE,Inputs!$F$7="TRUE",Inputs!$F$7=1),(Inputs!$H$7+Inputs!$L$7*(((Inputs!$I$7+(((A115)+1)/2)*(Inputs!$J$7-Inputs!$I$7)))/Inputs!$K$7)^2),NA())</x:f>
        <x:v>36.22786000000001</x:v>
      </x:c>
      <x:c r="D115" s="48" t="n">
        <x:f>IF(OR(Inputs!$F$8=TRUE,Inputs!$F$8="TRUE",Inputs!$F$8=1),(Inputs!$H$8+Inputs!$L$8*(((Inputs!$I$8+(((A115)+1)/2)*(Inputs!$J$8-Inputs!$I$8)))/Inputs!$K$8)^2),NA())</x:f>
        <x:v>38.246260000000014</x:v>
      </x:c>
      <x:c r="E115" s="48" t="n">
        <x:f>IF(OR(Inputs!$F$9=TRUE,Inputs!$F$9="TRUE",Inputs!$F$9=1),(Inputs!$H$9+Inputs!$L$9*(((Inputs!$I$9+(((A115)+1)/2)*(Inputs!$J$9-Inputs!$I$9)))/Inputs!$K$9)^2),NA())</x:f>
        <x:v>28.279900000000012</x:v>
      </x:c>
      <x:c r="F115" s="49"/>
      <x:c r="G115" s="48" t="n">
        <x:f>A115</x:f>
        <x:v>-0.058</x:v>
      </x:c>
      <x:c r="H115" s="48"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I115" s="48"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J115" s="48"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K115" s="48"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c r="L115" s="49"/>
      <x:c r="M115" s="48" t="n">
        <x:f>A115</x:f>
        <x:v>-0.058</x:v>
      </x:c>
      <x:c r="N115" s="48" t="n">
        <x: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x:f>
        <x:v>29.791401673021944</x:v>
      </x:c>
      <x:c r="O115" s="48" t="n">
        <x: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x:f>
        <x:v>883.0766248843111</x:v>
      </x:c>
      <x:c r="P115" s="48" t="n">
        <x: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x:f>
        <x:v>1292.0054303118511</x:v>
      </x:c>
      <x:c r="Q115" s="48" t="n">
        <x: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x:f>
        <x:v>1364.2298136362383</x:v>
      </x:c>
      <x:c r="R115" s="49"/>
      <x:c r="S115" s="48" t="n">
        <x:f>A115</x:f>
        <x:v>-0.058</x:v>
      </x:c>
      <x:c r="T115" s="48" t="n">
        <x:f>(Inputs!$I$6+(((A115)+1)/2)*(Inputs!$J$6-Inputs!$I$6))</x:f>
        <x:v>-3.480000000000004</x:v>
      </x:c>
      <x:c r="U115" s="48" t="n">
        <x:f>(Inputs!$I$7+(((A115)+1)/2)*(Inputs!$J$7-Inputs!$I$7))</x:f>
        <x:v>-23.200000000000045</x:v>
      </x:c>
      <x:c r="V115" s="48" t="n">
        <x:f>(Inputs!$I$8+(((A115)+1)/2)*(Inputs!$J$8-Inputs!$I$8))</x:f>
        <x:v>-46.40000000000009</x:v>
      </x:c>
      <x:c r="W115" s="48" t="n">
        <x:f>(Inputs!$I$9+(((A115)+1)/2)*(Inputs!$J$9-Inputs!$I$9))</x:f>
        <x:v>-46.40000000000009</x:v>
      </x:c>
      <x:c r="X115" s="49"/>
      <x:c r="Y115" s="48" t="n">
        <x:f>A115</x:f>
        <x:v>-0.058</x:v>
      </x:c>
      <x:c r="Z115" s="48" t="n">
        <x:f>(Inputs!$H$6+Inputs!$L$6*(((Inputs!$I$6+(((A115)+1)/2)*(Inputs!$J$6-Inputs!$I$6)))/Inputs!$K$6)^2)</x:f>
        <x:v>400.013456</x:v>
      </x:c>
      <x:c r="AA115" s="48" t="n">
        <x:f>(Inputs!$H$7+Inputs!$L$7*(((Inputs!$I$7+(((A115)+1)/2)*(Inputs!$J$7-Inputs!$I$7)))/Inputs!$K$7)^2)</x:f>
        <x:v>36.22786000000001</x:v>
      </x:c>
      <x:c r="AB115" s="48" t="n">
        <x:f>(Inputs!$H$8+Inputs!$L$8*(((Inputs!$I$8+(((A115)+1)/2)*(Inputs!$J$8-Inputs!$I$8)))/Inputs!$K$8)^2)</x:f>
        <x:v>38.246260000000014</x:v>
      </x:c>
      <x:c r="AC115" s="48" t="n">
        <x:f>(Inputs!$H$9+Inputs!$L$9*(((Inputs!$I$9+(((A115)+1)/2)*(Inputs!$J$9-Inputs!$I$9)))/Inputs!$K$9)^2)</x:f>
        <x:v>28.279900000000012</x:v>
      </x:c>
      <x:c r="AD115" s="49"/>
      <x:c r="AE115" s="48" t="n">
        <x:f>A115</x:f>
        <x:v>-0.058</x:v>
      </x:c>
      <x:c r="AF115" s="48" t="n">
        <x:f>(((SQRT((Inputs!$C$52+((Inputs!$H$6+Inputs!$L$6*(((Inputs!$I$6+(((A115)+1)/2)*(Inputs!$J$6-Inputs!$I$6)))/Inputs!$K$6)^2)))^2+Inputs!$C$52^2-2*(Inputs!$C$52+((Inputs!$H$6+Inputs!$L$6*(((Inputs!$I$6+(((A115)+1)/2)*(Inputs!$J$6-Inputs!$I$6)))/Inputs!$K$6)^2)))*Inputs!$C$52*COS(SQRT(((Inputs!$I$6+(((A115)+1)/2)*(Inputs!$J$6-Inputs!$I$6)))^2+Inputs!$C$6^2)/Inputs!$C$52)))-((Inputs!$H$6+Inputs!$L$6*(((Inputs!$I$6+(((A115)+1)/2)*(Inputs!$J$6-Inputs!$I$6)))/Inputs!$K$6)^2)))*1000/Inputs!$C$12)</x:f>
        <x:v>561.3420570025061</x:v>
      </x:c>
      <x:c r="AG115" s="48" t="n">
        <x:f>(((SQRT((Inputs!$C$52+((Inputs!$H$7+Inputs!$L$7*(((Inputs!$I$7+(((A115)+1)/2)*(Inputs!$J$7-Inputs!$I$7)))/Inputs!$K$7)^2)))^2+Inputs!$C$52^2-2*(Inputs!$C$52+((Inputs!$H$7+Inputs!$L$7*(((Inputs!$I$7+(((A115)+1)/2)*(Inputs!$J$7-Inputs!$I$7)))/Inputs!$K$7)^2)))*Inputs!$C$52*COS(SQRT(((Inputs!$I$7+(((A115)+1)/2)*(Inputs!$J$7-Inputs!$I$7)))^2+Inputs!$C$6^2)/Inputs!$C$52)))-((Inputs!$H$7+Inputs!$L$7*(((Inputs!$I$7+(((A115)+1)/2)*(Inputs!$J$7-Inputs!$I$7)))/Inputs!$K$7)^2)))*1000/Inputs!$C$12)</x:f>
        <x:v>7752.044035938546</x:v>
      </x:c>
      <x:c r="AH115" s="48" t="n">
        <x:f>(((SQRT((Inputs!$C$52+((Inputs!$H$8+Inputs!$L$8*(((Inputs!$I$8+(((A115)+1)/2)*(Inputs!$J$8-Inputs!$I$8)))/Inputs!$K$8)^2)))^2+Inputs!$C$52^2-2*(Inputs!$C$52+((Inputs!$H$8+Inputs!$L$8*(((Inputs!$I$8+(((A115)+1)/2)*(Inputs!$J$8-Inputs!$I$8)))/Inputs!$K$8)^2)))*Inputs!$C$52*COS(SQRT(((Inputs!$I$8+(((A115)+1)/2)*(Inputs!$J$8-Inputs!$I$8)))^2+Inputs!$C$6^2)/Inputs!$C$52)))-((Inputs!$H$8+Inputs!$L$8*(((Inputs!$I$8+(((A115)+1)/2)*(Inputs!$J$8-Inputs!$I$8)))/Inputs!$K$8)^2)))*1000/Inputs!$C$12)</x:f>
        <x:v>15389.434466220855</x:v>
      </x:c>
      <x:c r="AI115" s="48" t="n">
        <x:f>(((SQRT((Inputs!$C$52+((Inputs!$H$9+Inputs!$L$9*(((Inputs!$I$9+(((A115)+1)/2)*(Inputs!$J$9-Inputs!$I$9)))/Inputs!$K$9)^2)))^2+Inputs!$C$52^2-2*(Inputs!$C$52+((Inputs!$H$9+Inputs!$L$9*(((Inputs!$I$9+(((A115)+1)/2)*(Inputs!$J$9-Inputs!$I$9)))/Inputs!$K$9)^2)))*Inputs!$C$52*COS(SQRT(((Inputs!$I$9+(((A115)+1)/2)*(Inputs!$J$9-Inputs!$I$9)))^2+Inputs!$C$6^2)/Inputs!$C$52)))-((Inputs!$H$9+Inputs!$L$9*(((Inputs!$I$9+(((A115)+1)/2)*(Inputs!$J$9-Inputs!$I$9)))/Inputs!$K$9)^2)))*1000/Inputs!$C$12)</x:f>
        <x:v>17950.075140585464</x:v>
      </x:c>
      <x:c r="AJ115" s="49"/>
      <x:c r="AK115" s="48" t="n">
        <x:f>A115</x:f>
        <x:v>-0.058</x:v>
      </x:c>
      <x:c r="AL115" s="48" t="n">
        <x: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x:f>
        <x:v>29.791401673021944</x:v>
      </x:c>
      <x:c r="AM115" s="48" t="n">
        <x: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x:f>
        <x:v>883.0766248843111</x:v>
      </x:c>
      <x:c r="AN115" s="48" t="n">
        <x: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x:f>
        <x:v>1292.0054303118511</x:v>
      </x:c>
      <x:c r="AO115" s="48" t="n">
        <x: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x:f>
        <x:v>1364.2298136362383</x:v>
      </x:c>
      <x:c r="AP115" s="49"/>
      <x:c r="AQ115" s="48" t="n">
        <x:f>A115</x:f>
        <x:v>-0.058</x:v>
      </x:c>
      <x:c r="AR115" s="48" t="n">
        <x:f>0</x:f>
        <x:v>0</x:v>
      </x:c>
      <x:c r="AS115" s="48" t="n">
        <x: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(0.45*SIN(2*PI()*((((Inputs!$I$6+(((A115)+1)/2)*(Inputs!$J$6-Inputs!$I$6)))/Inputs!$C$49)+Inputs!$C$47*0.137))+0.35*COS(2*PI()*(((Inputs!$C$6)/Inputs!$C$50)+Inputs!$C$47*0.173))+0.20*SIN(2*PI()*((((Inputs!$I$6+(((A115)+1)/2)*(Inputs!$J$6-Inputs!$I$6)))+(Inputs!$C$6))/(0.5*(Inputs!$C$49+Inputs!$C$50))+Inputs!$C$47*0.097)))+0.30*(2*((SIN((((Inputs!$I$6+(((A115)+1)/2)*(Inputs!$J$6-Inputs!$I$6)))*12.9898+(Inputs!$C$6)*78.233+Inputs!$C$47*37.719))*43758.5453)-INT((SIN((((Inputs!$I$6+(((A115)+1)/2)*(Inputs!$J$6-Inputs!$I$6)))*12.9898+(Inputs!$C$6)*78.233+Inputs!$C$47*37.719))*43758.5453)))-1))),NA())</x:f>
        <x:v>422.28944024780884</x:v>
      </x:c>
      <x:c r="AT115" s="48" t="n">
        <x: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(0.45*SIN(2*PI()*((((Inputs!$I$7+(((A115)+1)/2)*(Inputs!$J$7-Inputs!$I$7)))/Inputs!$C$49)+Inputs!$C$47*0.137))+0.35*COS(2*PI()*(((Inputs!$C$6)/Inputs!$C$50)+Inputs!$C$47*0.173))+0.20*SIN(2*PI()*((((Inputs!$I$7+(((A115)+1)/2)*(Inputs!$J$7-Inputs!$I$7)))+(Inputs!$C$6))/(0.5*(Inputs!$C$49+Inputs!$C$50))+Inputs!$C$47*0.097)))+0.30*(2*((SIN((((Inputs!$I$7+(((A115)+1)/2)*(Inputs!$J$7-Inputs!$I$7)))*12.9898+(Inputs!$C$6)*78.233+Inputs!$C$47*37.719))*43758.5453)-INT((SIN((((Inputs!$I$7+(((A115)+1)/2)*(Inputs!$J$7-Inputs!$I$7)))*12.9898+(Inputs!$C$6)*78.233+Inputs!$C$47*37.719))*43758.5453)))-1))),NA())</x:f>
        <x:v>299.18305227131873</x:v>
      </x:c>
      <x:c r="AU115" s="48" t="n">
        <x: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(0.45*SIN(2*PI()*((((Inputs!$I$8+(((A115)+1)/2)*(Inputs!$J$8-Inputs!$I$8)))/Inputs!$C$49)+Inputs!$C$47*0.137))+0.35*COS(2*PI()*(((Inputs!$C$6)/Inputs!$C$50)+Inputs!$C$47*0.173))+0.20*SIN(2*PI()*((((Inputs!$I$8+(((A115)+1)/2)*(Inputs!$J$8-Inputs!$I$8)))+(Inputs!$C$6))/(0.5*(Inputs!$C$49+Inputs!$C$50))+Inputs!$C$47*0.097)))+0.30*(2*((SIN((((Inputs!$I$8+(((A115)+1)/2)*(Inputs!$J$8-Inputs!$I$8)))*12.9898+(Inputs!$C$6)*78.233+Inputs!$C$47*37.719))*43758.5453)-INT((SIN((((Inputs!$I$8+(((A115)+1)/2)*(Inputs!$J$8-Inputs!$I$8)))*12.9898+(Inputs!$C$6)*78.233+Inputs!$C$47*37.719))*43758.5453)))-1))),NA())</x:f>
        <x:v>233.3343792845032</x:v>
      </x:c>
      <x:c r="AV115" s="48" t="n">
        <x: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(0.45*SIN(2*PI()*((((Inputs!$I$9+(((A115)+1)/2)*(Inputs!$J$9-Inputs!$I$9)))/Inputs!$C$49)+Inputs!$C$47*0.137))+0.35*COS(2*PI()*(((Inputs!$C$6)/Inputs!$C$50)+Inputs!$C$47*0.173))+0.20*SIN(2*PI()*((((Inputs!$I$9+(((A115)+1)/2)*(Inputs!$J$9-Inputs!$I$9)))+(Inputs!$C$6))/(0.5*(Inputs!$C$49+Inputs!$C$50))+Inputs!$C$47*0.097)))+0.30*(2*((SIN((((Inputs!$I$9+(((A115)+1)/2)*(Inputs!$J$9-Inputs!$I$9)))*12.9898+(Inputs!$C$6)*78.233+Inputs!$C$47*37.719))*43758.5453)-INT((SIN((((Inputs!$I$9+(((A115)+1)/2)*(Inputs!$J$9-Inputs!$I$9)))*12.9898+(Inputs!$C$6)*78.233+Inputs!$C$47*37.719))*43758.5453)))-1))),NA())</x:f>
        <x:v>233.3343792845032</x:v>
      </x:c>
      <x:c r="AW115" s="49"/>
      <x:c r="AX115" s="48" t="n">
        <x:f>A115</x:f>
        <x:v>-0.058</x:v>
      </x:c>
      <x:c r="AY115" s="48" t="n">
        <x:f>0</x:f>
        <x:v>0</x:v>
      </x:c>
      <x:c r="AZ115" s="48" t="n">
        <x:f>IF(OR(Inputs!$F$6=TRUE,Inputs!$F$6="TRUE",Inputs!$F$6=1),(Inputs!$H$6+Inputs!$L$6*(((Inputs!$I$6+(((A115)+1)/2)*(Inputs!$J$6-Inputs!$I$6)))/Inputs!$K$6)^2),NA())</x:f>
        <x:v>400.013456</x:v>
      </x:c>
      <x:c r="BA115" s="48" t="n">
        <x:f>IF(OR(Inputs!$F$7=TRUE,Inputs!$F$7="TRUE",Inputs!$F$7=1),(Inputs!$H$7+Inputs!$L$7*(((Inputs!$I$7+(((A115)+1)/2)*(Inputs!$J$7-Inputs!$I$7)))/Inputs!$K$7)^2),NA())</x:f>
        <x:v>36.22786000000001</x:v>
      </x:c>
      <x:c r="BB115" s="48" t="n">
        <x:f>IF(OR(Inputs!$F$8=TRUE,Inputs!$F$8="TRUE",Inputs!$F$8=1),(Inputs!$H$8+Inputs!$L$8*(((Inputs!$I$8+(((A115)+1)/2)*(Inputs!$J$8-Inputs!$I$8)))/Inputs!$K$8)^2),NA())</x:f>
        <x:v>38.246260000000014</x:v>
      </x:c>
      <x:c r="BC115" s="48" t="n">
        <x:f>IF(OR(Inputs!$F$9=TRUE,Inputs!$F$9="TRUE",Inputs!$F$9=1),(Inputs!$H$9+Inputs!$L$9*(((Inputs!$I$9+(((A115)+1)/2)*(Inputs!$J$9-Inputs!$I$9)))/Inputs!$K$9)^2),NA())</x:f>
        <x:v>28.279900000000012</x:v>
      </x:c>
      <x:c r="BD115" s="49"/>
      <x:c r="BE115" s="48" t="n">
        <x:f>A115</x:f>
        <x:v>-0.058</x:v>
      </x:c>
      <x:c r="BF115" s="48" t="n">
        <x:f>0</x:f>
        <x:v>0</x:v>
      </x:c>
      <x:c r="BG115" s="48"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BH115" s="48"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BI115" s="48"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BJ115" s="48"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row>
    <x:row r="116">
      <x:c r="A116" s="48" t="n">
        <x:f>ROUND(-1+114*2/240,3)</x:f>
        <x:v>-0.05</x:v>
      </x:c>
      <x:c r="B116" s="48" t="n">
        <x:f>IF(OR(Inputs!$F$6=TRUE,Inputs!$F$6="TRUE",Inputs!$F$6=1),(Inputs!$H$6+Inputs!$L$6*(((Inputs!$I$6+(((A116)+1)/2)*(Inputs!$J$6-Inputs!$I$6)))/Inputs!$K$6)^2),NA())</x:f>
        <x:v>400.01</x:v>
      </x:c>
      <x:c r="C116" s="48" t="n">
        <x:f>IF(OR(Inputs!$F$7=TRUE,Inputs!$F$7="TRUE",Inputs!$F$7=1),(Inputs!$H$7+Inputs!$L$7*(((Inputs!$I$7+(((A116)+1)/2)*(Inputs!$J$7-Inputs!$I$7)))/Inputs!$K$7)^2),NA())</x:f>
        <x:v>35.9125</x:v>
      </x:c>
      <x:c r="D116" s="48" t="n">
        <x:f>IF(OR(Inputs!$F$8=TRUE,Inputs!$F$8="TRUE",Inputs!$F$8=1),(Inputs!$H$8+Inputs!$L$8*(((Inputs!$I$8+(((A116)+1)/2)*(Inputs!$J$8-Inputs!$I$8)))/Inputs!$K$8)^2),NA())</x:f>
        <x:v>37.4125</x:v>
      </x:c>
      <x:c r="E116" s="48" t="n">
        <x:f>IF(OR(Inputs!$F$9=TRUE,Inputs!$F$9="TRUE",Inputs!$F$9=1),(Inputs!$H$9+Inputs!$L$9*(((Inputs!$I$9+(((A116)+1)/2)*(Inputs!$J$9-Inputs!$I$9)))/Inputs!$K$9)^2),NA())</x:f>
        <x:v>27.4375</x:v>
      </x:c>
      <x:c r="F116" s="49"/>
      <x:c r="G116" s="48" t="n">
        <x:f>A116</x:f>
        <x:v>-0.05</x:v>
      </x:c>
      <x:c r="H116" s="48"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I116" s="48"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J116" s="48"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K116" s="48"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c r="L116" s="49"/>
      <x:c r="M116" s="48" t="n">
        <x:f>A116</x:f>
        <x:v>-0.05</x:v>
      </x:c>
      <x:c r="N116" s="48" t="n">
        <x: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x:f>
        <x:v>25.682634009586785</x:v>
      </x:c>
      <x:c r="O116" s="48" t="n">
        <x: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x:f>
        <x:v>786.3666116552838</x:v>
      </x:c>
      <x:c r="P116" s="48" t="n">
        <x: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x:f>
        <x:v>1201.7790321186421</x:v>
      </x:c>
      <x:c r="Q116" s="48" t="n">
        <x: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x:f>
        <x:v>1285.4696487708952</x:v>
      </x:c>
      <x:c r="R116" s="49"/>
      <x:c r="S116" s="48" t="n">
        <x:f>A116</x:f>
        <x:v>-0.05</x:v>
      </x:c>
      <x:c r="T116" s="48" t="n">
        <x:f>(Inputs!$I$6+(((A116)+1)/2)*(Inputs!$J$6-Inputs!$I$6))</x:f>
        <x:v>-3</x:v>
      </x:c>
      <x:c r="U116" s="48" t="n">
        <x:f>(Inputs!$I$7+(((A116)+1)/2)*(Inputs!$J$7-Inputs!$I$7))</x:f>
        <x:v>-20</x:v>
      </x:c>
      <x:c r="V116" s="48" t="n">
        <x:f>(Inputs!$I$8+(((A116)+1)/2)*(Inputs!$J$8-Inputs!$I$8))</x:f>
        <x:v>-40</x:v>
      </x:c>
      <x:c r="W116" s="48" t="n">
        <x:f>(Inputs!$I$9+(((A116)+1)/2)*(Inputs!$J$9-Inputs!$I$9))</x:f>
        <x:v>-40</x:v>
      </x:c>
      <x:c r="X116" s="49"/>
      <x:c r="Y116" s="48" t="n">
        <x:f>A116</x:f>
        <x:v>-0.05</x:v>
      </x:c>
      <x:c r="Z116" s="48" t="n">
        <x:f>(Inputs!$H$6+Inputs!$L$6*(((Inputs!$I$6+(((A116)+1)/2)*(Inputs!$J$6-Inputs!$I$6)))/Inputs!$K$6)^2)</x:f>
        <x:v>400.01</x:v>
      </x:c>
      <x:c r="AA116" s="48" t="n">
        <x:f>(Inputs!$H$7+Inputs!$L$7*(((Inputs!$I$7+(((A116)+1)/2)*(Inputs!$J$7-Inputs!$I$7)))/Inputs!$K$7)^2)</x:f>
        <x:v>35.9125</x:v>
      </x:c>
      <x:c r="AB116" s="48" t="n">
        <x:f>(Inputs!$H$8+Inputs!$L$8*(((Inputs!$I$8+(((A116)+1)/2)*(Inputs!$J$8-Inputs!$I$8)))/Inputs!$K$8)^2)</x:f>
        <x:v>37.4125</x:v>
      </x:c>
      <x:c r="AC116" s="48" t="n">
        <x:f>(Inputs!$H$9+Inputs!$L$9*(((Inputs!$I$9+(((A116)+1)/2)*(Inputs!$J$9-Inputs!$I$9)))/Inputs!$K$9)^2)</x:f>
        <x:v>27.4375</x:v>
      </x:c>
      <x:c r="AD116" s="49"/>
      <x:c r="AE116" s="48" t="n">
        <x:f>A116</x:f>
        <x:v>-0.05</x:v>
      </x:c>
      <x:c r="AF116" s="48" t="n">
        <x:f>(((SQRT((Inputs!$C$52+((Inputs!$H$6+Inputs!$L$6*(((Inputs!$I$6+(((A116)+1)/2)*(Inputs!$J$6-Inputs!$I$6)))/Inputs!$K$6)^2)))^2+Inputs!$C$52^2-2*(Inputs!$C$52+((Inputs!$H$6+Inputs!$L$6*(((Inputs!$I$6+(((A116)+1)/2)*(Inputs!$J$6-Inputs!$I$6)))/Inputs!$K$6)^2)))*Inputs!$C$52*COS(SQRT(((Inputs!$I$6+(((A116)+1)/2)*(Inputs!$J$6-Inputs!$I$6)))^2+Inputs!$C$6^2)/Inputs!$C$52)))-((Inputs!$H$6+Inputs!$L$6*(((Inputs!$I$6+(((A116)+1)/2)*(Inputs!$J$6-Inputs!$I$6)))/Inputs!$K$6)^2)))*1000/Inputs!$C$12)</x:f>
        <x:v>558.6088491118074</x:v>
      </x:c>
      <x:c r="AG116" s="48" t="n">
        <x:f>(((SQRT((Inputs!$C$52+((Inputs!$H$7+Inputs!$L$7*(((Inputs!$I$7+(((A116)+1)/2)*(Inputs!$J$7-Inputs!$I$7)))/Inputs!$K$7)^2)))^2+Inputs!$C$52^2-2*(Inputs!$C$52+((Inputs!$H$7+Inputs!$L$7*(((Inputs!$I$7+(((A116)+1)/2)*(Inputs!$J$7-Inputs!$I$7)))/Inputs!$K$7)^2)))*Inputs!$C$52*COS(SQRT(((Inputs!$I$7+(((A116)+1)/2)*(Inputs!$J$7-Inputs!$I$7)))^2+Inputs!$C$6^2)/Inputs!$C$52)))-((Inputs!$H$7+Inputs!$L$7*(((Inputs!$I$7+(((A116)+1)/2)*(Inputs!$J$7-Inputs!$I$7)))/Inputs!$K$7)^2)))*1000/Inputs!$C$12)</x:f>
        <x:v>6990.453909776114</x:v>
      </x:c>
      <x:c r="AH116" s="48" t="n">
        <x:f>(((SQRT((Inputs!$C$52+((Inputs!$H$8+Inputs!$L$8*(((Inputs!$I$8+(((A116)+1)/2)*(Inputs!$J$8-Inputs!$I$8)))/Inputs!$K$8)^2)))^2+Inputs!$C$52^2-2*(Inputs!$C$52+((Inputs!$H$8+Inputs!$L$8*(((Inputs!$I$8+(((A116)+1)/2)*(Inputs!$J$8-Inputs!$I$8)))/Inputs!$K$8)^2)))*Inputs!$C$52*COS(SQRT(((Inputs!$I$8+(((A116)+1)/2)*(Inputs!$J$8-Inputs!$I$8)))^2+Inputs!$C$6^2)/Inputs!$C$52)))-((Inputs!$H$8+Inputs!$L$8*(((Inputs!$I$8+(((A116)+1)/2)*(Inputs!$J$8-Inputs!$I$8)))/Inputs!$K$8)^2)))*1000/Inputs!$C$12)</x:f>
        <x:v>13052.14764887377</x:v>
      </x:c>
      <x:c r="AI116" s="48" t="n">
        <x:f>(((SQRT((Inputs!$C$52+((Inputs!$H$9+Inputs!$L$9*(((Inputs!$I$9+(((A116)+1)/2)*(Inputs!$J$9-Inputs!$I$9)))/Inputs!$K$9)^2)))^2+Inputs!$C$52^2-2*(Inputs!$C$52+((Inputs!$H$9+Inputs!$L$9*(((Inputs!$I$9+(((A116)+1)/2)*(Inputs!$J$9-Inputs!$I$9)))/Inputs!$K$9)^2)))*Inputs!$C$52*COS(SQRT(((Inputs!$I$9+(((A116)+1)/2)*(Inputs!$J$9-Inputs!$I$9)))^2+Inputs!$C$6^2)/Inputs!$C$52)))-((Inputs!$H$9+Inputs!$L$9*(((Inputs!$I$9+(((A116)+1)/2)*(Inputs!$J$9-Inputs!$I$9)))/Inputs!$K$9)^2)))*1000/Inputs!$C$12)</x:f>
        <x:v>15442.426037484855</x:v>
      </x:c>
      <x:c r="AJ116" s="49"/>
      <x:c r="AK116" s="48" t="n">
        <x:f>A116</x:f>
        <x:v>-0.05</x:v>
      </x:c>
      <x:c r="AL116" s="48" t="n">
        <x: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x:f>
        <x:v>25.682634009586785</x:v>
      </x:c>
      <x:c r="AM116" s="48" t="n">
        <x: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x:f>
        <x:v>786.3666116552838</x:v>
      </x:c>
      <x:c r="AN116" s="48" t="n">
        <x: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x:f>
        <x:v>1201.7790321186421</x:v>
      </x:c>
      <x:c r="AO116" s="48" t="n">
        <x: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x:f>
        <x:v>1285.4696487708952</x:v>
      </x:c>
      <x:c r="AP116" s="49"/>
      <x:c r="AQ116" s="48" t="n">
        <x:f>A116</x:f>
        <x:v>-0.05</x:v>
      </x:c>
      <x:c r="AR116" s="48" t="n">
        <x:f>0</x:f>
        <x:v>0</x:v>
      </x:c>
      <x:c r="AS116" s="48" t="n">
        <x: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(0.45*SIN(2*PI()*((((Inputs!$I$6+(((A116)+1)/2)*(Inputs!$J$6-Inputs!$I$6)))/Inputs!$C$49)+Inputs!$C$47*0.137))+0.35*COS(2*PI()*(((Inputs!$C$6)/Inputs!$C$50)+Inputs!$C$47*0.173))+0.20*SIN(2*PI()*((((Inputs!$I$6+(((A116)+1)/2)*(Inputs!$J$6-Inputs!$I$6)))+(Inputs!$C$6))/(0.5*(Inputs!$C$49+Inputs!$C$50))+Inputs!$C$47*0.097)))+0.30*(2*((SIN((((Inputs!$I$6+(((A116)+1)/2)*(Inputs!$J$6-Inputs!$I$6)))*12.9898+(Inputs!$C$6)*78.233+Inputs!$C$47*37.719))*43758.5453)-INT((SIN((((Inputs!$I$6+(((A116)+1)/2)*(Inputs!$J$6-Inputs!$I$6)))*12.9898+(Inputs!$C$6)*78.233+Inputs!$C$47*37.719))*43758.5453)))-1))),NA())</x:f>
        <x:v>420.14741895617453</x:v>
      </x:c>
      <x:c r="AT116" s="48" t="n">
        <x: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(0.45*SIN(2*PI()*((((Inputs!$I$7+(((A116)+1)/2)*(Inputs!$J$7-Inputs!$I$7)))/Inputs!$C$49)+Inputs!$C$47*0.137))+0.35*COS(2*PI()*(((Inputs!$C$6)/Inputs!$C$50)+Inputs!$C$47*0.173))+0.20*SIN(2*PI()*((((Inputs!$I$7+(((A116)+1)/2)*(Inputs!$J$7-Inputs!$I$7)))+(Inputs!$C$6))/(0.5*(Inputs!$C$49+Inputs!$C$50))+Inputs!$C$47*0.097)))+0.30*(2*((SIN((((Inputs!$I$7+(((A116)+1)/2)*(Inputs!$J$7-Inputs!$I$7)))*12.9898+(Inputs!$C$6)*78.233+Inputs!$C$47*37.719))*43758.5453)-INT((SIN((((Inputs!$I$7+(((A116)+1)/2)*(Inputs!$J$7-Inputs!$I$7)))*12.9898+(Inputs!$C$6)*78.233+Inputs!$C$47*37.719))*43758.5453)))-1))),NA())</x:f>
        <x:v>338.15830709992554</x:v>
      </x:c>
      <x:c r="AU116" s="48" t="n">
        <x: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(0.45*SIN(2*PI()*((((Inputs!$I$8+(((A116)+1)/2)*(Inputs!$J$8-Inputs!$I$8)))/Inputs!$C$49)+Inputs!$C$47*0.137))+0.35*COS(2*PI()*(((Inputs!$C$6)/Inputs!$C$50)+Inputs!$C$47*0.173))+0.20*SIN(2*PI()*((((Inputs!$I$8+(((A116)+1)/2)*(Inputs!$J$8-Inputs!$I$8)))+(Inputs!$C$6))/(0.5*(Inputs!$C$49+Inputs!$C$50))+Inputs!$C$47*0.097)))+0.30*(2*((SIN((((Inputs!$I$8+(((A116)+1)/2)*(Inputs!$J$8-Inputs!$I$8)))*12.9898+(Inputs!$C$6)*78.233+Inputs!$C$47*37.719))*43758.5453)-INT((SIN((((Inputs!$I$8+(((A116)+1)/2)*(Inputs!$J$8-Inputs!$I$8)))*12.9898+(Inputs!$C$6)*78.233+Inputs!$C$47*37.719))*43758.5453)))-1))),NA())</x:f>
        <x:v>197.66557297497732</x:v>
      </x:c>
      <x:c r="AV116" s="48" t="n">
        <x: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(0.45*SIN(2*PI()*((((Inputs!$I$9+(((A116)+1)/2)*(Inputs!$J$9-Inputs!$I$9)))/Inputs!$C$49)+Inputs!$C$47*0.137))+0.35*COS(2*PI()*(((Inputs!$C$6)/Inputs!$C$50)+Inputs!$C$47*0.173))+0.20*SIN(2*PI()*((((Inputs!$I$9+(((A116)+1)/2)*(Inputs!$J$9-Inputs!$I$9)))+(Inputs!$C$6))/(0.5*(Inputs!$C$49+Inputs!$C$50))+Inputs!$C$47*0.097)))+0.30*(2*((SIN((((Inputs!$I$9+(((A116)+1)/2)*(Inputs!$J$9-Inputs!$I$9)))*12.9898+(Inputs!$C$6)*78.233+Inputs!$C$47*37.719))*43758.5453)-INT((SIN((((Inputs!$I$9+(((A116)+1)/2)*(Inputs!$J$9-Inputs!$I$9)))*12.9898+(Inputs!$C$6)*78.233+Inputs!$C$47*37.719))*43758.5453)))-1))),NA())</x:f>
        <x:v>197.66557297497732</x:v>
      </x:c>
      <x:c r="AW116" s="49"/>
      <x:c r="AX116" s="48" t="n">
        <x:f>A116</x:f>
        <x:v>-0.05</x:v>
      </x:c>
      <x:c r="AY116" s="48" t="n">
        <x:f>0</x:f>
        <x:v>0</x:v>
      </x:c>
      <x:c r="AZ116" s="48" t="n">
        <x:f>IF(OR(Inputs!$F$6=TRUE,Inputs!$F$6="TRUE",Inputs!$F$6=1),(Inputs!$H$6+Inputs!$L$6*(((Inputs!$I$6+(((A116)+1)/2)*(Inputs!$J$6-Inputs!$I$6)))/Inputs!$K$6)^2),NA())</x:f>
        <x:v>400.01</x:v>
      </x:c>
      <x:c r="BA116" s="48" t="n">
        <x:f>IF(OR(Inputs!$F$7=TRUE,Inputs!$F$7="TRUE",Inputs!$F$7=1),(Inputs!$H$7+Inputs!$L$7*(((Inputs!$I$7+(((A116)+1)/2)*(Inputs!$J$7-Inputs!$I$7)))/Inputs!$K$7)^2),NA())</x:f>
        <x:v>35.9125</x:v>
      </x:c>
      <x:c r="BB116" s="48" t="n">
        <x:f>IF(OR(Inputs!$F$8=TRUE,Inputs!$F$8="TRUE",Inputs!$F$8=1),(Inputs!$H$8+Inputs!$L$8*(((Inputs!$I$8+(((A116)+1)/2)*(Inputs!$J$8-Inputs!$I$8)))/Inputs!$K$8)^2),NA())</x:f>
        <x:v>37.4125</x:v>
      </x:c>
      <x:c r="BC116" s="48" t="n">
        <x:f>IF(OR(Inputs!$F$9=TRUE,Inputs!$F$9="TRUE",Inputs!$F$9=1),(Inputs!$H$9+Inputs!$L$9*(((Inputs!$I$9+(((A116)+1)/2)*(Inputs!$J$9-Inputs!$I$9)))/Inputs!$K$9)^2),NA())</x:f>
        <x:v>27.4375</x:v>
      </x:c>
      <x:c r="BD116" s="49"/>
      <x:c r="BE116" s="48" t="n">
        <x:f>A116</x:f>
        <x:v>-0.05</x:v>
      </x:c>
      <x:c r="BF116" s="48" t="n">
        <x:f>0</x:f>
        <x:v>0</x:v>
      </x:c>
      <x:c r="BG116" s="48"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BH116" s="48"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BI116" s="48"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BJ116" s="48"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row>
    <x:row r="117">
      <x:c r="A117" s="48" t="n">
        <x:f>ROUND(-1+115*2/240,3)</x:f>
        <x:v>-0.042</x:v>
      </x:c>
      <x:c r="B117" s="48" t="n">
        <x:f>IF(OR(Inputs!$F$6=TRUE,Inputs!$F$6="TRUE",Inputs!$F$6=1),(Inputs!$H$6+Inputs!$L$6*(((Inputs!$I$6+(((A117)+1)/2)*(Inputs!$J$6-Inputs!$I$6)))/Inputs!$K$6)^2),NA())</x:f>
        <x:v>400.007056</x:v>
      </x:c>
      <x:c r="C117" s="48" t="n">
        <x:f>IF(OR(Inputs!$F$7=TRUE,Inputs!$F$7="TRUE",Inputs!$F$7=1),(Inputs!$H$7+Inputs!$L$7*(((Inputs!$I$7+(((A117)+1)/2)*(Inputs!$J$7-Inputs!$I$7)))/Inputs!$K$7)^2),NA())</x:f>
        <x:v>35.643860000000004</x:v>
      </x:c>
      <x:c r="D117" s="48" t="n">
        <x:f>IF(OR(Inputs!$F$8=TRUE,Inputs!$F$8="TRUE",Inputs!$F$8=1),(Inputs!$H$8+Inputs!$L$8*(((Inputs!$I$8+(((A117)+1)/2)*(Inputs!$J$8-Inputs!$I$8)))/Inputs!$K$8)^2),NA())</x:f>
        <x:v>36.70226</x:v>
      </x:c>
      <x:c r="E117" s="48" t="n">
        <x:f>IF(OR(Inputs!$F$9=TRUE,Inputs!$F$9="TRUE",Inputs!$F$9=1),(Inputs!$H$9+Inputs!$L$9*(((Inputs!$I$9+(((A117)+1)/2)*(Inputs!$J$9-Inputs!$I$9)))/Inputs!$K$9)^2),NA())</x:f>
        <x:v>26.719900000000003</x:v>
      </x:c>
      <x:c r="F117" s="49"/>
      <x:c r="G117" s="48" t="n">
        <x:f>A117</x:f>
        <x:v>-0.042</x:v>
      </x:c>
      <x:c r="H117" s="48"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I117" s="48"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J117" s="48"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K117" s="48"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c r="L117" s="49"/>
      <x:c r="M117" s="48" t="n">
        <x:f>A117</x:f>
        <x:v>-0.042</x:v>
      </x:c>
      <x:c r="N117" s="48" t="n">
        <x: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x:f>
        <x:v>21.573692500935373</x:v>
      </x:c>
      <x:c r="O117" s="48" t="n">
        <x: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x:f>
        <x:v>680.3374629608273</x:v>
      </x:c>
      <x:c r="P117" s="48" t="n">
        <x: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x:f>
        <x:v>1089.2681013276795</x:v>
      </x:c>
      <x:c r="Q117" s="48" t="n">
        <x: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x:f>
        <x:v>1183.3635606810362</x:v>
      </x:c>
      <x:c r="R117" s="49"/>
      <x:c r="S117" s="48" t="n">
        <x:f>A117</x:f>
        <x:v>-0.042</x:v>
      </x:c>
      <x:c r="T117" s="48" t="n">
        <x:f>(Inputs!$I$6+(((A117)+1)/2)*(Inputs!$J$6-Inputs!$I$6))</x:f>
        <x:v>-2.520000000000003</x:v>
      </x:c>
      <x:c r="U117" s="48" t="n">
        <x:f>(Inputs!$I$7+(((A117)+1)/2)*(Inputs!$J$7-Inputs!$I$7))</x:f>
        <x:v>-16.80000000000001</x:v>
      </x:c>
      <x:c r="V117" s="48" t="n">
        <x:f>(Inputs!$I$8+(((A117)+1)/2)*(Inputs!$J$8-Inputs!$I$8))</x:f>
        <x:v>-33.60000000000002</x:v>
      </x:c>
      <x:c r="W117" s="48" t="n">
        <x:f>(Inputs!$I$9+(((A117)+1)/2)*(Inputs!$J$9-Inputs!$I$9))</x:f>
        <x:v>-33.60000000000002</x:v>
      </x:c>
      <x:c r="X117" s="49"/>
      <x:c r="Y117" s="48" t="n">
        <x:f>A117</x:f>
        <x:v>-0.042</x:v>
      </x:c>
      <x:c r="Z117" s="48" t="n">
        <x:f>(Inputs!$H$6+Inputs!$L$6*(((Inputs!$I$6+(((A117)+1)/2)*(Inputs!$J$6-Inputs!$I$6)))/Inputs!$K$6)^2)</x:f>
        <x:v>400.007056</x:v>
      </x:c>
      <x:c r="AA117" s="48" t="n">
        <x:f>(Inputs!$H$7+Inputs!$L$7*(((Inputs!$I$7+(((A117)+1)/2)*(Inputs!$J$7-Inputs!$I$7)))/Inputs!$K$7)^2)</x:f>
        <x:v>35.643860000000004</x:v>
      </x:c>
      <x:c r="AB117" s="48" t="n">
        <x:f>(Inputs!$H$8+Inputs!$L$8*(((Inputs!$I$8+(((A117)+1)/2)*(Inputs!$J$8-Inputs!$I$8)))/Inputs!$K$8)^2)</x:f>
        <x:v>36.70226</x:v>
      </x:c>
      <x:c r="AC117" s="48" t="n">
        <x:f>(Inputs!$H$9+Inputs!$L$9*(((Inputs!$I$9+(((A117)+1)/2)*(Inputs!$J$9-Inputs!$I$9)))/Inputs!$K$9)^2)</x:f>
        <x:v>26.719900000000003</x:v>
      </x:c>
      <x:c r="AD117" s="49"/>
      <x:c r="AE117" s="48" t="n">
        <x:f>A117</x:f>
        <x:v>-0.042</x:v>
      </x:c>
      <x:c r="AF117" s="48" t="n">
        <x:f>(((SQRT((Inputs!$C$52+((Inputs!$H$6+Inputs!$L$6*(((Inputs!$I$6+(((A117)+1)/2)*(Inputs!$J$6-Inputs!$I$6)))/Inputs!$K$6)^2)))^2+Inputs!$C$52^2-2*(Inputs!$C$52+((Inputs!$H$6+Inputs!$L$6*(((Inputs!$I$6+(((A117)+1)/2)*(Inputs!$J$6-Inputs!$I$6)))/Inputs!$K$6)^2)))*Inputs!$C$52*COS(SQRT(((Inputs!$I$6+(((A117)+1)/2)*(Inputs!$J$6-Inputs!$I$6)))^2+Inputs!$C$6^2)/Inputs!$C$52)))-((Inputs!$H$6+Inputs!$L$6*(((Inputs!$I$6+(((A117)+1)/2)*(Inputs!$J$6-Inputs!$I$6)))/Inputs!$K$6)^2)))*1000/Inputs!$C$12)</x:f>
        <x:v>556.2805047441025</x:v>
      </x:c>
      <x:c r="AG117" s="48" t="n">
        <x:f>(((SQRT((Inputs!$C$52+((Inputs!$H$7+Inputs!$L$7*(((Inputs!$I$7+(((A117)+1)/2)*(Inputs!$J$7-Inputs!$I$7)))/Inputs!$K$7)^2)))^2+Inputs!$C$52^2-2*(Inputs!$C$52+((Inputs!$H$7+Inputs!$L$7*(((Inputs!$I$7+(((A117)+1)/2)*(Inputs!$J$7-Inputs!$I$7)))/Inputs!$K$7)^2)))*Inputs!$C$52*COS(SQRT(((Inputs!$I$7+(((A117)+1)/2)*(Inputs!$J$7-Inputs!$I$7)))^2+Inputs!$C$6^2)/Inputs!$C$52)))-((Inputs!$H$7+Inputs!$L$7*(((Inputs!$I$7+(((A117)+1)/2)*(Inputs!$J$7-Inputs!$I$7)))/Inputs!$K$7)^2)))*1000/Inputs!$C$12)</x:f>
        <x:v>6316.5130883639695</x:v>
      </x:c>
      <x:c r="AH117" s="48" t="n">
        <x:f>(((SQRT((Inputs!$C$52+((Inputs!$H$8+Inputs!$L$8*(((Inputs!$I$8+(((A117)+1)/2)*(Inputs!$J$8-Inputs!$I$8)))/Inputs!$K$8)^2)))^2+Inputs!$C$52^2-2*(Inputs!$C$52+((Inputs!$H$8+Inputs!$L$8*(((Inputs!$I$8+(((A117)+1)/2)*(Inputs!$J$8-Inputs!$I$8)))/Inputs!$K$8)^2)))*Inputs!$C$52*COS(SQRT(((Inputs!$I$8+(((A117)+1)/2)*(Inputs!$J$8-Inputs!$I$8)))^2+Inputs!$C$6^2)/Inputs!$C$52)))-((Inputs!$H$8+Inputs!$L$8*(((Inputs!$I$8+(((A117)+1)/2)*(Inputs!$J$8-Inputs!$I$8)))/Inputs!$K$8)^2)))*1000/Inputs!$C$12)</x:f>
        <x:v>10872.273624595278</x:v>
      </x:c>
      <x:c r="AI117" s="48" t="n">
        <x:f>(((SQRT((Inputs!$C$52+((Inputs!$H$9+Inputs!$L$9*(((Inputs!$I$9+(((A117)+1)/2)*(Inputs!$J$9-Inputs!$I$9)))/Inputs!$K$9)^2)))^2+Inputs!$C$52^2-2*(Inputs!$C$52+((Inputs!$H$9+Inputs!$L$9*(((Inputs!$I$9+(((A117)+1)/2)*(Inputs!$J$9-Inputs!$I$9)))/Inputs!$K$9)^2)))*Inputs!$C$52*COS(SQRT(((Inputs!$I$9+(((A117)+1)/2)*(Inputs!$J$9-Inputs!$I$9)))^2+Inputs!$C$6^2)/Inputs!$C$52)))-((Inputs!$H$9+Inputs!$L$9*(((Inputs!$I$9+(((A117)+1)/2)*(Inputs!$J$9-Inputs!$I$9)))/Inputs!$K$9)^2)))*1000/Inputs!$C$12)</x:f>
        <x:v>13066.529366278282</x:v>
      </x:c>
      <x:c r="AJ117" s="49"/>
      <x:c r="AK117" s="48" t="n">
        <x:f>A117</x:f>
        <x:v>-0.042</x:v>
      </x:c>
      <x:c r="AL117" s="48" t="n">
        <x: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x:f>
        <x:v>21.573692500935373</x:v>
      </x:c>
      <x:c r="AM117" s="48" t="n">
        <x: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x:f>
        <x:v>680.3374629608273</x:v>
      </x:c>
      <x:c r="AN117" s="48" t="n">
        <x: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x:f>
        <x:v>1089.2681013276795</x:v>
      </x:c>
      <x:c r="AO117" s="48" t="n">
        <x: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x:f>
        <x:v>1183.3635606810362</x:v>
      </x:c>
      <x:c r="AP117" s="49"/>
      <x:c r="AQ117" s="48" t="n">
        <x:f>A117</x:f>
        <x:v>-0.042</x:v>
      </x:c>
      <x:c r="AR117" s="48" t="n">
        <x:f>0</x:f>
        <x:v>0</x:v>
      </x:c>
      <x:c r="AS117" s="48" t="n">
        <x: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(0.45*SIN(2*PI()*((((Inputs!$I$6+(((A117)+1)/2)*(Inputs!$J$6-Inputs!$I$6)))/Inputs!$C$49)+Inputs!$C$47*0.137))+0.35*COS(2*PI()*(((Inputs!$C$6)/Inputs!$C$50)+Inputs!$C$47*0.173))+0.20*SIN(2*PI()*((((Inputs!$I$6+(((A117)+1)/2)*(Inputs!$J$6-Inputs!$I$6)))+(Inputs!$C$6))/(0.5*(Inputs!$C$49+Inputs!$C$50))+Inputs!$C$47*0.097)))+0.30*(2*((SIN((((Inputs!$I$6+(((A117)+1)/2)*(Inputs!$J$6-Inputs!$I$6)))*12.9898+(Inputs!$C$6)*78.233+Inputs!$C$47*37.719))*43758.5453)-INT((SIN((((Inputs!$I$6+(((A117)+1)/2)*(Inputs!$J$6-Inputs!$I$6)))*12.9898+(Inputs!$C$6)*78.233+Inputs!$C$47*37.719))*43758.5453)))-1))),NA())</x:f>
        <x:v>419.3714503277078</x:v>
      </x:c>
      <x:c r="AT117" s="48" t="n">
        <x: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(0.45*SIN(2*PI()*((((Inputs!$I$7+(((A117)+1)/2)*(Inputs!$J$7-Inputs!$I$7)))/Inputs!$C$49)+Inputs!$C$47*0.137))+0.35*COS(2*PI()*(((Inputs!$C$6)/Inputs!$C$50)+Inputs!$C$47*0.173))+0.20*SIN(2*PI()*((((Inputs!$I$7+(((A117)+1)/2)*(Inputs!$J$7-Inputs!$I$7)))+(Inputs!$C$6))/(0.5*(Inputs!$C$49+Inputs!$C$50))+Inputs!$C$47*0.097)))+0.30*(2*((SIN((((Inputs!$I$7+(((A117)+1)/2)*(Inputs!$J$7-Inputs!$I$7)))*12.9898+(Inputs!$C$6)*78.233+Inputs!$C$47*37.719))*43758.5453)-INT((SIN((((Inputs!$I$7+(((A117)+1)/2)*(Inputs!$J$7-Inputs!$I$7)))*12.9898+(Inputs!$C$6)*78.233+Inputs!$C$47*37.719))*43758.5453)))-1))),NA())</x:f>
        <x:v>382.7236063773297</x:v>
      </x:c>
      <x:c r="AU117" s="48" t="n">
        <x: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(0.45*SIN(2*PI()*((((Inputs!$I$8+(((A117)+1)/2)*(Inputs!$J$8-Inputs!$I$8)))/Inputs!$C$49)+Inputs!$C$47*0.137))+0.35*COS(2*PI()*(((Inputs!$C$6)/Inputs!$C$50)+Inputs!$C$47*0.173))+0.20*SIN(2*PI()*((((Inputs!$I$8+(((A117)+1)/2)*(Inputs!$J$8-Inputs!$I$8)))+(Inputs!$C$6))/(0.5*(Inputs!$C$49+Inputs!$C$50))+Inputs!$C$47*0.097)))+0.30*(2*((SIN((((Inputs!$I$8+(((A117)+1)/2)*(Inputs!$J$8-Inputs!$I$8)))*12.9898+(Inputs!$C$6)*78.233+Inputs!$C$47*37.719))*43758.5453)-INT((SIN((((Inputs!$I$8+(((A117)+1)/2)*(Inputs!$J$8-Inputs!$I$8)))*12.9898+(Inputs!$C$6)*78.233+Inputs!$C$47*37.719))*43758.5453)))-1))),NA())</x:f>
        <x:v>332.82100989198443</x:v>
      </x:c>
      <x:c r="AV117" s="48" t="n">
        <x: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(0.45*SIN(2*PI()*((((Inputs!$I$9+(((A117)+1)/2)*(Inputs!$J$9-Inputs!$I$9)))/Inputs!$C$49)+Inputs!$C$47*0.137))+0.35*COS(2*PI()*(((Inputs!$C$6)/Inputs!$C$50)+Inputs!$C$47*0.173))+0.20*SIN(2*PI()*((((Inputs!$I$9+(((A117)+1)/2)*(Inputs!$J$9-Inputs!$I$9)))+(Inputs!$C$6))/(0.5*(Inputs!$C$49+Inputs!$C$50))+Inputs!$C$47*0.097)))+0.30*(2*((SIN((((Inputs!$I$9+(((A117)+1)/2)*(Inputs!$J$9-Inputs!$I$9)))*12.9898+(Inputs!$C$6)*78.233+Inputs!$C$47*37.719))*43758.5453)-INT((SIN((((Inputs!$I$9+(((A117)+1)/2)*(Inputs!$J$9-Inputs!$I$9)))*12.9898+(Inputs!$C$6)*78.233+Inputs!$C$47*37.719))*43758.5453)))-1))),NA())</x:f>
        <x:v>332.82100989198443</x:v>
      </x:c>
      <x:c r="AW117" s="49"/>
      <x:c r="AX117" s="48" t="n">
        <x:f>A117</x:f>
        <x:v>-0.042</x:v>
      </x:c>
      <x:c r="AY117" s="48" t="n">
        <x:f>0</x:f>
        <x:v>0</x:v>
      </x:c>
      <x:c r="AZ117" s="48" t="n">
        <x:f>IF(OR(Inputs!$F$6=TRUE,Inputs!$F$6="TRUE",Inputs!$F$6=1),(Inputs!$H$6+Inputs!$L$6*(((Inputs!$I$6+(((A117)+1)/2)*(Inputs!$J$6-Inputs!$I$6)))/Inputs!$K$6)^2),NA())</x:f>
        <x:v>400.007056</x:v>
      </x:c>
      <x:c r="BA117" s="48" t="n">
        <x:f>IF(OR(Inputs!$F$7=TRUE,Inputs!$F$7="TRUE",Inputs!$F$7=1),(Inputs!$H$7+Inputs!$L$7*(((Inputs!$I$7+(((A117)+1)/2)*(Inputs!$J$7-Inputs!$I$7)))/Inputs!$K$7)^2),NA())</x:f>
        <x:v>35.643860000000004</x:v>
      </x:c>
      <x:c r="BB117" s="48" t="n">
        <x:f>IF(OR(Inputs!$F$8=TRUE,Inputs!$F$8="TRUE",Inputs!$F$8=1),(Inputs!$H$8+Inputs!$L$8*(((Inputs!$I$8+(((A117)+1)/2)*(Inputs!$J$8-Inputs!$I$8)))/Inputs!$K$8)^2),NA())</x:f>
        <x:v>36.70226</x:v>
      </x:c>
      <x:c r="BC117" s="48" t="n">
        <x:f>IF(OR(Inputs!$F$9=TRUE,Inputs!$F$9="TRUE",Inputs!$F$9=1),(Inputs!$H$9+Inputs!$L$9*(((Inputs!$I$9+(((A117)+1)/2)*(Inputs!$J$9-Inputs!$I$9)))/Inputs!$K$9)^2),NA())</x:f>
        <x:v>26.719900000000003</x:v>
      </x:c>
      <x:c r="BD117" s="49"/>
      <x:c r="BE117" s="48" t="n">
        <x:f>A117</x:f>
        <x:v>-0.042</x:v>
      </x:c>
      <x:c r="BF117" s="48" t="n">
        <x:f>0</x:f>
        <x:v>0</x:v>
      </x:c>
      <x:c r="BG117" s="48"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BH117" s="48"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BI117" s="48"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BJ117" s="48"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row>
    <x:row r="118">
      <x:c r="A118" s="48" t="n">
        <x:f>ROUND(-1+116*2/240,3)</x:f>
        <x:v>-0.033</x:v>
      </x:c>
      <x:c r="B118" s="48" t="n">
        <x:f>IF(OR(Inputs!$F$6=TRUE,Inputs!$F$6="TRUE",Inputs!$F$6=1),(Inputs!$H$6+Inputs!$L$6*(((Inputs!$I$6+(((A118)+1)/2)*(Inputs!$J$6-Inputs!$I$6)))/Inputs!$K$6)^2),NA())</x:f>
        <x:v>400.004356</x:v>
      </x:c>
      <x:c r="C118" s="48" t="n">
        <x:f>IF(OR(Inputs!$F$7=TRUE,Inputs!$F$7="TRUE",Inputs!$F$7=1),(Inputs!$H$7+Inputs!$L$7*(((Inputs!$I$7+(((A118)+1)/2)*(Inputs!$J$7-Inputs!$I$7)))/Inputs!$K$7)^2),NA())</x:f>
        <x:v>35.397484999999996</x:v>
      </x:c>
      <x:c r="D118" s="48" t="n">
        <x:f>IF(OR(Inputs!$F$8=TRUE,Inputs!$F$8="TRUE",Inputs!$F$8=1),(Inputs!$H$8+Inputs!$L$8*(((Inputs!$I$8+(((A118)+1)/2)*(Inputs!$J$8-Inputs!$I$8)))/Inputs!$K$8)^2),NA())</x:f>
        <x:v>36.050885</x:v>
      </x:c>
      <x:c r="E118" s="48" t="n">
        <x:f>IF(OR(Inputs!$F$9=TRUE,Inputs!$F$9="TRUE",Inputs!$F$9=1),(Inputs!$H$9+Inputs!$L$9*(((Inputs!$I$9+(((A118)+1)/2)*(Inputs!$J$9-Inputs!$I$9)))/Inputs!$K$9)^2),NA())</x:f>
        <x:v>26.061774999999997</x:v>
      </x:c>
      <x:c r="F118" s="49"/>
      <x:c r="G118" s="48" t="n">
        <x:f>A118</x:f>
        <x:v>-0.033</x:v>
      </x:c>
      <x:c r="H118" s="48"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I118" s="48"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J118" s="48"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K118" s="48"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c r="L118" s="49"/>
      <x:c r="M118" s="48" t="n">
        <x:f>A118</x:f>
        <x:v>-0.033</x:v>
      </x:c>
      <x:c r="N118" s="48" t="n">
        <x: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x:f>
        <x:v>16.950960121779378</x:v>
      </x:c>
      <x:c r="O118" s="48" t="n">
        <x: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x:f>
        <x:v>550.1739832562969</x:v>
      </x:c>
      <x:c r="P118" s="48" t="n">
        <x: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x:f>
        <x:v>929.3048629212287</x:v>
      </x:c>
      <x:c r="Q118" s="48" t="n">
        <x: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x:f>
        <x:v>1030.4626072763508</x:v>
      </x:c>
      <x:c r="R118" s="49"/>
      <x:c r="S118" s="48" t="n">
        <x:f>A118</x:f>
        <x:v>-0.033</x:v>
      </x:c>
      <x:c r="T118" s="48" t="n">
        <x:f>(Inputs!$I$6+(((A118)+1)/2)*(Inputs!$J$6-Inputs!$I$6))</x:f>
        <x:v>-1.980000000000004</x:v>
      </x:c>
      <x:c r="U118" s="48" t="n">
        <x:f>(Inputs!$I$7+(((A118)+1)/2)*(Inputs!$J$7-Inputs!$I$7))</x:f>
        <x:v>-13.199999999999989</x:v>
      </x:c>
      <x:c r="V118" s="48" t="n">
        <x:f>(Inputs!$I$8+(((A118)+1)/2)*(Inputs!$J$8-Inputs!$I$8))</x:f>
        <x:v>-26.399999999999977</x:v>
      </x:c>
      <x:c r="W118" s="48" t="n">
        <x:f>(Inputs!$I$9+(((A118)+1)/2)*(Inputs!$J$9-Inputs!$I$9))</x:f>
        <x:v>-26.399999999999977</x:v>
      </x:c>
      <x:c r="X118" s="49"/>
      <x:c r="Y118" s="48" t="n">
        <x:f>A118</x:f>
        <x:v>-0.033</x:v>
      </x:c>
      <x:c r="Z118" s="48" t="n">
        <x:f>(Inputs!$H$6+Inputs!$L$6*(((Inputs!$I$6+(((A118)+1)/2)*(Inputs!$J$6-Inputs!$I$6)))/Inputs!$K$6)^2)</x:f>
        <x:v>400.004356</x:v>
      </x:c>
      <x:c r="AA118" s="48" t="n">
        <x:f>(Inputs!$H$7+Inputs!$L$7*(((Inputs!$I$7+(((A118)+1)/2)*(Inputs!$J$7-Inputs!$I$7)))/Inputs!$K$7)^2)</x:f>
        <x:v>35.397484999999996</x:v>
      </x:c>
      <x:c r="AB118" s="48" t="n">
        <x:f>(Inputs!$H$8+Inputs!$L$8*(((Inputs!$I$8+(((A118)+1)/2)*(Inputs!$J$8-Inputs!$I$8)))/Inputs!$K$8)^2)</x:f>
        <x:v>36.050885</x:v>
      </x:c>
      <x:c r="AC118" s="48" t="n">
        <x:f>(Inputs!$H$9+Inputs!$L$9*(((Inputs!$I$9+(((A118)+1)/2)*(Inputs!$J$9-Inputs!$I$9)))/Inputs!$K$9)^2)</x:f>
        <x:v>26.061774999999997</x:v>
      </x:c>
      <x:c r="AD118" s="49"/>
      <x:c r="AE118" s="48" t="n">
        <x:f>A118</x:f>
        <x:v>-0.033</x:v>
      </x:c>
      <x:c r="AF118" s="48" t="n">
        <x:f>(((SQRT((Inputs!$C$52+((Inputs!$H$6+Inputs!$L$6*(((Inputs!$I$6+(((A118)+1)/2)*(Inputs!$J$6-Inputs!$I$6)))/Inputs!$K$6)^2)))^2+Inputs!$C$52^2-2*(Inputs!$C$52+((Inputs!$H$6+Inputs!$L$6*(((Inputs!$I$6+(((A118)+1)/2)*(Inputs!$J$6-Inputs!$I$6)))/Inputs!$K$6)^2)))*Inputs!$C$52*COS(SQRT(((Inputs!$I$6+(((A118)+1)/2)*(Inputs!$J$6-Inputs!$I$6)))^2+Inputs!$C$6^2)/Inputs!$C$52)))-((Inputs!$H$6+Inputs!$L$6*(((Inputs!$I$6+(((A118)+1)/2)*(Inputs!$J$6-Inputs!$I$6)))/Inputs!$K$6)^2)))*1000/Inputs!$C$12)</x:f>
        <x:v>554.1450891418312</x:v>
      </x:c>
      <x:c r="AG118" s="48" t="n">
        <x:f>(((SQRT((Inputs!$C$52+((Inputs!$H$7+Inputs!$L$7*(((Inputs!$I$7+(((A118)+1)/2)*(Inputs!$J$7-Inputs!$I$7)))/Inputs!$K$7)^2)))^2+Inputs!$C$52^2-2*(Inputs!$C$52+((Inputs!$H$7+Inputs!$L$7*(((Inputs!$I$7+(((A118)+1)/2)*(Inputs!$J$7-Inputs!$I$7)))/Inputs!$K$7)^2)))*Inputs!$C$52*COS(SQRT(((Inputs!$I$7+(((A118)+1)/2)*(Inputs!$J$7-Inputs!$I$7)))^2+Inputs!$C$6^2)/Inputs!$C$52)))-((Inputs!$H$7+Inputs!$L$7*(((Inputs!$I$7+(((A118)+1)/2)*(Inputs!$J$7-Inputs!$I$7)))/Inputs!$K$7)^2)))*1000/Inputs!$C$12)</x:f>
        <x:v>5676.0370294418835</x:v>
      </x:c>
      <x:c r="AH118" s="48" t="n">
        <x:f>(((SQRT((Inputs!$C$52+((Inputs!$H$8+Inputs!$L$8*(((Inputs!$I$8+(((A118)+1)/2)*(Inputs!$J$8-Inputs!$I$8)))/Inputs!$K$8)^2)))^2+Inputs!$C$52^2-2*(Inputs!$C$52+((Inputs!$H$8+Inputs!$L$8*(((Inputs!$I$8+(((A118)+1)/2)*(Inputs!$J$8-Inputs!$I$8)))/Inputs!$K$8)^2)))*Inputs!$C$52*COS(SQRT(((Inputs!$I$8+(((A118)+1)/2)*(Inputs!$J$8-Inputs!$I$8)))^2+Inputs!$C$6^2)/Inputs!$C$52)))-((Inputs!$H$8+Inputs!$L$8*(((Inputs!$I$8+(((A118)+1)/2)*(Inputs!$J$8-Inputs!$I$8)))/Inputs!$K$8)^2)))*1000/Inputs!$C$12)</x:f>
        <x:v>8678.456544636687</x:v>
      </x:c>
      <x:c r="AI118" s="48" t="n">
        <x:f>(((SQRT((Inputs!$C$52+((Inputs!$H$9+Inputs!$L$9*(((Inputs!$I$9+(((A118)+1)/2)*(Inputs!$J$9-Inputs!$I$9)))/Inputs!$K$9)^2)))^2+Inputs!$C$52^2-2*(Inputs!$C$52+((Inputs!$H$9+Inputs!$L$9*(((Inputs!$I$9+(((A118)+1)/2)*(Inputs!$J$9-Inputs!$I$9)))/Inputs!$K$9)^2)))*Inputs!$C$52*COS(SQRT(((Inputs!$I$9+(((A118)+1)/2)*(Inputs!$J$9-Inputs!$I$9)))^2+Inputs!$C$6^2)/Inputs!$C$52)))-((Inputs!$H$9+Inputs!$L$9*(((Inputs!$I$9+(((A118)+1)/2)*(Inputs!$J$9-Inputs!$I$9)))/Inputs!$K$9)^2)))*1000/Inputs!$C$12)</x:f>
        <x:v>10628.14531141867</x:v>
      </x:c>
      <x:c r="AJ118" s="49"/>
      <x:c r="AK118" s="48" t="n">
        <x:f>A118</x:f>
        <x:v>-0.033</x:v>
      </x:c>
      <x:c r="AL118" s="48" t="n">
        <x: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x:f>
        <x:v>16.950960121779378</x:v>
      </x:c>
      <x:c r="AM118" s="48" t="n">
        <x: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x:f>
        <x:v>550.1739832562969</x:v>
      </x:c>
      <x:c r="AN118" s="48" t="n">
        <x: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x:f>
        <x:v>929.3048629212287</x:v>
      </x:c>
      <x:c r="AO118" s="48" t="n">
        <x: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x:f>
        <x:v>1030.4626072763508</x:v>
      </x:c>
      <x:c r="AP118" s="49"/>
      <x:c r="AQ118" s="48" t="n">
        <x:f>A118</x:f>
        <x:v>-0.033</x:v>
      </x:c>
      <x:c r="AR118" s="48" t="n">
        <x:f>0</x:f>
        <x:v>0</x:v>
      </x:c>
      <x:c r="AS118" s="48" t="n">
        <x: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(0.45*SIN(2*PI()*((((Inputs!$I$6+(((A118)+1)/2)*(Inputs!$J$6-Inputs!$I$6)))/Inputs!$C$49)+Inputs!$C$47*0.137))+0.35*COS(2*PI()*(((Inputs!$C$6)/Inputs!$C$50)+Inputs!$C$47*0.173))+0.20*SIN(2*PI()*((((Inputs!$I$6+(((A118)+1)/2)*(Inputs!$J$6-Inputs!$I$6)))+(Inputs!$C$6))/(0.5*(Inputs!$C$49+Inputs!$C$50))+Inputs!$C$47*0.097)))+0.30*(2*((SIN((((Inputs!$I$6+(((A118)+1)/2)*(Inputs!$J$6-Inputs!$I$6)))*12.9898+(Inputs!$C$6)*78.233+Inputs!$C$47*37.719))*43758.5453)-INT((SIN((((Inputs!$I$6+(((A118)+1)/2)*(Inputs!$J$6-Inputs!$I$6)))*12.9898+(Inputs!$C$6)*78.233+Inputs!$C$47*37.719))*43758.5453)))-1))),NA())</x:f>
        <x:v>426.6117076959969</x:v>
      </x:c>
      <x:c r="AT118" s="48" t="n">
        <x: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(0.45*SIN(2*PI()*((((Inputs!$I$7+(((A118)+1)/2)*(Inputs!$J$7-Inputs!$I$7)))/Inputs!$C$49)+Inputs!$C$47*0.137))+0.35*COS(2*PI()*(((Inputs!$C$6)/Inputs!$C$50)+Inputs!$C$47*0.173))+0.20*SIN(2*PI()*((((Inputs!$I$7+(((A118)+1)/2)*(Inputs!$J$7-Inputs!$I$7)))+(Inputs!$C$6))/(0.5*(Inputs!$C$49+Inputs!$C$50))+Inputs!$C$47*0.097)))+0.30*(2*((SIN((((Inputs!$I$7+(((A118)+1)/2)*(Inputs!$J$7-Inputs!$I$7)))*12.9898+(Inputs!$C$6)*78.233+Inputs!$C$47*37.719))*43758.5453)-INT((SIN((((Inputs!$I$7+(((A118)+1)/2)*(Inputs!$J$7-Inputs!$I$7)))*12.9898+(Inputs!$C$6)*78.233+Inputs!$C$47*37.719))*43758.5453)))-1))),NA())</x:f>
        <x:v>426.4996929504622</x:v>
      </x:c>
      <x:c r="AU118" s="48" t="n">
        <x: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(0.45*SIN(2*PI()*((((Inputs!$I$8+(((A118)+1)/2)*(Inputs!$J$8-Inputs!$I$8)))/Inputs!$C$49)+Inputs!$C$47*0.137))+0.35*COS(2*PI()*(((Inputs!$C$6)/Inputs!$C$50)+Inputs!$C$47*0.173))+0.20*SIN(2*PI()*((((Inputs!$I$8+(((A118)+1)/2)*(Inputs!$J$8-Inputs!$I$8)))+(Inputs!$C$6))/(0.5*(Inputs!$C$49+Inputs!$C$50))+Inputs!$C$47*0.097)))+0.30*(2*((SIN((((Inputs!$I$8+(((A118)+1)/2)*(Inputs!$J$8-Inputs!$I$8)))*12.9898+(Inputs!$C$6)*78.233+Inputs!$C$47*37.719))*43758.5453)-INT((SIN((((Inputs!$I$8+(((A118)+1)/2)*(Inputs!$J$8-Inputs!$I$8)))*12.9898+(Inputs!$C$6)*78.233+Inputs!$C$47*37.719))*43758.5453)))-1))),NA())</x:f>
        <x:v>283.81617250767744</x:v>
      </x:c>
      <x:c r="AV118" s="48" t="n">
        <x: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(0.45*SIN(2*PI()*((((Inputs!$I$9+(((A118)+1)/2)*(Inputs!$J$9-Inputs!$I$9)))/Inputs!$C$49)+Inputs!$C$47*0.137))+0.35*COS(2*PI()*(((Inputs!$C$6)/Inputs!$C$50)+Inputs!$C$47*0.173))+0.20*SIN(2*PI()*((((Inputs!$I$9+(((A118)+1)/2)*(Inputs!$J$9-Inputs!$I$9)))+(Inputs!$C$6))/(0.5*(Inputs!$C$49+Inputs!$C$50))+Inputs!$C$47*0.097)))+0.30*(2*((SIN((((Inputs!$I$9+(((A118)+1)/2)*(Inputs!$J$9-Inputs!$I$9)))*12.9898+(Inputs!$C$6)*78.233+Inputs!$C$47*37.719))*43758.5453)-INT((SIN((((Inputs!$I$9+(((A118)+1)/2)*(Inputs!$J$9-Inputs!$I$9)))*12.9898+(Inputs!$C$6)*78.233+Inputs!$C$47*37.719))*43758.5453)))-1))),NA())</x:f>
        <x:v>283.81617250767744</x:v>
      </x:c>
      <x:c r="AW118" s="49"/>
      <x:c r="AX118" s="48" t="n">
        <x:f>A118</x:f>
        <x:v>-0.033</x:v>
      </x:c>
      <x:c r="AY118" s="48" t="n">
        <x:f>0</x:f>
        <x:v>0</x:v>
      </x:c>
      <x:c r="AZ118" s="48" t="n">
        <x:f>IF(OR(Inputs!$F$6=TRUE,Inputs!$F$6="TRUE",Inputs!$F$6=1),(Inputs!$H$6+Inputs!$L$6*(((Inputs!$I$6+(((A118)+1)/2)*(Inputs!$J$6-Inputs!$I$6)))/Inputs!$K$6)^2),NA())</x:f>
        <x:v>400.004356</x:v>
      </x:c>
      <x:c r="BA118" s="48" t="n">
        <x:f>IF(OR(Inputs!$F$7=TRUE,Inputs!$F$7="TRUE",Inputs!$F$7=1),(Inputs!$H$7+Inputs!$L$7*(((Inputs!$I$7+(((A118)+1)/2)*(Inputs!$J$7-Inputs!$I$7)))/Inputs!$K$7)^2),NA())</x:f>
        <x:v>35.397484999999996</x:v>
      </x:c>
      <x:c r="BB118" s="48" t="n">
        <x:f>IF(OR(Inputs!$F$8=TRUE,Inputs!$F$8="TRUE",Inputs!$F$8=1),(Inputs!$H$8+Inputs!$L$8*(((Inputs!$I$8+(((A118)+1)/2)*(Inputs!$J$8-Inputs!$I$8)))/Inputs!$K$8)^2),NA())</x:f>
        <x:v>36.050885</x:v>
      </x:c>
      <x:c r="BC118" s="48" t="n">
        <x:f>IF(OR(Inputs!$F$9=TRUE,Inputs!$F$9="TRUE",Inputs!$F$9=1),(Inputs!$H$9+Inputs!$L$9*(((Inputs!$I$9+(((A118)+1)/2)*(Inputs!$J$9-Inputs!$I$9)))/Inputs!$K$9)^2),NA())</x:f>
        <x:v>26.061774999999997</x:v>
      </x:c>
      <x:c r="BD118" s="49"/>
      <x:c r="BE118" s="48" t="n">
        <x:f>A118</x:f>
        <x:v>-0.033</x:v>
      </x:c>
      <x:c r="BF118" s="48" t="n">
        <x:f>0</x:f>
        <x:v>0</x:v>
      </x:c>
      <x:c r="BG118" s="48"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BH118" s="48"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BI118" s="48"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BJ118" s="48"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row>
    <x:row r="119">
      <x:c r="A119" s="48" t="n">
        <x:f>ROUND(-1+117*2/240,3)</x:f>
        <x:v>-0.025</x:v>
      </x:c>
      <x:c r="B119" s="48" t="n">
        <x:f>IF(OR(Inputs!$F$6=TRUE,Inputs!$F$6="TRUE",Inputs!$F$6=1),(Inputs!$H$6+Inputs!$L$6*(((Inputs!$I$6+(((A119)+1)/2)*(Inputs!$J$6-Inputs!$I$6)))/Inputs!$K$6)^2),NA())</x:f>
        <x:v>400.0025</x:v>
      </x:c>
      <x:c r="C119" s="48" t="n">
        <x:f>IF(OR(Inputs!$F$7=TRUE,Inputs!$F$7="TRUE",Inputs!$F$7=1),(Inputs!$H$7+Inputs!$L$7*(((Inputs!$I$7+(((A119)+1)/2)*(Inputs!$J$7-Inputs!$I$7)))/Inputs!$K$7)^2),NA())</x:f>
        <x:v>35.228125</x:v>
      </x:c>
      <x:c r="D119" s="48" t="n">
        <x:f>IF(OR(Inputs!$F$8=TRUE,Inputs!$F$8="TRUE",Inputs!$F$8=1),(Inputs!$H$8+Inputs!$L$8*(((Inputs!$I$8+(((A119)+1)/2)*(Inputs!$J$8-Inputs!$I$8)))/Inputs!$K$8)^2),NA())</x:f>
        <x:v>35.603125</x:v>
      </x:c>
      <x:c r="E119" s="48" t="n">
        <x:f>IF(OR(Inputs!$F$9=TRUE,Inputs!$F$9="TRUE",Inputs!$F$9=1),(Inputs!$H$9+Inputs!$L$9*(((Inputs!$I$9+(((A119)+1)/2)*(Inputs!$J$9-Inputs!$I$9)))/Inputs!$K$9)^2),NA())</x:f>
        <x:v>25.609375</x:v>
      </x:c>
      <x:c r="F119" s="49"/>
      <x:c r="G119" s="48" t="n">
        <x:f>A119</x:f>
        <x:v>-0.025</x:v>
      </x:c>
      <x:c r="H119" s="48"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I119" s="48"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J119" s="48"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K119" s="48"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c r="L119" s="49"/>
      <x:c r="M119" s="48" t="n">
        <x:f>A119</x:f>
        <x:v>-0.025</x:v>
      </x:c>
      <x:c r="N119" s="48" t="n">
        <x: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x:f>
        <x:v>12.841741512815293</x:v>
      </x:c>
      <x:c r="O119" s="48" t="n">
        <x: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x:f>
        <x:v>425.59120024288495</x:v>
      </x:c>
      <x:c r="P119" s="48" t="n">
        <x: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x:f>
        <x:v>752.1191010222108</x:v>
      </x:c>
      <x:c r="Q119" s="48" t="n">
        <x: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x:f>
        <x:v>850.723866703077</x:v>
      </x:c>
      <x:c r="R119" s="49"/>
      <x:c r="S119" s="48" t="n">
        <x:f>A119</x:f>
        <x:v>-0.025</x:v>
      </x:c>
      <x:c r="T119" s="48" t="n">
        <x:f>(Inputs!$I$6+(((A119)+1)/2)*(Inputs!$J$6-Inputs!$I$6))</x:f>
        <x:v>-1.5</x:v>
      </x:c>
      <x:c r="U119" s="48" t="n">
        <x:f>(Inputs!$I$7+(((A119)+1)/2)*(Inputs!$J$7-Inputs!$I$7))</x:f>
        <x:v>-10</x:v>
      </x:c>
      <x:c r="V119" s="48" t="n">
        <x:f>(Inputs!$I$8+(((A119)+1)/2)*(Inputs!$J$8-Inputs!$I$8))</x:f>
        <x:v>-20</x:v>
      </x:c>
      <x:c r="W119" s="48" t="n">
        <x:f>(Inputs!$I$9+(((A119)+1)/2)*(Inputs!$J$9-Inputs!$I$9))</x:f>
        <x:v>-20</x:v>
      </x:c>
      <x:c r="X119" s="49"/>
      <x:c r="Y119" s="48" t="n">
        <x:f>A119</x:f>
        <x:v>-0.025</x:v>
      </x:c>
      <x:c r="Z119" s="48" t="n">
        <x:f>(Inputs!$H$6+Inputs!$L$6*(((Inputs!$I$6+(((A119)+1)/2)*(Inputs!$J$6-Inputs!$I$6)))/Inputs!$K$6)^2)</x:f>
        <x:v>400.0025</x:v>
      </x:c>
      <x:c r="AA119" s="48" t="n">
        <x:f>(Inputs!$H$7+Inputs!$L$7*(((Inputs!$I$7+(((A119)+1)/2)*(Inputs!$J$7-Inputs!$I$7)))/Inputs!$K$7)^2)</x:f>
        <x:v>35.228125</x:v>
      </x:c>
      <x:c r="AB119" s="48" t="n">
        <x:f>(Inputs!$H$8+Inputs!$L$8*(((Inputs!$I$8+(((A119)+1)/2)*(Inputs!$J$8-Inputs!$I$8)))/Inputs!$K$8)^2)</x:f>
        <x:v>35.603125</x:v>
      </x:c>
      <x:c r="AC119" s="48" t="n">
        <x:f>(Inputs!$H$9+Inputs!$L$9*(((Inputs!$I$9+(((A119)+1)/2)*(Inputs!$J$9-Inputs!$I$9)))/Inputs!$K$9)^2)</x:f>
        <x:v>25.609375</x:v>
      </x:c>
      <x:c r="AD119" s="49"/>
      <x:c r="AE119" s="48" t="n">
        <x:f>A119</x:f>
        <x:v>-0.025</x:v>
      </x:c>
      <x:c r="AF119" s="48" t="n">
        <x:f>(((SQRT((Inputs!$C$52+((Inputs!$H$6+Inputs!$L$6*(((Inputs!$I$6+(((A119)+1)/2)*(Inputs!$J$6-Inputs!$I$6)))/Inputs!$K$6)^2)))^2+Inputs!$C$52^2-2*(Inputs!$C$52+((Inputs!$H$6+Inputs!$L$6*(((Inputs!$I$6+(((A119)+1)/2)*(Inputs!$J$6-Inputs!$I$6)))/Inputs!$K$6)^2)))*Inputs!$C$52*COS(SQRT(((Inputs!$I$6+(((A119)+1)/2)*(Inputs!$J$6-Inputs!$I$6)))^2+Inputs!$C$6^2)/Inputs!$C$52)))-((Inputs!$H$6+Inputs!$L$6*(((Inputs!$I$6+(((A119)+1)/2)*(Inputs!$J$6-Inputs!$I$6)))/Inputs!$K$6)^2)))*1000/Inputs!$C$12)</x:f>
        <x:v>552.6771634304794</x:v>
      </x:c>
      <x:c r="AG119" s="48" t="n">
        <x:f>(((SQRT((Inputs!$C$52+((Inputs!$H$7+Inputs!$L$7*(((Inputs!$I$7+(((A119)+1)/2)*(Inputs!$J$7-Inputs!$I$7)))/Inputs!$K$7)^2)))^2+Inputs!$C$52^2-2*(Inputs!$C$52+((Inputs!$H$7+Inputs!$L$7*(((Inputs!$I$7+(((A119)+1)/2)*(Inputs!$J$7-Inputs!$I$7)))/Inputs!$K$7)^2)))*Inputs!$C$52*COS(SQRT(((Inputs!$I$7+(((A119)+1)/2)*(Inputs!$J$7-Inputs!$I$7)))^2+Inputs!$C$6^2)/Inputs!$C$52)))-((Inputs!$H$7+Inputs!$L$7*(((Inputs!$I$7+(((A119)+1)/2)*(Inputs!$J$7-Inputs!$I$7)))/Inputs!$K$7)^2)))*1000/Inputs!$C$12)</x:f>
        <x:v>5222.272242106896</x:v>
      </x:c>
      <x:c r="AH119" s="48" t="n">
        <x:f>(((SQRT((Inputs!$C$52+((Inputs!$H$8+Inputs!$L$8*(((Inputs!$I$8+(((A119)+1)/2)*(Inputs!$J$8-Inputs!$I$8)))/Inputs!$K$8)^2)))^2+Inputs!$C$52^2-2*(Inputs!$C$52+((Inputs!$H$8+Inputs!$L$8*(((Inputs!$I$8+(((A119)+1)/2)*(Inputs!$J$8-Inputs!$I$8)))/Inputs!$K$8)^2)))*Inputs!$C$52*COS(SQRT(((Inputs!$I$8+(((A119)+1)/2)*(Inputs!$J$8-Inputs!$I$8)))^2+Inputs!$C$6^2)/Inputs!$C$52)))-((Inputs!$H$8+Inputs!$L$8*(((Inputs!$I$8+(((A119)+1)/2)*(Inputs!$J$8-Inputs!$I$8)))/Inputs!$K$8)^2)))*1000/Inputs!$C$12)</x:f>
        <x:v>7034.24300306082</x:v>
      </x:c>
      <x:c r="AI119" s="48" t="n">
        <x:f>(((SQRT((Inputs!$C$52+((Inputs!$H$9+Inputs!$L$9*(((Inputs!$I$9+(((A119)+1)/2)*(Inputs!$J$9-Inputs!$I$9)))/Inputs!$K$9)^2)))^2+Inputs!$C$52^2-2*(Inputs!$C$52+((Inputs!$H$9+Inputs!$L$9*(((Inputs!$I$9+(((A119)+1)/2)*(Inputs!$J$9-Inputs!$I$9)))/Inputs!$K$9)^2)))*Inputs!$C$52*COS(SQRT(((Inputs!$I$9+(((A119)+1)/2)*(Inputs!$J$9-Inputs!$I$9)))^2+Inputs!$C$6^2)/Inputs!$C$52)))-((Inputs!$H$9+Inputs!$L$9*(((Inputs!$I$9+(((A119)+1)/2)*(Inputs!$J$9-Inputs!$I$9)))/Inputs!$K$9)^2)))*1000/Inputs!$C$12)</x:f>
        <x:v>8760.016243019101</x:v>
      </x:c>
      <x:c r="AJ119" s="49"/>
      <x:c r="AK119" s="48" t="n">
        <x:f>A119</x:f>
        <x:v>-0.025</x:v>
      </x:c>
      <x:c r="AL119" s="48" t="n">
        <x: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x:f>
        <x:v>12.841741512815293</x:v>
      </x:c>
      <x:c r="AM119" s="48" t="n">
        <x: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x:f>
        <x:v>425.59120024288495</x:v>
      </x:c>
      <x:c r="AN119" s="48" t="n">
        <x: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x:f>
        <x:v>752.1191010222108</x:v>
      </x:c>
      <x:c r="AO119" s="48" t="n">
        <x: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x:f>
        <x:v>850.723866703077</x:v>
      </x:c>
      <x:c r="AP119" s="49"/>
      <x:c r="AQ119" s="48" t="n">
        <x:f>A119</x:f>
        <x:v>-0.025</x:v>
      </x:c>
      <x:c r="AR119" s="48" t="n">
        <x:f>0</x:f>
        <x:v>0</x:v>
      </x:c>
      <x:c r="AS119" s="48" t="n">
        <x: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(0.45*SIN(2*PI()*((((Inputs!$I$6+(((A119)+1)/2)*(Inputs!$J$6-Inputs!$I$6)))/Inputs!$C$49)+Inputs!$C$47*0.137))+0.35*COS(2*PI()*(((Inputs!$C$6)/Inputs!$C$50)+Inputs!$C$47*0.173))+0.20*SIN(2*PI()*((((Inputs!$I$6+(((A119)+1)/2)*(Inputs!$J$6-Inputs!$I$6)))+(Inputs!$C$6))/(0.5*(Inputs!$C$49+Inputs!$C$50))+Inputs!$C$47*0.097)))+0.30*(2*((SIN((((Inputs!$I$6+(((A119)+1)/2)*(Inputs!$J$6-Inputs!$I$6)))*12.9898+(Inputs!$C$6)*78.233+Inputs!$C$47*37.719))*43758.5453)-INT((SIN((((Inputs!$I$6+(((A119)+1)/2)*(Inputs!$J$6-Inputs!$I$6)))*12.9898+(Inputs!$C$6)*78.233+Inputs!$C$47*37.719))*43758.5453)))-1))),NA())</x:f>
        <x:v>431.10580672292525</x:v>
      </x:c>
      <x:c r="AT119" s="48" t="n">
        <x: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(0.45*SIN(2*PI()*((((Inputs!$I$7+(((A119)+1)/2)*(Inputs!$J$7-Inputs!$I$7)))/Inputs!$C$49)+Inputs!$C$47*0.137))+0.35*COS(2*PI()*(((Inputs!$C$6)/Inputs!$C$50)+Inputs!$C$47*0.173))+0.20*SIN(2*PI()*((((Inputs!$I$7+(((A119)+1)/2)*(Inputs!$J$7-Inputs!$I$7)))+(Inputs!$C$6))/(0.5*(Inputs!$C$49+Inputs!$C$50))+Inputs!$C$47*0.097)))+0.30*(2*((SIN((((Inputs!$I$7+(((A119)+1)/2)*(Inputs!$J$7-Inputs!$I$7)))*12.9898+(Inputs!$C$6)*78.233+Inputs!$C$47*37.719))*43758.5453)-INT((SIN((((Inputs!$I$7+(((A119)+1)/2)*(Inputs!$J$7-Inputs!$I$7)))*12.9898+(Inputs!$C$6)*78.233+Inputs!$C$47*37.719))*43758.5453)))-1))),NA())</x:f>
        <x:v>471.5144848829251</x:v>
      </x:c>
      <x:c r="AU119" s="48" t="n">
        <x: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(0.45*SIN(2*PI()*((((Inputs!$I$8+(((A119)+1)/2)*(Inputs!$J$8-Inputs!$I$8)))/Inputs!$C$49)+Inputs!$C$47*0.137))+0.35*COS(2*PI()*(((Inputs!$C$6)/Inputs!$C$50)+Inputs!$C$47*0.173))+0.20*SIN(2*PI()*((((Inputs!$I$8+(((A119)+1)/2)*(Inputs!$J$8-Inputs!$I$8)))+(Inputs!$C$6))/(0.5*(Inputs!$C$49+Inputs!$C$50))+Inputs!$C$47*0.097)))+0.30*(2*((SIN((((Inputs!$I$8+(((A119)+1)/2)*(Inputs!$J$8-Inputs!$I$8)))*12.9898+(Inputs!$C$6)*78.233+Inputs!$C$47*37.719))*43758.5453)-INT((SIN((((Inputs!$I$8+(((A119)+1)/2)*(Inputs!$J$8-Inputs!$I$8)))*12.9898+(Inputs!$C$6)*78.233+Inputs!$C$47*37.719))*43758.5453)))-1))),NA())</x:f>
        <x:v>338.15830709992554</x:v>
      </x:c>
      <x:c r="AV119" s="48" t="n">
        <x: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(0.45*SIN(2*PI()*((((Inputs!$I$9+(((A119)+1)/2)*(Inputs!$J$9-Inputs!$I$9)))/Inputs!$C$49)+Inputs!$C$47*0.137))+0.35*COS(2*PI()*(((Inputs!$C$6)/Inputs!$C$50)+Inputs!$C$47*0.173))+0.20*SIN(2*PI()*((((Inputs!$I$9+(((A119)+1)/2)*(Inputs!$J$9-Inputs!$I$9)))+(Inputs!$C$6))/(0.5*(Inputs!$C$49+Inputs!$C$50))+Inputs!$C$47*0.097)))+0.30*(2*((SIN((((Inputs!$I$9+(((A119)+1)/2)*(Inputs!$J$9-Inputs!$I$9)))*12.9898+(Inputs!$C$6)*78.233+Inputs!$C$47*37.719))*43758.5453)-INT((SIN((((Inputs!$I$9+(((A119)+1)/2)*(Inputs!$J$9-Inputs!$I$9)))*12.9898+(Inputs!$C$6)*78.233+Inputs!$C$47*37.719))*43758.5453)))-1))),NA())</x:f>
        <x:v>338.15830709992554</x:v>
      </x:c>
      <x:c r="AW119" s="49"/>
      <x:c r="AX119" s="48" t="n">
        <x:f>A119</x:f>
        <x:v>-0.025</x:v>
      </x:c>
      <x:c r="AY119" s="48" t="n">
        <x:f>0</x:f>
        <x:v>0</x:v>
      </x:c>
      <x:c r="AZ119" s="48" t="n">
        <x:f>IF(OR(Inputs!$F$6=TRUE,Inputs!$F$6="TRUE",Inputs!$F$6=1),(Inputs!$H$6+Inputs!$L$6*(((Inputs!$I$6+(((A119)+1)/2)*(Inputs!$J$6-Inputs!$I$6)))/Inputs!$K$6)^2),NA())</x:f>
        <x:v>400.0025</x:v>
      </x:c>
      <x:c r="BA119" s="48" t="n">
        <x:f>IF(OR(Inputs!$F$7=TRUE,Inputs!$F$7="TRUE",Inputs!$F$7=1),(Inputs!$H$7+Inputs!$L$7*(((Inputs!$I$7+(((A119)+1)/2)*(Inputs!$J$7-Inputs!$I$7)))/Inputs!$K$7)^2),NA())</x:f>
        <x:v>35.228125</x:v>
      </x:c>
      <x:c r="BB119" s="48" t="n">
        <x:f>IF(OR(Inputs!$F$8=TRUE,Inputs!$F$8="TRUE",Inputs!$F$8=1),(Inputs!$H$8+Inputs!$L$8*(((Inputs!$I$8+(((A119)+1)/2)*(Inputs!$J$8-Inputs!$I$8)))/Inputs!$K$8)^2),NA())</x:f>
        <x:v>35.603125</x:v>
      </x:c>
      <x:c r="BC119" s="48" t="n">
        <x:f>IF(OR(Inputs!$F$9=TRUE,Inputs!$F$9="TRUE",Inputs!$F$9=1),(Inputs!$H$9+Inputs!$L$9*(((Inputs!$I$9+(((A119)+1)/2)*(Inputs!$J$9-Inputs!$I$9)))/Inputs!$K$9)^2),NA())</x:f>
        <x:v>25.609375</x:v>
      </x:c>
      <x:c r="BD119" s="49"/>
      <x:c r="BE119" s="48" t="n">
        <x:f>A119</x:f>
        <x:v>-0.025</x:v>
      </x:c>
      <x:c r="BF119" s="48" t="n">
        <x:f>0</x:f>
        <x:v>0</x:v>
      </x:c>
      <x:c r="BG119" s="48"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BH119" s="48"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BI119" s="48"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BJ119" s="48"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row>
    <x:row r="120">
      <x:c r="A120" s="48" t="n">
        <x:f>ROUND(-1+118*2/240,3)</x:f>
        <x:v>-0.017</x:v>
      </x:c>
      <x:c r="B120" s="48" t="n">
        <x:f>IF(OR(Inputs!$F$6=TRUE,Inputs!$F$6="TRUE",Inputs!$F$6=1),(Inputs!$H$6+Inputs!$L$6*(((Inputs!$I$6+(((A120)+1)/2)*(Inputs!$J$6-Inputs!$I$6)))/Inputs!$K$6)^2),NA())</x:f>
        <x:v>400.001156</x:v>
      </x:c>
      <x:c r="C120" s="48" t="n">
        <x:f>IF(OR(Inputs!$F$7=TRUE,Inputs!$F$7="TRUE",Inputs!$F$7=1),(Inputs!$H$7+Inputs!$L$7*(((Inputs!$I$7+(((A120)+1)/2)*(Inputs!$J$7-Inputs!$I$7)))/Inputs!$K$7)^2),NA())</x:f>
        <x:v>35.105485</x:v>
      </x:c>
      <x:c r="D120" s="48" t="n">
        <x:f>IF(OR(Inputs!$F$8=TRUE,Inputs!$F$8="TRUE",Inputs!$F$8=1),(Inputs!$H$8+Inputs!$L$8*(((Inputs!$I$8+(((A120)+1)/2)*(Inputs!$J$8-Inputs!$I$8)))/Inputs!$K$8)^2),NA())</x:f>
        <x:v>35.278885</x:v>
      </x:c>
      <x:c r="E120" s="48" t="n">
        <x:f>IF(OR(Inputs!$F$9=TRUE,Inputs!$F$9="TRUE",Inputs!$F$9=1),(Inputs!$H$9+Inputs!$L$9*(((Inputs!$I$9+(((A120)+1)/2)*(Inputs!$J$9-Inputs!$I$9)))/Inputs!$K$9)^2),NA())</x:f>
        <x:v>25.281775</x:v>
      </x:c>
      <x:c r="F120" s="49"/>
      <x:c r="G120" s="48" t="n">
        <x:f>A120</x:f>
        <x:v>-0.017</x:v>
      </x:c>
      <x:c r="H120" s="48"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I120" s="48"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J120" s="48"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K120" s="48"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c r="L120" s="49"/>
      <x:c r="M120" s="48" t="n">
        <x:f>A120</x:f>
        <x:v>-0.017</x:v>
      </x:c>
      <x:c r="N120" s="48" t="n">
        <x: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x:f>
        <x:v>8.732435961681919</x:v>
      </x:c>
      <x:c r="O120" s="48" t="n">
        <x: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x:f>
        <x:v>293.985913573002</x:v>
      </x:c>
      <x:c r="P120" s="48" t="n">
        <x: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x:f>
        <x:v>539.9395097966652</x:v>
      </x:c>
      <x:c r="Q120" s="48" t="n">
        <x: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x:f>
        <x:v>622.5213630504584</x:v>
      </x:c>
      <x:c r="R120" s="49"/>
      <x:c r="S120" s="48" t="n">
        <x:f>A120</x:f>
        <x:v>-0.017</x:v>
      </x:c>
      <x:c r="T120" s="48" t="n">
        <x:f>(Inputs!$I$6+(((A120)+1)/2)*(Inputs!$J$6-Inputs!$I$6))</x:f>
        <x:v>-1.0200000000000031</x:v>
      </x:c>
      <x:c r="U120" s="48" t="n">
        <x:f>(Inputs!$I$7+(((A120)+1)/2)*(Inputs!$J$7-Inputs!$I$7))</x:f>
        <x:v>-6.800000000000011</x:v>
      </x:c>
      <x:c r="V120" s="48" t="n">
        <x:f>(Inputs!$I$8+(((A120)+1)/2)*(Inputs!$J$8-Inputs!$I$8))</x:f>
        <x:v>-13.600000000000023</x:v>
      </x:c>
      <x:c r="W120" s="48" t="n">
        <x:f>(Inputs!$I$9+(((A120)+1)/2)*(Inputs!$J$9-Inputs!$I$9))</x:f>
        <x:v>-13.600000000000023</x:v>
      </x:c>
      <x:c r="X120" s="49"/>
      <x:c r="Y120" s="48" t="n">
        <x:f>A120</x:f>
        <x:v>-0.017</x:v>
      </x:c>
      <x:c r="Z120" s="48" t="n">
        <x:f>(Inputs!$H$6+Inputs!$L$6*(((Inputs!$I$6+(((A120)+1)/2)*(Inputs!$J$6-Inputs!$I$6)))/Inputs!$K$6)^2)</x:f>
        <x:v>400.001156</x:v>
      </x:c>
      <x:c r="AA120" s="48" t="n">
        <x:f>(Inputs!$H$7+Inputs!$L$7*(((Inputs!$I$7+(((A120)+1)/2)*(Inputs!$J$7-Inputs!$I$7)))/Inputs!$K$7)^2)</x:f>
        <x:v>35.105485</x:v>
      </x:c>
      <x:c r="AB120" s="48" t="n">
        <x:f>(Inputs!$H$8+Inputs!$L$8*(((Inputs!$I$8+(((A120)+1)/2)*(Inputs!$J$8-Inputs!$I$8)))/Inputs!$K$8)^2)</x:f>
        <x:v>35.278885</x:v>
      </x:c>
      <x:c r="AC120" s="48" t="n">
        <x:f>(Inputs!$H$9+Inputs!$L$9*(((Inputs!$I$9+(((A120)+1)/2)*(Inputs!$J$9-Inputs!$I$9)))/Inputs!$K$9)^2)</x:f>
        <x:v>25.281775</x:v>
      </x:c>
      <x:c r="AD120" s="49"/>
      <x:c r="AE120" s="48" t="n">
        <x:f>A120</x:f>
        <x:v>-0.017</x:v>
      </x:c>
      <x:c r="AF120" s="48" t="n">
        <x:f>(((SQRT((Inputs!$C$52+((Inputs!$H$6+Inputs!$L$6*(((Inputs!$I$6+(((A120)+1)/2)*(Inputs!$J$6-Inputs!$I$6)))/Inputs!$K$6)^2)))^2+Inputs!$C$52^2-2*(Inputs!$C$52+((Inputs!$H$6+Inputs!$L$6*(((Inputs!$I$6+(((A120)+1)/2)*(Inputs!$J$6-Inputs!$I$6)))/Inputs!$K$6)^2)))*Inputs!$C$52*COS(SQRT(((Inputs!$I$6+(((A120)+1)/2)*(Inputs!$J$6-Inputs!$I$6)))^2+Inputs!$C$6^2)/Inputs!$C$52)))-((Inputs!$H$6+Inputs!$L$6*(((Inputs!$I$6+(((A120)+1)/2)*(Inputs!$J$6-Inputs!$I$6)))/Inputs!$K$6)^2)))*1000/Inputs!$C$12)</x:f>
        <x:v>551.6141699195095</x:v>
      </x:c>
      <x:c r="AG120" s="48" t="n">
        <x:f>(((SQRT((Inputs!$C$52+((Inputs!$H$7+Inputs!$L$7*(((Inputs!$I$7+(((A120)+1)/2)*(Inputs!$J$7-Inputs!$I$7)))/Inputs!$K$7)^2)))^2+Inputs!$C$52^2-2*(Inputs!$C$52+((Inputs!$H$7+Inputs!$L$7*(((Inputs!$I$7+(((A120)+1)/2)*(Inputs!$J$7-Inputs!$I$7)))/Inputs!$K$7)^2)))*Inputs!$C$52*COS(SQRT(((Inputs!$I$7+(((A120)+1)/2)*(Inputs!$J$7-Inputs!$I$7)))^2+Inputs!$C$6^2)/Inputs!$C$52)))-((Inputs!$H$7+Inputs!$L$7*(((Inputs!$I$7+(((A120)+1)/2)*(Inputs!$J$7-Inputs!$I$7)))/Inputs!$K$7)^2)))*1000/Inputs!$C$12)</x:f>
        <x:v>4886.334331349637</x:v>
      </x:c>
      <x:c r="AH120" s="48" t="n">
        <x:f>(((SQRT((Inputs!$C$52+((Inputs!$H$8+Inputs!$L$8*(((Inputs!$I$8+(((A120)+1)/2)*(Inputs!$J$8-Inputs!$I$8)))/Inputs!$K$8)^2)))^2+Inputs!$C$52^2-2*(Inputs!$C$52+((Inputs!$H$8+Inputs!$L$8*(((Inputs!$I$8+(((A120)+1)/2)*(Inputs!$J$8-Inputs!$I$8)))/Inputs!$K$8)^2)))*Inputs!$C$52*COS(SQRT(((Inputs!$I$8+(((A120)+1)/2)*(Inputs!$J$8-Inputs!$I$8)))^2+Inputs!$C$6^2)/Inputs!$C$52)))-((Inputs!$H$8+Inputs!$L$8*(((Inputs!$I$8+(((A120)+1)/2)*(Inputs!$J$8-Inputs!$I$8)))/Inputs!$K$8)^2)))*1000/Inputs!$C$12)</x:f>
        <x:v>5758.211017376337</x:v>
      </x:c>
      <x:c r="AI120" s="48" t="n">
        <x:f>(((SQRT((Inputs!$C$52+((Inputs!$H$9+Inputs!$L$9*(((Inputs!$I$9+(((A120)+1)/2)*(Inputs!$J$9-Inputs!$I$9)))/Inputs!$K$9)^2)))^2+Inputs!$C$52^2-2*(Inputs!$C$52+((Inputs!$H$9+Inputs!$L$9*(((Inputs!$I$9+(((A120)+1)/2)*(Inputs!$J$9-Inputs!$I$9)))/Inputs!$K$9)^2)))*Inputs!$C$52*COS(SQRT(((Inputs!$I$9+(((A120)+1)/2)*(Inputs!$J$9-Inputs!$I$9)))^2+Inputs!$C$6^2)/Inputs!$C$52)))-((Inputs!$H$9+Inputs!$L$9*(((Inputs!$I$9+(((A120)+1)/2)*(Inputs!$J$9-Inputs!$I$9)))/Inputs!$K$9)^2)))*1000/Inputs!$C$12)</x:f>
        <x:v>7279.368687868076</x:v>
      </x:c>
      <x:c r="AJ120" s="49"/>
      <x:c r="AK120" s="48" t="n">
        <x:f>A120</x:f>
        <x:v>-0.017</x:v>
      </x:c>
      <x:c r="AL120" s="48" t="n">
        <x: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x:f>
        <x:v>8.732435961681919</x:v>
      </x:c>
      <x:c r="AM120" s="48" t="n">
        <x: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x:f>
        <x:v>293.985913573002</x:v>
      </x:c>
      <x:c r="AN120" s="48" t="n">
        <x: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x:f>
        <x:v>539.9395097966652</x:v>
      </x:c>
      <x:c r="AO120" s="48" t="n">
        <x: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x:f>
        <x:v>622.5213630504584</x:v>
      </x:c>
      <x:c r="AP120" s="49"/>
      <x:c r="AQ120" s="48" t="n">
        <x:f>A120</x:f>
        <x:v>-0.017</x:v>
      </x:c>
      <x:c r="AR120" s="48" t="n">
        <x:f>0</x:f>
        <x:v>0</x:v>
      </x:c>
      <x:c r="AS120" s="48" t="n">
        <x: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(0.45*SIN(2*PI()*((((Inputs!$I$6+(((A120)+1)/2)*(Inputs!$J$6-Inputs!$I$6)))/Inputs!$C$49)+Inputs!$C$47*0.137))+0.35*COS(2*PI()*(((Inputs!$C$6)/Inputs!$C$50)+Inputs!$C$47*0.173))+0.20*SIN(2*PI()*((((Inputs!$I$6+(((A120)+1)/2)*(Inputs!$J$6-Inputs!$I$6)))+(Inputs!$C$6))/(0.5*(Inputs!$C$49+Inputs!$C$50))+Inputs!$C$47*0.097)))+0.30*(2*((SIN((((Inputs!$I$6+(((A120)+1)/2)*(Inputs!$J$6-Inputs!$I$6)))*12.9898+(Inputs!$C$6)*78.233+Inputs!$C$47*37.719))*43758.5453)-INT((SIN((((Inputs!$I$6+(((A120)+1)/2)*(Inputs!$J$6-Inputs!$I$6)))*12.9898+(Inputs!$C$6)*78.233+Inputs!$C$47*37.719))*43758.5453)))-1))),NA())</x:f>
        <x:v>457.7287054927811</x:v>
      </x:c>
      <x:c r="AT120" s="48" t="n">
        <x: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(0.45*SIN(2*PI()*((((Inputs!$I$7+(((A120)+1)/2)*(Inputs!$J$7-Inputs!$I$7)))/Inputs!$C$49)+Inputs!$C$47*0.137))+0.35*COS(2*PI()*(((Inputs!$C$6)/Inputs!$C$50)+Inputs!$C$47*0.173))+0.20*SIN(2*PI()*((((Inputs!$I$7+(((A120)+1)/2)*(Inputs!$J$7-Inputs!$I$7)))+(Inputs!$C$6))/(0.5*(Inputs!$C$49+Inputs!$C$50))+Inputs!$C$47*0.097)))+0.30*(2*((SIN((((Inputs!$I$7+(((A120)+1)/2)*(Inputs!$J$7-Inputs!$I$7)))*12.9898+(Inputs!$C$6)*78.233+Inputs!$C$47*37.719))*43758.5453)-INT((SIN((((Inputs!$I$7+(((A120)+1)/2)*(Inputs!$J$7-Inputs!$I$7)))*12.9898+(Inputs!$C$6)*78.233+Inputs!$C$47*37.719))*43758.5453)))-1))),NA())</x:f>
        <x:v>451.8235995139912</x:v>
      </x:c>
      <x:c r="AU120" s="48" t="n">
        <x: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(0.45*SIN(2*PI()*((((Inputs!$I$8+(((A120)+1)/2)*(Inputs!$J$8-Inputs!$I$8)))/Inputs!$C$49)+Inputs!$C$47*0.137))+0.35*COS(2*PI()*(((Inputs!$C$6)/Inputs!$C$50)+Inputs!$C$47*0.173))+0.20*SIN(2*PI()*((((Inputs!$I$8+(((A120)+1)/2)*(Inputs!$J$8-Inputs!$I$8)))+(Inputs!$C$6))/(0.5*(Inputs!$C$49+Inputs!$C$50))+Inputs!$C$47*0.097)))+0.30*(2*((SIN((((Inputs!$I$8+(((A120)+1)/2)*(Inputs!$J$8-Inputs!$I$8)))*12.9898+(Inputs!$C$6)*78.233+Inputs!$C$47*37.719))*43758.5453)-INT((SIN((((Inputs!$I$8+(((A120)+1)/2)*(Inputs!$J$8-Inputs!$I$8)))*12.9898+(Inputs!$C$6)*78.233+Inputs!$C$47*37.719))*43758.5453)))-1))),NA())</x:f>
        <x:v>416.8630761618238</x:v>
      </x:c>
      <x:c r="AV120" s="48" t="n">
        <x: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(0.45*SIN(2*PI()*((((Inputs!$I$9+(((A120)+1)/2)*(Inputs!$J$9-Inputs!$I$9)))/Inputs!$C$49)+Inputs!$C$47*0.137))+0.35*COS(2*PI()*(((Inputs!$C$6)/Inputs!$C$50)+Inputs!$C$47*0.173))+0.20*SIN(2*PI()*((((Inputs!$I$9+(((A120)+1)/2)*(Inputs!$J$9-Inputs!$I$9)))+(Inputs!$C$6))/(0.5*(Inputs!$C$49+Inputs!$C$50))+Inputs!$C$47*0.097)))+0.30*(2*((SIN((((Inputs!$I$9+(((A120)+1)/2)*(Inputs!$J$9-Inputs!$I$9)))*12.9898+(Inputs!$C$6)*78.233+Inputs!$C$47*37.719))*43758.5453)-INT((SIN((((Inputs!$I$9+(((A120)+1)/2)*(Inputs!$J$9-Inputs!$I$9)))*12.9898+(Inputs!$C$6)*78.233+Inputs!$C$47*37.719))*43758.5453)))-1))),NA())</x:f>
        <x:v>416.8630761618238</x:v>
      </x:c>
      <x:c r="AW120" s="49"/>
      <x:c r="AX120" s="48" t="n">
        <x:f>A120</x:f>
        <x:v>-0.017</x:v>
      </x:c>
      <x:c r="AY120" s="48" t="n">
        <x:f>0</x:f>
        <x:v>0</x:v>
      </x:c>
      <x:c r="AZ120" s="48" t="n">
        <x:f>IF(OR(Inputs!$F$6=TRUE,Inputs!$F$6="TRUE",Inputs!$F$6=1),(Inputs!$H$6+Inputs!$L$6*(((Inputs!$I$6+(((A120)+1)/2)*(Inputs!$J$6-Inputs!$I$6)))/Inputs!$K$6)^2),NA())</x:f>
        <x:v>400.001156</x:v>
      </x:c>
      <x:c r="BA120" s="48" t="n">
        <x:f>IF(OR(Inputs!$F$7=TRUE,Inputs!$F$7="TRUE",Inputs!$F$7=1),(Inputs!$H$7+Inputs!$L$7*(((Inputs!$I$7+(((A120)+1)/2)*(Inputs!$J$7-Inputs!$I$7)))/Inputs!$K$7)^2),NA())</x:f>
        <x:v>35.105485</x:v>
      </x:c>
      <x:c r="BB120" s="48" t="n">
        <x:f>IF(OR(Inputs!$F$8=TRUE,Inputs!$F$8="TRUE",Inputs!$F$8=1),(Inputs!$H$8+Inputs!$L$8*(((Inputs!$I$8+(((A120)+1)/2)*(Inputs!$J$8-Inputs!$I$8)))/Inputs!$K$8)^2),NA())</x:f>
        <x:v>35.278885</x:v>
      </x:c>
      <x:c r="BC120" s="48" t="n">
        <x:f>IF(OR(Inputs!$F$9=TRUE,Inputs!$F$9="TRUE",Inputs!$F$9=1),(Inputs!$H$9+Inputs!$L$9*(((Inputs!$I$9+(((A120)+1)/2)*(Inputs!$J$9-Inputs!$I$9)))/Inputs!$K$9)^2),NA())</x:f>
        <x:v>25.281775</x:v>
      </x:c>
      <x:c r="BD120" s="49"/>
      <x:c r="BE120" s="48" t="n">
        <x:f>A120</x:f>
        <x:v>-0.017</x:v>
      </x:c>
      <x:c r="BF120" s="48" t="n">
        <x:f>0</x:f>
        <x:v>0</x:v>
      </x:c>
      <x:c r="BG120" s="48"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BH120" s="48"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BI120" s="48"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BJ120" s="48"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row>
    <x:row r="121">
      <x:c r="A121" s="48" t="n">
        <x:f>ROUND(-1+119*2/240,3)</x:f>
        <x:v>-0.008</x:v>
      </x:c>
      <x:c r="B121" s="48" t="n">
        <x:f>IF(OR(Inputs!$F$6=TRUE,Inputs!$F$6="TRUE",Inputs!$F$6=1),(Inputs!$H$6+Inputs!$L$6*(((Inputs!$I$6+(((A121)+1)/2)*(Inputs!$J$6-Inputs!$I$6)))/Inputs!$K$6)^2),NA())</x:f>
        <x:v>400.000256</x:v>
      </x:c>
      <x:c r="C121" s="48" t="n">
        <x:f>IF(OR(Inputs!$F$7=TRUE,Inputs!$F$7="TRUE",Inputs!$F$7=1),(Inputs!$H$7+Inputs!$L$7*(((Inputs!$I$7+(((A121)+1)/2)*(Inputs!$J$7-Inputs!$I$7)))/Inputs!$K$7)^2),NA())</x:f>
        <x:v>35.02336</x:v>
      </x:c>
      <x:c r="D121" s="48" t="n">
        <x:f>IF(OR(Inputs!$F$8=TRUE,Inputs!$F$8="TRUE",Inputs!$F$8=1),(Inputs!$H$8+Inputs!$L$8*(((Inputs!$I$8+(((A121)+1)/2)*(Inputs!$J$8-Inputs!$I$8)))/Inputs!$K$8)^2),NA())</x:f>
        <x:v>35.06176</x:v>
      </x:c>
      <x:c r="E121" s="48" t="n">
        <x:f>IF(OR(Inputs!$F$9=TRUE,Inputs!$F$9="TRUE",Inputs!$F$9=1),(Inputs!$H$9+Inputs!$L$9*(((Inputs!$I$9+(((A121)+1)/2)*(Inputs!$J$9-Inputs!$I$9)))/Inputs!$K$9)^2),NA())</x:f>
        <x:v>25.0624</x:v>
      </x:c>
      <x:c r="F121" s="49"/>
      <x:c r="G121" s="48" t="n">
        <x:f>A121</x:f>
        <x:v>-0.008</x:v>
      </x:c>
      <x:c r="H121" s="48"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I121" s="48"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J121" s="48"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K121" s="48"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c r="L121" s="49"/>
      <x:c r="M121" s="48" t="n">
        <x:f>A121</x:f>
        <x:v>-0.008</x:v>
      </x:c>
      <x:c r="N121" s="48" t="n">
        <x: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x:f>
        <x:v>4.109397931761796</x:v>
      </x:c>
      <x:c r="O121" s="48" t="n">
        <x: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x:f>
        <x:v>139.85177267540038</x:v>
      </x:c>
      <x:c r="P121" s="48" t="n">
        <x: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x:f>
        <x:v>264.46705175638124</x:v>
      </x:c>
      <x:c r="Q121" s="48" t="n">
        <x: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x:f>
        <x:v>309.85866281402053</x:v>
      </x:c>
      <x:c r="R121" s="49"/>
      <x:c r="S121" s="48" t="n">
        <x:f>A121</x:f>
        <x:v>-0.008</x:v>
      </x:c>
      <x:c r="T121" s="48" t="n">
        <x:f>(Inputs!$I$6+(((A121)+1)/2)*(Inputs!$J$6-Inputs!$I$6))</x:f>
        <x:v>-0.480000000000004</x:v>
      </x:c>
      <x:c r="U121" s="48" t="n">
        <x:f>(Inputs!$I$7+(((A121)+1)/2)*(Inputs!$J$7-Inputs!$I$7))</x:f>
        <x:v>-3.1999999999999886</x:v>
      </x:c>
      <x:c r="V121" s="48" t="n">
        <x:f>(Inputs!$I$8+(((A121)+1)/2)*(Inputs!$J$8-Inputs!$I$8))</x:f>
        <x:v>-6.399999999999977</x:v>
      </x:c>
      <x:c r="W121" s="48" t="n">
        <x:f>(Inputs!$I$9+(((A121)+1)/2)*(Inputs!$J$9-Inputs!$I$9))</x:f>
        <x:v>-6.399999999999977</x:v>
      </x:c>
      <x:c r="X121" s="49"/>
      <x:c r="Y121" s="48" t="n">
        <x:f>A121</x:f>
        <x:v>-0.008</x:v>
      </x:c>
      <x:c r="Z121" s="48" t="n">
        <x:f>(Inputs!$H$6+Inputs!$L$6*(((Inputs!$I$6+(((A121)+1)/2)*(Inputs!$J$6-Inputs!$I$6)))/Inputs!$K$6)^2)</x:f>
        <x:v>400.000256</x:v>
      </x:c>
      <x:c r="AA121" s="48" t="n">
        <x:f>(Inputs!$H$7+Inputs!$L$7*(((Inputs!$I$7+(((A121)+1)/2)*(Inputs!$J$7-Inputs!$I$7)))/Inputs!$K$7)^2)</x:f>
        <x:v>35.02336</x:v>
      </x:c>
      <x:c r="AB121" s="48" t="n">
        <x:f>(Inputs!$H$8+Inputs!$L$8*(((Inputs!$I$8+(((A121)+1)/2)*(Inputs!$J$8-Inputs!$I$8)))/Inputs!$K$8)^2)</x:f>
        <x:v>35.06176</x:v>
      </x:c>
      <x:c r="AC121" s="48" t="n">
        <x:f>(Inputs!$H$9+Inputs!$L$9*(((Inputs!$I$9+(((A121)+1)/2)*(Inputs!$J$9-Inputs!$I$9)))/Inputs!$K$9)^2)</x:f>
        <x:v>25.0624</x:v>
      </x:c>
      <x:c r="AD121" s="49"/>
      <x:c r="AE121" s="48" t="n">
        <x:f>A121</x:f>
        <x:v>-0.008</x:v>
      </x:c>
      <x:c r="AF121" s="48" t="n">
        <x:f>(((SQRT((Inputs!$C$52+((Inputs!$H$6+Inputs!$L$6*(((Inputs!$I$6+(((A121)+1)/2)*(Inputs!$J$6-Inputs!$I$6)))/Inputs!$K$6)^2)))^2+Inputs!$C$52^2-2*(Inputs!$C$52+((Inputs!$H$6+Inputs!$L$6*(((Inputs!$I$6+(((A121)+1)/2)*(Inputs!$J$6-Inputs!$I$6)))/Inputs!$K$6)^2)))*Inputs!$C$52*COS(SQRT(((Inputs!$I$6+(((A121)+1)/2)*(Inputs!$J$6-Inputs!$I$6)))^2+Inputs!$C$6^2)/Inputs!$C$52)))-((Inputs!$H$6+Inputs!$L$6*(((Inputs!$I$6+(((A121)+1)/2)*(Inputs!$J$6-Inputs!$I$6)))/Inputs!$K$6)^2)))*1000/Inputs!$C$12)</x:f>
        <x:v>550.9023378878604</x:v>
      </x:c>
      <x:c r="AG121" s="48" t="n">
        <x:f>(((SQRT((Inputs!$C$52+((Inputs!$H$7+Inputs!$L$7*(((Inputs!$I$7+(((A121)+1)/2)*(Inputs!$J$7-Inputs!$I$7)))/Inputs!$K$7)^2)))^2+Inputs!$C$52^2-2*(Inputs!$C$52+((Inputs!$H$7+Inputs!$L$7*(((Inputs!$I$7+(((A121)+1)/2)*(Inputs!$J$7-Inputs!$I$7)))/Inputs!$K$7)^2)))*Inputs!$C$52*COS(SQRT(((Inputs!$I$7+(((A121)+1)/2)*(Inputs!$J$7-Inputs!$I$7)))^2+Inputs!$C$6^2)/Inputs!$C$52)))-((Inputs!$H$7+Inputs!$L$7*(((Inputs!$I$7+(((A121)+1)/2)*(Inputs!$J$7-Inputs!$I$7)))/Inputs!$K$7)^2)))*1000/Inputs!$C$12)</x:f>
        <x:v>4657.749939810601</x:v>
      </x:c>
      <x:c r="AH121" s="48" t="n">
        <x:f>(((SQRT((Inputs!$C$52+((Inputs!$H$8+Inputs!$L$8*(((Inputs!$I$8+(((A121)+1)/2)*(Inputs!$J$8-Inputs!$I$8)))/Inputs!$K$8)^2)))^2+Inputs!$C$52^2-2*(Inputs!$C$52+((Inputs!$H$8+Inputs!$L$8*(((Inputs!$I$8+(((A121)+1)/2)*(Inputs!$J$8-Inputs!$I$8)))/Inputs!$K$8)^2)))*Inputs!$C$52*COS(SQRT(((Inputs!$I$8+(((A121)+1)/2)*(Inputs!$J$8-Inputs!$I$8)))^2+Inputs!$C$6^2)/Inputs!$C$52)))-((Inputs!$H$8+Inputs!$L$8*(((Inputs!$I$8+(((A121)+1)/2)*(Inputs!$J$8-Inputs!$I$8)))/Inputs!$K$8)^2)))*1000/Inputs!$C$12)</x:f>
        <x:v>4856.424958294949</x:v>
      </x:c>
      <x:c r="AI121" s="48" t="n">
        <x:f>(((SQRT((Inputs!$C$52+((Inputs!$H$9+Inputs!$L$9*(((Inputs!$I$9+(((A121)+1)/2)*(Inputs!$J$9-Inputs!$I$9)))/Inputs!$K$9)^2)))^2+Inputs!$C$52^2-2*(Inputs!$C$52+((Inputs!$H$9+Inputs!$L$9*(((Inputs!$I$9+(((A121)+1)/2)*(Inputs!$J$9-Inputs!$I$9)))/Inputs!$K$9)^2)))*Inputs!$C$52*COS(SQRT(((Inputs!$I$9+(((A121)+1)/2)*(Inputs!$J$9-Inputs!$I$9)))^2+Inputs!$C$6^2)/Inputs!$C$52)))-((Inputs!$H$9+Inputs!$L$9*(((Inputs!$I$9+(((A121)+1)/2)*(Inputs!$J$9-Inputs!$I$9)))/Inputs!$K$9)^2)))*1000/Inputs!$C$12)</x:f>
        <x:v>6212.972140723045</x:v>
      </x:c>
      <x:c r="AJ121" s="49"/>
      <x:c r="AK121" s="48" t="n">
        <x:f>A121</x:f>
        <x:v>-0.008</x:v>
      </x:c>
      <x:c r="AL121" s="48" t="n">
        <x: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x:f>
        <x:v>4.109397931761796</x:v>
      </x:c>
      <x:c r="AM121" s="48" t="n">
        <x: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x:f>
        <x:v>139.85177267540038</x:v>
      </x:c>
      <x:c r="AN121" s="48" t="n">
        <x: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x:f>
        <x:v>264.46705175638124</x:v>
      </x:c>
      <x:c r="AO121" s="48" t="n">
        <x: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x:f>
        <x:v>309.85866281402053</x:v>
      </x:c>
      <x:c r="AP121" s="49"/>
      <x:c r="AQ121" s="48" t="n">
        <x:f>A121</x:f>
        <x:v>-0.008</x:v>
      </x:c>
      <x:c r="AR121" s="48" t="n">
        <x:f>0</x:f>
        <x:v>0</x:v>
      </x:c>
      <x:c r="AS121" s="48" t="n">
        <x: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(0.45*SIN(2*PI()*((((Inputs!$I$6+(((A121)+1)/2)*(Inputs!$J$6-Inputs!$I$6)))/Inputs!$C$49)+Inputs!$C$47*0.137))+0.35*COS(2*PI()*(((Inputs!$C$6)/Inputs!$C$50)+Inputs!$C$47*0.173))+0.20*SIN(2*PI()*((((Inputs!$I$6+(((A121)+1)/2)*(Inputs!$J$6-Inputs!$I$6)))+(Inputs!$C$6))/(0.5*(Inputs!$C$49+Inputs!$C$50))+Inputs!$C$47*0.097)))+0.30*(2*((SIN((((Inputs!$I$6+(((A121)+1)/2)*(Inputs!$J$6-Inputs!$I$6)))*12.9898+(Inputs!$C$6)*78.233+Inputs!$C$47*37.719))*43758.5453)-INT((SIN((((Inputs!$I$6+(((A121)+1)/2)*(Inputs!$J$6-Inputs!$I$6)))*12.9898+(Inputs!$C$6)*78.233+Inputs!$C$47*37.719))*43758.5453)))-1))),NA())</x:f>
        <x:v>463.9957838089906</x:v>
      </x:c>
      <x:c r="AT121" s="48" t="n">
        <x: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(0.45*SIN(2*PI()*((((Inputs!$I$7+(((A121)+1)/2)*(Inputs!$J$7-Inputs!$I$7)))/Inputs!$C$49)+Inputs!$C$47*0.137))+0.35*COS(2*PI()*(((Inputs!$C$6)/Inputs!$C$50)+Inputs!$C$47*0.173))+0.20*SIN(2*PI()*((((Inputs!$I$7+(((A121)+1)/2)*(Inputs!$J$7-Inputs!$I$7)))+(Inputs!$C$6))/(0.5*(Inputs!$C$49+Inputs!$C$50))+Inputs!$C$47*0.097)))+0.30*(2*((SIN((((Inputs!$I$7+(((A121)+1)/2)*(Inputs!$J$7-Inputs!$I$7)))*12.9898+(Inputs!$C$6)*78.233+Inputs!$C$47*37.719))*43758.5453)-INT((SIN((((Inputs!$I$7+(((A121)+1)/2)*(Inputs!$J$7-Inputs!$I$7)))*12.9898+(Inputs!$C$6)*78.233+Inputs!$C$47*37.719))*43758.5453)))-1))),NA())</x:f>
        <x:v>426.89597003281926</x:v>
      </x:c>
      <x:c r="AU121" s="48" t="n">
        <x: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(0.45*SIN(2*PI()*((((Inputs!$I$8+(((A121)+1)/2)*(Inputs!$J$8-Inputs!$I$8)))/Inputs!$C$49)+Inputs!$C$47*0.137))+0.35*COS(2*PI()*(((Inputs!$C$6)/Inputs!$C$50)+Inputs!$C$47*0.173))+0.20*SIN(2*PI()*((((Inputs!$I$8+(((A121)+1)/2)*(Inputs!$J$8-Inputs!$I$8)))+(Inputs!$C$6))/(0.5*(Inputs!$C$49+Inputs!$C$50))+Inputs!$C$47*0.097)))+0.30*(2*((SIN((((Inputs!$I$8+(((A121)+1)/2)*(Inputs!$J$8-Inputs!$I$8)))*12.9898+(Inputs!$C$6)*78.233+Inputs!$C$47*37.719))*43758.5453)-INT((SIN((((Inputs!$I$8+(((A121)+1)/2)*(Inputs!$J$8-Inputs!$I$8)))*12.9898+(Inputs!$C$6)*78.233+Inputs!$C$47*37.719))*43758.5453)))-1))),NA())</x:f>
        <x:v>440.0686458556988</x:v>
      </x:c>
      <x:c r="AV121" s="48" t="n">
        <x: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(0.45*SIN(2*PI()*((((Inputs!$I$9+(((A121)+1)/2)*(Inputs!$J$9-Inputs!$I$9)))/Inputs!$C$49)+Inputs!$C$47*0.137))+0.35*COS(2*PI()*(((Inputs!$C$6)/Inputs!$C$50)+Inputs!$C$47*0.173))+0.20*SIN(2*PI()*((((Inputs!$I$9+(((A121)+1)/2)*(Inputs!$J$9-Inputs!$I$9)))+(Inputs!$C$6))/(0.5*(Inputs!$C$49+Inputs!$C$50))+Inputs!$C$47*0.097)))+0.30*(2*((SIN((((Inputs!$I$9+(((A121)+1)/2)*(Inputs!$J$9-Inputs!$I$9)))*12.9898+(Inputs!$C$6)*78.233+Inputs!$C$47*37.719))*43758.5453)-INT((SIN((((Inputs!$I$9+(((A121)+1)/2)*(Inputs!$J$9-Inputs!$I$9)))*12.9898+(Inputs!$C$6)*78.233+Inputs!$C$47*37.719))*43758.5453)))-1))),NA())</x:f>
        <x:v>440.0686458556988</x:v>
      </x:c>
      <x:c r="AW121" s="49"/>
      <x:c r="AX121" s="48" t="n">
        <x:f>A121</x:f>
        <x:v>-0.008</x:v>
      </x:c>
      <x:c r="AY121" s="48" t="n">
        <x:f>0</x:f>
        <x:v>0</x:v>
      </x:c>
      <x:c r="AZ121" s="48" t="n">
        <x:f>IF(OR(Inputs!$F$6=TRUE,Inputs!$F$6="TRUE",Inputs!$F$6=1),(Inputs!$H$6+Inputs!$L$6*(((Inputs!$I$6+(((A121)+1)/2)*(Inputs!$J$6-Inputs!$I$6)))/Inputs!$K$6)^2),NA())</x:f>
        <x:v>400.000256</x:v>
      </x:c>
      <x:c r="BA121" s="48" t="n">
        <x:f>IF(OR(Inputs!$F$7=TRUE,Inputs!$F$7="TRUE",Inputs!$F$7=1),(Inputs!$H$7+Inputs!$L$7*(((Inputs!$I$7+(((A121)+1)/2)*(Inputs!$J$7-Inputs!$I$7)))/Inputs!$K$7)^2),NA())</x:f>
        <x:v>35.02336</x:v>
      </x:c>
      <x:c r="BB121" s="48" t="n">
        <x:f>IF(OR(Inputs!$F$8=TRUE,Inputs!$F$8="TRUE",Inputs!$F$8=1),(Inputs!$H$8+Inputs!$L$8*(((Inputs!$I$8+(((A121)+1)/2)*(Inputs!$J$8-Inputs!$I$8)))/Inputs!$K$8)^2),NA())</x:f>
        <x:v>35.06176</x:v>
      </x:c>
      <x:c r="BC121" s="48" t="n">
        <x:f>IF(OR(Inputs!$F$9=TRUE,Inputs!$F$9="TRUE",Inputs!$F$9=1),(Inputs!$H$9+Inputs!$L$9*(((Inputs!$I$9+(((A121)+1)/2)*(Inputs!$J$9-Inputs!$I$9)))/Inputs!$K$9)^2),NA())</x:f>
        <x:v>25.0624</x:v>
      </x:c>
      <x:c r="BD121" s="49"/>
      <x:c r="BE121" s="48" t="n">
        <x:f>A121</x:f>
        <x:v>-0.008</x:v>
      </x:c>
      <x:c r="BF121" s="48" t="n">
        <x:f>0</x:f>
        <x:v>0</x:v>
      </x:c>
      <x:c r="BG121" s="48"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BH121" s="48"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BI121" s="48"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BJ121" s="48"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row>
    <x:row r="122">
      <x:c r="A122" s="48" t="n">
        <x:f>ROUND(-1+120*2/240,3)</x:f>
        <x:v>0</x:v>
      </x:c>
      <x:c r="B122" s="48" t="n">
        <x:f>IF(OR(Inputs!$F$6=TRUE,Inputs!$F$6="TRUE",Inputs!$F$6=1),(Inputs!$H$6+Inputs!$L$6*(((Inputs!$I$6+(((A122)+1)/2)*(Inputs!$J$6-Inputs!$I$6)))/Inputs!$K$6)^2),NA())</x:f>
        <x:v>400</x:v>
      </x:c>
      <x:c r="C122" s="48" t="n">
        <x:f>IF(OR(Inputs!$F$7=TRUE,Inputs!$F$7="TRUE",Inputs!$F$7=1),(Inputs!$H$7+Inputs!$L$7*(((Inputs!$I$7+(((A122)+1)/2)*(Inputs!$J$7-Inputs!$I$7)))/Inputs!$K$7)^2),NA())</x:f>
        <x:v>35</x:v>
      </x:c>
      <x:c r="D122" s="48" t="n">
        <x:f>IF(OR(Inputs!$F$8=TRUE,Inputs!$F$8="TRUE",Inputs!$F$8=1),(Inputs!$H$8+Inputs!$L$8*(((Inputs!$I$8+(((A122)+1)/2)*(Inputs!$J$8-Inputs!$I$8)))/Inputs!$K$8)^2),NA())</x:f>
        <x:v>35</x:v>
      </x:c>
      <x:c r="E122" s="48" t="n">
        <x:f>IF(OR(Inputs!$F$9=TRUE,Inputs!$F$9="TRUE",Inputs!$F$9=1),(Inputs!$H$9+Inputs!$L$9*(((Inputs!$I$9+(((A122)+1)/2)*(Inputs!$J$9-Inputs!$I$9)))/Inputs!$K$9)^2),NA())</x:f>
        <x:v>25</x:v>
      </x:c>
      <x:c r="F122" s="49"/>
      <x:c r="G122" s="48" t="n">
        <x:f>A122</x:f>
        <x:v>0</x:v>
      </x:c>
      <x:c r="H122" s="48"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I122" s="48"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J122" s="48"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K122" s="48"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c r="L122" s="49"/>
      <x:c r="M122" s="48" t="n">
        <x:f>A122</x:f>
        <x:v>0</x:v>
      </x:c>
      <x:c r="N122" s="48" t="n">
        <x: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x:f>
        <x:v>0</x:v>
      </x:c>
      <x:c r="O122" s="48" t="n">
        <x: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x:f>
        <x:v>0</x:v>
      </x:c>
      <x:c r="P122" s="48" t="n">
        <x: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x:f>
        <x:v>0</x:v>
      </x:c>
      <x:c r="Q122" s="48" t="n">
        <x: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x:f>
        <x:v>0</x:v>
      </x:c>
      <x:c r="R122" s="49"/>
      <x:c r="S122" s="48" t="n">
        <x:f>A122</x:f>
        <x:v>0</x:v>
      </x:c>
      <x:c r="T122" s="48" t="n">
        <x:f>(Inputs!$I$6+(((A122)+1)/2)*(Inputs!$J$6-Inputs!$I$6))</x:f>
        <x:v>0</x:v>
      </x:c>
      <x:c r="U122" s="48" t="n">
        <x:f>(Inputs!$I$7+(((A122)+1)/2)*(Inputs!$J$7-Inputs!$I$7))</x:f>
        <x:v>0</x:v>
      </x:c>
      <x:c r="V122" s="48" t="n">
        <x:f>(Inputs!$I$8+(((A122)+1)/2)*(Inputs!$J$8-Inputs!$I$8))</x:f>
        <x:v>0</x:v>
      </x:c>
      <x:c r="W122" s="48" t="n">
        <x:f>(Inputs!$I$9+(((A122)+1)/2)*(Inputs!$J$9-Inputs!$I$9))</x:f>
        <x:v>0</x:v>
      </x:c>
      <x:c r="X122" s="49"/>
      <x:c r="Y122" s="48" t="n">
        <x:f>A122</x:f>
        <x:v>0</x:v>
      </x:c>
      <x:c r="Z122" s="48" t="n">
        <x:f>(Inputs!$H$6+Inputs!$L$6*(((Inputs!$I$6+(((A122)+1)/2)*(Inputs!$J$6-Inputs!$I$6)))/Inputs!$K$6)^2)</x:f>
        <x:v>400</x:v>
      </x:c>
      <x:c r="AA122" s="48" t="n">
        <x:f>(Inputs!$H$7+Inputs!$L$7*(((Inputs!$I$7+(((A122)+1)/2)*(Inputs!$J$7-Inputs!$I$7)))/Inputs!$K$7)^2)</x:f>
        <x:v>35</x:v>
      </x:c>
      <x:c r="AB122" s="48" t="n">
        <x:f>(Inputs!$H$8+Inputs!$L$8*(((Inputs!$I$8+(((A122)+1)/2)*(Inputs!$J$8-Inputs!$I$8)))/Inputs!$K$8)^2)</x:f>
        <x:v>35</x:v>
      </x:c>
      <x:c r="AC122" s="48" t="n">
        <x:f>(Inputs!$H$9+Inputs!$L$9*(((Inputs!$I$9+(((A122)+1)/2)*(Inputs!$J$9-Inputs!$I$9)))/Inputs!$K$9)^2)</x:f>
        <x:v>25</x:v>
      </x:c>
      <x:c r="AD122" s="49"/>
      <x:c r="AE122" s="48" t="n">
        <x:f>A122</x:f>
        <x:v>0</x:v>
      </x:c>
      <x:c r="AF122" s="48" t="n">
        <x:f>(((SQRT((Inputs!$C$52+((Inputs!$H$6+Inputs!$L$6*(((Inputs!$I$6+(((A122)+1)/2)*(Inputs!$J$6-Inputs!$I$6)))/Inputs!$K$6)^2)))^2+Inputs!$C$52^2-2*(Inputs!$C$52+((Inputs!$H$6+Inputs!$L$6*(((Inputs!$I$6+(((A122)+1)/2)*(Inputs!$J$6-Inputs!$I$6)))/Inputs!$K$6)^2)))*Inputs!$C$52*COS(SQRT(((Inputs!$I$6+(((A122)+1)/2)*(Inputs!$J$6-Inputs!$I$6)))^2+Inputs!$C$6^2)/Inputs!$C$52)))-((Inputs!$H$6+Inputs!$L$6*(((Inputs!$I$6+(((A122)+1)/2)*(Inputs!$J$6-Inputs!$I$6)))/Inputs!$K$6)^2)))*1000/Inputs!$C$12)</x:f>
        <x:v>550.6998603390537</x:v>
      </x:c>
      <x:c r="AG122" s="48" t="n">
        <x:f>(((SQRT((Inputs!$C$52+((Inputs!$H$7+Inputs!$L$7*(((Inputs!$I$7+(((A122)+1)/2)*(Inputs!$J$7-Inputs!$I$7)))/Inputs!$K$7)^2)))^2+Inputs!$C$52^2-2*(Inputs!$C$52+((Inputs!$H$7+Inputs!$L$7*(((Inputs!$I$7+(((A122)+1)/2)*(Inputs!$J$7-Inputs!$I$7)))/Inputs!$K$7)^2)))*Inputs!$C$52*COS(SQRT(((Inputs!$I$7+(((A122)+1)/2)*(Inputs!$J$7-Inputs!$I$7)))^2+Inputs!$C$6^2)/Inputs!$C$52)))-((Inputs!$H$7+Inputs!$L$7*(((Inputs!$I$7+(((A122)+1)/2)*(Inputs!$J$7-Inputs!$I$7)))/Inputs!$K$7)^2)))*1000/Inputs!$C$12)</x:f>
        <x:v>4592.182396129015</x:v>
      </x:c>
      <x:c r="AH122" s="48" t="n">
        <x:f>(((SQRT((Inputs!$C$52+((Inputs!$H$8+Inputs!$L$8*(((Inputs!$I$8+(((A122)+1)/2)*(Inputs!$J$8-Inputs!$I$8)))/Inputs!$K$8)^2)))^2+Inputs!$C$52^2-2*(Inputs!$C$52+((Inputs!$H$8+Inputs!$L$8*(((Inputs!$I$8+(((A122)+1)/2)*(Inputs!$J$8-Inputs!$I$8)))/Inputs!$K$8)^2)))*Inputs!$C$52*COS(SQRT(((Inputs!$I$8+(((A122)+1)/2)*(Inputs!$J$8-Inputs!$I$8)))^2+Inputs!$C$6^2)/Inputs!$C$52)))-((Inputs!$H$8+Inputs!$L$8*(((Inputs!$I$8+(((A122)+1)/2)*(Inputs!$J$8-Inputs!$I$8)))/Inputs!$K$8)^2)))*1000/Inputs!$C$12)</x:f>
        <x:v>4592.182396129015</x:v>
      </x:c>
      <x:c r="AI122" s="48" t="n">
        <x:f>(((SQRT((Inputs!$C$52+((Inputs!$H$9+Inputs!$L$9*(((Inputs!$I$9+(((A122)+1)/2)*(Inputs!$J$9-Inputs!$I$9)))/Inputs!$K$9)^2)))^2+Inputs!$C$52^2-2*(Inputs!$C$52+((Inputs!$H$9+Inputs!$L$9*(((Inputs!$I$9+(((A122)+1)/2)*(Inputs!$J$9-Inputs!$I$9)))/Inputs!$K$9)^2)))*Inputs!$C$52*COS(SQRT(((Inputs!$I$9+(((A122)+1)/2)*(Inputs!$J$9-Inputs!$I$9)))^2+Inputs!$C$6^2)/Inputs!$C$52)))-((Inputs!$H$9+Inputs!$L$9*(((Inputs!$I$9+(((A122)+1)/2)*(Inputs!$J$9-Inputs!$I$9)))/Inputs!$K$9)^2)))*1000/Inputs!$C$12)</x:f>
        <x:v>5896.876901998302</x:v>
      </x:c>
      <x:c r="AJ122" s="49"/>
      <x:c r="AK122" s="48" t="n">
        <x:f>A122</x:f>
        <x:v>0</x:v>
      </x:c>
      <x:c r="AL122" s="48" t="n">
        <x: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x:f>
        <x:v>0</x:v>
      </x:c>
      <x:c r="AM122" s="48" t="n">
        <x: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x:f>
        <x:v>0</x:v>
      </x:c>
      <x:c r="AN122" s="48" t="n">
        <x: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x:f>
        <x:v>0</x:v>
      </x:c>
      <x:c r="AO122" s="48" t="n">
        <x: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x:f>
        <x:v>0</x:v>
      </x:c>
      <x:c r="AP122" s="49"/>
      <x:c r="AQ122" s="48" t="n">
        <x:f>A122</x:f>
        <x:v>0</x:v>
      </x:c>
      <x:c r="AR122" s="48" t="n">
        <x:f>0</x:f>
        <x:v>0</x:v>
      </x:c>
      <x:c r="AS122" s="48" t="n">
        <x: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(0.45*SIN(2*PI()*((((Inputs!$I$6+(((A122)+1)/2)*(Inputs!$J$6-Inputs!$I$6)))/Inputs!$C$49)+Inputs!$C$47*0.137))+0.35*COS(2*PI()*(((Inputs!$C$6)/Inputs!$C$50)+Inputs!$C$47*0.173))+0.20*SIN(2*PI()*((((Inputs!$I$6+(((A122)+1)/2)*(Inputs!$J$6-Inputs!$I$6)))+(Inputs!$C$6))/(0.5*(Inputs!$C$49+Inputs!$C$50))+Inputs!$C$47*0.097)))+0.30*(2*((SIN((((Inputs!$I$6+(((A122)+1)/2)*(Inputs!$J$6-Inputs!$I$6)))*12.9898+(Inputs!$C$6)*78.233+Inputs!$C$47*37.719))*43758.5453)-INT((SIN((((Inputs!$I$6+(((A122)+1)/2)*(Inputs!$J$6-Inputs!$I$6)))*12.9898+(Inputs!$C$6)*78.233+Inputs!$C$47*37.719))*43758.5453)))-1))),NA())</x:f>
        <x:v>480.44802858922253</x:v>
      </x:c>
      <x:c r="AT122" s="48" t="n">
        <x: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(0.45*SIN(2*PI()*((((Inputs!$I$7+(((A122)+1)/2)*(Inputs!$J$7-Inputs!$I$7)))/Inputs!$C$49)+Inputs!$C$47*0.137))+0.35*COS(2*PI()*(((Inputs!$C$6)/Inputs!$C$50)+Inputs!$C$47*0.173))+0.20*SIN(2*PI()*((((Inputs!$I$7+(((A122)+1)/2)*(Inputs!$J$7-Inputs!$I$7)))+(Inputs!$C$6))/(0.5*(Inputs!$C$49+Inputs!$C$50))+Inputs!$C$47*0.097)))+0.30*(2*((SIN((((Inputs!$I$7+(((A122)+1)/2)*(Inputs!$J$7-Inputs!$I$7)))*12.9898+(Inputs!$C$6)*78.233+Inputs!$C$47*37.719))*43758.5453)-INT((SIN((((Inputs!$I$7+(((A122)+1)/2)*(Inputs!$J$7-Inputs!$I$7)))*12.9898+(Inputs!$C$6)*78.233+Inputs!$C$47*37.719))*43758.5453)))-1))),NA())</x:f>
        <x:v>480.44802858922253</x:v>
      </x:c>
      <x:c r="AU122" s="48" t="n">
        <x: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(0.45*SIN(2*PI()*((((Inputs!$I$8+(((A122)+1)/2)*(Inputs!$J$8-Inputs!$I$8)))/Inputs!$C$49)+Inputs!$C$47*0.137))+0.35*COS(2*PI()*(((Inputs!$C$6)/Inputs!$C$50)+Inputs!$C$47*0.173))+0.20*SIN(2*PI()*((((Inputs!$I$8+(((A122)+1)/2)*(Inputs!$J$8-Inputs!$I$8)))+(Inputs!$C$6))/(0.5*(Inputs!$C$49+Inputs!$C$50))+Inputs!$C$47*0.097)))+0.30*(2*((SIN((((Inputs!$I$8+(((A122)+1)/2)*(Inputs!$J$8-Inputs!$I$8)))*12.9898+(Inputs!$C$6)*78.233+Inputs!$C$47*37.719))*43758.5453)-INT((SIN((((Inputs!$I$8+(((A122)+1)/2)*(Inputs!$J$8-Inputs!$I$8)))*12.9898+(Inputs!$C$6)*78.233+Inputs!$C$47*37.719))*43758.5453)))-1))),NA())</x:f>
        <x:v>480.44802858922253</x:v>
      </x:c>
      <x:c r="AV122" s="48" t="n">
        <x: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(0.45*SIN(2*PI()*((((Inputs!$I$9+(((A122)+1)/2)*(Inputs!$J$9-Inputs!$I$9)))/Inputs!$C$49)+Inputs!$C$47*0.137))+0.35*COS(2*PI()*(((Inputs!$C$6)/Inputs!$C$50)+Inputs!$C$47*0.173))+0.20*SIN(2*PI()*((((Inputs!$I$9+(((A122)+1)/2)*(Inputs!$J$9-Inputs!$I$9)))+(Inputs!$C$6))/(0.5*(Inputs!$C$49+Inputs!$C$50))+Inputs!$C$47*0.097)))+0.30*(2*((SIN((((Inputs!$I$9+(((A122)+1)/2)*(Inputs!$J$9-Inputs!$I$9)))*12.9898+(Inputs!$C$6)*78.233+Inputs!$C$47*37.719))*43758.5453)-INT((SIN((((Inputs!$I$9+(((A122)+1)/2)*(Inputs!$J$9-Inputs!$I$9)))*12.9898+(Inputs!$C$6)*78.233+Inputs!$C$47*37.719))*43758.5453)))-1))),NA())</x:f>
        <x:v>480.44802858922253</x:v>
      </x:c>
      <x:c r="AW122" s="49"/>
      <x:c r="AX122" s="48" t="n">
        <x:f>A122</x:f>
        <x:v>0</x:v>
      </x:c>
      <x:c r="AY122" s="48" t="n">
        <x:f>0</x:f>
        <x:v>0</x:v>
      </x:c>
      <x:c r="AZ122" s="48" t="n">
        <x:f>IF(OR(Inputs!$F$6=TRUE,Inputs!$F$6="TRUE",Inputs!$F$6=1),(Inputs!$H$6+Inputs!$L$6*(((Inputs!$I$6+(((A122)+1)/2)*(Inputs!$J$6-Inputs!$I$6)))/Inputs!$K$6)^2),NA())</x:f>
        <x:v>400</x:v>
      </x:c>
      <x:c r="BA122" s="48" t="n">
        <x:f>IF(OR(Inputs!$F$7=TRUE,Inputs!$F$7="TRUE",Inputs!$F$7=1),(Inputs!$H$7+Inputs!$L$7*(((Inputs!$I$7+(((A122)+1)/2)*(Inputs!$J$7-Inputs!$I$7)))/Inputs!$K$7)^2),NA())</x:f>
        <x:v>35</x:v>
      </x:c>
      <x:c r="BB122" s="48" t="n">
        <x:f>IF(OR(Inputs!$F$8=TRUE,Inputs!$F$8="TRUE",Inputs!$F$8=1),(Inputs!$H$8+Inputs!$L$8*(((Inputs!$I$8+(((A122)+1)/2)*(Inputs!$J$8-Inputs!$I$8)))/Inputs!$K$8)^2),NA())</x:f>
        <x:v>35</x:v>
      </x:c>
      <x:c r="BC122" s="48" t="n">
        <x:f>IF(OR(Inputs!$F$9=TRUE,Inputs!$F$9="TRUE",Inputs!$F$9=1),(Inputs!$H$9+Inputs!$L$9*(((Inputs!$I$9+(((A122)+1)/2)*(Inputs!$J$9-Inputs!$I$9)))/Inputs!$K$9)^2),NA())</x:f>
        <x:v>25</x:v>
      </x:c>
      <x:c r="BD122" s="49"/>
      <x:c r="BE122" s="48" t="n">
        <x:f>A122</x:f>
        <x:v>0</x:v>
      </x:c>
      <x:c r="BF122" s="48" t="n">
        <x:f>0</x:f>
        <x:v>0</x:v>
      </x:c>
      <x:c r="BG122" s="48"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BH122" s="48"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BI122" s="48"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BJ122" s="48"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row>
    <x:row r="123">
      <x:c r="A123" s="48" t="n">
        <x:f>ROUND(-1+121*2/240,3)</x:f>
        <x:v>0.008</x:v>
      </x:c>
      <x:c r="B123" s="48" t="n">
        <x:f>IF(OR(Inputs!$F$6=TRUE,Inputs!$F$6="TRUE",Inputs!$F$6=1),(Inputs!$H$6+Inputs!$L$6*(((Inputs!$I$6+(((A123)+1)/2)*(Inputs!$J$6-Inputs!$I$6)))/Inputs!$K$6)^2),NA())</x:f>
        <x:v>400.000256</x:v>
      </x:c>
      <x:c r="C123" s="48" t="n">
        <x:f>IF(OR(Inputs!$F$7=TRUE,Inputs!$F$7="TRUE",Inputs!$F$7=1),(Inputs!$H$7+Inputs!$L$7*(((Inputs!$I$7+(((A123)+1)/2)*(Inputs!$J$7-Inputs!$I$7)))/Inputs!$K$7)^2),NA())</x:f>
        <x:v>35.02336</x:v>
      </x:c>
      <x:c r="D123" s="48" t="n">
        <x:f>IF(OR(Inputs!$F$8=TRUE,Inputs!$F$8="TRUE",Inputs!$F$8=1),(Inputs!$H$8+Inputs!$L$8*(((Inputs!$I$8+(((A123)+1)/2)*(Inputs!$J$8-Inputs!$I$8)))/Inputs!$K$8)^2),NA())</x:f>
        <x:v>35.06176</x:v>
      </x:c>
      <x:c r="E123" s="48" t="n">
        <x:f>IF(OR(Inputs!$F$9=TRUE,Inputs!$F$9="TRUE",Inputs!$F$9=1),(Inputs!$H$9+Inputs!$L$9*(((Inputs!$I$9+(((A123)+1)/2)*(Inputs!$J$9-Inputs!$I$9)))/Inputs!$K$9)^2),NA())</x:f>
        <x:v>25.0624</x:v>
      </x:c>
      <x:c r="F123" s="49"/>
      <x:c r="G123" s="48" t="n">
        <x:f>A123</x:f>
        <x:v>0.008</x:v>
      </x:c>
      <x:c r="H123" s="48"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I123" s="48"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J123" s="48"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K123" s="48"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c r="L123" s="49"/>
      <x:c r="M123" s="48" t="n">
        <x:f>A123</x:f>
        <x:v>0.008</x:v>
      </x:c>
      <x:c r="N123" s="48" t="n">
        <x: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x:f>
        <x:v>-4.109397931761796</x:v>
      </x:c>
      <x:c r="O123" s="48" t="n">
        <x: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x:f>
        <x:v>-139.85177267540038</x:v>
      </x:c>
      <x:c r="P123" s="48" t="n">
        <x: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x:f>
        <x:v>-264.46705175638124</x:v>
      </x:c>
      <x:c r="Q123" s="48" t="n">
        <x: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x:f>
        <x:v>-309.85866281402053</x:v>
      </x:c>
      <x:c r="R123" s="49"/>
      <x:c r="S123" s="48" t="n">
        <x:f>A123</x:f>
        <x:v>0.008</x:v>
      </x:c>
      <x:c r="T123" s="48" t="n">
        <x:f>(Inputs!$I$6+(((A123)+1)/2)*(Inputs!$J$6-Inputs!$I$6))</x:f>
        <x:v>0.480000000000004</x:v>
      </x:c>
      <x:c r="U123" s="48" t="n">
        <x:f>(Inputs!$I$7+(((A123)+1)/2)*(Inputs!$J$7-Inputs!$I$7))</x:f>
        <x:v>3.1999999999999886</x:v>
      </x:c>
      <x:c r="V123" s="48" t="n">
        <x:f>(Inputs!$I$8+(((A123)+1)/2)*(Inputs!$J$8-Inputs!$I$8))</x:f>
        <x:v>6.399999999999977</x:v>
      </x:c>
      <x:c r="W123" s="48" t="n">
        <x:f>(Inputs!$I$9+(((A123)+1)/2)*(Inputs!$J$9-Inputs!$I$9))</x:f>
        <x:v>6.399999999999977</x:v>
      </x:c>
      <x:c r="X123" s="49"/>
      <x:c r="Y123" s="48" t="n">
        <x:f>A123</x:f>
        <x:v>0.008</x:v>
      </x:c>
      <x:c r="Z123" s="48" t="n">
        <x:f>(Inputs!$H$6+Inputs!$L$6*(((Inputs!$I$6+(((A123)+1)/2)*(Inputs!$J$6-Inputs!$I$6)))/Inputs!$K$6)^2)</x:f>
        <x:v>400.000256</x:v>
      </x:c>
      <x:c r="AA123" s="48" t="n">
        <x:f>(Inputs!$H$7+Inputs!$L$7*(((Inputs!$I$7+(((A123)+1)/2)*(Inputs!$J$7-Inputs!$I$7)))/Inputs!$K$7)^2)</x:f>
        <x:v>35.02336</x:v>
      </x:c>
      <x:c r="AB123" s="48" t="n">
        <x:f>(Inputs!$H$8+Inputs!$L$8*(((Inputs!$I$8+(((A123)+1)/2)*(Inputs!$J$8-Inputs!$I$8)))/Inputs!$K$8)^2)</x:f>
        <x:v>35.06176</x:v>
      </x:c>
      <x:c r="AC123" s="48" t="n">
        <x:f>(Inputs!$H$9+Inputs!$L$9*(((Inputs!$I$9+(((A123)+1)/2)*(Inputs!$J$9-Inputs!$I$9)))/Inputs!$K$9)^2)</x:f>
        <x:v>25.0624</x:v>
      </x:c>
      <x:c r="AD123" s="49"/>
      <x:c r="AE123" s="48" t="n">
        <x:f>A123</x:f>
        <x:v>0.008</x:v>
      </x:c>
      <x:c r="AF123" s="48" t="n">
        <x:f>(((SQRT((Inputs!$C$52+((Inputs!$H$6+Inputs!$L$6*(((Inputs!$I$6+(((A123)+1)/2)*(Inputs!$J$6-Inputs!$I$6)))/Inputs!$K$6)^2)))^2+Inputs!$C$52^2-2*(Inputs!$C$52+((Inputs!$H$6+Inputs!$L$6*(((Inputs!$I$6+(((A123)+1)/2)*(Inputs!$J$6-Inputs!$I$6)))/Inputs!$K$6)^2)))*Inputs!$C$52*COS(SQRT(((Inputs!$I$6+(((A123)+1)/2)*(Inputs!$J$6-Inputs!$I$6)))^2+Inputs!$C$6^2)/Inputs!$C$52)))-((Inputs!$H$6+Inputs!$L$6*(((Inputs!$I$6+(((A123)+1)/2)*(Inputs!$J$6-Inputs!$I$6)))/Inputs!$K$6)^2)))*1000/Inputs!$C$12)</x:f>
        <x:v>550.9023378878604</x:v>
      </x:c>
      <x:c r="AG123" s="48" t="n">
        <x:f>(((SQRT((Inputs!$C$52+((Inputs!$H$7+Inputs!$L$7*(((Inputs!$I$7+(((A123)+1)/2)*(Inputs!$J$7-Inputs!$I$7)))/Inputs!$K$7)^2)))^2+Inputs!$C$52^2-2*(Inputs!$C$52+((Inputs!$H$7+Inputs!$L$7*(((Inputs!$I$7+(((A123)+1)/2)*(Inputs!$J$7-Inputs!$I$7)))/Inputs!$K$7)^2)))*Inputs!$C$52*COS(SQRT(((Inputs!$I$7+(((A123)+1)/2)*(Inputs!$J$7-Inputs!$I$7)))^2+Inputs!$C$6^2)/Inputs!$C$52)))-((Inputs!$H$7+Inputs!$L$7*(((Inputs!$I$7+(((A123)+1)/2)*(Inputs!$J$7-Inputs!$I$7)))/Inputs!$K$7)^2)))*1000/Inputs!$C$12)</x:f>
        <x:v>4657.749939810601</x:v>
      </x:c>
      <x:c r="AH123" s="48" t="n">
        <x:f>(((SQRT((Inputs!$C$52+((Inputs!$H$8+Inputs!$L$8*(((Inputs!$I$8+(((A123)+1)/2)*(Inputs!$J$8-Inputs!$I$8)))/Inputs!$K$8)^2)))^2+Inputs!$C$52^2-2*(Inputs!$C$52+((Inputs!$H$8+Inputs!$L$8*(((Inputs!$I$8+(((A123)+1)/2)*(Inputs!$J$8-Inputs!$I$8)))/Inputs!$K$8)^2)))*Inputs!$C$52*COS(SQRT(((Inputs!$I$8+(((A123)+1)/2)*(Inputs!$J$8-Inputs!$I$8)))^2+Inputs!$C$6^2)/Inputs!$C$52)))-((Inputs!$H$8+Inputs!$L$8*(((Inputs!$I$8+(((A123)+1)/2)*(Inputs!$J$8-Inputs!$I$8)))/Inputs!$K$8)^2)))*1000/Inputs!$C$12)</x:f>
        <x:v>4856.424958294949</x:v>
      </x:c>
      <x:c r="AI123" s="48" t="n">
        <x:f>(((SQRT((Inputs!$C$52+((Inputs!$H$9+Inputs!$L$9*(((Inputs!$I$9+(((A123)+1)/2)*(Inputs!$J$9-Inputs!$I$9)))/Inputs!$K$9)^2)))^2+Inputs!$C$52^2-2*(Inputs!$C$52+((Inputs!$H$9+Inputs!$L$9*(((Inputs!$I$9+(((A123)+1)/2)*(Inputs!$J$9-Inputs!$I$9)))/Inputs!$K$9)^2)))*Inputs!$C$52*COS(SQRT(((Inputs!$I$9+(((A123)+1)/2)*(Inputs!$J$9-Inputs!$I$9)))^2+Inputs!$C$6^2)/Inputs!$C$52)))-((Inputs!$H$9+Inputs!$L$9*(((Inputs!$I$9+(((A123)+1)/2)*(Inputs!$J$9-Inputs!$I$9)))/Inputs!$K$9)^2)))*1000/Inputs!$C$12)</x:f>
        <x:v>6212.972140723045</x:v>
      </x:c>
      <x:c r="AJ123" s="49"/>
      <x:c r="AK123" s="48" t="n">
        <x:f>A123</x:f>
        <x:v>0.008</x:v>
      </x:c>
      <x:c r="AL123" s="48" t="n">
        <x: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x:f>
        <x:v>-4.109397931761796</x:v>
      </x:c>
      <x:c r="AM123" s="48" t="n">
        <x: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x:f>
        <x:v>-139.85177267540038</x:v>
      </x:c>
      <x:c r="AN123" s="48" t="n">
        <x: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x:f>
        <x:v>-264.46705175638124</x:v>
      </x:c>
      <x:c r="AO123" s="48" t="n">
        <x: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x:f>
        <x:v>-309.85866281402053</x:v>
      </x:c>
      <x:c r="AP123" s="49"/>
      <x:c r="AQ123" s="48" t="n">
        <x:f>A123</x:f>
        <x:v>0.008</x:v>
      </x:c>
      <x:c r="AR123" s="48" t="n">
        <x:f>0</x:f>
        <x:v>0</x:v>
      </x:c>
      <x:c r="AS123" s="48" t="n">
        <x: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(0.45*SIN(2*PI()*((((Inputs!$I$6+(((A123)+1)/2)*(Inputs!$J$6-Inputs!$I$6)))/Inputs!$C$49)+Inputs!$C$47*0.137))+0.35*COS(2*PI()*(((Inputs!$C$6)/Inputs!$C$50)+Inputs!$C$47*0.173))+0.20*SIN(2*PI()*((((Inputs!$I$6+(((A123)+1)/2)*(Inputs!$J$6-Inputs!$I$6)))+(Inputs!$C$6))/(0.5*(Inputs!$C$49+Inputs!$C$50))+Inputs!$C$47*0.097)))+0.30*(2*((SIN((((Inputs!$I$6+(((A123)+1)/2)*(Inputs!$J$6-Inputs!$I$6)))*12.9898+(Inputs!$C$6)*78.233+Inputs!$C$47*37.719))*43758.5453)-INT((SIN((((Inputs!$I$6+(((A123)+1)/2)*(Inputs!$J$6-Inputs!$I$6)))*12.9898+(Inputs!$C$6)*78.233+Inputs!$C$47*37.719))*43758.5453)))-1))),NA())</x:f>
        <x:v>499.43305943798936</x:v>
      </x:c>
      <x:c r="AT123" s="48" t="n">
        <x: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(0.45*SIN(2*PI()*((((Inputs!$I$7+(((A123)+1)/2)*(Inputs!$J$7-Inputs!$I$7)))/Inputs!$C$49)+Inputs!$C$47*0.137))+0.35*COS(2*PI()*(((Inputs!$C$6)/Inputs!$C$50)+Inputs!$C$47*0.173))+0.20*SIN(2*PI()*((((Inputs!$I$7+(((A123)+1)/2)*(Inputs!$J$7-Inputs!$I$7)))+(Inputs!$C$6))/(0.5*(Inputs!$C$49+Inputs!$C$50))+Inputs!$C$47*0.097)))+0.30*(2*((SIN((((Inputs!$I$7+(((A123)+1)/2)*(Inputs!$J$7-Inputs!$I$7)))*12.9898+(Inputs!$C$6)*78.233+Inputs!$C$47*37.719))*43758.5453)-INT((SIN((((Inputs!$I$7+(((A123)+1)/2)*(Inputs!$J$7-Inputs!$I$7)))*12.9898+(Inputs!$C$6)*78.233+Inputs!$C$47*37.719))*43758.5453)))-1))),NA())</x:f>
        <x:v>564.2968596111261</x:v>
      </x:c>
      <x:c r="AU123" s="48" t="n">
        <x: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(0.45*SIN(2*PI()*((((Inputs!$I$8+(((A123)+1)/2)*(Inputs!$J$8-Inputs!$I$8)))/Inputs!$C$49)+Inputs!$C$47*0.137))+0.35*COS(2*PI()*(((Inputs!$C$6)/Inputs!$C$50)+Inputs!$C$47*0.173))+0.20*SIN(2*PI()*((((Inputs!$I$8+(((A123)+1)/2)*(Inputs!$J$8-Inputs!$I$8)))+(Inputs!$C$6))/(0.5*(Inputs!$C$49+Inputs!$C$50))+Inputs!$C$47*0.097)))+0.30*(2*((SIN((((Inputs!$I$8+(((A123)+1)/2)*(Inputs!$J$8-Inputs!$I$8)))*12.9898+(Inputs!$C$6)*78.233+Inputs!$C$47*37.719))*43758.5453)-INT((SIN((((Inputs!$I$8+(((A123)+1)/2)*(Inputs!$J$8-Inputs!$I$8)))*12.9898+(Inputs!$C$6)*78.233+Inputs!$C$47*37.719))*43758.5453)))-1))),NA())</x:f>
        <x:v>524.3012795272867</x:v>
      </x:c>
      <x:c r="AV123" s="48" t="n">
        <x: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(0.45*SIN(2*PI()*((((Inputs!$I$9+(((A123)+1)/2)*(Inputs!$J$9-Inputs!$I$9)))/Inputs!$C$49)+Inputs!$C$47*0.137))+0.35*COS(2*PI()*(((Inputs!$C$6)/Inputs!$C$50)+Inputs!$C$47*0.173))+0.20*SIN(2*PI()*((((Inputs!$I$9+(((A123)+1)/2)*(Inputs!$J$9-Inputs!$I$9)))+(Inputs!$C$6))/(0.5*(Inputs!$C$49+Inputs!$C$50))+Inputs!$C$47*0.097)))+0.30*(2*((SIN((((Inputs!$I$9+(((A123)+1)/2)*(Inputs!$J$9-Inputs!$I$9)))*12.9898+(Inputs!$C$6)*78.233+Inputs!$C$47*37.719))*43758.5453)-INT((SIN((((Inputs!$I$9+(((A123)+1)/2)*(Inputs!$J$9-Inputs!$I$9)))*12.9898+(Inputs!$C$6)*78.233+Inputs!$C$47*37.719))*43758.5453)))-1))),NA())</x:f>
        <x:v>524.3012795272867</x:v>
      </x:c>
      <x:c r="AW123" s="49"/>
      <x:c r="AX123" s="48" t="n">
        <x:f>A123</x:f>
        <x:v>0.008</x:v>
      </x:c>
      <x:c r="AY123" s="48" t="n">
        <x:f>0</x:f>
        <x:v>0</x:v>
      </x:c>
      <x:c r="AZ123" s="48" t="n">
        <x:f>IF(OR(Inputs!$F$6=TRUE,Inputs!$F$6="TRUE",Inputs!$F$6=1),(Inputs!$H$6+Inputs!$L$6*(((Inputs!$I$6+(((A123)+1)/2)*(Inputs!$J$6-Inputs!$I$6)))/Inputs!$K$6)^2),NA())</x:f>
        <x:v>400.000256</x:v>
      </x:c>
      <x:c r="BA123" s="48" t="n">
        <x:f>IF(OR(Inputs!$F$7=TRUE,Inputs!$F$7="TRUE",Inputs!$F$7=1),(Inputs!$H$7+Inputs!$L$7*(((Inputs!$I$7+(((A123)+1)/2)*(Inputs!$J$7-Inputs!$I$7)))/Inputs!$K$7)^2),NA())</x:f>
        <x:v>35.02336</x:v>
      </x:c>
      <x:c r="BB123" s="48" t="n">
        <x:f>IF(OR(Inputs!$F$8=TRUE,Inputs!$F$8="TRUE",Inputs!$F$8=1),(Inputs!$H$8+Inputs!$L$8*(((Inputs!$I$8+(((A123)+1)/2)*(Inputs!$J$8-Inputs!$I$8)))/Inputs!$K$8)^2),NA())</x:f>
        <x:v>35.06176</x:v>
      </x:c>
      <x:c r="BC123" s="48" t="n">
        <x:f>IF(OR(Inputs!$F$9=TRUE,Inputs!$F$9="TRUE",Inputs!$F$9=1),(Inputs!$H$9+Inputs!$L$9*(((Inputs!$I$9+(((A123)+1)/2)*(Inputs!$J$9-Inputs!$I$9)))/Inputs!$K$9)^2),NA())</x:f>
        <x:v>25.0624</x:v>
      </x:c>
      <x:c r="BD123" s="49"/>
      <x:c r="BE123" s="48" t="n">
        <x:f>A123</x:f>
        <x:v>0.008</x:v>
      </x:c>
      <x:c r="BF123" s="48" t="n">
        <x:f>0</x:f>
        <x:v>0</x:v>
      </x:c>
      <x:c r="BG123" s="48"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BH123" s="48"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BI123" s="48"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BJ123" s="48"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row>
    <x:row r="124">
      <x:c r="A124" s="48" t="n">
        <x:f>ROUND(-1+122*2/240,3)</x:f>
        <x:v>0.017</x:v>
      </x:c>
      <x:c r="B124" s="48" t="n">
        <x:f>IF(OR(Inputs!$F$6=TRUE,Inputs!$F$6="TRUE",Inputs!$F$6=1),(Inputs!$H$6+Inputs!$L$6*(((Inputs!$I$6+(((A124)+1)/2)*(Inputs!$J$6-Inputs!$I$6)))/Inputs!$K$6)^2),NA())</x:f>
        <x:v>400.001156</x:v>
      </x:c>
      <x:c r="C124" s="48" t="n">
        <x:f>IF(OR(Inputs!$F$7=TRUE,Inputs!$F$7="TRUE",Inputs!$F$7=1),(Inputs!$H$7+Inputs!$L$7*(((Inputs!$I$7+(((A124)+1)/2)*(Inputs!$J$7-Inputs!$I$7)))/Inputs!$K$7)^2),NA())</x:f>
        <x:v>35.105485</x:v>
      </x:c>
      <x:c r="D124" s="48" t="n">
        <x:f>IF(OR(Inputs!$F$8=TRUE,Inputs!$F$8="TRUE",Inputs!$F$8=1),(Inputs!$H$8+Inputs!$L$8*(((Inputs!$I$8+(((A124)+1)/2)*(Inputs!$J$8-Inputs!$I$8)))/Inputs!$K$8)^2),NA())</x:f>
        <x:v>35.278884999999995</x:v>
      </x:c>
      <x:c r="E124" s="48" t="n">
        <x:f>IF(OR(Inputs!$F$9=TRUE,Inputs!$F$9="TRUE",Inputs!$F$9=1),(Inputs!$H$9+Inputs!$L$9*(((Inputs!$I$9+(((A124)+1)/2)*(Inputs!$J$9-Inputs!$I$9)))/Inputs!$K$9)^2),NA())</x:f>
        <x:v>25.281774999999996</x:v>
      </x:c>
      <x:c r="F124" s="49"/>
      <x:c r="G124" s="48" t="n">
        <x:f>A124</x:f>
        <x:v>0.017</x:v>
      </x:c>
      <x:c r="H124" s="48"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I124" s="48"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J124" s="48"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K124" s="48"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c r="L124" s="49"/>
      <x:c r="M124" s="48" t="n">
        <x:f>A124</x:f>
        <x:v>0.017</x:v>
      </x:c>
      <x:c r="N124" s="48" t="n">
        <x: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x:f>
        <x:v>-8.732435961681858</x:v>
      </x:c>
      <x:c r="O124" s="48" t="n">
        <x: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x:f>
        <x:v>-293.9859135729996</x:v>
      </x:c>
      <x:c r="P124" s="48" t="n">
        <x: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x:f>
        <x:v>-539.9395097966609</x:v>
      </x:c>
      <x:c r="Q124" s="48" t="n">
        <x: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x:f>
        <x:v>-622.5213630504534</x:v>
      </x:c>
      <x:c r="R124" s="49"/>
      <x:c r="S124" s="48" t="n">
        <x:f>A124</x:f>
        <x:v>0.017</x:v>
      </x:c>
      <x:c r="T124" s="48" t="n">
        <x:f>(Inputs!$I$6+(((A124)+1)/2)*(Inputs!$J$6-Inputs!$I$6))</x:f>
        <x:v>1.019999999999996</x:v>
      </x:c>
      <x:c r="U124" s="48" t="n">
        <x:f>(Inputs!$I$7+(((A124)+1)/2)*(Inputs!$J$7-Inputs!$I$7))</x:f>
        <x:v>6.7999999999999545</x:v>
      </x:c>
      <x:c r="V124" s="48" t="n">
        <x:f>(Inputs!$I$8+(((A124)+1)/2)*(Inputs!$J$8-Inputs!$I$8))</x:f>
        <x:v>13.599999999999909</x:v>
      </x:c>
      <x:c r="W124" s="48" t="n">
        <x:f>(Inputs!$I$9+(((A124)+1)/2)*(Inputs!$J$9-Inputs!$I$9))</x:f>
        <x:v>13.599999999999909</x:v>
      </x:c>
      <x:c r="X124" s="49"/>
      <x:c r="Y124" s="48" t="n">
        <x:f>A124</x:f>
        <x:v>0.017</x:v>
      </x:c>
      <x:c r="Z124" s="48" t="n">
        <x:f>(Inputs!$H$6+Inputs!$L$6*(((Inputs!$I$6+(((A124)+1)/2)*(Inputs!$J$6-Inputs!$I$6)))/Inputs!$K$6)^2)</x:f>
        <x:v>400.001156</x:v>
      </x:c>
      <x:c r="AA124" s="48" t="n">
        <x:f>(Inputs!$H$7+Inputs!$L$7*(((Inputs!$I$7+(((A124)+1)/2)*(Inputs!$J$7-Inputs!$I$7)))/Inputs!$K$7)^2)</x:f>
        <x:v>35.105485</x:v>
      </x:c>
      <x:c r="AB124" s="48" t="n">
        <x:f>(Inputs!$H$8+Inputs!$L$8*(((Inputs!$I$8+(((A124)+1)/2)*(Inputs!$J$8-Inputs!$I$8)))/Inputs!$K$8)^2)</x:f>
        <x:v>35.278884999999995</x:v>
      </x:c>
      <x:c r="AC124" s="48" t="n">
        <x:f>(Inputs!$H$9+Inputs!$L$9*(((Inputs!$I$9+(((A124)+1)/2)*(Inputs!$J$9-Inputs!$I$9)))/Inputs!$K$9)^2)</x:f>
        <x:v>25.281774999999996</x:v>
      </x:c>
      <x:c r="AD124" s="49"/>
      <x:c r="AE124" s="48" t="n">
        <x:f>A124</x:f>
        <x:v>0.017</x:v>
      </x:c>
      <x:c r="AF124" s="48" t="n">
        <x:f>(((SQRT((Inputs!$C$52+((Inputs!$H$6+Inputs!$L$6*(((Inputs!$I$6+(((A124)+1)/2)*(Inputs!$J$6-Inputs!$I$6)))/Inputs!$K$6)^2)))^2+Inputs!$C$52^2-2*(Inputs!$C$52+((Inputs!$H$6+Inputs!$L$6*(((Inputs!$I$6+(((A124)+1)/2)*(Inputs!$J$6-Inputs!$I$6)))/Inputs!$K$6)^2)))*Inputs!$C$52*COS(SQRT(((Inputs!$I$6+(((A124)+1)/2)*(Inputs!$J$6-Inputs!$I$6)))^2+Inputs!$C$6^2)/Inputs!$C$52)))-((Inputs!$H$6+Inputs!$L$6*(((Inputs!$I$6+(((A124)+1)/2)*(Inputs!$J$6-Inputs!$I$6)))/Inputs!$K$6)^2)))*1000/Inputs!$C$12)</x:f>
        <x:v>551.6141699195095</x:v>
      </x:c>
      <x:c r="AG124" s="48" t="n">
        <x:f>(((SQRT((Inputs!$C$52+((Inputs!$H$7+Inputs!$L$7*(((Inputs!$I$7+(((A124)+1)/2)*(Inputs!$J$7-Inputs!$I$7)))/Inputs!$K$7)^2)))^2+Inputs!$C$52^2-2*(Inputs!$C$52+((Inputs!$H$7+Inputs!$L$7*(((Inputs!$I$7+(((A124)+1)/2)*(Inputs!$J$7-Inputs!$I$7)))/Inputs!$K$7)^2)))*Inputs!$C$52*COS(SQRT(((Inputs!$I$7+(((A124)+1)/2)*(Inputs!$J$7-Inputs!$I$7)))^2+Inputs!$C$6^2)/Inputs!$C$52)))-((Inputs!$H$7+Inputs!$L$7*(((Inputs!$I$7+(((A124)+1)/2)*(Inputs!$J$7-Inputs!$I$7)))/Inputs!$K$7)^2)))*1000/Inputs!$C$12)</x:f>
        <x:v>4886.334331349637</x:v>
      </x:c>
      <x:c r="AH124" s="48" t="n">
        <x:f>(((SQRT((Inputs!$C$52+((Inputs!$H$8+Inputs!$L$8*(((Inputs!$I$8+(((A124)+1)/2)*(Inputs!$J$8-Inputs!$I$8)))/Inputs!$K$8)^2)))^2+Inputs!$C$52^2-2*(Inputs!$C$52+((Inputs!$H$8+Inputs!$L$8*(((Inputs!$I$8+(((A124)+1)/2)*(Inputs!$J$8-Inputs!$I$8)))/Inputs!$K$8)^2)))*Inputs!$C$52*COS(SQRT(((Inputs!$I$8+(((A124)+1)/2)*(Inputs!$J$8-Inputs!$I$8)))^2+Inputs!$C$6^2)/Inputs!$C$52)))-((Inputs!$H$8+Inputs!$L$8*(((Inputs!$I$8+(((A124)+1)/2)*(Inputs!$J$8-Inputs!$I$8)))/Inputs!$K$8)^2)))*1000/Inputs!$C$12)</x:f>
        <x:v>5758.21101737634</x:v>
      </x:c>
      <x:c r="AI124" s="48" t="n">
        <x:f>(((SQRT((Inputs!$C$52+((Inputs!$H$9+Inputs!$L$9*(((Inputs!$I$9+(((A124)+1)/2)*(Inputs!$J$9-Inputs!$I$9)))/Inputs!$K$9)^2)))^2+Inputs!$C$52^2-2*(Inputs!$C$52+((Inputs!$H$9+Inputs!$L$9*(((Inputs!$I$9+(((A124)+1)/2)*(Inputs!$J$9-Inputs!$I$9)))/Inputs!$K$9)^2)))*Inputs!$C$52*COS(SQRT(((Inputs!$I$9+(((A124)+1)/2)*(Inputs!$J$9-Inputs!$I$9)))^2+Inputs!$C$6^2)/Inputs!$C$52)))-((Inputs!$H$9+Inputs!$L$9*(((Inputs!$I$9+(((A124)+1)/2)*(Inputs!$J$9-Inputs!$I$9)))/Inputs!$K$9)^2)))*1000/Inputs!$C$12)</x:f>
        <x:v>7279.368687868078</x:v>
      </x:c>
      <x:c r="AJ124" s="49"/>
      <x:c r="AK124" s="48" t="n">
        <x:f>A124</x:f>
        <x:v>0.017</x:v>
      </x:c>
      <x:c r="AL124" s="48" t="n">
        <x: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x:f>
        <x:v>-8.732435961681858</x:v>
      </x:c>
      <x:c r="AM124" s="48" t="n">
        <x: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x:f>
        <x:v>-293.9859135729996</x:v>
      </x:c>
      <x:c r="AN124" s="48" t="n">
        <x: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x:f>
        <x:v>-539.9395097966609</x:v>
      </x:c>
      <x:c r="AO124" s="48" t="n">
        <x: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x:f>
        <x:v>-622.5213630504534</x:v>
      </x:c>
      <x:c r="AP124" s="49"/>
      <x:c r="AQ124" s="48" t="n">
        <x:f>A124</x:f>
        <x:v>0.017</x:v>
      </x:c>
      <x:c r="AR124" s="48" t="n">
        <x:f>0</x:f>
        <x:v>0</x:v>
      </x:c>
      <x:c r="AS124" s="48" t="n">
        <x: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(0.45*SIN(2*PI()*((((Inputs!$I$6+(((A124)+1)/2)*(Inputs!$J$6-Inputs!$I$6)))/Inputs!$C$49)+Inputs!$C$47*0.137))+0.35*COS(2*PI()*(((Inputs!$C$6)/Inputs!$C$50)+Inputs!$C$47*0.173))+0.20*SIN(2*PI()*((((Inputs!$I$6+(((A124)+1)/2)*(Inputs!$J$6-Inputs!$I$6)))+(Inputs!$C$6))/(0.5*(Inputs!$C$49+Inputs!$C$50))+Inputs!$C$47*0.097)))+0.30*(2*((SIN((((Inputs!$I$6+(((A124)+1)/2)*(Inputs!$J$6-Inputs!$I$6)))*12.9898+(Inputs!$C$6)*78.233+Inputs!$C$47*37.719))*43758.5453)-INT((SIN((((Inputs!$I$6+(((A124)+1)/2)*(Inputs!$J$6-Inputs!$I$6)))*12.9898+(Inputs!$C$6)*78.233+Inputs!$C$47*37.719))*43758.5453)))-1))),NA())</x:f>
        <x:v>518.1442166274645</x:v>
      </x:c>
      <x:c r="AT124" s="48" t="n">
        <x: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(0.45*SIN(2*PI()*((((Inputs!$I$7+(((A124)+1)/2)*(Inputs!$J$7-Inputs!$I$7)))/Inputs!$C$49)+Inputs!$C$47*0.137))+0.35*COS(2*PI()*(((Inputs!$C$6)/Inputs!$C$50)+Inputs!$C$47*0.173))+0.20*SIN(2*PI()*((((Inputs!$I$7+(((A124)+1)/2)*(Inputs!$J$7-Inputs!$I$7)))+(Inputs!$C$6))/(0.5*(Inputs!$C$49+Inputs!$C$50))+Inputs!$C$47*0.097)))+0.30*(2*((SIN((((Inputs!$I$7+(((A124)+1)/2)*(Inputs!$J$7-Inputs!$I$7)))*12.9898+(Inputs!$C$6)*78.233+Inputs!$C$47*37.719))*43758.5453)-INT((SIN((((Inputs!$I$7+(((A124)+1)/2)*(Inputs!$J$7-Inputs!$I$7)))*12.9898+(Inputs!$C$6)*78.233+Inputs!$C$47*37.719))*43758.5453)))-1))),NA())</x:f>
        <x:v>513.0680700455532</x:v>
      </x:c>
      <x:c r="AU124" s="48" t="n">
        <x: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(0.45*SIN(2*PI()*((((Inputs!$I$8+(((A124)+1)/2)*(Inputs!$J$8-Inputs!$I$8)))/Inputs!$C$49)+Inputs!$C$47*0.137))+0.35*COS(2*PI()*(((Inputs!$C$6)/Inputs!$C$50)+Inputs!$C$47*0.173))+0.20*SIN(2*PI()*((((Inputs!$I$8+(((A124)+1)/2)*(Inputs!$J$8-Inputs!$I$8)))+(Inputs!$C$6))/(0.5*(Inputs!$C$49+Inputs!$C$50))+Inputs!$C$47*0.097)))+0.30*(2*((SIN((((Inputs!$I$8+(((A124)+1)/2)*(Inputs!$J$8-Inputs!$I$8)))*12.9898+(Inputs!$C$6)*78.233+Inputs!$C$47*37.719))*43758.5453)-INT((SIN((((Inputs!$I$8+(((A124)+1)/2)*(Inputs!$J$8-Inputs!$I$8)))*12.9898+(Inputs!$C$6)*78.233+Inputs!$C$47*37.719))*43758.5453)))-1))),NA())</x:f>
        <x:v>410.3964974897564</x:v>
      </x:c>
      <x:c r="AV124" s="48" t="n">
        <x: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(0.45*SIN(2*PI()*((((Inputs!$I$9+(((A124)+1)/2)*(Inputs!$J$9-Inputs!$I$9)))/Inputs!$C$49)+Inputs!$C$47*0.137))+0.35*COS(2*PI()*(((Inputs!$C$6)/Inputs!$C$50)+Inputs!$C$47*0.173))+0.20*SIN(2*PI()*((((Inputs!$I$9+(((A124)+1)/2)*(Inputs!$J$9-Inputs!$I$9)))+(Inputs!$C$6))/(0.5*(Inputs!$C$49+Inputs!$C$50))+Inputs!$C$47*0.097)))+0.30*(2*((SIN((((Inputs!$I$9+(((A124)+1)/2)*(Inputs!$J$9-Inputs!$I$9)))*12.9898+(Inputs!$C$6)*78.233+Inputs!$C$47*37.719))*43758.5453)-INT((SIN((((Inputs!$I$9+(((A124)+1)/2)*(Inputs!$J$9-Inputs!$I$9)))*12.9898+(Inputs!$C$6)*78.233+Inputs!$C$47*37.719))*43758.5453)))-1))),NA())</x:f>
        <x:v>410.3964974897564</x:v>
      </x:c>
      <x:c r="AW124" s="49"/>
      <x:c r="AX124" s="48" t="n">
        <x:f>A124</x:f>
        <x:v>0.017</x:v>
      </x:c>
      <x:c r="AY124" s="48" t="n">
        <x:f>0</x:f>
        <x:v>0</x:v>
      </x:c>
      <x:c r="AZ124" s="48" t="n">
        <x:f>IF(OR(Inputs!$F$6=TRUE,Inputs!$F$6="TRUE",Inputs!$F$6=1),(Inputs!$H$6+Inputs!$L$6*(((Inputs!$I$6+(((A124)+1)/2)*(Inputs!$J$6-Inputs!$I$6)))/Inputs!$K$6)^2),NA())</x:f>
        <x:v>400.001156</x:v>
      </x:c>
      <x:c r="BA124" s="48" t="n">
        <x:f>IF(OR(Inputs!$F$7=TRUE,Inputs!$F$7="TRUE",Inputs!$F$7=1),(Inputs!$H$7+Inputs!$L$7*(((Inputs!$I$7+(((A124)+1)/2)*(Inputs!$J$7-Inputs!$I$7)))/Inputs!$K$7)^2),NA())</x:f>
        <x:v>35.105485</x:v>
      </x:c>
      <x:c r="BB124" s="48" t="n">
        <x:f>IF(OR(Inputs!$F$8=TRUE,Inputs!$F$8="TRUE",Inputs!$F$8=1),(Inputs!$H$8+Inputs!$L$8*(((Inputs!$I$8+(((A124)+1)/2)*(Inputs!$J$8-Inputs!$I$8)))/Inputs!$K$8)^2),NA())</x:f>
        <x:v>35.278884999999995</x:v>
      </x:c>
      <x:c r="BC124" s="48" t="n">
        <x:f>IF(OR(Inputs!$F$9=TRUE,Inputs!$F$9="TRUE",Inputs!$F$9=1),(Inputs!$H$9+Inputs!$L$9*(((Inputs!$I$9+(((A124)+1)/2)*(Inputs!$J$9-Inputs!$I$9)))/Inputs!$K$9)^2),NA())</x:f>
        <x:v>25.281774999999996</x:v>
      </x:c>
      <x:c r="BD124" s="49"/>
      <x:c r="BE124" s="48" t="n">
        <x:f>A124</x:f>
        <x:v>0.017</x:v>
      </x:c>
      <x:c r="BF124" s="48" t="n">
        <x:f>0</x:f>
        <x:v>0</x:v>
      </x:c>
      <x:c r="BG124" s="48"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BH124" s="48"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BI124" s="48"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BJ124" s="48"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row>
    <x:row r="125">
      <x:c r="A125" s="48" t="n">
        <x:f>ROUND(-1+123*2/240,3)</x:f>
        <x:v>0.025</x:v>
      </x:c>
      <x:c r="B125" s="48" t="n">
        <x:f>IF(OR(Inputs!$F$6=TRUE,Inputs!$F$6="TRUE",Inputs!$F$6=1),(Inputs!$H$6+Inputs!$L$6*(((Inputs!$I$6+(((A125)+1)/2)*(Inputs!$J$6-Inputs!$I$6)))/Inputs!$K$6)^2),NA())</x:f>
        <x:v>400.0025</x:v>
      </x:c>
      <x:c r="C125" s="48" t="n">
        <x:f>IF(OR(Inputs!$F$7=TRUE,Inputs!$F$7="TRUE",Inputs!$F$7=1),(Inputs!$H$7+Inputs!$L$7*(((Inputs!$I$7+(((A125)+1)/2)*(Inputs!$J$7-Inputs!$I$7)))/Inputs!$K$7)^2),NA())</x:f>
        <x:v>35.228125</x:v>
      </x:c>
      <x:c r="D125" s="48" t="n">
        <x:f>IF(OR(Inputs!$F$8=TRUE,Inputs!$F$8="TRUE",Inputs!$F$8=1),(Inputs!$H$8+Inputs!$L$8*(((Inputs!$I$8+(((A125)+1)/2)*(Inputs!$J$8-Inputs!$I$8)))/Inputs!$K$8)^2),NA())</x:f>
        <x:v>35.60312499999999</x:v>
      </x:c>
      <x:c r="E125" s="48" t="n">
        <x:f>IF(OR(Inputs!$F$9=TRUE,Inputs!$F$9="TRUE",Inputs!$F$9=1),(Inputs!$H$9+Inputs!$L$9*(((Inputs!$I$9+(((A125)+1)/2)*(Inputs!$J$9-Inputs!$I$9)))/Inputs!$K$9)^2),NA())</x:f>
        <x:v>25.609374999999993</x:v>
      </x:c>
      <x:c r="F125" s="49"/>
      <x:c r="G125" s="48" t="n">
        <x:f>A125</x:f>
        <x:v>0.025</x:v>
      </x:c>
      <x:c r="H125" s="48"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I125" s="48"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J125" s="48"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K125" s="48"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c r="L125" s="49"/>
      <x:c r="M125" s="48" t="n">
        <x:f>A125</x:f>
        <x:v>0.025</x:v>
      </x:c>
      <x:c r="N125" s="48" t="n">
        <x: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x:f>
        <x:v>-12.841741512815233</x:v>
      </x:c>
      <x:c r="O125" s="48" t="n">
        <x: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x:f>
        <x:v>-425.59120024288256</x:v>
      </x:c>
      <x:c r="P125" s="48" t="n">
        <x: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x:f>
        <x:v>-752.1191010222066</x:v>
      </x:c>
      <x:c r="Q125" s="48" t="n">
        <x: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x:f>
        <x:v>-850.7238667030721</x:v>
      </x:c>
      <x:c r="R125" s="49"/>
      <x:c r="S125" s="48" t="n">
        <x:f>A125</x:f>
        <x:v>0.025</x:v>
      </x:c>
      <x:c r="T125" s="48" t="n">
        <x:f>(Inputs!$I$6+(((A125)+1)/2)*(Inputs!$J$6-Inputs!$I$6))</x:f>
        <x:v>1.499999999999993</x:v>
      </x:c>
      <x:c r="U125" s="48" t="n">
        <x:f>(Inputs!$I$7+(((A125)+1)/2)*(Inputs!$J$7-Inputs!$I$7))</x:f>
        <x:v>9.999999999999943</x:v>
      </x:c>
      <x:c r="V125" s="48" t="n">
        <x:f>(Inputs!$I$8+(((A125)+1)/2)*(Inputs!$J$8-Inputs!$I$8))</x:f>
        <x:v>19.999999999999886</x:v>
      </x:c>
      <x:c r="W125" s="48" t="n">
        <x:f>(Inputs!$I$9+(((A125)+1)/2)*(Inputs!$J$9-Inputs!$I$9))</x:f>
        <x:v>19.999999999999886</x:v>
      </x:c>
      <x:c r="X125" s="49"/>
      <x:c r="Y125" s="48" t="n">
        <x:f>A125</x:f>
        <x:v>0.025</x:v>
      </x:c>
      <x:c r="Z125" s="48" t="n">
        <x:f>(Inputs!$H$6+Inputs!$L$6*(((Inputs!$I$6+(((A125)+1)/2)*(Inputs!$J$6-Inputs!$I$6)))/Inputs!$K$6)^2)</x:f>
        <x:v>400.0025</x:v>
      </x:c>
      <x:c r="AA125" s="48" t="n">
        <x:f>(Inputs!$H$7+Inputs!$L$7*(((Inputs!$I$7+(((A125)+1)/2)*(Inputs!$J$7-Inputs!$I$7)))/Inputs!$K$7)^2)</x:f>
        <x:v>35.228125</x:v>
      </x:c>
      <x:c r="AB125" s="48" t="n">
        <x:f>(Inputs!$H$8+Inputs!$L$8*(((Inputs!$I$8+(((A125)+1)/2)*(Inputs!$J$8-Inputs!$I$8)))/Inputs!$K$8)^2)</x:f>
        <x:v>35.60312499999999</x:v>
      </x:c>
      <x:c r="AC125" s="48" t="n">
        <x:f>(Inputs!$H$9+Inputs!$L$9*(((Inputs!$I$9+(((A125)+1)/2)*(Inputs!$J$9-Inputs!$I$9)))/Inputs!$K$9)^2)</x:f>
        <x:v>25.609374999999993</x:v>
      </x:c>
      <x:c r="AD125" s="49"/>
      <x:c r="AE125" s="48" t="n">
        <x:f>A125</x:f>
        <x:v>0.025</x:v>
      </x:c>
      <x:c r="AF125" s="48" t="n">
        <x:f>(((SQRT((Inputs!$C$52+((Inputs!$H$6+Inputs!$L$6*(((Inputs!$I$6+(((A125)+1)/2)*(Inputs!$J$6-Inputs!$I$6)))/Inputs!$K$6)^2)))^2+Inputs!$C$52^2-2*(Inputs!$C$52+((Inputs!$H$6+Inputs!$L$6*(((Inputs!$I$6+(((A125)+1)/2)*(Inputs!$J$6-Inputs!$I$6)))/Inputs!$K$6)^2)))*Inputs!$C$52*COS(SQRT(((Inputs!$I$6+(((A125)+1)/2)*(Inputs!$J$6-Inputs!$I$6)))^2+Inputs!$C$6^2)/Inputs!$C$52)))-((Inputs!$H$6+Inputs!$L$6*(((Inputs!$I$6+(((A125)+1)/2)*(Inputs!$J$6-Inputs!$I$6)))/Inputs!$K$6)^2)))*1000/Inputs!$C$12)</x:f>
        <x:v>552.6771634304794</x:v>
      </x:c>
      <x:c r="AG125" s="48" t="n">
        <x:f>(((SQRT((Inputs!$C$52+((Inputs!$H$7+Inputs!$L$7*(((Inputs!$I$7+(((A125)+1)/2)*(Inputs!$J$7-Inputs!$I$7)))/Inputs!$K$7)^2)))^2+Inputs!$C$52^2-2*(Inputs!$C$52+((Inputs!$H$7+Inputs!$L$7*(((Inputs!$I$7+(((A125)+1)/2)*(Inputs!$J$7-Inputs!$I$7)))/Inputs!$K$7)^2)))*Inputs!$C$52*COS(SQRT(((Inputs!$I$7+(((A125)+1)/2)*(Inputs!$J$7-Inputs!$I$7)))^2+Inputs!$C$6^2)/Inputs!$C$52)))-((Inputs!$H$7+Inputs!$L$7*(((Inputs!$I$7+(((A125)+1)/2)*(Inputs!$J$7-Inputs!$I$7)))/Inputs!$K$7)^2)))*1000/Inputs!$C$12)</x:f>
        <x:v>5222.272242106896</x:v>
      </x:c>
      <x:c r="AH125" s="48" t="n">
        <x:f>(((SQRT((Inputs!$C$52+((Inputs!$H$8+Inputs!$L$8*(((Inputs!$I$8+(((A125)+1)/2)*(Inputs!$J$8-Inputs!$I$8)))/Inputs!$K$8)^2)))^2+Inputs!$C$52^2-2*(Inputs!$C$52+((Inputs!$H$8+Inputs!$L$8*(((Inputs!$I$8+(((A125)+1)/2)*(Inputs!$J$8-Inputs!$I$8)))/Inputs!$K$8)^2)))*Inputs!$C$52*COS(SQRT(((Inputs!$I$8+(((A125)+1)/2)*(Inputs!$J$8-Inputs!$I$8)))^2+Inputs!$C$6^2)/Inputs!$C$52)))-((Inputs!$H$8+Inputs!$L$8*(((Inputs!$I$8+(((A125)+1)/2)*(Inputs!$J$8-Inputs!$I$8)))/Inputs!$K$8)^2)))*1000/Inputs!$C$12)</x:f>
        <x:v>7034.243003060825</x:v>
      </x:c>
      <x:c r="AI125" s="48" t="n">
        <x:f>(((SQRT((Inputs!$C$52+((Inputs!$H$9+Inputs!$L$9*(((Inputs!$I$9+(((A125)+1)/2)*(Inputs!$J$9-Inputs!$I$9)))/Inputs!$K$9)^2)))^2+Inputs!$C$52^2-2*(Inputs!$C$52+((Inputs!$H$9+Inputs!$L$9*(((Inputs!$I$9+(((A125)+1)/2)*(Inputs!$J$9-Inputs!$I$9)))/Inputs!$K$9)^2)))*Inputs!$C$52*COS(SQRT(((Inputs!$I$9+(((A125)+1)/2)*(Inputs!$J$9-Inputs!$I$9)))^2+Inputs!$C$6^2)/Inputs!$C$52)))-((Inputs!$H$9+Inputs!$L$9*(((Inputs!$I$9+(((A125)+1)/2)*(Inputs!$J$9-Inputs!$I$9)))/Inputs!$K$9)^2)))*1000/Inputs!$C$12)</x:f>
        <x:v>8760.016243019105</x:v>
      </x:c>
      <x:c r="AJ125" s="49"/>
      <x:c r="AK125" s="48" t="n">
        <x:f>A125</x:f>
        <x:v>0.025</x:v>
      </x:c>
      <x:c r="AL125" s="48" t="n">
        <x: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x:f>
        <x:v>-12.841741512815233</x:v>
      </x:c>
      <x:c r="AM125" s="48" t="n">
        <x: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x:f>
        <x:v>-425.59120024288256</x:v>
      </x:c>
      <x:c r="AN125" s="48" t="n">
        <x: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x:f>
        <x:v>-752.1191010222066</x:v>
      </x:c>
      <x:c r="AO125" s="48" t="n">
        <x: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x:f>
        <x:v>-850.7238667030721</x:v>
      </x:c>
      <x:c r="AP125" s="49"/>
      <x:c r="AQ125" s="48" t="n">
        <x:f>A125</x:f>
        <x:v>0.025</x:v>
      </x:c>
      <x:c r="AR125" s="48" t="n">
        <x:f>0</x:f>
        <x:v>0</x:v>
      </x:c>
      <x:c r="AS125" s="48" t="n">
        <x: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(0.45*SIN(2*PI()*((((Inputs!$I$6+(((A125)+1)/2)*(Inputs!$J$6-Inputs!$I$6)))/Inputs!$C$49)+Inputs!$C$47*0.137))+0.35*COS(2*PI()*(((Inputs!$C$6)/Inputs!$C$50)+Inputs!$C$47*0.173))+0.20*SIN(2*PI()*((((Inputs!$I$6+(((A125)+1)/2)*(Inputs!$J$6-Inputs!$I$6)))+(Inputs!$C$6))/(0.5*(Inputs!$C$49+Inputs!$C$50))+Inputs!$C$47*0.097)))+0.30*(2*((SIN((((Inputs!$I$6+(((A125)+1)/2)*(Inputs!$J$6-Inputs!$I$6)))*12.9898+(Inputs!$C$6)*78.233+Inputs!$C$47*37.719))*43758.5453)-INT((SIN((((Inputs!$I$6+(((A125)+1)/2)*(Inputs!$J$6-Inputs!$I$6)))*12.9898+(Inputs!$C$6)*78.233+Inputs!$C$47*37.719))*43758.5453)))-1))),NA())</x:f>
        <x:v>516.8641153033108</x:v>
      </x:c>
      <x:c r="AT125" s="48" t="n">
        <x: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(0.45*SIN(2*PI()*((((Inputs!$I$7+(((A125)+1)/2)*(Inputs!$J$7-Inputs!$I$7)))/Inputs!$C$49)+Inputs!$C$47*0.137))+0.35*COS(2*PI()*(((Inputs!$C$6)/Inputs!$C$50)+Inputs!$C$47*0.173))+0.20*SIN(2*PI()*((((Inputs!$I$7+(((A125)+1)/2)*(Inputs!$J$7-Inputs!$I$7)))+(Inputs!$C$6))/(0.5*(Inputs!$C$49+Inputs!$C$50))+Inputs!$C$47*0.097)))+0.30*(2*((SIN((((Inputs!$I$7+(((A125)+1)/2)*(Inputs!$J$7-Inputs!$I$7)))*12.9898+(Inputs!$C$6)*78.233+Inputs!$C$47*37.719))*43758.5453)-INT((SIN((((Inputs!$I$7+(((A125)+1)/2)*(Inputs!$J$7-Inputs!$I$7)))*12.9898+(Inputs!$C$6)*78.233+Inputs!$C$47*37.719))*43758.5453)))-1))),NA())</x:f>
        <x:v>454.2022002382883</x:v>
      </x:c>
      <x:c r="AU125" s="48" t="n">
        <x: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(0.45*SIN(2*PI()*((((Inputs!$I$8+(((A125)+1)/2)*(Inputs!$J$8-Inputs!$I$8)))/Inputs!$C$49)+Inputs!$C$47*0.137))+0.35*COS(2*PI()*(((Inputs!$C$6)/Inputs!$C$50)+Inputs!$C$47*0.173))+0.20*SIN(2*PI()*((((Inputs!$I$8+(((A125)+1)/2)*(Inputs!$J$8-Inputs!$I$8)))+(Inputs!$C$6))/(0.5*(Inputs!$C$49+Inputs!$C$50))+Inputs!$C$47*0.097)))+0.30*(2*((SIN((((Inputs!$I$8+(((A125)+1)/2)*(Inputs!$J$8-Inputs!$I$8)))*12.9898+(Inputs!$C$6)*78.233+Inputs!$C$47*37.719))*43758.5453)-INT((SIN((((Inputs!$I$8+(((A125)+1)/2)*(Inputs!$J$8-Inputs!$I$8)))*12.9898+(Inputs!$C$6)*78.233+Inputs!$C$47*37.719))*43758.5453)))-1))),NA())</x:f>
        <x:v>439.0113030424429</x:v>
      </x:c>
      <x:c r="AV125" s="48" t="n">
        <x: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(0.45*SIN(2*PI()*((((Inputs!$I$9+(((A125)+1)/2)*(Inputs!$J$9-Inputs!$I$9)))/Inputs!$C$49)+Inputs!$C$47*0.137))+0.35*COS(2*PI()*(((Inputs!$C$6)/Inputs!$C$50)+Inputs!$C$47*0.173))+0.20*SIN(2*PI()*((((Inputs!$I$9+(((A125)+1)/2)*(Inputs!$J$9-Inputs!$I$9)))+(Inputs!$C$6))/(0.5*(Inputs!$C$49+Inputs!$C$50))+Inputs!$C$47*0.097)))+0.30*(2*((SIN((((Inputs!$I$9+(((A125)+1)/2)*(Inputs!$J$9-Inputs!$I$9)))*12.9898+(Inputs!$C$6)*78.233+Inputs!$C$47*37.719))*43758.5453)-INT((SIN((((Inputs!$I$9+(((A125)+1)/2)*(Inputs!$J$9-Inputs!$I$9)))*12.9898+(Inputs!$C$6)*78.233+Inputs!$C$47*37.719))*43758.5453)))-1))),NA())</x:f>
        <x:v>439.0113030424429</x:v>
      </x:c>
      <x:c r="AW125" s="49"/>
      <x:c r="AX125" s="48" t="n">
        <x:f>A125</x:f>
        <x:v>0.025</x:v>
      </x:c>
      <x:c r="AY125" s="48" t="n">
        <x:f>0</x:f>
        <x:v>0</x:v>
      </x:c>
      <x:c r="AZ125" s="48" t="n">
        <x:f>IF(OR(Inputs!$F$6=TRUE,Inputs!$F$6="TRUE",Inputs!$F$6=1),(Inputs!$H$6+Inputs!$L$6*(((Inputs!$I$6+(((A125)+1)/2)*(Inputs!$J$6-Inputs!$I$6)))/Inputs!$K$6)^2),NA())</x:f>
        <x:v>400.0025</x:v>
      </x:c>
      <x:c r="BA125" s="48" t="n">
        <x:f>IF(OR(Inputs!$F$7=TRUE,Inputs!$F$7="TRUE",Inputs!$F$7=1),(Inputs!$H$7+Inputs!$L$7*(((Inputs!$I$7+(((A125)+1)/2)*(Inputs!$J$7-Inputs!$I$7)))/Inputs!$K$7)^2),NA())</x:f>
        <x:v>35.228125</x:v>
      </x:c>
      <x:c r="BB125" s="48" t="n">
        <x:f>IF(OR(Inputs!$F$8=TRUE,Inputs!$F$8="TRUE",Inputs!$F$8=1),(Inputs!$H$8+Inputs!$L$8*(((Inputs!$I$8+(((A125)+1)/2)*(Inputs!$J$8-Inputs!$I$8)))/Inputs!$K$8)^2),NA())</x:f>
        <x:v>35.60312499999999</x:v>
      </x:c>
      <x:c r="BC125" s="48" t="n">
        <x:f>IF(OR(Inputs!$F$9=TRUE,Inputs!$F$9="TRUE",Inputs!$F$9=1),(Inputs!$H$9+Inputs!$L$9*(((Inputs!$I$9+(((A125)+1)/2)*(Inputs!$J$9-Inputs!$I$9)))/Inputs!$K$9)^2),NA())</x:f>
        <x:v>25.609374999999993</x:v>
      </x:c>
      <x:c r="BD125" s="49"/>
      <x:c r="BE125" s="48" t="n">
        <x:f>A125</x:f>
        <x:v>0.025</x:v>
      </x:c>
      <x:c r="BF125" s="48" t="n">
        <x:f>0</x:f>
        <x:v>0</x:v>
      </x:c>
      <x:c r="BG125" s="48"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BH125" s="48"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BI125" s="48"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BJ125" s="48"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row>
    <x:row r="126">
      <x:c r="A126" s="48" t="n">
        <x:f>ROUND(-1+124*2/240,3)</x:f>
        <x:v>0.033</x:v>
      </x:c>
      <x:c r="B126" s="48" t="n">
        <x:f>IF(OR(Inputs!$F$6=TRUE,Inputs!$F$6="TRUE",Inputs!$F$6=1),(Inputs!$H$6+Inputs!$L$6*(((Inputs!$I$6+(((A126)+1)/2)*(Inputs!$J$6-Inputs!$I$6)))/Inputs!$K$6)^2),NA())</x:f>
        <x:v>400.004356</x:v>
      </x:c>
      <x:c r="C126" s="48" t="n">
        <x:f>IF(OR(Inputs!$F$7=TRUE,Inputs!$F$7="TRUE",Inputs!$F$7=1),(Inputs!$H$7+Inputs!$L$7*(((Inputs!$I$7+(((A126)+1)/2)*(Inputs!$J$7-Inputs!$I$7)))/Inputs!$K$7)^2),NA())</x:f>
        <x:v>35.397484999999996</x:v>
      </x:c>
      <x:c r="D126" s="48" t="n">
        <x:f>IF(OR(Inputs!$F$8=TRUE,Inputs!$F$8="TRUE",Inputs!$F$8=1),(Inputs!$H$8+Inputs!$L$8*(((Inputs!$I$8+(((A126)+1)/2)*(Inputs!$J$8-Inputs!$I$8)))/Inputs!$K$8)^2),NA())</x:f>
        <x:v>36.050885</x:v>
      </x:c>
      <x:c r="E126" s="48" t="n">
        <x:f>IF(OR(Inputs!$F$9=TRUE,Inputs!$F$9="TRUE",Inputs!$F$9=1),(Inputs!$H$9+Inputs!$L$9*(((Inputs!$I$9+(((A126)+1)/2)*(Inputs!$J$9-Inputs!$I$9)))/Inputs!$K$9)^2),NA())</x:f>
        <x:v>26.061774999999997</x:v>
      </x:c>
      <x:c r="F126" s="49"/>
      <x:c r="G126" s="48" t="n">
        <x:f>A126</x:f>
        <x:v>0.033</x:v>
      </x:c>
      <x:c r="H126" s="48"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I126" s="48"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J126" s="48"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K126" s="48"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c r="L126" s="49"/>
      <x:c r="M126" s="48" t="n">
        <x:f>A126</x:f>
        <x:v>0.033</x:v>
      </x:c>
      <x:c r="N126" s="48" t="n">
        <x: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x:f>
        <x:v>-16.950960121779314</x:v>
      </x:c>
      <x:c r="O126" s="48" t="n">
        <x: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x:f>
        <x:v>-550.1739832562969</x:v>
      </x:c>
      <x:c r="P126" s="48" t="n">
        <x: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x:f>
        <x:v>-929.3048629212287</x:v>
      </x:c>
      <x:c r="Q126" s="48" t="n">
        <x: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x:f>
        <x:v>-1030.4626072763508</x:v>
      </x:c>
      <x:c r="R126" s="49"/>
      <x:c r="S126" s="48" t="n">
        <x:f>A126</x:f>
        <x:v>0.033</x:v>
      </x:c>
      <x:c r="T126" s="48" t="n">
        <x:f>(Inputs!$I$6+(((A126)+1)/2)*(Inputs!$J$6-Inputs!$I$6))</x:f>
        <x:v>1.9799999999999969</x:v>
      </x:c>
      <x:c r="U126" s="48" t="n">
        <x:f>(Inputs!$I$7+(((A126)+1)/2)*(Inputs!$J$7-Inputs!$I$7))</x:f>
        <x:v>13.199999999999989</x:v>
      </x:c>
      <x:c r="V126" s="48" t="n">
        <x:f>(Inputs!$I$8+(((A126)+1)/2)*(Inputs!$J$8-Inputs!$I$8))</x:f>
        <x:v>26.399999999999977</x:v>
      </x:c>
      <x:c r="W126" s="48" t="n">
        <x:f>(Inputs!$I$9+(((A126)+1)/2)*(Inputs!$J$9-Inputs!$I$9))</x:f>
        <x:v>26.399999999999977</x:v>
      </x:c>
      <x:c r="X126" s="49"/>
      <x:c r="Y126" s="48" t="n">
        <x:f>A126</x:f>
        <x:v>0.033</x:v>
      </x:c>
      <x:c r="Z126" s="48" t="n">
        <x:f>(Inputs!$H$6+Inputs!$L$6*(((Inputs!$I$6+(((A126)+1)/2)*(Inputs!$J$6-Inputs!$I$6)))/Inputs!$K$6)^2)</x:f>
        <x:v>400.004356</x:v>
      </x:c>
      <x:c r="AA126" s="48" t="n">
        <x:f>(Inputs!$H$7+Inputs!$L$7*(((Inputs!$I$7+(((A126)+1)/2)*(Inputs!$J$7-Inputs!$I$7)))/Inputs!$K$7)^2)</x:f>
        <x:v>35.397484999999996</x:v>
      </x:c>
      <x:c r="AB126" s="48" t="n">
        <x:f>(Inputs!$H$8+Inputs!$L$8*(((Inputs!$I$8+(((A126)+1)/2)*(Inputs!$J$8-Inputs!$I$8)))/Inputs!$K$8)^2)</x:f>
        <x:v>36.050885</x:v>
      </x:c>
      <x:c r="AC126" s="48" t="n">
        <x:f>(Inputs!$H$9+Inputs!$L$9*(((Inputs!$I$9+(((A126)+1)/2)*(Inputs!$J$9-Inputs!$I$9)))/Inputs!$K$9)^2)</x:f>
        <x:v>26.061774999999997</x:v>
      </x:c>
      <x:c r="AD126" s="49"/>
      <x:c r="AE126" s="48" t="n">
        <x:f>A126</x:f>
        <x:v>0.033</x:v>
      </x:c>
      <x:c r="AF126" s="48" t="n">
        <x:f>(((SQRT((Inputs!$C$52+((Inputs!$H$6+Inputs!$L$6*(((Inputs!$I$6+(((A126)+1)/2)*(Inputs!$J$6-Inputs!$I$6)))/Inputs!$K$6)^2)))^2+Inputs!$C$52^2-2*(Inputs!$C$52+((Inputs!$H$6+Inputs!$L$6*(((Inputs!$I$6+(((A126)+1)/2)*(Inputs!$J$6-Inputs!$I$6)))/Inputs!$K$6)^2)))*Inputs!$C$52*COS(SQRT(((Inputs!$I$6+(((A126)+1)/2)*(Inputs!$J$6-Inputs!$I$6)))^2+Inputs!$C$6^2)/Inputs!$C$52)))-((Inputs!$H$6+Inputs!$L$6*(((Inputs!$I$6+(((A126)+1)/2)*(Inputs!$J$6-Inputs!$I$6)))/Inputs!$K$6)^2)))*1000/Inputs!$C$12)</x:f>
        <x:v>554.1450891418312</x:v>
      </x:c>
      <x:c r="AG126" s="48" t="n">
        <x:f>(((SQRT((Inputs!$C$52+((Inputs!$H$7+Inputs!$L$7*(((Inputs!$I$7+(((A126)+1)/2)*(Inputs!$J$7-Inputs!$I$7)))/Inputs!$K$7)^2)))^2+Inputs!$C$52^2-2*(Inputs!$C$52+((Inputs!$H$7+Inputs!$L$7*(((Inputs!$I$7+(((A126)+1)/2)*(Inputs!$J$7-Inputs!$I$7)))/Inputs!$K$7)^2)))*Inputs!$C$52*COS(SQRT(((Inputs!$I$7+(((A126)+1)/2)*(Inputs!$J$7-Inputs!$I$7)))^2+Inputs!$C$6^2)/Inputs!$C$52)))-((Inputs!$H$7+Inputs!$L$7*(((Inputs!$I$7+(((A126)+1)/2)*(Inputs!$J$7-Inputs!$I$7)))/Inputs!$K$7)^2)))*1000/Inputs!$C$12)</x:f>
        <x:v>5676.0370294418835</x:v>
      </x:c>
      <x:c r="AH126" s="48" t="n">
        <x:f>(((SQRT((Inputs!$C$52+((Inputs!$H$8+Inputs!$L$8*(((Inputs!$I$8+(((A126)+1)/2)*(Inputs!$J$8-Inputs!$I$8)))/Inputs!$K$8)^2)))^2+Inputs!$C$52^2-2*(Inputs!$C$52+((Inputs!$H$8+Inputs!$L$8*(((Inputs!$I$8+(((A126)+1)/2)*(Inputs!$J$8-Inputs!$I$8)))/Inputs!$K$8)^2)))*Inputs!$C$52*COS(SQRT(((Inputs!$I$8+(((A126)+1)/2)*(Inputs!$J$8-Inputs!$I$8)))^2+Inputs!$C$6^2)/Inputs!$C$52)))-((Inputs!$H$8+Inputs!$L$8*(((Inputs!$I$8+(((A126)+1)/2)*(Inputs!$J$8-Inputs!$I$8)))/Inputs!$K$8)^2)))*1000/Inputs!$C$12)</x:f>
        <x:v>8678.456544636687</x:v>
      </x:c>
      <x:c r="AI126" s="48" t="n">
        <x:f>(((SQRT((Inputs!$C$52+((Inputs!$H$9+Inputs!$L$9*(((Inputs!$I$9+(((A126)+1)/2)*(Inputs!$J$9-Inputs!$I$9)))/Inputs!$K$9)^2)))^2+Inputs!$C$52^2-2*(Inputs!$C$52+((Inputs!$H$9+Inputs!$L$9*(((Inputs!$I$9+(((A126)+1)/2)*(Inputs!$J$9-Inputs!$I$9)))/Inputs!$K$9)^2)))*Inputs!$C$52*COS(SQRT(((Inputs!$I$9+(((A126)+1)/2)*(Inputs!$J$9-Inputs!$I$9)))^2+Inputs!$C$6^2)/Inputs!$C$52)))-((Inputs!$H$9+Inputs!$L$9*(((Inputs!$I$9+(((A126)+1)/2)*(Inputs!$J$9-Inputs!$I$9)))/Inputs!$K$9)^2)))*1000/Inputs!$C$12)</x:f>
        <x:v>10628.14531141867</x:v>
      </x:c>
      <x:c r="AJ126" s="49"/>
      <x:c r="AK126" s="48" t="n">
        <x:f>A126</x:f>
        <x:v>0.033</x:v>
      </x:c>
      <x:c r="AL126" s="48" t="n">
        <x: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x:f>
        <x:v>-16.950960121779314</x:v>
      </x:c>
      <x:c r="AM126" s="48" t="n">
        <x: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x:f>
        <x:v>-550.1739832562969</x:v>
      </x:c>
      <x:c r="AN126" s="48" t="n">
        <x: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x:f>
        <x:v>-929.3048629212287</x:v>
      </x:c>
      <x:c r="AO126" s="48" t="n">
        <x: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x:f>
        <x:v>-1030.4626072763508</x:v>
      </x:c>
      <x:c r="AP126" s="49"/>
      <x:c r="AQ126" s="48" t="n">
        <x:f>A126</x:f>
        <x:v>0.033</x:v>
      </x:c>
      <x:c r="AR126" s="48" t="n">
        <x:f>0</x:f>
        <x:v>0</x:v>
      </x:c>
      <x:c r="AS126" s="48" t="n">
        <x: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(0.45*SIN(2*PI()*((((Inputs!$I$6+(((A126)+1)/2)*(Inputs!$J$6-Inputs!$I$6)))/Inputs!$C$49)+Inputs!$C$47*0.137))+0.35*COS(2*PI()*(((Inputs!$C$6)/Inputs!$C$50)+Inputs!$C$47*0.173))+0.20*SIN(2*PI()*((((Inputs!$I$6+(((A126)+1)/2)*(Inputs!$J$6-Inputs!$I$6)))+(Inputs!$C$6))/(0.5*(Inputs!$C$49+Inputs!$C$50))+Inputs!$C$47*0.097)))+0.30*(2*((SIN((((Inputs!$I$6+(((A126)+1)/2)*(Inputs!$J$6-Inputs!$I$6)))*12.9898+(Inputs!$C$6)*78.233+Inputs!$C$47*37.719))*43758.5453)-INT((SIN((((Inputs!$I$6+(((A126)+1)/2)*(Inputs!$J$6-Inputs!$I$6)))*12.9898+(Inputs!$C$6)*78.233+Inputs!$C$47*37.719))*43758.5453)))-1))),NA())</x:f>
        <x:v>536.4523628822142</x:v>
      </x:c>
      <x:c r="AT126" s="48" t="n">
        <x: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(0.45*SIN(2*PI()*((((Inputs!$I$7+(((A126)+1)/2)*(Inputs!$J$7-Inputs!$I$7)))/Inputs!$C$49)+Inputs!$C$47*0.137))+0.35*COS(2*PI()*(((Inputs!$C$6)/Inputs!$C$50)+Inputs!$C$47*0.173))+0.20*SIN(2*PI()*((((Inputs!$I$7+(((A126)+1)/2)*(Inputs!$J$7-Inputs!$I$7)))+(Inputs!$C$6))/(0.5*(Inputs!$C$49+Inputs!$C$50))+Inputs!$C$47*0.097)))+0.30*(2*((SIN((((Inputs!$I$7+(((A126)+1)/2)*(Inputs!$J$7-Inputs!$I$7)))*12.9898+(Inputs!$C$6)*78.233+Inputs!$C$47*37.719))*43758.5453)-INT((SIN((((Inputs!$I$7+(((A126)+1)/2)*(Inputs!$J$7-Inputs!$I$7)))*12.9898+(Inputs!$C$6)*78.233+Inputs!$C$47*37.719))*43758.5453)))-1))),NA())</x:f>
        <x:v>421.8777926838005</x:v>
      </x:c>
      <x:c r="AU126" s="48" t="n">
        <x: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(0.45*SIN(2*PI()*((((Inputs!$I$8+(((A126)+1)/2)*(Inputs!$J$8-Inputs!$I$8)))/Inputs!$C$49)+Inputs!$C$47*0.137))+0.35*COS(2*PI()*(((Inputs!$C$6)/Inputs!$C$50)+Inputs!$C$47*0.173))+0.20*SIN(2*PI()*((((Inputs!$I$8+(((A126)+1)/2)*(Inputs!$J$8-Inputs!$I$8)))+(Inputs!$C$6))/(0.5*(Inputs!$C$49+Inputs!$C$50))+Inputs!$C$47*0.097)))+0.30*(2*((SIN((((Inputs!$I$8+(((A126)+1)/2)*(Inputs!$J$8-Inputs!$I$8)))*12.9898+(Inputs!$C$6)*78.233+Inputs!$C$47*37.719))*43758.5453)-INT((SIN((((Inputs!$I$8+(((A126)+1)/2)*(Inputs!$J$8-Inputs!$I$8)))*12.9898+(Inputs!$C$6)*78.233+Inputs!$C$47*37.719))*43758.5453)))-1))),NA())</x:f>
        <x:v>365.9972555407221</x:v>
      </x:c>
      <x:c r="AV126" s="48" t="n">
        <x: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(0.45*SIN(2*PI()*((((Inputs!$I$9+(((A126)+1)/2)*(Inputs!$J$9-Inputs!$I$9)))/Inputs!$C$49)+Inputs!$C$47*0.137))+0.35*COS(2*PI()*(((Inputs!$C$6)/Inputs!$C$50)+Inputs!$C$47*0.173))+0.20*SIN(2*PI()*((((Inputs!$I$9+(((A126)+1)/2)*(Inputs!$J$9-Inputs!$I$9)))+(Inputs!$C$6))/(0.5*(Inputs!$C$49+Inputs!$C$50))+Inputs!$C$47*0.097)))+0.30*(2*((SIN((((Inputs!$I$9+(((A126)+1)/2)*(Inputs!$J$9-Inputs!$I$9)))*12.9898+(Inputs!$C$6)*78.233+Inputs!$C$47*37.719))*43758.5453)-INT((SIN((((Inputs!$I$9+(((A126)+1)/2)*(Inputs!$J$9-Inputs!$I$9)))*12.9898+(Inputs!$C$6)*78.233+Inputs!$C$47*37.719))*43758.5453)))-1))),NA())</x:f>
        <x:v>365.9972555407221</x:v>
      </x:c>
      <x:c r="AW126" s="49"/>
      <x:c r="AX126" s="48" t="n">
        <x:f>A126</x:f>
        <x:v>0.033</x:v>
      </x:c>
      <x:c r="AY126" s="48" t="n">
        <x:f>0</x:f>
        <x:v>0</x:v>
      </x:c>
      <x:c r="AZ126" s="48" t="n">
        <x:f>IF(OR(Inputs!$F$6=TRUE,Inputs!$F$6="TRUE",Inputs!$F$6=1),(Inputs!$H$6+Inputs!$L$6*(((Inputs!$I$6+(((A126)+1)/2)*(Inputs!$J$6-Inputs!$I$6)))/Inputs!$K$6)^2),NA())</x:f>
        <x:v>400.004356</x:v>
      </x:c>
      <x:c r="BA126" s="48" t="n">
        <x:f>IF(OR(Inputs!$F$7=TRUE,Inputs!$F$7="TRUE",Inputs!$F$7=1),(Inputs!$H$7+Inputs!$L$7*(((Inputs!$I$7+(((A126)+1)/2)*(Inputs!$J$7-Inputs!$I$7)))/Inputs!$K$7)^2),NA())</x:f>
        <x:v>35.397484999999996</x:v>
      </x:c>
      <x:c r="BB126" s="48" t="n">
        <x:f>IF(OR(Inputs!$F$8=TRUE,Inputs!$F$8="TRUE",Inputs!$F$8=1),(Inputs!$H$8+Inputs!$L$8*(((Inputs!$I$8+(((A126)+1)/2)*(Inputs!$J$8-Inputs!$I$8)))/Inputs!$K$8)^2),NA())</x:f>
        <x:v>36.050885</x:v>
      </x:c>
      <x:c r="BC126" s="48" t="n">
        <x:f>IF(OR(Inputs!$F$9=TRUE,Inputs!$F$9="TRUE",Inputs!$F$9=1),(Inputs!$H$9+Inputs!$L$9*(((Inputs!$I$9+(((A126)+1)/2)*(Inputs!$J$9-Inputs!$I$9)))/Inputs!$K$9)^2),NA())</x:f>
        <x:v>26.061774999999997</x:v>
      </x:c>
      <x:c r="BD126" s="49"/>
      <x:c r="BE126" s="48" t="n">
        <x:f>A126</x:f>
        <x:v>0.033</x:v>
      </x:c>
      <x:c r="BF126" s="48" t="n">
        <x:f>0</x:f>
        <x:v>0</x:v>
      </x:c>
      <x:c r="BG126" s="48"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BH126" s="48"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BI126" s="48"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BJ126" s="48"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row>
    <x:row r="127">
      <x:c r="A127" s="48" t="n">
        <x:f>ROUND(-1+125*2/240,3)</x:f>
        <x:v>0.042</x:v>
      </x:c>
      <x:c r="B127" s="48" t="n">
        <x:f>IF(OR(Inputs!$F$6=TRUE,Inputs!$F$6="TRUE",Inputs!$F$6=1),(Inputs!$H$6+Inputs!$L$6*(((Inputs!$I$6+(((A127)+1)/2)*(Inputs!$J$6-Inputs!$I$6)))/Inputs!$K$6)^2),NA())</x:f>
        <x:v>400.007056</x:v>
      </x:c>
      <x:c r="C127" s="48" t="n">
        <x:f>IF(OR(Inputs!$F$7=TRUE,Inputs!$F$7="TRUE",Inputs!$F$7=1),(Inputs!$H$7+Inputs!$L$7*(((Inputs!$I$7+(((A127)+1)/2)*(Inputs!$J$7-Inputs!$I$7)))/Inputs!$K$7)^2),NA())</x:f>
        <x:v>35.643860000000004</x:v>
      </x:c>
      <x:c r="D127" s="48" t="n">
        <x:f>IF(OR(Inputs!$F$8=TRUE,Inputs!$F$8="TRUE",Inputs!$F$8=1),(Inputs!$H$8+Inputs!$L$8*(((Inputs!$I$8+(((A127)+1)/2)*(Inputs!$J$8-Inputs!$I$8)))/Inputs!$K$8)^2),NA())</x:f>
        <x:v>36.70226</x:v>
      </x:c>
      <x:c r="E127" s="48" t="n">
        <x:f>IF(OR(Inputs!$F$9=TRUE,Inputs!$F$9="TRUE",Inputs!$F$9=1),(Inputs!$H$9+Inputs!$L$9*(((Inputs!$I$9+(((A127)+1)/2)*(Inputs!$J$9-Inputs!$I$9)))/Inputs!$K$9)^2),NA())</x:f>
        <x:v>26.719900000000003</x:v>
      </x:c>
      <x:c r="F127" s="49"/>
      <x:c r="G127" s="48" t="n">
        <x:f>A127</x:f>
        <x:v>0.042</x:v>
      </x:c>
      <x:c r="H127" s="48"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I127" s="48"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J127" s="48"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K127" s="48"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c r="L127" s="49"/>
      <x:c r="M127" s="48" t="n">
        <x:f>A127</x:f>
        <x:v>0.042</x:v>
      </x:c>
      <x:c r="N127" s="48" t="n">
        <x: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x:f>
        <x:v>-21.573692500935373</x:v>
      </x:c>
      <x:c r="O127" s="48" t="n">
        <x: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x:f>
        <x:v>-680.3374629608273</x:v>
      </x:c>
      <x:c r="P127" s="48" t="n">
        <x: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x:f>
        <x:v>-1089.2681013276795</x:v>
      </x:c>
      <x:c r="Q127" s="48" t="n">
        <x: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x:f>
        <x:v>-1183.3635606810362</x:v>
      </x:c>
      <x:c r="R127" s="49"/>
      <x:c r="S127" s="48" t="n">
        <x:f>A127</x:f>
        <x:v>0.042</x:v>
      </x:c>
      <x:c r="T127" s="48" t="n">
        <x:f>(Inputs!$I$6+(((A127)+1)/2)*(Inputs!$J$6-Inputs!$I$6))</x:f>
        <x:v>2.520000000000003</x:v>
      </x:c>
      <x:c r="U127" s="48" t="n">
        <x:f>(Inputs!$I$7+(((A127)+1)/2)*(Inputs!$J$7-Inputs!$I$7))</x:f>
        <x:v>16.80000000000001</x:v>
      </x:c>
      <x:c r="V127" s="48" t="n">
        <x:f>(Inputs!$I$8+(((A127)+1)/2)*(Inputs!$J$8-Inputs!$I$8))</x:f>
        <x:v>33.60000000000002</x:v>
      </x:c>
      <x:c r="W127" s="48" t="n">
        <x:f>(Inputs!$I$9+(((A127)+1)/2)*(Inputs!$J$9-Inputs!$I$9))</x:f>
        <x:v>33.60000000000002</x:v>
      </x:c>
      <x:c r="X127" s="49"/>
      <x:c r="Y127" s="48" t="n">
        <x:f>A127</x:f>
        <x:v>0.042</x:v>
      </x:c>
      <x:c r="Z127" s="48" t="n">
        <x:f>(Inputs!$H$6+Inputs!$L$6*(((Inputs!$I$6+(((A127)+1)/2)*(Inputs!$J$6-Inputs!$I$6)))/Inputs!$K$6)^2)</x:f>
        <x:v>400.007056</x:v>
      </x:c>
      <x:c r="AA127" s="48" t="n">
        <x:f>(Inputs!$H$7+Inputs!$L$7*(((Inputs!$I$7+(((A127)+1)/2)*(Inputs!$J$7-Inputs!$I$7)))/Inputs!$K$7)^2)</x:f>
        <x:v>35.643860000000004</x:v>
      </x:c>
      <x:c r="AB127" s="48" t="n">
        <x:f>(Inputs!$H$8+Inputs!$L$8*(((Inputs!$I$8+(((A127)+1)/2)*(Inputs!$J$8-Inputs!$I$8)))/Inputs!$K$8)^2)</x:f>
        <x:v>36.70226</x:v>
      </x:c>
      <x:c r="AC127" s="48" t="n">
        <x:f>(Inputs!$H$9+Inputs!$L$9*(((Inputs!$I$9+(((A127)+1)/2)*(Inputs!$J$9-Inputs!$I$9)))/Inputs!$K$9)^2)</x:f>
        <x:v>26.719900000000003</x:v>
      </x:c>
      <x:c r="AD127" s="49"/>
      <x:c r="AE127" s="48" t="n">
        <x:f>A127</x:f>
        <x:v>0.042</x:v>
      </x:c>
      <x:c r="AF127" s="48" t="n">
        <x:f>(((SQRT((Inputs!$C$52+((Inputs!$H$6+Inputs!$L$6*(((Inputs!$I$6+(((A127)+1)/2)*(Inputs!$J$6-Inputs!$I$6)))/Inputs!$K$6)^2)))^2+Inputs!$C$52^2-2*(Inputs!$C$52+((Inputs!$H$6+Inputs!$L$6*(((Inputs!$I$6+(((A127)+1)/2)*(Inputs!$J$6-Inputs!$I$6)))/Inputs!$K$6)^2)))*Inputs!$C$52*COS(SQRT(((Inputs!$I$6+(((A127)+1)/2)*(Inputs!$J$6-Inputs!$I$6)))^2+Inputs!$C$6^2)/Inputs!$C$52)))-((Inputs!$H$6+Inputs!$L$6*(((Inputs!$I$6+(((A127)+1)/2)*(Inputs!$J$6-Inputs!$I$6)))/Inputs!$K$6)^2)))*1000/Inputs!$C$12)</x:f>
        <x:v>556.2805047441025</x:v>
      </x:c>
      <x:c r="AG127" s="48" t="n">
        <x:f>(((SQRT((Inputs!$C$52+((Inputs!$H$7+Inputs!$L$7*(((Inputs!$I$7+(((A127)+1)/2)*(Inputs!$J$7-Inputs!$I$7)))/Inputs!$K$7)^2)))^2+Inputs!$C$52^2-2*(Inputs!$C$52+((Inputs!$H$7+Inputs!$L$7*(((Inputs!$I$7+(((A127)+1)/2)*(Inputs!$J$7-Inputs!$I$7)))/Inputs!$K$7)^2)))*Inputs!$C$52*COS(SQRT(((Inputs!$I$7+(((A127)+1)/2)*(Inputs!$J$7-Inputs!$I$7)))^2+Inputs!$C$6^2)/Inputs!$C$52)))-((Inputs!$H$7+Inputs!$L$7*(((Inputs!$I$7+(((A127)+1)/2)*(Inputs!$J$7-Inputs!$I$7)))/Inputs!$K$7)^2)))*1000/Inputs!$C$12)</x:f>
        <x:v>6316.5130883639695</x:v>
      </x:c>
      <x:c r="AH127" s="48" t="n">
        <x:f>(((SQRT((Inputs!$C$52+((Inputs!$H$8+Inputs!$L$8*(((Inputs!$I$8+(((A127)+1)/2)*(Inputs!$J$8-Inputs!$I$8)))/Inputs!$K$8)^2)))^2+Inputs!$C$52^2-2*(Inputs!$C$52+((Inputs!$H$8+Inputs!$L$8*(((Inputs!$I$8+(((A127)+1)/2)*(Inputs!$J$8-Inputs!$I$8)))/Inputs!$K$8)^2)))*Inputs!$C$52*COS(SQRT(((Inputs!$I$8+(((A127)+1)/2)*(Inputs!$J$8-Inputs!$I$8)))^2+Inputs!$C$6^2)/Inputs!$C$52)))-((Inputs!$H$8+Inputs!$L$8*(((Inputs!$I$8+(((A127)+1)/2)*(Inputs!$J$8-Inputs!$I$8)))/Inputs!$K$8)^2)))*1000/Inputs!$C$12)</x:f>
        <x:v>10872.273624595278</x:v>
      </x:c>
      <x:c r="AI127" s="48" t="n">
        <x:f>(((SQRT((Inputs!$C$52+((Inputs!$H$9+Inputs!$L$9*(((Inputs!$I$9+(((A127)+1)/2)*(Inputs!$J$9-Inputs!$I$9)))/Inputs!$K$9)^2)))^2+Inputs!$C$52^2-2*(Inputs!$C$52+((Inputs!$H$9+Inputs!$L$9*(((Inputs!$I$9+(((A127)+1)/2)*(Inputs!$J$9-Inputs!$I$9)))/Inputs!$K$9)^2)))*Inputs!$C$52*COS(SQRT(((Inputs!$I$9+(((A127)+1)/2)*(Inputs!$J$9-Inputs!$I$9)))^2+Inputs!$C$6^2)/Inputs!$C$52)))-((Inputs!$H$9+Inputs!$L$9*(((Inputs!$I$9+(((A127)+1)/2)*(Inputs!$J$9-Inputs!$I$9)))/Inputs!$K$9)^2)))*1000/Inputs!$C$12)</x:f>
        <x:v>13066.529366278282</x:v>
      </x:c>
      <x:c r="AJ127" s="49"/>
      <x:c r="AK127" s="48" t="n">
        <x:f>A127</x:f>
        <x:v>0.042</x:v>
      </x:c>
      <x:c r="AL127" s="48" t="n">
        <x: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x:f>
        <x:v>-21.573692500935373</x:v>
      </x:c>
      <x:c r="AM127" s="48" t="n">
        <x: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x:f>
        <x:v>-680.3374629608273</x:v>
      </x:c>
      <x:c r="AN127" s="48" t="n">
        <x: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x:f>
        <x:v>-1089.2681013276795</x:v>
      </x:c>
      <x:c r="AO127" s="48" t="n">
        <x: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x:f>
        <x:v>-1183.3635606810362</x:v>
      </x:c>
      <x:c r="AP127" s="49"/>
      <x:c r="AQ127" s="48" t="n">
        <x:f>A127</x:f>
        <x:v>0.042</x:v>
      </x:c>
      <x:c r="AR127" s="48" t="n">
        <x:f>0</x:f>
        <x:v>0</x:v>
      </x:c>
      <x:c r="AS127" s="48" t="n">
        <x: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(0.45*SIN(2*PI()*((((Inputs!$I$6+(((A127)+1)/2)*(Inputs!$J$6-Inputs!$I$6)))/Inputs!$C$49)+Inputs!$C$47*0.137))+0.35*COS(2*PI()*(((Inputs!$C$6)/Inputs!$C$50)+Inputs!$C$47*0.173))+0.20*SIN(2*PI()*((((Inputs!$I$6+(((A127)+1)/2)*(Inputs!$J$6-Inputs!$I$6)))+(Inputs!$C$6))/(0.5*(Inputs!$C$49+Inputs!$C$50))+Inputs!$C$47*0.097)))+0.30*(2*((SIN((((Inputs!$I$6+(((A127)+1)/2)*(Inputs!$J$6-Inputs!$I$6)))*12.9898+(Inputs!$C$6)*78.233+Inputs!$C$47*37.719))*43758.5453)-INT((SIN((((Inputs!$I$6+(((A127)+1)/2)*(Inputs!$J$6-Inputs!$I$6)))*12.9898+(Inputs!$C$6)*78.233+Inputs!$C$47*37.719))*43758.5453)))-1))),NA())</x:f>
        <x:v>542.862557774308</x:v>
      </x:c>
      <x:c r="AT127" s="48" t="n">
        <x: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(0.45*SIN(2*PI()*((((Inputs!$I$7+(((A127)+1)/2)*(Inputs!$J$7-Inputs!$I$7)))/Inputs!$C$49)+Inputs!$C$47*0.137))+0.35*COS(2*PI()*(((Inputs!$C$6)/Inputs!$C$50)+Inputs!$C$47*0.173))+0.20*SIN(2*PI()*((((Inputs!$I$7+(((A127)+1)/2)*(Inputs!$J$7-Inputs!$I$7)))+(Inputs!$C$6))/(0.5*(Inputs!$C$49+Inputs!$C$50))+Inputs!$C$47*0.097)))+0.30*(2*((SIN((((Inputs!$I$7+(((A127)+1)/2)*(Inputs!$J$7-Inputs!$I$7)))*12.9898+(Inputs!$C$6)*78.233+Inputs!$C$47*37.719))*43758.5453)-INT((SIN((((Inputs!$I$7+(((A127)+1)/2)*(Inputs!$J$7-Inputs!$I$7)))*12.9898+(Inputs!$C$6)*78.233+Inputs!$C$47*37.719))*43758.5453)))-1))),NA())</x:f>
        <x:v>410.09984776073264</x:v>
      </x:c>
      <x:c r="AU127" s="48" t="n">
        <x: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(0.45*SIN(2*PI()*((((Inputs!$I$8+(((A127)+1)/2)*(Inputs!$J$8-Inputs!$I$8)))/Inputs!$C$49)+Inputs!$C$47*0.137))+0.35*COS(2*PI()*(((Inputs!$C$6)/Inputs!$C$50)+Inputs!$C$47*0.173))+0.20*SIN(2*PI()*((((Inputs!$I$8+(((A127)+1)/2)*(Inputs!$J$8-Inputs!$I$8)))+(Inputs!$C$6))/(0.5*(Inputs!$C$49+Inputs!$C$50))+Inputs!$C$47*0.097)))+0.30*(2*((SIN((((Inputs!$I$8+(((A127)+1)/2)*(Inputs!$J$8-Inputs!$I$8)))*12.9898+(Inputs!$C$6)*78.233+Inputs!$C$47*37.719))*43758.5453)-INT((SIN((((Inputs!$I$8+(((A127)+1)/2)*(Inputs!$J$8-Inputs!$I$8)))*12.9898+(Inputs!$C$6)*78.233+Inputs!$C$47*37.719))*43758.5453)))-1))),NA())</x:f>
        <x:v>223.29130278797018</x:v>
      </x:c>
      <x:c r="AV127" s="48" t="n">
        <x: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(0.45*SIN(2*PI()*((((Inputs!$I$9+(((A127)+1)/2)*(Inputs!$J$9-Inputs!$I$9)))/Inputs!$C$49)+Inputs!$C$47*0.137))+0.35*COS(2*PI()*(((Inputs!$C$6)/Inputs!$C$50)+Inputs!$C$47*0.173))+0.20*SIN(2*PI()*((((Inputs!$I$9+(((A127)+1)/2)*(Inputs!$J$9-Inputs!$I$9)))+(Inputs!$C$6))/(0.5*(Inputs!$C$49+Inputs!$C$50))+Inputs!$C$47*0.097)))+0.30*(2*((SIN((((Inputs!$I$9+(((A127)+1)/2)*(Inputs!$J$9-Inputs!$I$9)))*12.9898+(Inputs!$C$6)*78.233+Inputs!$C$47*37.719))*43758.5453)-INT((SIN((((Inputs!$I$9+(((A127)+1)/2)*(Inputs!$J$9-Inputs!$I$9)))*12.9898+(Inputs!$C$6)*78.233+Inputs!$C$47*37.719))*43758.5453)))-1))),NA())</x:f>
        <x:v>223.29130278797018</x:v>
      </x:c>
      <x:c r="AW127" s="49"/>
      <x:c r="AX127" s="48" t="n">
        <x:f>A127</x:f>
        <x:v>0.042</x:v>
      </x:c>
      <x:c r="AY127" s="48" t="n">
        <x:f>0</x:f>
        <x:v>0</x:v>
      </x:c>
      <x:c r="AZ127" s="48" t="n">
        <x:f>IF(OR(Inputs!$F$6=TRUE,Inputs!$F$6="TRUE",Inputs!$F$6=1),(Inputs!$H$6+Inputs!$L$6*(((Inputs!$I$6+(((A127)+1)/2)*(Inputs!$J$6-Inputs!$I$6)))/Inputs!$K$6)^2),NA())</x:f>
        <x:v>400.007056</x:v>
      </x:c>
      <x:c r="BA127" s="48" t="n">
        <x:f>IF(OR(Inputs!$F$7=TRUE,Inputs!$F$7="TRUE",Inputs!$F$7=1),(Inputs!$H$7+Inputs!$L$7*(((Inputs!$I$7+(((A127)+1)/2)*(Inputs!$J$7-Inputs!$I$7)))/Inputs!$K$7)^2),NA())</x:f>
        <x:v>35.643860000000004</x:v>
      </x:c>
      <x:c r="BB127" s="48" t="n">
        <x:f>IF(OR(Inputs!$F$8=TRUE,Inputs!$F$8="TRUE",Inputs!$F$8=1),(Inputs!$H$8+Inputs!$L$8*(((Inputs!$I$8+(((A127)+1)/2)*(Inputs!$J$8-Inputs!$I$8)))/Inputs!$K$8)^2),NA())</x:f>
        <x:v>36.70226</x:v>
      </x:c>
      <x:c r="BC127" s="48" t="n">
        <x:f>IF(OR(Inputs!$F$9=TRUE,Inputs!$F$9="TRUE",Inputs!$F$9=1),(Inputs!$H$9+Inputs!$L$9*(((Inputs!$I$9+(((A127)+1)/2)*(Inputs!$J$9-Inputs!$I$9)))/Inputs!$K$9)^2),NA())</x:f>
        <x:v>26.719900000000003</x:v>
      </x:c>
      <x:c r="BD127" s="49"/>
      <x:c r="BE127" s="48" t="n">
        <x:f>A127</x:f>
        <x:v>0.042</x:v>
      </x:c>
      <x:c r="BF127" s="48" t="n">
        <x:f>0</x:f>
        <x:v>0</x:v>
      </x:c>
      <x:c r="BG127" s="48"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BH127" s="48"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BI127" s="48"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BJ127" s="48"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row>
    <x:row r="128">
      <x:c r="A128" s="48" t="n">
        <x:f>ROUND(-1+126*2/240,3)</x:f>
        <x:v>0.05</x:v>
      </x:c>
      <x:c r="B128" s="48" t="n">
        <x:f>IF(OR(Inputs!$F$6=TRUE,Inputs!$F$6="TRUE",Inputs!$F$6=1),(Inputs!$H$6+Inputs!$L$6*(((Inputs!$I$6+(((A128)+1)/2)*(Inputs!$J$6-Inputs!$I$6)))/Inputs!$K$6)^2),NA())</x:f>
        <x:v>400.01</x:v>
      </x:c>
      <x:c r="C128" s="48" t="n">
        <x:f>IF(OR(Inputs!$F$7=TRUE,Inputs!$F$7="TRUE",Inputs!$F$7=1),(Inputs!$H$7+Inputs!$L$7*(((Inputs!$I$7+(((A128)+1)/2)*(Inputs!$J$7-Inputs!$I$7)))/Inputs!$K$7)^2),NA())</x:f>
        <x:v>35.9125</x:v>
      </x:c>
      <x:c r="D128" s="48" t="n">
        <x:f>IF(OR(Inputs!$F$8=TRUE,Inputs!$F$8="TRUE",Inputs!$F$8=1),(Inputs!$H$8+Inputs!$L$8*(((Inputs!$I$8+(((A128)+1)/2)*(Inputs!$J$8-Inputs!$I$8)))/Inputs!$K$8)^2),NA())</x:f>
        <x:v>37.4125</x:v>
      </x:c>
      <x:c r="E128" s="48" t="n">
        <x:f>IF(OR(Inputs!$F$9=TRUE,Inputs!$F$9="TRUE",Inputs!$F$9=1),(Inputs!$H$9+Inputs!$L$9*(((Inputs!$I$9+(((A128)+1)/2)*(Inputs!$J$9-Inputs!$I$9)))/Inputs!$K$9)^2),NA())</x:f>
        <x:v>27.4375</x:v>
      </x:c>
      <x:c r="F128" s="49"/>
      <x:c r="G128" s="48" t="n">
        <x:f>A128</x:f>
        <x:v>0.05</x:v>
      </x:c>
      <x:c r="H128" s="48"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I128" s="48"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J128" s="48"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K128" s="48"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c r="L128" s="49"/>
      <x:c r="M128" s="48" t="n">
        <x:f>A128</x:f>
        <x:v>0.05</x:v>
      </x:c>
      <x:c r="N128" s="48" t="n">
        <x: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x:f>
        <x:v>-25.682634009586785</x:v>
      </x:c>
      <x:c r="O128" s="48" t="n">
        <x: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x:f>
        <x:v>-786.3666116552838</x:v>
      </x:c>
      <x:c r="P128" s="48" t="n">
        <x: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x:f>
        <x:v>-1201.7790321186421</x:v>
      </x:c>
      <x:c r="Q128" s="48" t="n">
        <x: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x:f>
        <x:v>-1285.4696487708952</x:v>
      </x:c>
      <x:c r="R128" s="49"/>
      <x:c r="S128" s="48" t="n">
        <x:f>A128</x:f>
        <x:v>0.05</x:v>
      </x:c>
      <x:c r="T128" s="48" t="n">
        <x:f>(Inputs!$I$6+(((A128)+1)/2)*(Inputs!$J$6-Inputs!$I$6))</x:f>
        <x:v>3</x:v>
      </x:c>
      <x:c r="U128" s="48" t="n">
        <x:f>(Inputs!$I$7+(((A128)+1)/2)*(Inputs!$J$7-Inputs!$I$7))</x:f>
        <x:v>20</x:v>
      </x:c>
      <x:c r="V128" s="48" t="n">
        <x:f>(Inputs!$I$8+(((A128)+1)/2)*(Inputs!$J$8-Inputs!$I$8))</x:f>
        <x:v>40</x:v>
      </x:c>
      <x:c r="W128" s="48" t="n">
        <x:f>(Inputs!$I$9+(((A128)+1)/2)*(Inputs!$J$9-Inputs!$I$9))</x:f>
        <x:v>40</x:v>
      </x:c>
      <x:c r="X128" s="49"/>
      <x:c r="Y128" s="48" t="n">
        <x:f>A128</x:f>
        <x:v>0.05</x:v>
      </x:c>
      <x:c r="Z128" s="48" t="n">
        <x:f>(Inputs!$H$6+Inputs!$L$6*(((Inputs!$I$6+(((A128)+1)/2)*(Inputs!$J$6-Inputs!$I$6)))/Inputs!$K$6)^2)</x:f>
        <x:v>400.01</x:v>
      </x:c>
      <x:c r="AA128" s="48" t="n">
        <x:f>(Inputs!$H$7+Inputs!$L$7*(((Inputs!$I$7+(((A128)+1)/2)*(Inputs!$J$7-Inputs!$I$7)))/Inputs!$K$7)^2)</x:f>
        <x:v>35.9125</x:v>
      </x:c>
      <x:c r="AB128" s="48" t="n">
        <x:f>(Inputs!$H$8+Inputs!$L$8*(((Inputs!$I$8+(((A128)+1)/2)*(Inputs!$J$8-Inputs!$I$8)))/Inputs!$K$8)^2)</x:f>
        <x:v>37.4125</x:v>
      </x:c>
      <x:c r="AC128" s="48" t="n">
        <x:f>(Inputs!$H$9+Inputs!$L$9*(((Inputs!$I$9+(((A128)+1)/2)*(Inputs!$J$9-Inputs!$I$9)))/Inputs!$K$9)^2)</x:f>
        <x:v>27.4375</x:v>
      </x:c>
      <x:c r="AD128" s="49"/>
      <x:c r="AE128" s="48" t="n">
        <x:f>A128</x:f>
        <x:v>0.05</x:v>
      </x:c>
      <x:c r="AF128" s="48" t="n">
        <x:f>(((SQRT((Inputs!$C$52+((Inputs!$H$6+Inputs!$L$6*(((Inputs!$I$6+(((A128)+1)/2)*(Inputs!$J$6-Inputs!$I$6)))/Inputs!$K$6)^2)))^2+Inputs!$C$52^2-2*(Inputs!$C$52+((Inputs!$H$6+Inputs!$L$6*(((Inputs!$I$6+(((A128)+1)/2)*(Inputs!$J$6-Inputs!$I$6)))/Inputs!$K$6)^2)))*Inputs!$C$52*COS(SQRT(((Inputs!$I$6+(((A128)+1)/2)*(Inputs!$J$6-Inputs!$I$6)))^2+Inputs!$C$6^2)/Inputs!$C$52)))-((Inputs!$H$6+Inputs!$L$6*(((Inputs!$I$6+(((A128)+1)/2)*(Inputs!$J$6-Inputs!$I$6)))/Inputs!$K$6)^2)))*1000/Inputs!$C$12)</x:f>
        <x:v>558.6088491118074</x:v>
      </x:c>
      <x:c r="AG128" s="48" t="n">
        <x:f>(((SQRT((Inputs!$C$52+((Inputs!$H$7+Inputs!$L$7*(((Inputs!$I$7+(((A128)+1)/2)*(Inputs!$J$7-Inputs!$I$7)))/Inputs!$K$7)^2)))^2+Inputs!$C$52^2-2*(Inputs!$C$52+((Inputs!$H$7+Inputs!$L$7*(((Inputs!$I$7+(((A128)+1)/2)*(Inputs!$J$7-Inputs!$I$7)))/Inputs!$K$7)^2)))*Inputs!$C$52*COS(SQRT(((Inputs!$I$7+(((A128)+1)/2)*(Inputs!$J$7-Inputs!$I$7)))^2+Inputs!$C$6^2)/Inputs!$C$52)))-((Inputs!$H$7+Inputs!$L$7*(((Inputs!$I$7+(((A128)+1)/2)*(Inputs!$J$7-Inputs!$I$7)))/Inputs!$K$7)^2)))*1000/Inputs!$C$12)</x:f>
        <x:v>6990.453909776114</x:v>
      </x:c>
      <x:c r="AH128" s="48" t="n">
        <x:f>(((SQRT((Inputs!$C$52+((Inputs!$H$8+Inputs!$L$8*(((Inputs!$I$8+(((A128)+1)/2)*(Inputs!$J$8-Inputs!$I$8)))/Inputs!$K$8)^2)))^2+Inputs!$C$52^2-2*(Inputs!$C$52+((Inputs!$H$8+Inputs!$L$8*(((Inputs!$I$8+(((A128)+1)/2)*(Inputs!$J$8-Inputs!$I$8)))/Inputs!$K$8)^2)))*Inputs!$C$52*COS(SQRT(((Inputs!$I$8+(((A128)+1)/2)*(Inputs!$J$8-Inputs!$I$8)))^2+Inputs!$C$6^2)/Inputs!$C$52)))-((Inputs!$H$8+Inputs!$L$8*(((Inputs!$I$8+(((A128)+1)/2)*(Inputs!$J$8-Inputs!$I$8)))/Inputs!$K$8)^2)))*1000/Inputs!$C$12)</x:f>
        <x:v>13052.14764887377</x:v>
      </x:c>
      <x:c r="AI128" s="48" t="n">
        <x:f>(((SQRT((Inputs!$C$52+((Inputs!$H$9+Inputs!$L$9*(((Inputs!$I$9+(((A128)+1)/2)*(Inputs!$J$9-Inputs!$I$9)))/Inputs!$K$9)^2)))^2+Inputs!$C$52^2-2*(Inputs!$C$52+((Inputs!$H$9+Inputs!$L$9*(((Inputs!$I$9+(((A128)+1)/2)*(Inputs!$J$9-Inputs!$I$9)))/Inputs!$K$9)^2)))*Inputs!$C$52*COS(SQRT(((Inputs!$I$9+(((A128)+1)/2)*(Inputs!$J$9-Inputs!$I$9)))^2+Inputs!$C$6^2)/Inputs!$C$52)))-((Inputs!$H$9+Inputs!$L$9*(((Inputs!$I$9+(((A128)+1)/2)*(Inputs!$J$9-Inputs!$I$9)))/Inputs!$K$9)^2)))*1000/Inputs!$C$12)</x:f>
        <x:v>15442.426037484855</x:v>
      </x:c>
      <x:c r="AJ128" s="49"/>
      <x:c r="AK128" s="48" t="n">
        <x:f>A128</x:f>
        <x:v>0.05</x:v>
      </x:c>
      <x:c r="AL128" s="48" t="n">
        <x: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x:f>
        <x:v>-25.682634009586785</x:v>
      </x:c>
      <x:c r="AM128" s="48" t="n">
        <x: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x:f>
        <x:v>-786.3666116552838</x:v>
      </x:c>
      <x:c r="AN128" s="48" t="n">
        <x: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x:f>
        <x:v>-1201.7790321186421</x:v>
      </x:c>
      <x:c r="AO128" s="48" t="n">
        <x: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x:f>
        <x:v>-1285.4696487708952</x:v>
      </x:c>
      <x:c r="AP128" s="49"/>
      <x:c r="AQ128" s="48" t="n">
        <x:f>A128</x:f>
        <x:v>0.05</x:v>
      </x:c>
      <x:c r="AR128" s="48" t="n">
        <x:f>0</x:f>
        <x:v>0</x:v>
      </x:c>
      <x:c r="AS128" s="48" t="n">
        <x: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(0.45*SIN(2*PI()*((((Inputs!$I$6+(((A128)+1)/2)*(Inputs!$J$6-Inputs!$I$6)))/Inputs!$C$49)+Inputs!$C$47*0.137))+0.35*COS(2*PI()*(((Inputs!$C$6)/Inputs!$C$50)+Inputs!$C$47*0.173))+0.20*SIN(2*PI()*((((Inputs!$I$6+(((A128)+1)/2)*(Inputs!$J$6-Inputs!$I$6)))+(Inputs!$C$6))/(0.5*(Inputs!$C$49+Inputs!$C$50))+Inputs!$C$47*0.097)))+0.30*(2*((SIN((((Inputs!$I$6+(((A128)+1)/2)*(Inputs!$J$6-Inputs!$I$6)))*12.9898+(Inputs!$C$6)*78.233+Inputs!$C$47*37.719))*43758.5453)-INT((SIN((((Inputs!$I$6+(((A128)+1)/2)*(Inputs!$J$6-Inputs!$I$6)))*12.9898+(Inputs!$C$6)*78.233+Inputs!$C$47*37.719))*43758.5453)))-1))),NA())</x:f>
        <x:v>536.8431041026216</x:v>
      </x:c>
      <x:c r="AT128" s="48" t="n">
        <x: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(0.45*SIN(2*PI()*((((Inputs!$I$7+(((A128)+1)/2)*(Inputs!$J$7-Inputs!$I$7)))/Inputs!$C$49)+Inputs!$C$47*0.137))+0.35*COS(2*PI()*(((Inputs!$C$6)/Inputs!$C$50)+Inputs!$C$47*0.173))+0.20*SIN(2*PI()*((((Inputs!$I$7+(((A128)+1)/2)*(Inputs!$J$7-Inputs!$I$7)))+(Inputs!$C$6))/(0.5*(Inputs!$C$49+Inputs!$C$50))+Inputs!$C$47*0.097)))+0.30*(2*((SIN((((Inputs!$I$7+(((A128)+1)/2)*(Inputs!$J$7-Inputs!$I$7)))*12.9898+(Inputs!$C$6)*78.233+Inputs!$C$47*37.719))*43758.5453)-INT((SIN((((Inputs!$I$7+(((A128)+1)/2)*(Inputs!$J$7-Inputs!$I$7)))*12.9898+(Inputs!$C$6)*78.233+Inputs!$C$47*37.719))*43758.5453)))-1))),NA())</x:f>
        <x:v>439.0113020882822</x:v>
      </x:c>
      <x:c r="AU128" s="48" t="n">
        <x: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(0.45*SIN(2*PI()*((((Inputs!$I$8+(((A128)+1)/2)*(Inputs!$J$8-Inputs!$I$8)))/Inputs!$C$49)+Inputs!$C$47*0.137))+0.35*COS(2*PI()*(((Inputs!$C$6)/Inputs!$C$50)+Inputs!$C$47*0.173))+0.20*SIN(2*PI()*((((Inputs!$I$8+(((A128)+1)/2)*(Inputs!$J$8-Inputs!$I$8)))+(Inputs!$C$6))/(0.5*(Inputs!$C$49+Inputs!$C$50))+Inputs!$C$47*0.097)))+0.30*(2*((SIN((((Inputs!$I$8+(((A128)+1)/2)*(Inputs!$J$8-Inputs!$I$8)))*12.9898+(Inputs!$C$6)*78.233+Inputs!$C$47*37.719))*43758.5453)-INT((SIN((((Inputs!$I$8+(((A128)+1)/2)*(Inputs!$J$8-Inputs!$I$8)))*12.9898+(Inputs!$C$6)*78.233+Inputs!$C$47*37.719))*43758.5453)))-1))),NA())</x:f>
        <x:v>304.82117281231683</x:v>
      </x:c>
      <x:c r="AV128" s="48" t="n">
        <x: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(0.45*SIN(2*PI()*((((Inputs!$I$9+(((A128)+1)/2)*(Inputs!$J$9-Inputs!$I$9)))/Inputs!$C$49)+Inputs!$C$47*0.137))+0.35*COS(2*PI()*(((Inputs!$C$6)/Inputs!$C$50)+Inputs!$C$47*0.173))+0.20*SIN(2*PI()*((((Inputs!$I$9+(((A128)+1)/2)*(Inputs!$J$9-Inputs!$I$9)))+(Inputs!$C$6))/(0.5*(Inputs!$C$49+Inputs!$C$50))+Inputs!$C$47*0.097)))+0.30*(2*((SIN((((Inputs!$I$9+(((A128)+1)/2)*(Inputs!$J$9-Inputs!$I$9)))*12.9898+(Inputs!$C$6)*78.233+Inputs!$C$47*37.719))*43758.5453)-INT((SIN((((Inputs!$I$9+(((A128)+1)/2)*(Inputs!$J$9-Inputs!$I$9)))*12.9898+(Inputs!$C$6)*78.233+Inputs!$C$47*37.719))*43758.5453)))-1))),NA())</x:f>
        <x:v>304.82117281231683</x:v>
      </x:c>
      <x:c r="AW128" s="49"/>
      <x:c r="AX128" s="48" t="n">
        <x:f>A128</x:f>
        <x:v>0.05</x:v>
      </x:c>
      <x:c r="AY128" s="48" t="n">
        <x:f>0</x:f>
        <x:v>0</x:v>
      </x:c>
      <x:c r="AZ128" s="48" t="n">
        <x:f>IF(OR(Inputs!$F$6=TRUE,Inputs!$F$6="TRUE",Inputs!$F$6=1),(Inputs!$H$6+Inputs!$L$6*(((Inputs!$I$6+(((A128)+1)/2)*(Inputs!$J$6-Inputs!$I$6)))/Inputs!$K$6)^2),NA())</x:f>
        <x:v>400.01</x:v>
      </x:c>
      <x:c r="BA128" s="48" t="n">
        <x:f>IF(OR(Inputs!$F$7=TRUE,Inputs!$F$7="TRUE",Inputs!$F$7=1),(Inputs!$H$7+Inputs!$L$7*(((Inputs!$I$7+(((A128)+1)/2)*(Inputs!$J$7-Inputs!$I$7)))/Inputs!$K$7)^2),NA())</x:f>
        <x:v>35.9125</x:v>
      </x:c>
      <x:c r="BB128" s="48" t="n">
        <x:f>IF(OR(Inputs!$F$8=TRUE,Inputs!$F$8="TRUE",Inputs!$F$8=1),(Inputs!$H$8+Inputs!$L$8*(((Inputs!$I$8+(((A128)+1)/2)*(Inputs!$J$8-Inputs!$I$8)))/Inputs!$K$8)^2),NA())</x:f>
        <x:v>37.4125</x:v>
      </x:c>
      <x:c r="BC128" s="48" t="n">
        <x:f>IF(OR(Inputs!$F$9=TRUE,Inputs!$F$9="TRUE",Inputs!$F$9=1),(Inputs!$H$9+Inputs!$L$9*(((Inputs!$I$9+(((A128)+1)/2)*(Inputs!$J$9-Inputs!$I$9)))/Inputs!$K$9)^2),NA())</x:f>
        <x:v>27.4375</x:v>
      </x:c>
      <x:c r="BD128" s="49"/>
      <x:c r="BE128" s="48" t="n">
        <x:f>A128</x:f>
        <x:v>0.05</x:v>
      </x:c>
      <x:c r="BF128" s="48" t="n">
        <x:f>0</x:f>
        <x:v>0</x:v>
      </x:c>
      <x:c r="BG128" s="48"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BH128" s="48"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BI128" s="48"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BJ128" s="48"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row>
    <x:row r="129">
      <x:c r="A129" s="48" t="n">
        <x:f>ROUND(-1+127*2/240,3)</x:f>
        <x:v>0.058</x:v>
      </x:c>
      <x:c r="B129" s="48" t="n">
        <x:f>IF(OR(Inputs!$F$6=TRUE,Inputs!$F$6="TRUE",Inputs!$F$6=1),(Inputs!$H$6+Inputs!$L$6*(((Inputs!$I$6+(((A129)+1)/2)*(Inputs!$J$6-Inputs!$I$6)))/Inputs!$K$6)^2),NA())</x:f>
        <x:v>400.013456</x:v>
      </x:c>
      <x:c r="C129" s="48" t="n">
        <x:f>IF(OR(Inputs!$F$7=TRUE,Inputs!$F$7="TRUE",Inputs!$F$7=1),(Inputs!$H$7+Inputs!$L$7*(((Inputs!$I$7+(((A129)+1)/2)*(Inputs!$J$7-Inputs!$I$7)))/Inputs!$K$7)^2),NA())</x:f>
        <x:v>36.22786000000001</x:v>
      </x:c>
      <x:c r="D129" s="48" t="n">
        <x:f>IF(OR(Inputs!$F$8=TRUE,Inputs!$F$8="TRUE",Inputs!$F$8=1),(Inputs!$H$8+Inputs!$L$8*(((Inputs!$I$8+(((A129)+1)/2)*(Inputs!$J$8-Inputs!$I$8)))/Inputs!$K$8)^2),NA())</x:f>
        <x:v>38.246260000000014</x:v>
      </x:c>
      <x:c r="E129" s="48" t="n">
        <x:f>IF(OR(Inputs!$F$9=TRUE,Inputs!$F$9="TRUE",Inputs!$F$9=1),(Inputs!$H$9+Inputs!$L$9*(((Inputs!$I$9+(((A129)+1)/2)*(Inputs!$J$9-Inputs!$I$9)))/Inputs!$K$9)^2),NA())</x:f>
        <x:v>28.279900000000012</x:v>
      </x:c>
      <x:c r="F129" s="49"/>
      <x:c r="G129" s="48" t="n">
        <x:f>A129</x:f>
        <x:v>0.058</x:v>
      </x:c>
      <x:c r="H129" s="48"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I129" s="48"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J129" s="48"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K129" s="48"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c r="L129" s="49"/>
      <x:c r="M129" s="48" t="n">
        <x:f>A129</x:f>
        <x:v>0.058</x:v>
      </x:c>
      <x:c r="N129" s="48" t="n">
        <x: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x:f>
        <x:v>-29.791401673021944</x:v>
      </x:c>
      <x:c r="O129" s="48" t="n">
        <x: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x:f>
        <x:v>-883.0766248843111</x:v>
      </x:c>
      <x:c r="P129" s="48" t="n">
        <x: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x:f>
        <x:v>-1292.0054303118511</x:v>
      </x:c>
      <x:c r="Q129" s="48" t="n">
        <x: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x:f>
        <x:v>-1364.2298136362383</x:v>
      </x:c>
      <x:c r="R129" s="49"/>
      <x:c r="S129" s="48" t="n">
        <x:f>A129</x:f>
        <x:v>0.058</x:v>
      </x:c>
      <x:c r="T129" s="48" t="n">
        <x:f>(Inputs!$I$6+(((A129)+1)/2)*(Inputs!$J$6-Inputs!$I$6))</x:f>
        <x:v>3.480000000000004</x:v>
      </x:c>
      <x:c r="U129" s="48" t="n">
        <x:f>(Inputs!$I$7+(((A129)+1)/2)*(Inputs!$J$7-Inputs!$I$7))</x:f>
        <x:v>23.200000000000045</x:v>
      </x:c>
      <x:c r="V129" s="48" t="n">
        <x:f>(Inputs!$I$8+(((A129)+1)/2)*(Inputs!$J$8-Inputs!$I$8))</x:f>
        <x:v>46.40000000000009</x:v>
      </x:c>
      <x:c r="W129" s="48" t="n">
        <x:f>(Inputs!$I$9+(((A129)+1)/2)*(Inputs!$J$9-Inputs!$I$9))</x:f>
        <x:v>46.40000000000009</x:v>
      </x:c>
      <x:c r="X129" s="49"/>
      <x:c r="Y129" s="48" t="n">
        <x:f>A129</x:f>
        <x:v>0.058</x:v>
      </x:c>
      <x:c r="Z129" s="48" t="n">
        <x:f>(Inputs!$H$6+Inputs!$L$6*(((Inputs!$I$6+(((A129)+1)/2)*(Inputs!$J$6-Inputs!$I$6)))/Inputs!$K$6)^2)</x:f>
        <x:v>400.013456</x:v>
      </x:c>
      <x:c r="AA129" s="48" t="n">
        <x:f>(Inputs!$H$7+Inputs!$L$7*(((Inputs!$I$7+(((A129)+1)/2)*(Inputs!$J$7-Inputs!$I$7)))/Inputs!$K$7)^2)</x:f>
        <x:v>36.22786000000001</x:v>
      </x:c>
      <x:c r="AB129" s="48" t="n">
        <x:f>(Inputs!$H$8+Inputs!$L$8*(((Inputs!$I$8+(((A129)+1)/2)*(Inputs!$J$8-Inputs!$I$8)))/Inputs!$K$8)^2)</x:f>
        <x:v>38.246260000000014</x:v>
      </x:c>
      <x:c r="AC129" s="48" t="n">
        <x:f>(Inputs!$H$9+Inputs!$L$9*(((Inputs!$I$9+(((A129)+1)/2)*(Inputs!$J$9-Inputs!$I$9)))/Inputs!$K$9)^2)</x:f>
        <x:v>28.279900000000012</x:v>
      </x:c>
      <x:c r="AD129" s="49"/>
      <x:c r="AE129" s="48" t="n">
        <x:f>A129</x:f>
        <x:v>0.058</x:v>
      </x:c>
      <x:c r="AF129" s="48" t="n">
        <x:f>(((SQRT((Inputs!$C$52+((Inputs!$H$6+Inputs!$L$6*(((Inputs!$I$6+(((A129)+1)/2)*(Inputs!$J$6-Inputs!$I$6)))/Inputs!$K$6)^2)))^2+Inputs!$C$52^2-2*(Inputs!$C$52+((Inputs!$H$6+Inputs!$L$6*(((Inputs!$I$6+(((A129)+1)/2)*(Inputs!$J$6-Inputs!$I$6)))/Inputs!$K$6)^2)))*Inputs!$C$52*COS(SQRT(((Inputs!$I$6+(((A129)+1)/2)*(Inputs!$J$6-Inputs!$I$6)))^2+Inputs!$C$6^2)/Inputs!$C$52)))-((Inputs!$H$6+Inputs!$L$6*(((Inputs!$I$6+(((A129)+1)/2)*(Inputs!$J$6-Inputs!$I$6)))/Inputs!$K$6)^2)))*1000/Inputs!$C$12)</x:f>
        <x:v>561.3420570025061</x:v>
      </x:c>
      <x:c r="AG129" s="48" t="n">
        <x:f>(((SQRT((Inputs!$C$52+((Inputs!$H$7+Inputs!$L$7*(((Inputs!$I$7+(((A129)+1)/2)*(Inputs!$J$7-Inputs!$I$7)))/Inputs!$K$7)^2)))^2+Inputs!$C$52^2-2*(Inputs!$C$52+((Inputs!$H$7+Inputs!$L$7*(((Inputs!$I$7+(((A129)+1)/2)*(Inputs!$J$7-Inputs!$I$7)))/Inputs!$K$7)^2)))*Inputs!$C$52*COS(SQRT(((Inputs!$I$7+(((A129)+1)/2)*(Inputs!$J$7-Inputs!$I$7)))^2+Inputs!$C$6^2)/Inputs!$C$52)))-((Inputs!$H$7+Inputs!$L$7*(((Inputs!$I$7+(((A129)+1)/2)*(Inputs!$J$7-Inputs!$I$7)))/Inputs!$K$7)^2)))*1000/Inputs!$C$12)</x:f>
        <x:v>7752.044035938546</x:v>
      </x:c>
      <x:c r="AH129" s="48" t="n">
        <x:f>(((SQRT((Inputs!$C$52+((Inputs!$H$8+Inputs!$L$8*(((Inputs!$I$8+(((A129)+1)/2)*(Inputs!$J$8-Inputs!$I$8)))/Inputs!$K$8)^2)))^2+Inputs!$C$52^2-2*(Inputs!$C$52+((Inputs!$H$8+Inputs!$L$8*(((Inputs!$I$8+(((A129)+1)/2)*(Inputs!$J$8-Inputs!$I$8)))/Inputs!$K$8)^2)))*Inputs!$C$52*COS(SQRT(((Inputs!$I$8+(((A129)+1)/2)*(Inputs!$J$8-Inputs!$I$8)))^2+Inputs!$C$6^2)/Inputs!$C$52)))-((Inputs!$H$8+Inputs!$L$8*(((Inputs!$I$8+(((A129)+1)/2)*(Inputs!$J$8-Inputs!$I$8)))/Inputs!$K$8)^2)))*1000/Inputs!$C$12)</x:f>
        <x:v>15389.434466220855</x:v>
      </x:c>
      <x:c r="AI129" s="48" t="n">
        <x:f>(((SQRT((Inputs!$C$52+((Inputs!$H$9+Inputs!$L$9*(((Inputs!$I$9+(((A129)+1)/2)*(Inputs!$J$9-Inputs!$I$9)))/Inputs!$K$9)^2)))^2+Inputs!$C$52^2-2*(Inputs!$C$52+((Inputs!$H$9+Inputs!$L$9*(((Inputs!$I$9+(((A129)+1)/2)*(Inputs!$J$9-Inputs!$I$9)))/Inputs!$K$9)^2)))*Inputs!$C$52*COS(SQRT(((Inputs!$I$9+(((A129)+1)/2)*(Inputs!$J$9-Inputs!$I$9)))^2+Inputs!$C$6^2)/Inputs!$C$52)))-((Inputs!$H$9+Inputs!$L$9*(((Inputs!$I$9+(((A129)+1)/2)*(Inputs!$J$9-Inputs!$I$9)))/Inputs!$K$9)^2)))*1000/Inputs!$C$12)</x:f>
        <x:v>17950.075140585464</x:v>
      </x:c>
      <x:c r="AJ129" s="49"/>
      <x:c r="AK129" s="48" t="n">
        <x:f>A129</x:f>
        <x:v>0.058</x:v>
      </x:c>
      <x:c r="AL129" s="48" t="n">
        <x: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x:f>
        <x:v>-29.791401673021944</x:v>
      </x:c>
      <x:c r="AM129" s="48" t="n">
        <x: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x:f>
        <x:v>-883.0766248843111</x:v>
      </x:c>
      <x:c r="AN129" s="48" t="n">
        <x: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x:f>
        <x:v>-1292.0054303118511</x:v>
      </x:c>
      <x:c r="AO129" s="48" t="n">
        <x: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x:f>
        <x:v>-1364.2298136362383</x:v>
      </x:c>
      <x:c r="AP129" s="49"/>
      <x:c r="AQ129" s="48" t="n">
        <x:f>A129</x:f>
        <x:v>0.058</x:v>
      </x:c>
      <x:c r="AR129" s="48" t="n">
        <x:f>0</x:f>
        <x:v>0</x:v>
      </x:c>
      <x:c r="AS129" s="48" t="n">
        <x: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(0.45*SIN(2*PI()*((((Inputs!$I$6+(((A129)+1)/2)*(Inputs!$J$6-Inputs!$I$6)))/Inputs!$C$49)+Inputs!$C$47*0.137))+0.35*COS(2*PI()*(((Inputs!$C$6)/Inputs!$C$50)+Inputs!$C$47*0.173))+0.20*SIN(2*PI()*((((Inputs!$I$6+(((A129)+1)/2)*(Inputs!$J$6-Inputs!$I$6)))+(Inputs!$C$6))/(0.5*(Inputs!$C$49+Inputs!$C$50))+Inputs!$C$47*0.097)))+0.30*(2*((SIN((((Inputs!$I$6+(((A129)+1)/2)*(Inputs!$J$6-Inputs!$I$6)))*12.9898+(Inputs!$C$6)*78.233+Inputs!$C$47*37.719))*43758.5453)-INT((SIN((((Inputs!$I$6+(((A129)+1)/2)*(Inputs!$J$6-Inputs!$I$6)))*12.9898+(Inputs!$C$6)*78.233+Inputs!$C$47*37.719))*43758.5453)))-1))),NA())</x:f>
        <x:v>562.3220592919292</x:v>
      </x:c>
      <x:c r="AT129" s="48" t="n">
        <x: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(0.45*SIN(2*PI()*((((Inputs!$I$7+(((A129)+1)/2)*(Inputs!$J$7-Inputs!$I$7)))/Inputs!$C$49)+Inputs!$C$47*0.137))+0.35*COS(2*PI()*(((Inputs!$C$6)/Inputs!$C$50)+Inputs!$C$47*0.173))+0.20*SIN(2*PI()*((((Inputs!$I$7+(((A129)+1)/2)*(Inputs!$J$7-Inputs!$I$7)))+(Inputs!$C$6))/(0.5*(Inputs!$C$49+Inputs!$C$50))+Inputs!$C$47*0.097)))+0.30*(2*((SIN((((Inputs!$I$7+(((A129)+1)/2)*(Inputs!$J$7-Inputs!$I$7)))*12.9898+(Inputs!$C$6)*78.233+Inputs!$C$47*37.719))*43758.5453)-INT((SIN((((Inputs!$I$7+(((A129)+1)/2)*(Inputs!$J$7-Inputs!$I$7)))*12.9898+(Inputs!$C$6)*78.233+Inputs!$C$47*37.719))*43758.5453)))-1))),NA())</x:f>
        <x:v>439.57677845336235</x:v>
      </x:c>
      <x:c r="AU129" s="48" t="n">
        <x: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(0.45*SIN(2*PI()*((((Inputs!$I$8+(((A129)+1)/2)*(Inputs!$J$8-Inputs!$I$8)))/Inputs!$C$49)+Inputs!$C$47*0.137))+0.35*COS(2*PI()*(((Inputs!$C$6)/Inputs!$C$50)+Inputs!$C$47*0.173))+0.20*SIN(2*PI()*((((Inputs!$I$8+(((A129)+1)/2)*(Inputs!$J$8-Inputs!$I$8)))+(Inputs!$C$6))/(0.5*(Inputs!$C$49+Inputs!$C$50))+Inputs!$C$47*0.097)))+0.30*(2*((SIN((((Inputs!$I$8+(((A129)+1)/2)*(Inputs!$J$8-Inputs!$I$8)))*12.9898+(Inputs!$C$6)*78.233+Inputs!$C$47*37.719))*43758.5453)-INT((SIN((((Inputs!$I$8+(((A129)+1)/2)*(Inputs!$J$8-Inputs!$I$8)))*12.9898+(Inputs!$C$6)*78.233+Inputs!$C$47*37.719))*43758.5453)))-1))),NA())</x:f>
        <x:v>146.9871915334255</x:v>
      </x:c>
      <x:c r="AV129" s="48" t="n">
        <x: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(0.45*SIN(2*PI()*((((Inputs!$I$9+(((A129)+1)/2)*(Inputs!$J$9-Inputs!$I$9)))/Inputs!$C$49)+Inputs!$C$47*0.137))+0.35*COS(2*PI()*(((Inputs!$C$6)/Inputs!$C$50)+Inputs!$C$47*0.173))+0.20*SIN(2*PI()*((((Inputs!$I$9+(((A129)+1)/2)*(Inputs!$J$9-Inputs!$I$9)))+(Inputs!$C$6))/(0.5*(Inputs!$C$49+Inputs!$C$50))+Inputs!$C$47*0.097)))+0.30*(2*((SIN((((Inputs!$I$9+(((A129)+1)/2)*(Inputs!$J$9-Inputs!$I$9)))*12.9898+(Inputs!$C$6)*78.233+Inputs!$C$47*37.719))*43758.5453)-INT((SIN((((Inputs!$I$9+(((A129)+1)/2)*(Inputs!$J$9-Inputs!$I$9)))*12.9898+(Inputs!$C$6)*78.233+Inputs!$C$47*37.719))*43758.5453)))-1))),NA())</x:f>
        <x:v>146.9871915334255</x:v>
      </x:c>
      <x:c r="AW129" s="49"/>
      <x:c r="AX129" s="48" t="n">
        <x:f>A129</x:f>
        <x:v>0.058</x:v>
      </x:c>
      <x:c r="AY129" s="48" t="n">
        <x:f>0</x:f>
        <x:v>0</x:v>
      </x:c>
      <x:c r="AZ129" s="48" t="n">
        <x:f>IF(OR(Inputs!$F$6=TRUE,Inputs!$F$6="TRUE",Inputs!$F$6=1),(Inputs!$H$6+Inputs!$L$6*(((Inputs!$I$6+(((A129)+1)/2)*(Inputs!$J$6-Inputs!$I$6)))/Inputs!$K$6)^2),NA())</x:f>
        <x:v>400.013456</x:v>
      </x:c>
      <x:c r="BA129" s="48" t="n">
        <x:f>IF(OR(Inputs!$F$7=TRUE,Inputs!$F$7="TRUE",Inputs!$F$7=1),(Inputs!$H$7+Inputs!$L$7*(((Inputs!$I$7+(((A129)+1)/2)*(Inputs!$J$7-Inputs!$I$7)))/Inputs!$K$7)^2),NA())</x:f>
        <x:v>36.22786000000001</x:v>
      </x:c>
      <x:c r="BB129" s="48" t="n">
        <x:f>IF(OR(Inputs!$F$8=TRUE,Inputs!$F$8="TRUE",Inputs!$F$8=1),(Inputs!$H$8+Inputs!$L$8*(((Inputs!$I$8+(((A129)+1)/2)*(Inputs!$J$8-Inputs!$I$8)))/Inputs!$K$8)^2),NA())</x:f>
        <x:v>38.246260000000014</x:v>
      </x:c>
      <x:c r="BC129" s="48" t="n">
        <x:f>IF(OR(Inputs!$F$9=TRUE,Inputs!$F$9="TRUE",Inputs!$F$9=1),(Inputs!$H$9+Inputs!$L$9*(((Inputs!$I$9+(((A129)+1)/2)*(Inputs!$J$9-Inputs!$I$9)))/Inputs!$K$9)^2),NA())</x:f>
        <x:v>28.279900000000012</x:v>
      </x:c>
      <x:c r="BD129" s="49"/>
      <x:c r="BE129" s="48" t="n">
        <x:f>A129</x:f>
        <x:v>0.058</x:v>
      </x:c>
      <x:c r="BF129" s="48" t="n">
        <x:f>0</x:f>
        <x:v>0</x:v>
      </x:c>
      <x:c r="BG129" s="48"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BH129" s="48"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BI129" s="48"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BJ129" s="48"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row>
    <x:row r="130">
      <x:c r="A130" s="48" t="n">
        <x:f>ROUND(-1+128*2/240,3)</x:f>
        <x:v>0.067</x:v>
      </x:c>
      <x:c r="B130" s="48" t="n">
        <x:f>IF(OR(Inputs!$F$6=TRUE,Inputs!$F$6="TRUE",Inputs!$F$6=1),(Inputs!$H$6+Inputs!$L$6*(((Inputs!$I$6+(((A130)+1)/2)*(Inputs!$J$6-Inputs!$I$6)))/Inputs!$K$6)^2),NA())</x:f>
        <x:v>400.017956</x:v>
      </x:c>
      <x:c r="C130" s="48" t="n">
        <x:f>IF(OR(Inputs!$F$7=TRUE,Inputs!$F$7="TRUE",Inputs!$F$7=1),(Inputs!$H$7+Inputs!$L$7*(((Inputs!$I$7+(((A130)+1)/2)*(Inputs!$J$7-Inputs!$I$7)))/Inputs!$K$7)^2),NA())</x:f>
        <x:v>36.638484999999996</x:v>
      </x:c>
      <x:c r="D130" s="48" t="n">
        <x:f>IF(OR(Inputs!$F$8=TRUE,Inputs!$F$8="TRUE",Inputs!$F$8=1),(Inputs!$H$8+Inputs!$L$8*(((Inputs!$I$8+(((A130)+1)/2)*(Inputs!$J$8-Inputs!$I$8)))/Inputs!$K$8)^2),NA())</x:f>
        <x:v>39.331884999999986</x:v>
      </x:c>
      <x:c r="E130" s="48" t="n">
        <x:f>IF(OR(Inputs!$F$9=TRUE,Inputs!$F$9="TRUE",Inputs!$F$9=1),(Inputs!$H$9+Inputs!$L$9*(((Inputs!$I$9+(((A130)+1)/2)*(Inputs!$J$9-Inputs!$I$9)))/Inputs!$K$9)^2),NA())</x:f>
        <x:v>29.376774999999988</x:v>
      </x:c>
      <x:c r="F130" s="49"/>
      <x:c r="G130" s="48" t="n">
        <x:f>A130</x:f>
        <x:v>0.067</x:v>
      </x:c>
      <x:c r="H130" s="48"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I130" s="48"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J130" s="48"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K130" s="48"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c r="L130" s="49"/>
      <x:c r="M130" s="48" t="n">
        <x:f>A130</x:f>
        <x:v>0.067</x:v>
      </x:c>
      <x:c r="N130" s="48" t="n">
        <x: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x:f>
        <x:v>-34.413522888184524</x:v>
      </x:c>
      <x:c r="O130" s="48" t="n">
        <x: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x:f>
        <x:v>-980.9880733779468</x:v>
      </x:c>
      <x:c r="P130" s="48" t="n">
        <x: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x:f>
        <x:v>-1372.9504843158597</x:v>
      </x:c>
      <x:c r="Q130" s="48" t="n">
        <x: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x:f>
        <x:v>-1432.7492733841825</x:v>
      </x:c>
      <x:c r="R130" s="49"/>
      <x:c r="S130" s="48" t="n">
        <x:f>A130</x:f>
        <x:v>0.067</x:v>
      </x:c>
      <x:c r="T130" s="48" t="n">
        <x:f>(Inputs!$I$6+(((A130)+1)/2)*(Inputs!$J$6-Inputs!$I$6))</x:f>
        <x:v>4.019999999999996</x:v>
      </x:c>
      <x:c r="U130" s="48" t="n">
        <x:f>(Inputs!$I$7+(((A130)+1)/2)*(Inputs!$J$7-Inputs!$I$7))</x:f>
        <x:v>26.799999999999955</x:v>
      </x:c>
      <x:c r="V130" s="48" t="n">
        <x:f>(Inputs!$I$8+(((A130)+1)/2)*(Inputs!$J$8-Inputs!$I$8))</x:f>
        <x:v>53.59999999999991</x:v>
      </x:c>
      <x:c r="W130" s="48" t="n">
        <x:f>(Inputs!$I$9+(((A130)+1)/2)*(Inputs!$J$9-Inputs!$I$9))</x:f>
        <x:v>53.59999999999991</x:v>
      </x:c>
      <x:c r="X130" s="49"/>
      <x:c r="Y130" s="48" t="n">
        <x:f>A130</x:f>
        <x:v>0.067</x:v>
      </x:c>
      <x:c r="Z130" s="48" t="n">
        <x:f>(Inputs!$H$6+Inputs!$L$6*(((Inputs!$I$6+(((A130)+1)/2)*(Inputs!$J$6-Inputs!$I$6)))/Inputs!$K$6)^2)</x:f>
        <x:v>400.017956</x:v>
      </x:c>
      <x:c r="AA130" s="48" t="n">
        <x:f>(Inputs!$H$7+Inputs!$L$7*(((Inputs!$I$7+(((A130)+1)/2)*(Inputs!$J$7-Inputs!$I$7)))/Inputs!$K$7)^2)</x:f>
        <x:v>36.638484999999996</x:v>
      </x:c>
      <x:c r="AB130" s="48" t="n">
        <x:f>(Inputs!$H$8+Inputs!$L$8*(((Inputs!$I$8+(((A130)+1)/2)*(Inputs!$J$8-Inputs!$I$8)))/Inputs!$K$8)^2)</x:f>
        <x:v>39.331884999999986</x:v>
      </x:c>
      <x:c r="AC130" s="48" t="n">
        <x:f>(Inputs!$H$9+Inputs!$L$9*(((Inputs!$I$9+(((A130)+1)/2)*(Inputs!$J$9-Inputs!$I$9)))/Inputs!$K$9)^2)</x:f>
        <x:v>29.376774999999988</x:v>
      </x:c>
      <x:c r="AD130" s="49"/>
      <x:c r="AE130" s="48" t="n">
        <x:f>A130</x:f>
        <x:v>0.067</x:v>
      </x:c>
      <x:c r="AF130" s="48" t="n">
        <x:f>(((SQRT((Inputs!$C$52+((Inputs!$H$6+Inputs!$L$6*(((Inputs!$I$6+(((A130)+1)/2)*(Inputs!$J$6-Inputs!$I$6)))/Inputs!$K$6)^2)))^2+Inputs!$C$52^2-2*(Inputs!$C$52+((Inputs!$H$6+Inputs!$L$6*(((Inputs!$I$6+(((A130)+1)/2)*(Inputs!$J$6-Inputs!$I$6)))/Inputs!$K$6)^2)))*Inputs!$C$52*COS(SQRT(((Inputs!$I$6+(((A130)+1)/2)*(Inputs!$J$6-Inputs!$I$6)))^2+Inputs!$C$6^2)/Inputs!$C$52)))-((Inputs!$H$6+Inputs!$L$6*(((Inputs!$I$6+(((A130)+1)/2)*(Inputs!$J$6-Inputs!$I$6)))/Inputs!$K$6)^2)))*1000/Inputs!$C$12)</x:f>
        <x:v>564.900814729465</x:v>
      </x:c>
      <x:c r="AG130" s="48" t="n">
        <x:f>(((SQRT((Inputs!$C$52+((Inputs!$H$7+Inputs!$L$7*(((Inputs!$I$7+(((A130)+1)/2)*(Inputs!$J$7-Inputs!$I$7)))/Inputs!$K$7)^2)))^2+Inputs!$C$52^2-2*(Inputs!$C$52+((Inputs!$H$7+Inputs!$L$7*(((Inputs!$I$7+(((A130)+1)/2)*(Inputs!$J$7-Inputs!$I$7)))/Inputs!$K$7)^2)))*Inputs!$C$52*COS(SQRT(((Inputs!$I$7+(((A130)+1)/2)*(Inputs!$J$7-Inputs!$I$7)))^2+Inputs!$C$6^2)/Inputs!$C$52)))-((Inputs!$H$7+Inputs!$L$7*(((Inputs!$I$7+(((A130)+1)/2)*(Inputs!$J$7-Inputs!$I$7)))/Inputs!$K$7)^2)))*1000/Inputs!$C$12)</x:f>
        <x:v>8700.673200303603</x:v>
      </x:c>
      <x:c r="AH130" s="48" t="n">
        <x:f>(((SQRT((Inputs!$C$52+((Inputs!$H$8+Inputs!$L$8*(((Inputs!$I$8+(((A130)+1)/2)*(Inputs!$J$8-Inputs!$I$8)))/Inputs!$K$8)^2)))^2+Inputs!$C$52^2-2*(Inputs!$C$52+((Inputs!$H$8+Inputs!$L$8*(((Inputs!$I$8+(((A130)+1)/2)*(Inputs!$J$8-Inputs!$I$8)))/Inputs!$K$8)^2)))*Inputs!$C$52*COS(SQRT(((Inputs!$I$8+(((A130)+1)/2)*(Inputs!$J$8-Inputs!$I$8)))^2+Inputs!$C$6^2)/Inputs!$C$52)))-((Inputs!$H$8+Inputs!$L$8*(((Inputs!$I$8+(((A130)+1)/2)*(Inputs!$J$8-Inputs!$I$8)))/Inputs!$K$8)^2)))*1000/Inputs!$C$12)</x:f>
        <x:v>18152.14171640008</x:v>
      </x:c>
      <x:c r="AI130" s="48" t="n">
        <x:f>(((SQRT((Inputs!$C$52+((Inputs!$H$9+Inputs!$L$9*(((Inputs!$I$9+(((A130)+1)/2)*(Inputs!$J$9-Inputs!$I$9)))/Inputs!$K$9)^2)))^2+Inputs!$C$52^2-2*(Inputs!$C$52+((Inputs!$H$9+Inputs!$L$9*(((Inputs!$I$9+(((A130)+1)/2)*(Inputs!$J$9-Inputs!$I$9)))/Inputs!$K$9)^2)))*Inputs!$C$52*COS(SQRT(((Inputs!$I$9+(((A130)+1)/2)*(Inputs!$J$9-Inputs!$I$9)))^2+Inputs!$C$6^2)/Inputs!$C$52)))-((Inputs!$H$9+Inputs!$L$9*(((Inputs!$I$9+(((A130)+1)/2)*(Inputs!$J$9-Inputs!$I$9)))/Inputs!$K$9)^2)))*1000/Inputs!$C$12)</x:f>
        <x:v>20873.125437216957</x:v>
      </x:c>
      <x:c r="AJ130" s="49"/>
      <x:c r="AK130" s="48" t="n">
        <x:f>A130</x:f>
        <x:v>0.067</x:v>
      </x:c>
      <x:c r="AL130" s="48" t="n">
        <x: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x:f>
        <x:v>-34.413522888184524</x:v>
      </x:c>
      <x:c r="AM130" s="48" t="n">
        <x: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x:f>
        <x:v>-980.9880733779468</x:v>
      </x:c>
      <x:c r="AN130" s="48" t="n">
        <x: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x:f>
        <x:v>-1372.9504843158597</x:v>
      </x:c>
      <x:c r="AO130" s="48" t="n">
        <x: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x:f>
        <x:v>-1432.7492733841825</x:v>
      </x:c>
      <x:c r="AP130" s="49"/>
      <x:c r="AQ130" s="48" t="n">
        <x:f>A130</x:f>
        <x:v>0.067</x:v>
      </x:c>
      <x:c r="AR130" s="48" t="n">
        <x:f>0</x:f>
        <x:v>0</x:v>
      </x:c>
      <x:c r="AS130" s="48" t="n">
        <x: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(0.45*SIN(2*PI()*((((Inputs!$I$6+(((A130)+1)/2)*(Inputs!$J$6-Inputs!$I$6)))/Inputs!$C$49)+Inputs!$C$47*0.137))+0.35*COS(2*PI()*(((Inputs!$C$6)/Inputs!$C$50)+Inputs!$C$47*0.173))+0.20*SIN(2*PI()*((((Inputs!$I$6+(((A130)+1)/2)*(Inputs!$J$6-Inputs!$I$6)))+(Inputs!$C$6))/(0.5*(Inputs!$C$49+Inputs!$C$50))+Inputs!$C$47*0.097)))+0.30*(2*((SIN((((Inputs!$I$6+(((A130)+1)/2)*(Inputs!$J$6-Inputs!$I$6)))*12.9898+(Inputs!$C$6)*78.233+Inputs!$C$47*37.719))*43758.5453)-INT((SIN((((Inputs!$I$6+(((A130)+1)/2)*(Inputs!$J$6-Inputs!$I$6)))*12.9898+(Inputs!$C$6)*78.233+Inputs!$C$47*37.719))*43758.5453)))-1))),NA())</x:f>
        <x:v>544.9740548154381</x:v>
      </x:c>
      <x:c r="AT130" s="48" t="n">
        <x: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(0.45*SIN(2*PI()*((((Inputs!$I$7+(((A130)+1)/2)*(Inputs!$J$7-Inputs!$I$7)))/Inputs!$C$49)+Inputs!$C$47*0.137))+0.35*COS(2*PI()*(((Inputs!$C$6)/Inputs!$C$50)+Inputs!$C$47*0.173))+0.20*SIN(2*PI()*((((Inputs!$I$7+(((A130)+1)/2)*(Inputs!$J$7-Inputs!$I$7)))+(Inputs!$C$6))/(0.5*(Inputs!$C$49+Inputs!$C$50))+Inputs!$C$47*0.097)))+0.30*(2*((SIN((((Inputs!$I$7+(((A130)+1)/2)*(Inputs!$J$7-Inputs!$I$7)))*12.9898+(Inputs!$C$6)*78.233+Inputs!$C$47*37.719))*43758.5453)-INT((SIN((((Inputs!$I$7+(((A130)+1)/2)*(Inputs!$J$7-Inputs!$I$7)))*12.9898+(Inputs!$C$6)*78.233+Inputs!$C$47*37.719))*43758.5453)))-1))),NA())</x:f>
        <x:v>350.39069580116006</x:v>
      </x:c>
      <x:c r="AU130" s="48" t="n">
        <x: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(0.45*SIN(2*PI()*((((Inputs!$I$8+(((A130)+1)/2)*(Inputs!$J$8-Inputs!$I$8)))/Inputs!$C$49)+Inputs!$C$47*0.137))+0.35*COS(2*PI()*(((Inputs!$C$6)/Inputs!$C$50)+Inputs!$C$47*0.173))+0.20*SIN(2*PI()*((((Inputs!$I$8+(((A130)+1)/2)*(Inputs!$J$8-Inputs!$I$8)))+(Inputs!$C$6))/(0.5*(Inputs!$C$49+Inputs!$C$50))+Inputs!$C$47*0.097)))+0.30*(2*((SIN((((Inputs!$I$8+(((A130)+1)/2)*(Inputs!$J$8-Inputs!$I$8)))*12.9898+(Inputs!$C$6)*78.233+Inputs!$C$47*37.719))*43758.5453)-INT((SIN((((Inputs!$I$8+(((A130)+1)/2)*(Inputs!$J$8-Inputs!$I$8)))*12.9898+(Inputs!$C$6)*78.233+Inputs!$C$47*37.719))*43758.5453)))-1))),NA())</x:f>
        <x:v>179.63523580513873</x:v>
      </x:c>
      <x:c r="AV130" s="48" t="n">
        <x: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(0.45*SIN(2*PI()*((((Inputs!$I$9+(((A130)+1)/2)*(Inputs!$J$9-Inputs!$I$9)))/Inputs!$C$49)+Inputs!$C$47*0.137))+0.35*COS(2*PI()*(((Inputs!$C$6)/Inputs!$C$50)+Inputs!$C$47*0.173))+0.20*SIN(2*PI()*((((Inputs!$I$9+(((A130)+1)/2)*(Inputs!$J$9-Inputs!$I$9)))+(Inputs!$C$6))/(0.5*(Inputs!$C$49+Inputs!$C$50))+Inputs!$C$47*0.097)))+0.30*(2*((SIN((((Inputs!$I$9+(((A130)+1)/2)*(Inputs!$J$9-Inputs!$I$9)))*12.9898+(Inputs!$C$6)*78.233+Inputs!$C$47*37.719))*43758.5453)-INT((SIN((((Inputs!$I$9+(((A130)+1)/2)*(Inputs!$J$9-Inputs!$I$9)))*12.9898+(Inputs!$C$6)*78.233+Inputs!$C$47*37.719))*43758.5453)))-1))),NA())</x:f>
        <x:v>179.63523580513873</x:v>
      </x:c>
      <x:c r="AW130" s="49"/>
      <x:c r="AX130" s="48" t="n">
        <x:f>A130</x:f>
        <x:v>0.067</x:v>
      </x:c>
      <x:c r="AY130" s="48" t="n">
        <x:f>0</x:f>
        <x:v>0</x:v>
      </x:c>
      <x:c r="AZ130" s="48" t="n">
        <x:f>IF(OR(Inputs!$F$6=TRUE,Inputs!$F$6="TRUE",Inputs!$F$6=1),(Inputs!$H$6+Inputs!$L$6*(((Inputs!$I$6+(((A130)+1)/2)*(Inputs!$J$6-Inputs!$I$6)))/Inputs!$K$6)^2),NA())</x:f>
        <x:v>400.017956</x:v>
      </x:c>
      <x:c r="BA130" s="48" t="n">
        <x:f>IF(OR(Inputs!$F$7=TRUE,Inputs!$F$7="TRUE",Inputs!$F$7=1),(Inputs!$H$7+Inputs!$L$7*(((Inputs!$I$7+(((A130)+1)/2)*(Inputs!$J$7-Inputs!$I$7)))/Inputs!$K$7)^2),NA())</x:f>
        <x:v>36.638484999999996</x:v>
      </x:c>
      <x:c r="BB130" s="48" t="n">
        <x:f>IF(OR(Inputs!$F$8=TRUE,Inputs!$F$8="TRUE",Inputs!$F$8=1),(Inputs!$H$8+Inputs!$L$8*(((Inputs!$I$8+(((A130)+1)/2)*(Inputs!$J$8-Inputs!$I$8)))/Inputs!$K$8)^2),NA())</x:f>
        <x:v>39.331884999999986</x:v>
      </x:c>
      <x:c r="BC130" s="48" t="n">
        <x:f>IF(OR(Inputs!$F$9=TRUE,Inputs!$F$9="TRUE",Inputs!$F$9=1),(Inputs!$H$9+Inputs!$L$9*(((Inputs!$I$9+(((A130)+1)/2)*(Inputs!$J$9-Inputs!$I$9)))/Inputs!$K$9)^2),NA())</x:f>
        <x:v>29.376774999999988</x:v>
      </x:c>
      <x:c r="BD130" s="49"/>
      <x:c r="BE130" s="48" t="n">
        <x:f>A130</x:f>
        <x:v>0.067</x:v>
      </x:c>
      <x:c r="BF130" s="48" t="n">
        <x:f>0</x:f>
        <x:v>0</x:v>
      </x:c>
      <x:c r="BG130" s="48"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BH130" s="48"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BI130" s="48"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BJ130" s="48"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row>
    <x:row r="131">
      <x:c r="A131" s="48" t="n">
        <x:f>ROUND(-1+129*2/240,3)</x:f>
        <x:v>0.075</x:v>
      </x:c>
      <x:c r="B131" s="48" t="n">
        <x:f>IF(OR(Inputs!$F$6=TRUE,Inputs!$F$6="TRUE",Inputs!$F$6=1),(Inputs!$H$6+Inputs!$L$6*(((Inputs!$I$6+(((A131)+1)/2)*(Inputs!$J$6-Inputs!$I$6)))/Inputs!$K$6)^2),NA())</x:f>
        <x:v>400.0225</x:v>
      </x:c>
      <x:c r="C131" s="48" t="n">
        <x:f>IF(OR(Inputs!$F$7=TRUE,Inputs!$F$7="TRUE",Inputs!$F$7=1),(Inputs!$H$7+Inputs!$L$7*(((Inputs!$I$7+(((A131)+1)/2)*(Inputs!$J$7-Inputs!$I$7)))/Inputs!$K$7)^2),NA())</x:f>
        <x:v>37.053125</x:v>
      </x:c>
      <x:c r="D131" s="48" t="n">
        <x:f>IF(OR(Inputs!$F$8=TRUE,Inputs!$F$8="TRUE",Inputs!$F$8=1),(Inputs!$H$8+Inputs!$L$8*(((Inputs!$I$8+(((A131)+1)/2)*(Inputs!$J$8-Inputs!$I$8)))/Inputs!$K$8)^2),NA())</x:f>
        <x:v>40.428125</x:v>
      </x:c>
      <x:c r="E131" s="48" t="n">
        <x:f>IF(OR(Inputs!$F$9=TRUE,Inputs!$F$9="TRUE",Inputs!$F$9=1),(Inputs!$H$9+Inputs!$L$9*(((Inputs!$I$9+(((A131)+1)/2)*(Inputs!$J$9-Inputs!$I$9)))/Inputs!$K$9)^2),NA())</x:f>
        <x:v>30.484375</x:v>
      </x:c>
      <x:c r="F131" s="49"/>
      <x:c r="G131" s="48" t="n">
        <x:f>A131</x:f>
        <x:v>0.075</x:v>
      </x:c>
      <x:c r="H131" s="48"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I131" s="48"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J131" s="48"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K131" s="48"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c r="L131" s="49"/>
      <x:c r="M131" s="48" t="n">
        <x:f>A131</x:f>
        <x:v>0.075</x:v>
      </x:c>
      <x:c r="N131" s="48" t="n">
        <x: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x:f>
        <x:v>-38.52182885629811</x:v>
      </x:c>
      <x:c r="O131" s="48" t="n">
        <x: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x:f>
        <x:v>-1058.8749722809732</x:v>
      </x:c>
      <x:c r="P131" s="48" t="n">
        <x: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x:f>
        <x:v>-1431.0362626313524</x:v>
      </x:c>
      <x:c r="Q131" s="48" t="n">
        <x: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x:f>
        <x:v>-1480.8862192067272</x:v>
      </x:c>
      <x:c r="R131" s="49"/>
      <x:c r="S131" s="48" t="n">
        <x:f>A131</x:f>
        <x:v>0.075</x:v>
      </x:c>
      <x:c r="T131" s="48" t="n">
        <x:f>(Inputs!$I$6+(((A131)+1)/2)*(Inputs!$J$6-Inputs!$I$6))</x:f>
        <x:v>4.5</x:v>
      </x:c>
      <x:c r="U131" s="48" t="n">
        <x:f>(Inputs!$I$7+(((A131)+1)/2)*(Inputs!$J$7-Inputs!$I$7))</x:f>
        <x:v>30</x:v>
      </x:c>
      <x:c r="V131" s="48" t="n">
        <x:f>(Inputs!$I$8+(((A131)+1)/2)*(Inputs!$J$8-Inputs!$I$8))</x:f>
        <x:v>60</x:v>
      </x:c>
      <x:c r="W131" s="48" t="n">
        <x:f>(Inputs!$I$9+(((A131)+1)/2)*(Inputs!$J$9-Inputs!$I$9))</x:f>
        <x:v>60</x:v>
      </x:c>
      <x:c r="X131" s="49"/>
      <x:c r="Y131" s="48" t="n">
        <x:f>A131</x:f>
        <x:v>0.075</x:v>
      </x:c>
      <x:c r="Z131" s="48" t="n">
        <x:f>(Inputs!$H$6+Inputs!$L$6*(((Inputs!$I$6+(((A131)+1)/2)*(Inputs!$J$6-Inputs!$I$6)))/Inputs!$K$6)^2)</x:f>
        <x:v>400.0225</x:v>
      </x:c>
      <x:c r="AA131" s="48" t="n">
        <x:f>(Inputs!$H$7+Inputs!$L$7*(((Inputs!$I$7+(((A131)+1)/2)*(Inputs!$J$7-Inputs!$I$7)))/Inputs!$K$7)^2)</x:f>
        <x:v>37.053125</x:v>
      </x:c>
      <x:c r="AB131" s="48" t="n">
        <x:f>(Inputs!$H$8+Inputs!$L$8*(((Inputs!$I$8+(((A131)+1)/2)*(Inputs!$J$8-Inputs!$I$8)))/Inputs!$K$8)^2)</x:f>
        <x:v>40.428125</x:v>
      </x:c>
      <x:c r="AC131" s="48" t="n">
        <x:f>(Inputs!$H$9+Inputs!$L$9*(((Inputs!$I$9+(((A131)+1)/2)*(Inputs!$J$9-Inputs!$I$9)))/Inputs!$K$9)^2)</x:f>
        <x:v>30.484375</x:v>
      </x:c>
      <x:c r="AD131" s="49"/>
      <x:c r="AE131" s="48" t="n">
        <x:f>A131</x:f>
        <x:v>0.075</x:v>
      </x:c>
      <x:c r="AF131" s="48" t="n">
        <x:f>(((SQRT((Inputs!$C$52+((Inputs!$H$6+Inputs!$L$6*(((Inputs!$I$6+(((A131)+1)/2)*(Inputs!$J$6-Inputs!$I$6)))/Inputs!$K$6)^2)))^2+Inputs!$C$52^2-2*(Inputs!$C$52+((Inputs!$H$6+Inputs!$L$6*(((Inputs!$I$6+(((A131)+1)/2)*(Inputs!$J$6-Inputs!$I$6)))/Inputs!$K$6)^2)))*Inputs!$C$52*COS(SQRT(((Inputs!$I$6+(((A131)+1)/2)*(Inputs!$J$6-Inputs!$I$6)))^2+Inputs!$C$6^2)/Inputs!$C$52)))-((Inputs!$H$6+Inputs!$L$6*(((Inputs!$I$6+(((A131)+1)/2)*(Inputs!$J$6-Inputs!$I$6)))/Inputs!$K$6)^2)))*1000/Inputs!$C$12)</x:f>
        <x:v>568.494246712671</x:v>
      </x:c>
      <x:c r="AG131" s="48" t="n">
        <x:f>(((SQRT((Inputs!$C$52+((Inputs!$H$7+Inputs!$L$7*(((Inputs!$I$7+(((A131)+1)/2)*(Inputs!$J$7-Inputs!$I$7)))/Inputs!$K$7)^2)))^2+Inputs!$C$52^2-2*(Inputs!$C$52+((Inputs!$H$7+Inputs!$L$7*(((Inputs!$I$7+(((A131)+1)/2)*(Inputs!$J$7-Inputs!$I$7)))/Inputs!$K$7)^2)))*Inputs!$C$52*COS(SQRT(((Inputs!$I$7+(((A131)+1)/2)*(Inputs!$J$7-Inputs!$I$7)))^2+Inputs!$C$6^2)/Inputs!$C$52)))-((Inputs!$H$7+Inputs!$L$7*(((Inputs!$I$7+(((A131)+1)/2)*(Inputs!$J$7-Inputs!$I$7)))/Inputs!$K$7)^2)))*1000/Inputs!$C$12)</x:f>
        <x:v>9614.494932634681</x:v>
      </x:c>
      <x:c r="AH131" s="48" t="n">
        <x:f>(((SQRT((Inputs!$C$52+((Inputs!$H$8+Inputs!$L$8*(((Inputs!$I$8+(((A131)+1)/2)*(Inputs!$J$8-Inputs!$I$8)))/Inputs!$K$8)^2)))^2+Inputs!$C$52^2-2*(Inputs!$C$52+((Inputs!$H$8+Inputs!$L$8*(((Inputs!$I$8+(((A131)+1)/2)*(Inputs!$J$8-Inputs!$I$8)))/Inputs!$K$8)^2)))*Inputs!$C$52*COS(SQRT(((Inputs!$I$8+(((A131)+1)/2)*(Inputs!$J$8-Inputs!$I$8)))^2+Inputs!$C$6^2)/Inputs!$C$52)))-((Inputs!$H$8+Inputs!$L$8*(((Inputs!$I$8+(((A131)+1)/2)*(Inputs!$J$8-Inputs!$I$8)))/Inputs!$K$8)^2)))*1000/Inputs!$C$12)</x:f>
        <x:v>20688.923189965295</x:v>
      </x:c>
      <x:c r="AI131" s="48" t="n">
        <x:f>(((SQRT((Inputs!$C$52+((Inputs!$H$9+Inputs!$L$9*(((Inputs!$I$9+(((A131)+1)/2)*(Inputs!$J$9-Inputs!$I$9)))/Inputs!$K$9)^2)))^2+Inputs!$C$52^2-2*(Inputs!$C$52+((Inputs!$H$9+Inputs!$L$9*(((Inputs!$I$9+(((A131)+1)/2)*(Inputs!$J$9-Inputs!$I$9)))/Inputs!$K$9)^2)))*Inputs!$C$52*COS(SQRT(((Inputs!$I$9+(((A131)+1)/2)*(Inputs!$J$9-Inputs!$I$9)))^2+Inputs!$C$6^2)/Inputs!$C$52)))-((Inputs!$H$9+Inputs!$L$9*(((Inputs!$I$9+(((A131)+1)/2)*(Inputs!$J$9-Inputs!$I$9)))/Inputs!$K$9)^2)))*1000/Inputs!$C$12)</x:f>
        <x:v>23526.503633044715</x:v>
      </x:c>
      <x:c r="AJ131" s="49"/>
      <x:c r="AK131" s="48" t="n">
        <x:f>A131</x:f>
        <x:v>0.075</x:v>
      </x:c>
      <x:c r="AL131" s="48" t="n">
        <x: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x:f>
        <x:v>-38.52182885629811</x:v>
      </x:c>
      <x:c r="AM131" s="48" t="n">
        <x: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x:f>
        <x:v>-1058.8749722809732</x:v>
      </x:c>
      <x:c r="AN131" s="48" t="n">
        <x: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x:f>
        <x:v>-1431.0362626313524</x:v>
      </x:c>
      <x:c r="AO131" s="48" t="n">
        <x: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x:f>
        <x:v>-1480.8862192067272</x:v>
      </x:c>
      <x:c r="AP131" s="49"/>
      <x:c r="AQ131" s="48" t="n">
        <x:f>A131</x:f>
        <x:v>0.075</x:v>
      </x:c>
      <x:c r="AR131" s="48" t="n">
        <x:f>0</x:f>
        <x:v>0</x:v>
      </x:c>
      <x:c r="AS131" s="48" t="n">
        <x: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(0.45*SIN(2*PI()*((((Inputs!$I$6+(((A131)+1)/2)*(Inputs!$J$6-Inputs!$I$6)))/Inputs!$C$49)+Inputs!$C$47*0.137))+0.35*COS(2*PI()*(((Inputs!$C$6)/Inputs!$C$50)+Inputs!$C$47*0.173))+0.20*SIN(2*PI()*((((Inputs!$I$6+(((A131)+1)/2)*(Inputs!$J$6-Inputs!$I$6)))+(Inputs!$C$6))/(0.5*(Inputs!$C$49+Inputs!$C$50))+Inputs!$C$47*0.097)))+0.30*(2*((SIN((((Inputs!$I$6+(((A131)+1)/2)*(Inputs!$J$6-Inputs!$I$6)))*12.9898+(Inputs!$C$6)*78.233+Inputs!$C$47*37.719))*43758.5453)-INT((SIN((((Inputs!$I$6+(((A131)+1)/2)*(Inputs!$J$6-Inputs!$I$6)))*12.9898+(Inputs!$C$6)*78.233+Inputs!$C$47*37.719))*43758.5453)))-1))),NA())</x:f>
        <x:v>568.6436382247327</x:v>
      </x:c>
      <x:c r="AT131" s="48" t="n">
        <x: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(0.45*SIN(2*PI()*((((Inputs!$I$7+(((A131)+1)/2)*(Inputs!$J$7-Inputs!$I$7)))/Inputs!$C$49)+Inputs!$C$47*0.137))+0.35*COS(2*PI()*(((Inputs!$C$6)/Inputs!$C$50)+Inputs!$C$47*0.173))+0.20*SIN(2*PI()*((((Inputs!$I$7+(((A131)+1)/2)*(Inputs!$J$7-Inputs!$I$7)))+(Inputs!$C$6))/(0.5*(Inputs!$C$49+Inputs!$C$50))+Inputs!$C$47*0.097)))+0.30*(2*((SIN((((Inputs!$I$7+(((A131)+1)/2)*(Inputs!$J$7-Inputs!$I$7)))*12.9898+(Inputs!$C$6)*78.233+Inputs!$C$47*37.719))*43758.5453)-INT((SIN((((Inputs!$I$7+(((A131)+1)/2)*(Inputs!$J$7-Inputs!$I$7)))*12.9898+(Inputs!$C$6)*78.233+Inputs!$C$47*37.719))*43758.5453)))-1))),NA())</x:f>
        <x:v>258.3810354027646</x:v>
      </x:c>
      <x:c r="AU131" s="48" t="n">
        <x: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(0.45*SIN(2*PI()*((((Inputs!$I$8+(((A131)+1)/2)*(Inputs!$J$8-Inputs!$I$8)))/Inputs!$C$49)+Inputs!$C$47*0.137))+0.35*COS(2*PI()*(((Inputs!$C$6)/Inputs!$C$50)+Inputs!$C$47*0.173))+0.20*SIN(2*PI()*((((Inputs!$I$8+(((A131)+1)/2)*(Inputs!$J$8-Inputs!$I$8)))+(Inputs!$C$6))/(0.5*(Inputs!$C$49+Inputs!$C$50))+Inputs!$C$47*0.097)))+0.30*(2*((SIN((((Inputs!$I$8+(((A131)+1)/2)*(Inputs!$J$8-Inputs!$I$8)))*12.9898+(Inputs!$C$6)*78.233+Inputs!$C$47*37.719))*43758.5453)-INT((SIN((((Inputs!$I$8+(((A131)+1)/2)*(Inputs!$J$8-Inputs!$I$8)))*12.9898+(Inputs!$C$6)*78.233+Inputs!$C$47*37.719))*43758.5453)))-1))),NA())</x:f>
        <x:v>179.34901119414707</x:v>
      </x:c>
      <x:c r="AV131" s="48" t="n">
        <x: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(0.45*SIN(2*PI()*((((Inputs!$I$9+(((A131)+1)/2)*(Inputs!$J$9-Inputs!$I$9)))/Inputs!$C$49)+Inputs!$C$47*0.137))+0.35*COS(2*PI()*(((Inputs!$C$6)/Inputs!$C$50)+Inputs!$C$47*0.173))+0.20*SIN(2*PI()*((((Inputs!$I$9+(((A131)+1)/2)*(Inputs!$J$9-Inputs!$I$9)))+(Inputs!$C$6))/(0.5*(Inputs!$C$49+Inputs!$C$50))+Inputs!$C$47*0.097)))+0.30*(2*((SIN((((Inputs!$I$9+(((A131)+1)/2)*(Inputs!$J$9-Inputs!$I$9)))*12.9898+(Inputs!$C$6)*78.233+Inputs!$C$47*37.719))*43758.5453)-INT((SIN((((Inputs!$I$9+(((A131)+1)/2)*(Inputs!$J$9-Inputs!$I$9)))*12.9898+(Inputs!$C$6)*78.233+Inputs!$C$47*37.719))*43758.5453)))-1))),NA())</x:f>
        <x:v>179.34901119414707</x:v>
      </x:c>
      <x:c r="AW131" s="49"/>
      <x:c r="AX131" s="48" t="n">
        <x:f>A131</x:f>
        <x:v>0.075</x:v>
      </x:c>
      <x:c r="AY131" s="48" t="n">
        <x:f>0</x:f>
        <x:v>0</x:v>
      </x:c>
      <x:c r="AZ131" s="48" t="n">
        <x:f>IF(OR(Inputs!$F$6=TRUE,Inputs!$F$6="TRUE",Inputs!$F$6=1),(Inputs!$H$6+Inputs!$L$6*(((Inputs!$I$6+(((A131)+1)/2)*(Inputs!$J$6-Inputs!$I$6)))/Inputs!$K$6)^2),NA())</x:f>
        <x:v>400.0225</x:v>
      </x:c>
      <x:c r="BA131" s="48" t="n">
        <x:f>IF(OR(Inputs!$F$7=TRUE,Inputs!$F$7="TRUE",Inputs!$F$7=1),(Inputs!$H$7+Inputs!$L$7*(((Inputs!$I$7+(((A131)+1)/2)*(Inputs!$J$7-Inputs!$I$7)))/Inputs!$K$7)^2),NA())</x:f>
        <x:v>37.053125</x:v>
      </x:c>
      <x:c r="BB131" s="48" t="n">
        <x:f>IF(OR(Inputs!$F$8=TRUE,Inputs!$F$8="TRUE",Inputs!$F$8=1),(Inputs!$H$8+Inputs!$L$8*(((Inputs!$I$8+(((A131)+1)/2)*(Inputs!$J$8-Inputs!$I$8)))/Inputs!$K$8)^2),NA())</x:f>
        <x:v>40.428125</x:v>
      </x:c>
      <x:c r="BC131" s="48" t="n">
        <x:f>IF(OR(Inputs!$F$9=TRUE,Inputs!$F$9="TRUE",Inputs!$F$9=1),(Inputs!$H$9+Inputs!$L$9*(((Inputs!$I$9+(((A131)+1)/2)*(Inputs!$J$9-Inputs!$I$9)))/Inputs!$K$9)^2),NA())</x:f>
        <x:v>30.484375</x:v>
      </x:c>
      <x:c r="BD131" s="49"/>
      <x:c r="BE131" s="48" t="n">
        <x:f>A131</x:f>
        <x:v>0.075</x:v>
      </x:c>
      <x:c r="BF131" s="48" t="n">
        <x:f>0</x:f>
        <x:v>0</x:v>
      </x:c>
      <x:c r="BG131" s="48"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BH131" s="48"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BI131" s="48"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BJ131" s="48"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row>
    <x:row r="132">
      <x:c r="A132" s="48" t="n">
        <x:f>ROUND(-1+130*2/240,3)</x:f>
        <x:v>0.083</x:v>
      </x:c>
      <x:c r="B132" s="48" t="n">
        <x:f>IF(OR(Inputs!$F$6=TRUE,Inputs!$F$6="TRUE",Inputs!$F$6=1),(Inputs!$H$6+Inputs!$L$6*(((Inputs!$I$6+(((A132)+1)/2)*(Inputs!$J$6-Inputs!$I$6)))/Inputs!$K$6)^2),NA())</x:f>
        <x:v>400.027556</x:v>
      </x:c>
      <x:c r="C132" s="48" t="n">
        <x:f>IF(OR(Inputs!$F$7=TRUE,Inputs!$F$7="TRUE",Inputs!$F$7=1),(Inputs!$H$7+Inputs!$L$7*(((Inputs!$I$7+(((A132)+1)/2)*(Inputs!$J$7-Inputs!$I$7)))/Inputs!$K$7)^2),NA())</x:f>
        <x:v>37.514485</x:v>
      </x:c>
      <x:c r="D132" s="48" t="n">
        <x:f>IF(OR(Inputs!$F$8=TRUE,Inputs!$F$8="TRUE",Inputs!$F$8=1),(Inputs!$H$8+Inputs!$L$8*(((Inputs!$I$8+(((A132)+1)/2)*(Inputs!$J$8-Inputs!$I$8)))/Inputs!$K$8)^2),NA())</x:f>
        <x:v>41.647884999999995</x:v>
      </x:c>
      <x:c r="E132" s="48" t="n">
        <x:f>IF(OR(Inputs!$F$9=TRUE,Inputs!$F$9="TRUE",Inputs!$F$9=1),(Inputs!$H$9+Inputs!$L$9*(((Inputs!$I$9+(((A132)+1)/2)*(Inputs!$J$9-Inputs!$I$9)))/Inputs!$K$9)^2),NA())</x:f>
        <x:v>31.716774999999995</x:v>
      </x:c>
      <x:c r="F132" s="49"/>
      <x:c r="G132" s="48" t="n">
        <x:f>A132</x:f>
        <x:v>0.083</x:v>
      </x:c>
      <x:c r="H132" s="48"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I132" s="48"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J132" s="48"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K132" s="48"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c r="L132" s="49"/>
      <x:c r="M132" s="48" t="n">
        <x:f>A132</x:f>
        <x:v>0.083</x:v>
      </x:c>
      <x:c r="N132" s="48" t="n">
        <x: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x:f>
        <x:v>-42.6298741543544</x:v>
      </x:c>
      <x:c r="O132" s="48" t="n">
        <x: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x:f>
        <x:v>-1128.8337721741261</x:v>
      </x:c>
      <x:c r="P132" s="48" t="n">
        <x: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x:f>
        <x:v>-1479.2982654164057</x:v>
      </x:c>
      <x:c r="Q132" s="48" t="n">
        <x: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x:f>
        <x:v>-1520.4206404983338</x:v>
      </x:c>
      <x:c r="R132" s="49"/>
      <x:c r="S132" s="48" t="n">
        <x:f>A132</x:f>
        <x:v>0.083</x:v>
      </x:c>
      <x:c r="T132" s="48" t="n">
        <x:f>(Inputs!$I$6+(((A132)+1)/2)*(Inputs!$J$6-Inputs!$I$6))</x:f>
        <x:v>4.980000000000004</x:v>
      </x:c>
      <x:c r="U132" s="48" t="n">
        <x:f>(Inputs!$I$7+(((A132)+1)/2)*(Inputs!$J$7-Inputs!$I$7))</x:f>
        <x:v>33.19999999999999</x:v>
      </x:c>
      <x:c r="V132" s="48" t="n">
        <x:f>(Inputs!$I$8+(((A132)+1)/2)*(Inputs!$J$8-Inputs!$I$8))</x:f>
        <x:v>66.39999999999998</x:v>
      </x:c>
      <x:c r="W132" s="48" t="n">
        <x:f>(Inputs!$I$9+(((A132)+1)/2)*(Inputs!$J$9-Inputs!$I$9))</x:f>
        <x:v>66.39999999999998</x:v>
      </x:c>
      <x:c r="X132" s="49"/>
      <x:c r="Y132" s="48" t="n">
        <x:f>A132</x:f>
        <x:v>0.083</x:v>
      </x:c>
      <x:c r="Z132" s="48" t="n">
        <x:f>(Inputs!$H$6+Inputs!$L$6*(((Inputs!$I$6+(((A132)+1)/2)*(Inputs!$J$6-Inputs!$I$6)))/Inputs!$K$6)^2)</x:f>
        <x:v>400.027556</x:v>
      </x:c>
      <x:c r="AA132" s="48" t="n">
        <x:f>(Inputs!$H$7+Inputs!$L$7*(((Inputs!$I$7+(((A132)+1)/2)*(Inputs!$J$7-Inputs!$I$7)))/Inputs!$K$7)^2)</x:f>
        <x:v>37.514485</x:v>
      </x:c>
      <x:c r="AB132" s="48" t="n">
        <x:f>(Inputs!$H$8+Inputs!$L$8*(((Inputs!$I$8+(((A132)+1)/2)*(Inputs!$J$8-Inputs!$I$8)))/Inputs!$K$8)^2)</x:f>
        <x:v>41.647884999999995</x:v>
      </x:c>
      <x:c r="AC132" s="48" t="n">
        <x:f>(Inputs!$H$9+Inputs!$L$9*(((Inputs!$I$9+(((A132)+1)/2)*(Inputs!$J$9-Inputs!$I$9)))/Inputs!$K$9)^2)</x:f>
        <x:v>31.716774999999995</x:v>
      </x:c>
      <x:c r="AD132" s="49"/>
      <x:c r="AE132" s="48" t="n">
        <x:f>A132</x:f>
        <x:v>0.083</x:v>
      </x:c>
      <x:c r="AF132" s="48" t="n">
        <x:f>(((SQRT((Inputs!$C$52+((Inputs!$H$6+Inputs!$L$6*(((Inputs!$I$6+(((A132)+1)/2)*(Inputs!$J$6-Inputs!$I$6)))/Inputs!$K$6)^2)))^2+Inputs!$C$52^2-2*(Inputs!$C$52+((Inputs!$H$6+Inputs!$L$6*(((Inputs!$I$6+(((A132)+1)/2)*(Inputs!$J$6-Inputs!$I$6)))/Inputs!$K$6)^2)))*Inputs!$C$52*COS(SQRT(((Inputs!$I$6+(((A132)+1)/2)*(Inputs!$J$6-Inputs!$I$6)))^2+Inputs!$C$6^2)/Inputs!$C$52)))-((Inputs!$H$6+Inputs!$L$6*(((Inputs!$I$6+(((A132)+1)/2)*(Inputs!$J$6-Inputs!$I$6)))/Inputs!$K$6)^2)))*1000/Inputs!$C$12)</x:f>
        <x:v>572.4924277890129</x:v>
      </x:c>
      <x:c r="AG132" s="48" t="n">
        <x:f>(((SQRT((Inputs!$C$52+((Inputs!$H$7+Inputs!$L$7*(((Inputs!$I$7+(((A132)+1)/2)*(Inputs!$J$7-Inputs!$I$7)))/Inputs!$K$7)^2)))^2+Inputs!$C$52^2-2*(Inputs!$C$52+((Inputs!$H$7+Inputs!$L$7*(((Inputs!$I$7+(((A132)+1)/2)*(Inputs!$J$7-Inputs!$I$7)))/Inputs!$K$7)^2)))*Inputs!$C$52*COS(SQRT(((Inputs!$I$7+(((A132)+1)/2)*(Inputs!$J$7-Inputs!$I$7)))^2+Inputs!$C$6^2)/Inputs!$C$52)))-((Inputs!$H$7+Inputs!$L$7*(((Inputs!$I$7+(((A132)+1)/2)*(Inputs!$J$7-Inputs!$I$7)))/Inputs!$K$7)^2)))*1000/Inputs!$C$12)</x:f>
        <x:v>10585.062394302196</x:v>
      </x:c>
      <x:c r="AH132" s="48" t="n">
        <x:f>(((SQRT((Inputs!$C$52+((Inputs!$H$8+Inputs!$L$8*(((Inputs!$I$8+(((A132)+1)/2)*(Inputs!$J$8-Inputs!$I$8)))/Inputs!$K$8)^2)))^2+Inputs!$C$52^2-2*(Inputs!$C$52+((Inputs!$H$8+Inputs!$L$8*(((Inputs!$I$8+(((A132)+1)/2)*(Inputs!$J$8-Inputs!$I$8)))/Inputs!$K$8)^2)))*Inputs!$C$52*COS(SQRT(((Inputs!$I$8+(((A132)+1)/2)*(Inputs!$J$8-Inputs!$I$8)))^2+Inputs!$C$6^2)/Inputs!$C$52)))-((Inputs!$H$8+Inputs!$L$8*(((Inputs!$I$8+(((A132)+1)/2)*(Inputs!$J$8-Inputs!$I$8)))/Inputs!$K$8)^2)))*1000/Inputs!$C$12)</x:f>
        <x:v>23275.301181611485</x:v>
      </x:c>
      <x:c r="AI132" s="48" t="n">
        <x:f>(((SQRT((Inputs!$C$52+((Inputs!$H$9+Inputs!$L$9*(((Inputs!$I$9+(((A132)+1)/2)*(Inputs!$J$9-Inputs!$I$9)))/Inputs!$K$9)^2)))^2+Inputs!$C$52^2-2*(Inputs!$C$52+((Inputs!$H$9+Inputs!$L$9*(((Inputs!$I$9+(((A132)+1)/2)*(Inputs!$J$9-Inputs!$I$9)))/Inputs!$K$9)^2)))*Inputs!$C$52*COS(SQRT(((Inputs!$I$9+(((A132)+1)/2)*(Inputs!$J$9-Inputs!$I$9)))^2+Inputs!$C$6^2)/Inputs!$C$52)))-((Inputs!$H$9+Inputs!$L$9*(((Inputs!$I$9+(((A132)+1)/2)*(Inputs!$J$9-Inputs!$I$9)))/Inputs!$K$9)^2)))*1000/Inputs!$C$12)</x:f>
        <x:v>26207.765915968655</x:v>
      </x:c>
      <x:c r="AJ132" s="49"/>
      <x:c r="AK132" s="48" t="n">
        <x:f>A132</x:f>
        <x:v>0.083</x:v>
      </x:c>
      <x:c r="AL132" s="48" t="n">
        <x: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x:f>
        <x:v>-42.6298741543544</x:v>
      </x:c>
      <x:c r="AM132" s="48" t="n">
        <x: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x:f>
        <x:v>-1128.8337721741261</x:v>
      </x:c>
      <x:c r="AN132" s="48" t="n">
        <x: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x:f>
        <x:v>-1479.2982654164057</x:v>
      </x:c>
      <x:c r="AO132" s="48" t="n">
        <x: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x:f>
        <x:v>-1520.4206404983338</x:v>
      </x:c>
      <x:c r="AP132" s="49"/>
      <x:c r="AQ132" s="48" t="n">
        <x:f>A132</x:f>
        <x:v>0.083</x:v>
      </x:c>
      <x:c r="AR132" s="48" t="n">
        <x:f>0</x:f>
        <x:v>0</x:v>
      </x:c>
      <x:c r="AS132" s="48" t="n">
        <x: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(0.45*SIN(2*PI()*((((Inputs!$I$6+(((A132)+1)/2)*(Inputs!$J$6-Inputs!$I$6)))/Inputs!$C$49)+Inputs!$C$47*0.137))+0.35*COS(2*PI()*(((Inputs!$C$6)/Inputs!$C$50)+Inputs!$C$47*0.173))+0.20*SIN(2*PI()*((((Inputs!$I$6+(((A132)+1)/2)*(Inputs!$J$6-Inputs!$I$6)))+(Inputs!$C$6))/(0.5*(Inputs!$C$49+Inputs!$C$50))+Inputs!$C$47*0.097)))+0.30*(2*((SIN((((Inputs!$I$6+(((A132)+1)/2)*(Inputs!$J$6-Inputs!$I$6)))*12.9898+(Inputs!$C$6)*78.233+Inputs!$C$47*37.719))*43758.5453)-INT((SIN((((Inputs!$I$6+(((A132)+1)/2)*(Inputs!$J$6-Inputs!$I$6)))*12.9898+(Inputs!$C$6)*78.233+Inputs!$C$47*37.719))*43758.5453)))-1))),NA())</x:f>
        <x:v>557.734555854044</x:v>
      </x:c>
      <x:c r="AT132" s="48" t="n">
        <x: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(0.45*SIN(2*PI()*((((Inputs!$I$7+(((A132)+1)/2)*(Inputs!$J$7-Inputs!$I$7)))/Inputs!$C$49)+Inputs!$C$47*0.137))+0.35*COS(2*PI()*(((Inputs!$C$6)/Inputs!$C$50)+Inputs!$C$47*0.173))+0.20*SIN(2*PI()*((((Inputs!$I$7+(((A132)+1)/2)*(Inputs!$J$7-Inputs!$I$7)))+(Inputs!$C$6))/(0.5*(Inputs!$C$49+Inputs!$C$50))+Inputs!$C$47*0.097)))+0.30*(2*((SIN((((Inputs!$I$7+(((A132)+1)/2)*(Inputs!$J$7-Inputs!$I$7)))*12.9898+(Inputs!$C$6)*78.233+Inputs!$C$47*37.719))*43758.5453)-INT((SIN((((Inputs!$I$7+(((A132)+1)/2)*(Inputs!$J$7-Inputs!$I$7)))*12.9898+(Inputs!$C$6)*78.233+Inputs!$C$47*37.719))*43758.5453)))-1))),NA())</x:f>
        <x:v>226.0328331963426</x:v>
      </x:c>
      <x:c r="AU132" s="48" t="n">
        <x: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(0.45*SIN(2*PI()*((((Inputs!$I$8+(((A132)+1)/2)*(Inputs!$J$8-Inputs!$I$8)))/Inputs!$C$49)+Inputs!$C$47*0.137))+0.35*COS(2*PI()*(((Inputs!$C$6)/Inputs!$C$50)+Inputs!$C$47*0.173))+0.20*SIN(2*PI()*((((Inputs!$I$8+(((A132)+1)/2)*(Inputs!$J$8-Inputs!$I$8)))+(Inputs!$C$6))/(0.5*(Inputs!$C$49+Inputs!$C$50))+Inputs!$C$47*0.097)))+0.30*(2*((SIN((((Inputs!$I$8+(((A132)+1)/2)*(Inputs!$J$8-Inputs!$I$8)))*12.9898+(Inputs!$C$6)*78.233+Inputs!$C$47*37.719))*43758.5453)-INT((SIN((((Inputs!$I$8+(((A132)+1)/2)*(Inputs!$J$8-Inputs!$I$8)))*12.9898+(Inputs!$C$6)*78.233+Inputs!$C$47*37.719))*43758.5453)))-1))),NA())</x:f>
        <x:v>104.61410316727174</x:v>
      </x:c>
      <x:c r="AV132" s="48" t="n">
        <x: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(0.45*SIN(2*PI()*((((Inputs!$I$9+(((A132)+1)/2)*(Inputs!$J$9-Inputs!$I$9)))/Inputs!$C$49)+Inputs!$C$47*0.137))+0.35*COS(2*PI()*(((Inputs!$C$6)/Inputs!$C$50)+Inputs!$C$47*0.173))+0.20*SIN(2*PI()*((((Inputs!$I$9+(((A132)+1)/2)*(Inputs!$J$9-Inputs!$I$9)))+(Inputs!$C$6))/(0.5*(Inputs!$C$49+Inputs!$C$50))+Inputs!$C$47*0.097)))+0.30*(2*((SIN((((Inputs!$I$9+(((A132)+1)/2)*(Inputs!$J$9-Inputs!$I$9)))*12.9898+(Inputs!$C$6)*78.233+Inputs!$C$47*37.719))*43758.5453)-INT((SIN((((Inputs!$I$9+(((A132)+1)/2)*(Inputs!$J$9-Inputs!$I$9)))*12.9898+(Inputs!$C$6)*78.233+Inputs!$C$47*37.719))*43758.5453)))-1))),NA())</x:f>
        <x:v>104.61410316727174</x:v>
      </x:c>
      <x:c r="AW132" s="49"/>
      <x:c r="AX132" s="48" t="n">
        <x:f>A132</x:f>
        <x:v>0.083</x:v>
      </x:c>
      <x:c r="AY132" s="48" t="n">
        <x:f>0</x:f>
        <x:v>0</x:v>
      </x:c>
      <x:c r="AZ132" s="48" t="n">
        <x:f>IF(OR(Inputs!$F$6=TRUE,Inputs!$F$6="TRUE",Inputs!$F$6=1),(Inputs!$H$6+Inputs!$L$6*(((Inputs!$I$6+(((A132)+1)/2)*(Inputs!$J$6-Inputs!$I$6)))/Inputs!$K$6)^2),NA())</x:f>
        <x:v>400.027556</x:v>
      </x:c>
      <x:c r="BA132" s="48" t="n">
        <x:f>IF(OR(Inputs!$F$7=TRUE,Inputs!$F$7="TRUE",Inputs!$F$7=1),(Inputs!$H$7+Inputs!$L$7*(((Inputs!$I$7+(((A132)+1)/2)*(Inputs!$J$7-Inputs!$I$7)))/Inputs!$K$7)^2),NA())</x:f>
        <x:v>37.514485</x:v>
      </x:c>
      <x:c r="BB132" s="48" t="n">
        <x:f>IF(OR(Inputs!$F$8=TRUE,Inputs!$F$8="TRUE",Inputs!$F$8=1),(Inputs!$H$8+Inputs!$L$8*(((Inputs!$I$8+(((A132)+1)/2)*(Inputs!$J$8-Inputs!$I$8)))/Inputs!$K$8)^2),NA())</x:f>
        <x:v>41.647884999999995</x:v>
      </x:c>
      <x:c r="BC132" s="48" t="n">
        <x:f>IF(OR(Inputs!$F$9=TRUE,Inputs!$F$9="TRUE",Inputs!$F$9=1),(Inputs!$H$9+Inputs!$L$9*(((Inputs!$I$9+(((A132)+1)/2)*(Inputs!$J$9-Inputs!$I$9)))/Inputs!$K$9)^2),NA())</x:f>
        <x:v>31.716774999999995</x:v>
      </x:c>
      <x:c r="BD132" s="49"/>
      <x:c r="BE132" s="48" t="n">
        <x:f>A132</x:f>
        <x:v>0.083</x:v>
      </x:c>
      <x:c r="BF132" s="48" t="n">
        <x:f>0</x:f>
        <x:v>0</x:v>
      </x:c>
      <x:c r="BG132" s="48"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BH132" s="48"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BI132" s="48"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BJ132" s="48"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row>
    <x:row r="133">
      <x:c r="A133" s="48" t="n">
        <x:f>ROUND(-1+131*2/240,3)</x:f>
        <x:v>0.092</x:v>
      </x:c>
      <x:c r="B133" s="48" t="n">
        <x:f>IF(OR(Inputs!$F$6=TRUE,Inputs!$F$6="TRUE",Inputs!$F$6=1),(Inputs!$H$6+Inputs!$L$6*(((Inputs!$I$6+(((A133)+1)/2)*(Inputs!$J$6-Inputs!$I$6)))/Inputs!$K$6)^2),NA())</x:f>
        <x:v>400.033856</x:v>
      </x:c>
      <x:c r="C133" s="48" t="n">
        <x:f>IF(OR(Inputs!$F$7=TRUE,Inputs!$F$7="TRUE",Inputs!$F$7=1),(Inputs!$H$7+Inputs!$L$7*(((Inputs!$I$7+(((A133)+1)/2)*(Inputs!$J$7-Inputs!$I$7)))/Inputs!$K$7)^2),NA())</x:f>
        <x:v>38.08936</x:v>
      </x:c>
      <x:c r="D133" s="48" t="n">
        <x:f>IF(OR(Inputs!$F$8=TRUE,Inputs!$F$8="TRUE",Inputs!$F$8=1),(Inputs!$H$8+Inputs!$L$8*(((Inputs!$I$8+(((A133)+1)/2)*(Inputs!$J$8-Inputs!$I$8)))/Inputs!$K$8)^2),NA())</x:f>
        <x:v>43.16776</x:v>
      </x:c>
      <x:c r="E133" s="48" t="n">
        <x:f>IF(OR(Inputs!$F$9=TRUE,Inputs!$F$9="TRUE",Inputs!$F$9=1),(Inputs!$H$9+Inputs!$L$9*(((Inputs!$I$9+(((A133)+1)/2)*(Inputs!$J$9-Inputs!$I$9)))/Inputs!$K$9)^2),NA())</x:f>
        <x:v>33.25240000000001</x:v>
      </x:c>
      <x:c r="F133" s="49"/>
      <x:c r="G133" s="48" t="n">
        <x:f>A133</x:f>
        <x:v>0.092</x:v>
      </x:c>
      <x:c r="H133" s="48"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I133" s="48"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J133" s="48"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K133" s="48"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c r="L133" s="49"/>
      <x:c r="M133" s="48" t="n">
        <x:f>A133</x:f>
        <x:v>0.092</x:v>
      </x:c>
      <x:c r="N133" s="48" t="n">
        <x: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x:f>
        <x:v>-47.2510789672273</x:v>
      </x:c>
      <x:c r="O133" s="48" t="n">
        <x: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x:f>
        <x:v>-1198.979589355481</x:v>
      </x:c>
      <x:c r="P133" s="48" t="n">
        <x: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x:f>
        <x:v>-1524.7524745215871</x:v>
      </x:c>
      <x:c r="Q133" s="48" t="n">
        <x: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x:f>
        <x:v>-1557.481764365157</x:v>
      </x:c>
      <x:c r="R133" s="49"/>
      <x:c r="S133" s="48" t="n">
        <x:f>A133</x:f>
        <x:v>0.092</x:v>
      </x:c>
      <x:c r="T133" s="48" t="n">
        <x:f>(Inputs!$I$6+(((A133)+1)/2)*(Inputs!$J$6-Inputs!$I$6))</x:f>
        <x:v>5.52000000000001</x:v>
      </x:c>
      <x:c r="U133" s="48" t="n">
        <x:f>(Inputs!$I$7+(((A133)+1)/2)*(Inputs!$J$7-Inputs!$I$7))</x:f>
        <x:v>36.80000000000001</x:v>
      </x:c>
      <x:c r="V133" s="48" t="n">
        <x:f>(Inputs!$I$8+(((A133)+1)/2)*(Inputs!$J$8-Inputs!$I$8))</x:f>
        <x:v>73.60000000000002</x:v>
      </x:c>
      <x:c r="W133" s="48" t="n">
        <x:f>(Inputs!$I$9+(((A133)+1)/2)*(Inputs!$J$9-Inputs!$I$9))</x:f>
        <x:v>73.60000000000002</x:v>
      </x:c>
      <x:c r="X133" s="49"/>
      <x:c r="Y133" s="48" t="n">
        <x:f>A133</x:f>
        <x:v>0.092</x:v>
      </x:c>
      <x:c r="Z133" s="48" t="n">
        <x:f>(Inputs!$H$6+Inputs!$L$6*(((Inputs!$I$6+(((A133)+1)/2)*(Inputs!$J$6-Inputs!$I$6)))/Inputs!$K$6)^2)</x:f>
        <x:v>400.033856</x:v>
      </x:c>
      <x:c r="AA133" s="48" t="n">
        <x:f>(Inputs!$H$7+Inputs!$L$7*(((Inputs!$I$7+(((A133)+1)/2)*(Inputs!$J$7-Inputs!$I$7)))/Inputs!$K$7)^2)</x:f>
        <x:v>38.08936</x:v>
      </x:c>
      <x:c r="AB133" s="48" t="n">
        <x:f>(Inputs!$H$8+Inputs!$L$8*(((Inputs!$I$8+(((A133)+1)/2)*(Inputs!$J$8-Inputs!$I$8)))/Inputs!$K$8)^2)</x:f>
        <x:v>43.16776</x:v>
      </x:c>
      <x:c r="AC133" s="48" t="n">
        <x:f>(Inputs!$H$9+Inputs!$L$9*(((Inputs!$I$9+(((A133)+1)/2)*(Inputs!$J$9-Inputs!$I$9)))/Inputs!$K$9)^2)</x:f>
        <x:v>33.25240000000001</x:v>
      </x:c>
      <x:c r="AD133" s="49"/>
      <x:c r="AE133" s="48" t="n">
        <x:f>A133</x:f>
        <x:v>0.092</x:v>
      </x:c>
      <x:c r="AF133" s="48" t="n">
        <x:f>(((SQRT((Inputs!$C$52+((Inputs!$H$6+Inputs!$L$6*(((Inputs!$I$6+(((A133)+1)/2)*(Inputs!$J$6-Inputs!$I$6)))/Inputs!$K$6)^2)))^2+Inputs!$C$52^2-2*(Inputs!$C$52+((Inputs!$H$6+Inputs!$L$6*(((Inputs!$I$6+(((A133)+1)/2)*(Inputs!$J$6-Inputs!$I$6)))/Inputs!$K$6)^2)))*Inputs!$C$52*COS(SQRT(((Inputs!$I$6+(((A133)+1)/2)*(Inputs!$J$6-Inputs!$I$6)))^2+Inputs!$C$6^2)/Inputs!$C$52)))-((Inputs!$H$6+Inputs!$L$6*(((Inputs!$I$6+(((A133)+1)/2)*(Inputs!$J$6-Inputs!$I$6)))/Inputs!$K$6)^2)))*1000/Inputs!$C$12)</x:f>
        <x:v>577.4741253522795</x:v>
      </x:c>
      <x:c r="AG133" s="48" t="n">
        <x:f>(((SQRT((Inputs!$C$52+((Inputs!$H$7+Inputs!$L$7*(((Inputs!$I$7+(((A133)+1)/2)*(Inputs!$J$7-Inputs!$I$7)))/Inputs!$K$7)^2)))^2+Inputs!$C$52^2-2*(Inputs!$C$52+((Inputs!$H$7+Inputs!$L$7*(((Inputs!$I$7+(((A133)+1)/2)*(Inputs!$J$7-Inputs!$I$7)))/Inputs!$K$7)^2)))*Inputs!$C$52*COS(SQRT(((Inputs!$I$7+(((A133)+1)/2)*(Inputs!$J$7-Inputs!$I$7)))^2+Inputs!$C$6^2)/Inputs!$C$52)))-((Inputs!$H$7+Inputs!$L$7*(((Inputs!$I$7+(((A133)+1)/2)*(Inputs!$J$7-Inputs!$I$7)))/Inputs!$K$7)^2)))*1000/Inputs!$C$12)</x:f>
        <x:v>11734.231066539389</x:v>
      </x:c>
      <x:c r="AH133" s="48" t="n">
        <x:f>(((SQRT((Inputs!$C$52+((Inputs!$H$8+Inputs!$L$8*(((Inputs!$I$8+(((A133)+1)/2)*(Inputs!$J$8-Inputs!$I$8)))/Inputs!$K$8)^2)))^2+Inputs!$C$52^2-2*(Inputs!$C$52+((Inputs!$H$8+Inputs!$L$8*(((Inputs!$I$8+(((A133)+1)/2)*(Inputs!$J$8-Inputs!$I$8)))/Inputs!$K$8)^2)))*Inputs!$C$52*COS(SQRT(((Inputs!$I$8+(((A133)+1)/2)*(Inputs!$J$8-Inputs!$I$8)))^2+Inputs!$C$6^2)/Inputs!$C$52)))-((Inputs!$H$8+Inputs!$L$8*(((Inputs!$I$8+(((A133)+1)/2)*(Inputs!$J$8-Inputs!$I$8)))/Inputs!$K$8)^2)))*1000/Inputs!$C$12)</x:f>
        <x:v>26220.39695278472</x:v>
      </x:c>
      <x:c r="AI133" s="48" t="n">
        <x:f>(((SQRT((Inputs!$C$52+((Inputs!$H$9+Inputs!$L$9*(((Inputs!$I$9+(((A133)+1)/2)*(Inputs!$J$9-Inputs!$I$9)))/Inputs!$K$9)^2)))^2+Inputs!$C$52^2-2*(Inputs!$C$52+((Inputs!$H$9+Inputs!$L$9*(((Inputs!$I$9+(((A133)+1)/2)*(Inputs!$J$9-Inputs!$I$9)))/Inputs!$K$9)^2)))*Inputs!$C$52*COS(SQRT(((Inputs!$I$9+(((A133)+1)/2)*(Inputs!$J$9-Inputs!$I$9)))^2+Inputs!$C$6^2)/Inputs!$C$52)))-((Inputs!$H$9+Inputs!$L$9*(((Inputs!$I$9+(((A133)+1)/2)*(Inputs!$J$9-Inputs!$I$9)))/Inputs!$K$9)^2)))*1000/Inputs!$C$12)</x:f>
        <x:v>29237.06024749032</x:v>
      </x:c>
      <x:c r="AJ133" s="49"/>
      <x:c r="AK133" s="48" t="n">
        <x:f>A133</x:f>
        <x:v>0.092</x:v>
      </x:c>
      <x:c r="AL133" s="48" t="n">
        <x: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x:f>
        <x:v>-47.2510789672273</x:v>
      </x:c>
      <x:c r="AM133" s="48" t="n">
        <x: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x:f>
        <x:v>-1198.979589355481</x:v>
      </x:c>
      <x:c r="AN133" s="48" t="n">
        <x: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x:f>
        <x:v>-1524.7524745215871</x:v>
      </x:c>
      <x:c r="AO133" s="48" t="n">
        <x: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x:f>
        <x:v>-1557.481764365157</x:v>
      </x:c>
      <x:c r="AP133" s="49"/>
      <x:c r="AQ133" s="48" t="n">
        <x:f>A133</x:f>
        <x:v>0.092</x:v>
      </x:c>
      <x:c r="AR133" s="48" t="n">
        <x:f>0</x:f>
        <x:v>0</x:v>
      </x:c>
      <x:c r="AS133" s="48" t="n">
        <x: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(0.45*SIN(2*PI()*((((Inputs!$I$6+(((A133)+1)/2)*(Inputs!$J$6-Inputs!$I$6)))/Inputs!$C$49)+Inputs!$C$47*0.137))+0.35*COS(2*PI()*(((Inputs!$C$6)/Inputs!$C$50)+Inputs!$C$47*0.173))+0.20*SIN(2*PI()*((((Inputs!$I$6+(((A133)+1)/2)*(Inputs!$J$6-Inputs!$I$6)))+(Inputs!$C$6))/(0.5*(Inputs!$C$49+Inputs!$C$50))+Inputs!$C$47*0.097)))+0.30*(2*((SIN((((Inputs!$I$6+(((A133)+1)/2)*(Inputs!$J$6-Inputs!$I$6)))*12.9898+(Inputs!$C$6)*78.233+Inputs!$C$47*37.719))*43758.5453)-INT((SIN((((Inputs!$I$6+(((A133)+1)/2)*(Inputs!$J$6-Inputs!$I$6)))*12.9898+(Inputs!$C$6)*78.233+Inputs!$C$47*37.719))*43758.5453)))-1))),NA())</x:f>
        <x:v>540.3908500966397</x:v>
      </x:c>
      <x:c r="AT133" s="48" t="n">
        <x: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(0.45*SIN(2*PI()*((((Inputs!$I$7+(((A133)+1)/2)*(Inputs!$J$7-Inputs!$I$7)))/Inputs!$C$49)+Inputs!$C$47*0.137))+0.35*COS(2*PI()*(((Inputs!$C$6)/Inputs!$C$50)+Inputs!$C$47*0.173))+0.20*SIN(2*PI()*((((Inputs!$I$7+(((A133)+1)/2)*(Inputs!$J$7-Inputs!$I$7)))+(Inputs!$C$6))/(0.5*(Inputs!$C$49+Inputs!$C$50))+Inputs!$C$47*0.097)))+0.30*(2*((SIN((((Inputs!$I$7+(((A133)+1)/2)*(Inputs!$J$7-Inputs!$I$7)))*12.9898+(Inputs!$C$6)*78.233+Inputs!$C$47*37.719))*43758.5453)-INT((SIN((((Inputs!$I$7+(((A133)+1)/2)*(Inputs!$J$7-Inputs!$I$7)))*12.9898+(Inputs!$C$6)*78.233+Inputs!$C$47*37.719))*43758.5453)))-1))),NA())</x:f>
        <x:v>276.8222629104589</x:v>
      </x:c>
      <x:c r="AU133" s="48" t="n">
        <x: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(0.45*SIN(2*PI()*((((Inputs!$I$8+(((A133)+1)/2)*(Inputs!$J$8-Inputs!$I$8)))/Inputs!$C$49)+Inputs!$C$47*0.137))+0.35*COS(2*PI()*(((Inputs!$C$6)/Inputs!$C$50)+Inputs!$C$47*0.173))+0.20*SIN(2*PI()*((((Inputs!$I$8+(((A133)+1)/2)*(Inputs!$J$8-Inputs!$I$8)))+(Inputs!$C$6))/(0.5*(Inputs!$C$49+Inputs!$C$50))+Inputs!$C$47*0.097)))+0.30*(2*((SIN((((Inputs!$I$8+(((A133)+1)/2)*(Inputs!$J$8-Inputs!$I$8)))*12.9898+(Inputs!$C$6)*78.233+Inputs!$C$47*37.719))*43758.5453)-INT((SIN((((Inputs!$I$8+(((A133)+1)/2)*(Inputs!$J$8-Inputs!$I$8)))*12.9898+(Inputs!$C$6)*78.233+Inputs!$C$47*37.719))*43758.5453)))-1))),NA())</x:f>
        <x:v>187.2798993778059</x:v>
      </x:c>
      <x:c r="AV133" s="48" t="n">
        <x: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(0.45*SIN(2*PI()*((((Inputs!$I$9+(((A133)+1)/2)*(Inputs!$J$9-Inputs!$I$9)))/Inputs!$C$49)+Inputs!$C$47*0.137))+0.35*COS(2*PI()*(((Inputs!$C$6)/Inputs!$C$50)+Inputs!$C$47*0.173))+0.20*SIN(2*PI()*((((Inputs!$I$9+(((A133)+1)/2)*(Inputs!$J$9-Inputs!$I$9)))+(Inputs!$C$6))/(0.5*(Inputs!$C$49+Inputs!$C$50))+Inputs!$C$47*0.097)))+0.30*(2*((SIN((((Inputs!$I$9+(((A133)+1)/2)*(Inputs!$J$9-Inputs!$I$9)))*12.9898+(Inputs!$C$6)*78.233+Inputs!$C$47*37.719))*43758.5453)-INT((SIN((((Inputs!$I$9+(((A133)+1)/2)*(Inputs!$J$9-Inputs!$I$9)))*12.9898+(Inputs!$C$6)*78.233+Inputs!$C$47*37.719))*43758.5453)))-1))),NA())</x:f>
        <x:v>187.2798993778059</x:v>
      </x:c>
      <x:c r="AW133" s="49"/>
      <x:c r="AX133" s="48" t="n">
        <x:f>A133</x:f>
        <x:v>0.092</x:v>
      </x:c>
      <x:c r="AY133" s="48" t="n">
        <x:f>0</x:f>
        <x:v>0</x:v>
      </x:c>
      <x:c r="AZ133" s="48" t="n">
        <x:f>IF(OR(Inputs!$F$6=TRUE,Inputs!$F$6="TRUE",Inputs!$F$6=1),(Inputs!$H$6+Inputs!$L$6*(((Inputs!$I$6+(((A133)+1)/2)*(Inputs!$J$6-Inputs!$I$6)))/Inputs!$K$6)^2),NA())</x:f>
        <x:v>400.033856</x:v>
      </x:c>
      <x:c r="BA133" s="48" t="n">
        <x:f>IF(OR(Inputs!$F$7=TRUE,Inputs!$F$7="TRUE",Inputs!$F$7=1),(Inputs!$H$7+Inputs!$L$7*(((Inputs!$I$7+(((A133)+1)/2)*(Inputs!$J$7-Inputs!$I$7)))/Inputs!$K$7)^2),NA())</x:f>
        <x:v>38.08936</x:v>
      </x:c>
      <x:c r="BB133" s="48" t="n">
        <x:f>IF(OR(Inputs!$F$8=TRUE,Inputs!$F$8="TRUE",Inputs!$F$8=1),(Inputs!$H$8+Inputs!$L$8*(((Inputs!$I$8+(((A133)+1)/2)*(Inputs!$J$8-Inputs!$I$8)))/Inputs!$K$8)^2),NA())</x:f>
        <x:v>43.16776</x:v>
      </x:c>
      <x:c r="BC133" s="48" t="n">
        <x:f>IF(OR(Inputs!$F$9=TRUE,Inputs!$F$9="TRUE",Inputs!$F$9=1),(Inputs!$H$9+Inputs!$L$9*(((Inputs!$I$9+(((A133)+1)/2)*(Inputs!$J$9-Inputs!$I$9)))/Inputs!$K$9)^2),NA())</x:f>
        <x:v>33.25240000000001</x:v>
      </x:c>
      <x:c r="BD133" s="49"/>
      <x:c r="BE133" s="48" t="n">
        <x:f>A133</x:f>
        <x:v>0.092</x:v>
      </x:c>
      <x:c r="BF133" s="48" t="n">
        <x:f>0</x:f>
        <x:v>0</x:v>
      </x:c>
      <x:c r="BG133" s="48"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BH133" s="48"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BI133" s="48"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BJ133" s="48"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row>
    <x:row r="134">
      <x:c r="A134" s="48" t="n">
        <x:f>ROUND(-1+132*2/240,3)</x:f>
        <x:v>0.1</x:v>
      </x:c>
      <x:c r="B134" s="48" t="n">
        <x:f>IF(OR(Inputs!$F$6=TRUE,Inputs!$F$6="TRUE",Inputs!$F$6=1),(Inputs!$H$6+Inputs!$L$6*(((Inputs!$I$6+(((A134)+1)/2)*(Inputs!$J$6-Inputs!$I$6)))/Inputs!$K$6)^2),NA())</x:f>
        <x:v>400.04</x:v>
      </x:c>
      <x:c r="C134" s="48" t="n">
        <x:f>IF(OR(Inputs!$F$7=TRUE,Inputs!$F$7="TRUE",Inputs!$F$7=1),(Inputs!$H$7+Inputs!$L$7*(((Inputs!$I$7+(((A134)+1)/2)*(Inputs!$J$7-Inputs!$I$7)))/Inputs!$K$7)^2),NA())</x:f>
        <x:v>38.65000000000001</x:v>
      </x:c>
      <x:c r="D134" s="48" t="n">
        <x:f>IF(OR(Inputs!$F$8=TRUE,Inputs!$F$8="TRUE",Inputs!$F$8=1),(Inputs!$H$8+Inputs!$L$8*(((Inputs!$I$8+(((A134)+1)/2)*(Inputs!$J$8-Inputs!$I$8)))/Inputs!$K$8)^2),NA())</x:f>
        <x:v>44.65000000000003</x:v>
      </x:c>
      <x:c r="E134" s="48" t="n">
        <x:f>IF(OR(Inputs!$F$9=TRUE,Inputs!$F$9="TRUE",Inputs!$F$9=1),(Inputs!$H$9+Inputs!$L$9*(((Inputs!$I$9+(((A134)+1)/2)*(Inputs!$J$9-Inputs!$I$9)))/Inputs!$K$9)^2),NA())</x:f>
        <x:v>34.75000000000003</x:v>
      </x:c>
      <x:c r="F134" s="49"/>
      <x:c r="G134" s="48" t="n">
        <x:f>A134</x:f>
        <x:v>0.1</x:v>
      </x:c>
      <x:c r="H134" s="48"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I134" s="48"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J134" s="48"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K134" s="48"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c r="L134" s="49"/>
      <x:c r="M134" s="48" t="n">
        <x:f>A134</x:f>
        <x:v>0.1</x:v>
      </x:c>
      <x:c r="N134" s="48" t="n">
        <x: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x:f>
        <x:v>-51.35847818260713</x:v>
      </x:c>
      <x:c r="O134" s="48" t="n">
        <x: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x:f>
        <x:v>-1254.5616506235951</x:v>
      </x:c>
      <x:c r="P134" s="48" t="n">
        <x: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x:f>
        <x:v>-1559.2372196507552</x:v>
      </x:c>
      <x:c r="Q134" s="48" t="n">
        <x: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x:f>
        <x:v>-1585.650836580191</x:v>
      </x:c>
      <x:c r="R134" s="49"/>
      <x:c r="S134" s="48" t="n">
        <x:f>A134</x:f>
        <x:v>0.1</x:v>
      </x:c>
      <x:c r="T134" s="48" t="n">
        <x:f>(Inputs!$I$6+(((A134)+1)/2)*(Inputs!$J$6-Inputs!$I$6))</x:f>
        <x:v>6</x:v>
      </x:c>
      <x:c r="U134" s="48" t="n">
        <x:f>(Inputs!$I$7+(((A134)+1)/2)*(Inputs!$J$7-Inputs!$I$7))</x:f>
        <x:v>40.00000000000006</x:v>
      </x:c>
      <x:c r="V134" s="48" t="n">
        <x:f>(Inputs!$I$8+(((A134)+1)/2)*(Inputs!$J$8-Inputs!$I$8))</x:f>
        <x:v>80.00000000000011</x:v>
      </x:c>
      <x:c r="W134" s="48" t="n">
        <x:f>(Inputs!$I$9+(((A134)+1)/2)*(Inputs!$J$9-Inputs!$I$9))</x:f>
        <x:v>80.00000000000011</x:v>
      </x:c>
      <x:c r="X134" s="49"/>
      <x:c r="Y134" s="48" t="n">
        <x:f>A134</x:f>
        <x:v>0.1</x:v>
      </x:c>
      <x:c r="Z134" s="48" t="n">
        <x:f>(Inputs!$H$6+Inputs!$L$6*(((Inputs!$I$6+(((A134)+1)/2)*(Inputs!$J$6-Inputs!$I$6)))/Inputs!$K$6)^2)</x:f>
        <x:v>400.04</x:v>
      </x:c>
      <x:c r="AA134" s="48" t="n">
        <x:f>(Inputs!$H$7+Inputs!$L$7*(((Inputs!$I$7+(((A134)+1)/2)*(Inputs!$J$7-Inputs!$I$7)))/Inputs!$K$7)^2)</x:f>
        <x:v>38.65000000000001</x:v>
      </x:c>
      <x:c r="AB134" s="48" t="n">
        <x:f>(Inputs!$H$8+Inputs!$L$8*(((Inputs!$I$8+(((A134)+1)/2)*(Inputs!$J$8-Inputs!$I$8)))/Inputs!$K$8)^2)</x:f>
        <x:v>44.65000000000003</x:v>
      </x:c>
      <x:c r="AC134" s="48" t="n">
        <x:f>(Inputs!$H$9+Inputs!$L$9*(((Inputs!$I$9+(((A134)+1)/2)*(Inputs!$J$9-Inputs!$I$9)))/Inputs!$K$9)^2)</x:f>
        <x:v>34.75000000000003</x:v>
      </x:c>
      <x:c r="AD134" s="49"/>
      <x:c r="AE134" s="48" t="n">
        <x:f>A134</x:f>
        <x:v>0.1</x:v>
      </x:c>
      <x:c r="AF134" s="48" t="n">
        <x:f>(((SQRT((Inputs!$C$52+((Inputs!$H$6+Inputs!$L$6*(((Inputs!$I$6+(((A134)+1)/2)*(Inputs!$J$6-Inputs!$I$6)))/Inputs!$K$6)^2)))^2+Inputs!$C$52^2-2*(Inputs!$C$52+((Inputs!$H$6+Inputs!$L$6*(((Inputs!$I$6+(((A134)+1)/2)*(Inputs!$J$6-Inputs!$I$6)))/Inputs!$K$6)^2)))*Inputs!$C$52*COS(SQRT(((Inputs!$I$6+(((A134)+1)/2)*(Inputs!$J$6-Inputs!$I$6)))^2+Inputs!$C$6^2)/Inputs!$C$52)))-((Inputs!$H$6+Inputs!$L$6*(((Inputs!$I$6+(((A134)+1)/2)*(Inputs!$J$6-Inputs!$I$6)))/Inputs!$K$6)^2)))*1000/Inputs!$C$12)</x:f>
        <x:v>582.3322387853748</x:v>
      </x:c>
      <x:c r="AG134" s="48" t="n">
        <x:f>(((SQRT((Inputs!$C$52+((Inputs!$H$7+Inputs!$L$7*(((Inputs!$I$7+(((A134)+1)/2)*(Inputs!$J$7-Inputs!$I$7)))/Inputs!$K$7)^2)))^2+Inputs!$C$52^2-2*(Inputs!$C$52+((Inputs!$H$7+Inputs!$L$7*(((Inputs!$I$7+(((A134)+1)/2)*(Inputs!$J$7-Inputs!$I$7)))/Inputs!$K$7)^2)))*Inputs!$C$52*COS(SQRT(((Inputs!$I$7+(((A134)+1)/2)*(Inputs!$J$7-Inputs!$I$7)))^2+Inputs!$C$6^2)/Inputs!$C$52)))-((Inputs!$H$7+Inputs!$L$7*(((Inputs!$I$7+(((A134)+1)/2)*(Inputs!$J$7-Inputs!$I$7)))/Inputs!$K$7)^2)))*1000/Inputs!$C$12)</x:f>
        <x:v>12798.217426138652</x:v>
      </x:c>
      <x:c r="AH134" s="48" t="n">
        <x:f>(((SQRT((Inputs!$C$52+((Inputs!$H$8+Inputs!$L$8*(((Inputs!$I$8+(((A134)+1)/2)*(Inputs!$J$8-Inputs!$I$8)))/Inputs!$K$8)^2)))^2+Inputs!$C$52^2-2*(Inputs!$C$52+((Inputs!$H$8+Inputs!$L$8*(((Inputs!$I$8+(((A134)+1)/2)*(Inputs!$J$8-Inputs!$I$8)))/Inputs!$K$8)^2)))*Inputs!$C$52*COS(SQRT(((Inputs!$I$8+(((A134)+1)/2)*(Inputs!$J$8-Inputs!$I$8)))^2+Inputs!$C$6^2)/Inputs!$C$52)))-((Inputs!$H$8+Inputs!$L$8*(((Inputs!$I$8+(((A134)+1)/2)*(Inputs!$J$8-Inputs!$I$8)))/Inputs!$K$8)^2)))*1000/Inputs!$C$12)</x:f>
        <x:v>28853.731148627205</x:v>
      </x:c>
      <x:c r="AI134" s="48" t="n">
        <x:f>(((SQRT((Inputs!$C$52+((Inputs!$H$9+Inputs!$L$9*(((Inputs!$I$9+(((A134)+1)/2)*(Inputs!$J$9-Inputs!$I$9)))/Inputs!$K$9)^2)))^2+Inputs!$C$52^2-2*(Inputs!$C$52+((Inputs!$H$9+Inputs!$L$9*(((Inputs!$I$9+(((A134)+1)/2)*(Inputs!$J$9-Inputs!$I$9)))/Inputs!$K$9)^2)))*Inputs!$C$52*COS(SQRT(((Inputs!$I$9+(((A134)+1)/2)*(Inputs!$J$9-Inputs!$I$9)))^2+Inputs!$C$6^2)/Inputs!$C$52)))-((Inputs!$H$9+Inputs!$L$9*(((Inputs!$I$9+(((A134)+1)/2)*(Inputs!$J$9-Inputs!$I$9)))/Inputs!$K$9)^2)))*1000/Inputs!$C$12)</x:f>
        <x:v>31928.029627044714</x:v>
      </x:c>
      <x:c r="AJ134" s="49"/>
      <x:c r="AK134" s="48" t="n">
        <x:f>A134</x:f>
        <x:v>0.1</x:v>
      </x:c>
      <x:c r="AL134" s="48" t="n">
        <x: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x:f>
        <x:v>-51.35847818260713</x:v>
      </x:c>
      <x:c r="AM134" s="48" t="n">
        <x: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x:f>
        <x:v>-1254.5616506235951</x:v>
      </x:c>
      <x:c r="AN134" s="48" t="n">
        <x: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x:f>
        <x:v>-1559.2372196507552</x:v>
      </x:c>
      <x:c r="AO134" s="48" t="n">
        <x: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x:f>
        <x:v>-1585.650836580191</x:v>
      </x:c>
      <x:c r="AP134" s="49"/>
      <x:c r="AQ134" s="48" t="n">
        <x:f>A134</x:f>
        <x:v>0.1</x:v>
      </x:c>
      <x:c r="AR134" s="48" t="n">
        <x:f>0</x:f>
        <x:v>0</x:v>
      </x:c>
      <x:c r="AS134" s="48" t="n">
        <x: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(0.45*SIN(2*PI()*((((Inputs!$I$6+(((A134)+1)/2)*(Inputs!$J$6-Inputs!$I$6)))/Inputs!$C$49)+Inputs!$C$47*0.137))+0.35*COS(2*PI()*(((Inputs!$C$6)/Inputs!$C$50)+Inputs!$C$47*0.173))+0.20*SIN(2*PI()*((((Inputs!$I$6+(((A134)+1)/2)*(Inputs!$J$6-Inputs!$I$6)))+(Inputs!$C$6))/(0.5*(Inputs!$C$49+Inputs!$C$50))+Inputs!$C$47*0.097)))+0.30*(2*((SIN((((Inputs!$I$6+(((A134)+1)/2)*(Inputs!$J$6-Inputs!$I$6)))*12.9898+(Inputs!$C$6)*78.233+Inputs!$C$47*37.719))*43758.5453)-INT((SIN((((Inputs!$I$6+(((A134)+1)/2)*(Inputs!$J$6-Inputs!$I$6)))*12.9898+(Inputs!$C$6)*78.233+Inputs!$C$47*37.719))*43758.5453)))-1))),NA())</x:f>
        <x:v>533.6920620973987</x:v>
      </x:c>
      <x:c r="AT134" s="48" t="n">
        <x: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(0.45*SIN(2*PI()*((((Inputs!$I$7+(((A134)+1)/2)*(Inputs!$J$7-Inputs!$I$7)))/Inputs!$C$49)+Inputs!$C$47*0.137))+0.35*COS(2*PI()*(((Inputs!$C$6)/Inputs!$C$50)+Inputs!$C$47*0.173))+0.20*SIN(2*PI()*((((Inputs!$I$7+(((A134)+1)/2)*(Inputs!$J$7-Inputs!$I$7)))+(Inputs!$C$6))/(0.5*(Inputs!$C$49+Inputs!$C$50))+Inputs!$C$47*0.097)))+0.30*(2*((SIN((((Inputs!$I$7+(((A134)+1)/2)*(Inputs!$J$7-Inputs!$I$7)))*12.9898+(Inputs!$C$6)*78.233+Inputs!$C$47*37.719))*43758.5453)-INT((SIN((((Inputs!$I$7+(((A134)+1)/2)*(Inputs!$J$7-Inputs!$I$7)))*12.9898+(Inputs!$C$6)*78.233+Inputs!$C$47*37.719))*43758.5453)))-1))),NA())</x:f>
        <x:v>304.82117388667854</x:v>
      </x:c>
      <x:c r="AU134" s="48" t="n">
        <x: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(0.45*SIN(2*PI()*((((Inputs!$I$8+(((A134)+1)/2)*(Inputs!$J$8-Inputs!$I$8)))/Inputs!$C$49)+Inputs!$C$47*0.137))+0.35*COS(2*PI()*(((Inputs!$C$6)/Inputs!$C$50)+Inputs!$C$47*0.173))+0.20*SIN(2*PI()*((((Inputs!$I$8+(((A134)+1)/2)*(Inputs!$J$8-Inputs!$I$8)))+(Inputs!$C$6))/(0.5*(Inputs!$C$49+Inputs!$C$50))+Inputs!$C$47*0.097)))+0.30*(2*((SIN((((Inputs!$I$8+(((A134)+1)/2)*(Inputs!$J$8-Inputs!$I$8)))*12.9898+(Inputs!$C$6)*78.233+Inputs!$C$47*37.719))*43758.5453)-INT((SIN((((Inputs!$I$8+(((A134)+1)/2)*(Inputs!$J$8-Inputs!$I$8)))*12.9898+(Inputs!$C$6)*78.233+Inputs!$C$47*37.719))*43758.5453)))-1))),NA())</x:f>
        <x:v>159.828372691413</x:v>
      </x:c>
      <x:c r="AV134" s="48" t="n">
        <x: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(0.45*SIN(2*PI()*((((Inputs!$I$9+(((A134)+1)/2)*(Inputs!$J$9-Inputs!$I$9)))/Inputs!$C$49)+Inputs!$C$47*0.137))+0.35*COS(2*PI()*(((Inputs!$C$6)/Inputs!$C$50)+Inputs!$C$47*0.173))+0.20*SIN(2*PI()*((((Inputs!$I$9+(((A134)+1)/2)*(Inputs!$J$9-Inputs!$I$9)))+(Inputs!$C$6))/(0.5*(Inputs!$C$49+Inputs!$C$50))+Inputs!$C$47*0.097)))+0.30*(2*((SIN((((Inputs!$I$9+(((A134)+1)/2)*(Inputs!$J$9-Inputs!$I$9)))*12.9898+(Inputs!$C$6)*78.233+Inputs!$C$47*37.719))*43758.5453)-INT((SIN((((Inputs!$I$9+(((A134)+1)/2)*(Inputs!$J$9-Inputs!$I$9)))*12.9898+(Inputs!$C$6)*78.233+Inputs!$C$47*37.719))*43758.5453)))-1))),NA())</x:f>
        <x:v>159.828372691413</x:v>
      </x:c>
      <x:c r="AW134" s="49"/>
      <x:c r="AX134" s="48" t="n">
        <x:f>A134</x:f>
        <x:v>0.1</x:v>
      </x:c>
      <x:c r="AY134" s="48" t="n">
        <x:f>0</x:f>
        <x:v>0</x:v>
      </x:c>
      <x:c r="AZ134" s="48" t="n">
        <x:f>IF(OR(Inputs!$F$6=TRUE,Inputs!$F$6="TRUE",Inputs!$F$6=1),(Inputs!$H$6+Inputs!$L$6*(((Inputs!$I$6+(((A134)+1)/2)*(Inputs!$J$6-Inputs!$I$6)))/Inputs!$K$6)^2),NA())</x:f>
        <x:v>400.04</x:v>
      </x:c>
      <x:c r="BA134" s="48" t="n">
        <x:f>IF(OR(Inputs!$F$7=TRUE,Inputs!$F$7="TRUE",Inputs!$F$7=1),(Inputs!$H$7+Inputs!$L$7*(((Inputs!$I$7+(((A134)+1)/2)*(Inputs!$J$7-Inputs!$I$7)))/Inputs!$K$7)^2),NA())</x:f>
        <x:v>38.65000000000001</x:v>
      </x:c>
      <x:c r="BB134" s="48" t="n">
        <x:f>IF(OR(Inputs!$F$8=TRUE,Inputs!$F$8="TRUE",Inputs!$F$8=1),(Inputs!$H$8+Inputs!$L$8*(((Inputs!$I$8+(((A134)+1)/2)*(Inputs!$J$8-Inputs!$I$8)))/Inputs!$K$8)^2),NA())</x:f>
        <x:v>44.65000000000003</x:v>
      </x:c>
      <x:c r="BC134" s="48" t="n">
        <x:f>IF(OR(Inputs!$F$9=TRUE,Inputs!$F$9="TRUE",Inputs!$F$9=1),(Inputs!$H$9+Inputs!$L$9*(((Inputs!$I$9+(((A134)+1)/2)*(Inputs!$J$9-Inputs!$I$9)))/Inputs!$K$9)^2),NA())</x:f>
        <x:v>34.75000000000003</x:v>
      </x:c>
      <x:c r="BD134" s="49"/>
      <x:c r="BE134" s="48" t="n">
        <x:f>A134</x:f>
        <x:v>0.1</x:v>
      </x:c>
      <x:c r="BF134" s="48" t="n">
        <x:f>0</x:f>
        <x:v>0</x:v>
      </x:c>
      <x:c r="BG134" s="48"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BH134" s="48"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BI134" s="48"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BJ134" s="48"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row>
    <x:row r="135">
      <x:c r="A135" s="48" t="n">
        <x:f>ROUND(-1+133*2/240,3)</x:f>
        <x:v>0.108</x:v>
      </x:c>
      <x:c r="B135" s="48" t="n">
        <x:f>IF(OR(Inputs!$F$6=TRUE,Inputs!$F$6="TRUE",Inputs!$F$6=1),(Inputs!$H$6+Inputs!$L$6*(((Inputs!$I$6+(((A135)+1)/2)*(Inputs!$J$6-Inputs!$I$6)))/Inputs!$K$6)^2),NA())</x:f>
        <x:v>400.046656</x:v>
      </x:c>
      <x:c r="C135" s="48" t="n">
        <x:f>IF(OR(Inputs!$F$7=TRUE,Inputs!$F$7="TRUE",Inputs!$F$7=1),(Inputs!$H$7+Inputs!$L$7*(((Inputs!$I$7+(((A135)+1)/2)*(Inputs!$J$7-Inputs!$I$7)))/Inputs!$K$7)^2),NA())</x:f>
        <x:v>39.257360000000006</x:v>
      </x:c>
      <x:c r="D135" s="48" t="n">
        <x:f>IF(OR(Inputs!$F$8=TRUE,Inputs!$F$8="TRUE",Inputs!$F$8=1),(Inputs!$H$8+Inputs!$L$8*(((Inputs!$I$8+(((A135)+1)/2)*(Inputs!$J$8-Inputs!$I$8)))/Inputs!$K$8)^2),NA())</x:f>
        <x:v>46.25576000000002</x:v>
      </x:c>
      <x:c r="E135" s="48" t="n">
        <x:f>IF(OR(Inputs!$F$9=TRUE,Inputs!$F$9="TRUE",Inputs!$F$9=1),(Inputs!$H$9+Inputs!$L$9*(((Inputs!$I$9+(((A135)+1)/2)*(Inputs!$J$9-Inputs!$I$9)))/Inputs!$K$9)^2),NA())</x:f>
        <x:v>36.37240000000002</x:v>
      </x:c>
      <x:c r="F135" s="49"/>
      <x:c r="G135" s="48" t="n">
        <x:f>A135</x:f>
        <x:v>0.108</x:v>
      </x:c>
      <x:c r="H135" s="48"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I135" s="48"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J135" s="48"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K135" s="48"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c r="L135" s="49"/>
      <x:c r="M135" s="48" t="n">
        <x:f>A135</x:f>
        <x:v>0.108</x:v>
      </x:c>
      <x:c r="N135" s="48" t="n">
        <x: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x:f>
        <x:v>-55.46553002030139</x:v>
      </x:c>
      <x:c r="O135" s="48" t="n">
        <x: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x:f>
        <x:v>-1304.5358380491314</x:v>
      </x:c>
      <x:c r="P135" s="48" t="n">
        <x: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x:f>
        <x:v>-1589.5208239516617</x:v>
      </x:c>
      <x:c r="Q135" s="48" t="n">
        <x: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x:f>
        <x:v>-1610.5555337184442</x:v>
      </x:c>
      <x:c r="R135" s="49"/>
      <x:c r="S135" s="48" t="n">
        <x:f>A135</x:f>
        <x:v>0.108</x:v>
      </x:c>
      <x:c r="T135" s="48" t="n">
        <x:f>(Inputs!$I$6+(((A135)+1)/2)*(Inputs!$J$6-Inputs!$I$6))</x:f>
        <x:v>6.480000000000004</x:v>
      </x:c>
      <x:c r="U135" s="48" t="n">
        <x:f>(Inputs!$I$7+(((A135)+1)/2)*(Inputs!$J$7-Inputs!$I$7))</x:f>
        <x:v>43.200000000000045</x:v>
      </x:c>
      <x:c r="V135" s="48" t="n">
        <x:f>(Inputs!$I$8+(((A135)+1)/2)*(Inputs!$J$8-Inputs!$I$8))</x:f>
        <x:v>86.40000000000009</x:v>
      </x:c>
      <x:c r="W135" s="48" t="n">
        <x:f>(Inputs!$I$9+(((A135)+1)/2)*(Inputs!$J$9-Inputs!$I$9))</x:f>
        <x:v>86.40000000000009</x:v>
      </x:c>
      <x:c r="X135" s="49"/>
      <x:c r="Y135" s="48" t="n">
        <x:f>A135</x:f>
        <x:v>0.108</x:v>
      </x:c>
      <x:c r="Z135" s="48" t="n">
        <x:f>(Inputs!$H$6+Inputs!$L$6*(((Inputs!$I$6+(((A135)+1)/2)*(Inputs!$J$6-Inputs!$I$6)))/Inputs!$K$6)^2)</x:f>
        <x:v>400.046656</x:v>
      </x:c>
      <x:c r="AA135" s="48" t="n">
        <x:f>(Inputs!$H$7+Inputs!$L$7*(((Inputs!$I$7+(((A135)+1)/2)*(Inputs!$J$7-Inputs!$I$7)))/Inputs!$K$7)^2)</x:f>
        <x:v>39.257360000000006</x:v>
      </x:c>
      <x:c r="AB135" s="48" t="n">
        <x:f>(Inputs!$H$8+Inputs!$L$8*(((Inputs!$I$8+(((A135)+1)/2)*(Inputs!$J$8-Inputs!$I$8)))/Inputs!$K$8)^2)</x:f>
        <x:v>46.25576000000002</x:v>
      </x:c>
      <x:c r="AC135" s="48" t="n">
        <x:f>(Inputs!$H$9+Inputs!$L$9*(((Inputs!$I$9+(((A135)+1)/2)*(Inputs!$J$9-Inputs!$I$9)))/Inputs!$K$9)^2)</x:f>
        <x:v>36.37240000000002</x:v>
      </x:c>
      <x:c r="AD135" s="49"/>
      <x:c r="AE135" s="48" t="n">
        <x:f>A135</x:f>
        <x:v>0.108</x:v>
      </x:c>
      <x:c r="AF135" s="48" t="n">
        <x:f>(((SQRT((Inputs!$C$52+((Inputs!$H$6+Inputs!$L$6*(((Inputs!$I$6+(((A135)+1)/2)*(Inputs!$J$6-Inputs!$I$6)))/Inputs!$K$6)^2)))^2+Inputs!$C$52^2-2*(Inputs!$C$52+((Inputs!$H$6+Inputs!$L$6*(((Inputs!$I$6+(((A135)+1)/2)*(Inputs!$J$6-Inputs!$I$6)))/Inputs!$K$6)^2)))*Inputs!$C$52*COS(SQRT(((Inputs!$I$6+(((A135)+1)/2)*(Inputs!$J$6-Inputs!$I$6)))^2+Inputs!$C$6^2)/Inputs!$C$52)))-((Inputs!$H$6+Inputs!$L$6*(((Inputs!$I$6+(((A135)+1)/2)*(Inputs!$J$6-Inputs!$I$6)))/Inputs!$K$6)^2)))*1000/Inputs!$C$12)</x:f>
        <x:v>587.5949411787768</x:v>
      </x:c>
      <x:c r="AG135" s="48" t="n">
        <x:f>(((SQRT((Inputs!$C$52+((Inputs!$H$7+Inputs!$L$7*(((Inputs!$I$7+(((A135)+1)/2)*(Inputs!$J$7-Inputs!$I$7)))/Inputs!$K$7)^2)))^2+Inputs!$C$52^2-2*(Inputs!$C$52+((Inputs!$H$7+Inputs!$L$7*(((Inputs!$I$7+(((A135)+1)/2)*(Inputs!$J$7-Inputs!$I$7)))/Inputs!$K$7)^2)))*Inputs!$C$52*COS(SQRT(((Inputs!$I$7+(((A135)+1)/2)*(Inputs!$J$7-Inputs!$I$7)))^2+Inputs!$C$6^2)/Inputs!$C$52)))-((Inputs!$H$7+Inputs!$L$7*(((Inputs!$I$7+(((A135)+1)/2)*(Inputs!$J$7-Inputs!$I$7)))/Inputs!$K$7)^2)))*1000/Inputs!$C$12)</x:f>
        <x:v>13895.191239175558</x:v>
      </x:c>
      <x:c r="AH135" s="48" t="n">
        <x:f>(((SQRT((Inputs!$C$52+((Inputs!$H$8+Inputs!$L$8*(((Inputs!$I$8+(((A135)+1)/2)*(Inputs!$J$8-Inputs!$I$8)))/Inputs!$K$8)^2)))^2+Inputs!$C$52^2-2*(Inputs!$C$52+((Inputs!$H$8+Inputs!$L$8*(((Inputs!$I$8+(((A135)+1)/2)*(Inputs!$J$8-Inputs!$I$8)))/Inputs!$K$8)^2)))*Inputs!$C$52*COS(SQRT(((Inputs!$I$8+(((A135)+1)/2)*(Inputs!$J$8-Inputs!$I$8)))^2+Inputs!$C$6^2)/Inputs!$C$52)))-((Inputs!$H$8+Inputs!$L$8*(((Inputs!$I$8+(((A135)+1)/2)*(Inputs!$J$8-Inputs!$I$8)))/Inputs!$K$8)^2)))*1000/Inputs!$C$12)</x:f>
        <x:v>31490.234040914525</x:v>
      </x:c>
      <x:c r="AI135" s="48" t="n">
        <x:f>(((SQRT((Inputs!$C$52+((Inputs!$H$9+Inputs!$L$9*(((Inputs!$I$9+(((A135)+1)/2)*(Inputs!$J$9-Inputs!$I$9)))/Inputs!$K$9)^2)))^2+Inputs!$C$52^2-2*(Inputs!$C$52+((Inputs!$H$9+Inputs!$L$9*(((Inputs!$I$9+(((A135)+1)/2)*(Inputs!$J$9-Inputs!$I$9)))/Inputs!$K$9)^2)))*Inputs!$C$52*COS(SQRT(((Inputs!$I$9+(((A135)+1)/2)*(Inputs!$J$9-Inputs!$I$9)))^2+Inputs!$C$6^2)/Inputs!$C$52)))-((Inputs!$H$9+Inputs!$L$9*(((Inputs!$I$9+(((A135)+1)/2)*(Inputs!$J$9-Inputs!$I$9)))/Inputs!$K$9)^2)))*1000/Inputs!$C$12)</x:f>
        <x:v>34608.33428149621</x:v>
      </x:c>
      <x:c r="AJ135" s="49"/>
      <x:c r="AK135" s="48" t="n">
        <x:f>A135</x:f>
        <x:v>0.108</x:v>
      </x:c>
      <x:c r="AL135" s="48" t="n">
        <x: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x:f>
        <x:v>-55.46553002030139</x:v>
      </x:c>
      <x:c r="AM135" s="48" t="n">
        <x: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x:f>
        <x:v>-1304.5358380491314</x:v>
      </x:c>
      <x:c r="AN135" s="48" t="n">
        <x: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x:f>
        <x:v>-1589.5208239516617</x:v>
      </x:c>
      <x:c r="AO135" s="48" t="n">
        <x: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x:f>
        <x:v>-1610.5555337184442</x:v>
      </x:c>
      <x:c r="AP135" s="49"/>
      <x:c r="AQ135" s="48" t="n">
        <x:f>A135</x:f>
        <x:v>0.108</x:v>
      </x:c>
      <x:c r="AR135" s="48" t="n">
        <x:f>0</x:f>
        <x:v>0</x:v>
      </x:c>
      <x:c r="AS135" s="48" t="n">
        <x: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(0.45*SIN(2*PI()*((((Inputs!$I$6+(((A135)+1)/2)*(Inputs!$J$6-Inputs!$I$6)))/Inputs!$C$49)+Inputs!$C$47*0.137))+0.35*COS(2*PI()*(((Inputs!$C$6)/Inputs!$C$50)+Inputs!$C$47*0.173))+0.20*SIN(2*PI()*((((Inputs!$I$6+(((A135)+1)/2)*(Inputs!$J$6-Inputs!$I$6)))+(Inputs!$C$6))/(0.5*(Inputs!$C$49+Inputs!$C$50))+Inputs!$C$47*0.097)))+0.30*(2*((SIN((((Inputs!$I$6+(((A135)+1)/2)*(Inputs!$J$6-Inputs!$I$6)))*12.9898+(Inputs!$C$6)*78.233+Inputs!$C$47*37.719))*43758.5453)-INT((SIN((((Inputs!$I$6+(((A135)+1)/2)*(Inputs!$J$6-Inputs!$I$6)))*12.9898+(Inputs!$C$6)*78.233+Inputs!$C$47*37.719))*43758.5453)))-1))),NA())</x:f>
        <x:v>532.3117042335774</x:v>
      </x:c>
      <x:c r="AT135" s="48" t="n">
        <x: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(0.45*SIN(2*PI()*((((Inputs!$I$7+(((A135)+1)/2)*(Inputs!$J$7-Inputs!$I$7)))/Inputs!$C$49)+Inputs!$C$47*0.137))+0.35*COS(2*PI()*(((Inputs!$C$6)/Inputs!$C$50)+Inputs!$C$47*0.173))+0.20*SIN(2*PI()*((((Inputs!$I$7+(((A135)+1)/2)*(Inputs!$J$7-Inputs!$I$7)))+(Inputs!$C$6))/(0.5*(Inputs!$C$49+Inputs!$C$50))+Inputs!$C$47*0.097)))+0.30*(2*((SIN((((Inputs!$I$7+(((A135)+1)/2)*(Inputs!$J$7-Inputs!$I$7)))*12.9898+(Inputs!$C$6)*78.233+Inputs!$C$47*37.719))*43758.5453)-INT((SIN((((Inputs!$I$7+(((A135)+1)/2)*(Inputs!$J$7-Inputs!$I$7)))*12.9898+(Inputs!$C$6)*78.233+Inputs!$C$47*37.719))*43758.5453)))-1))),NA())</x:f>
        <x:v>240.27263540699468</x:v>
      </x:c>
      <x:c r="AU135" s="48" t="n">
        <x: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(0.45*SIN(2*PI()*((((Inputs!$I$8+(((A135)+1)/2)*(Inputs!$J$8-Inputs!$I$8)))/Inputs!$C$49)+Inputs!$C$47*0.137))+0.35*COS(2*PI()*(((Inputs!$C$6)/Inputs!$C$50)+Inputs!$C$47*0.173))+0.20*SIN(2*PI()*((((Inputs!$I$8+(((A135)+1)/2)*(Inputs!$J$8-Inputs!$I$8)))+(Inputs!$C$6))/(0.5*(Inputs!$C$49+Inputs!$C$50))+Inputs!$C$47*0.097)))+0.30*(2*((SIN((((Inputs!$I$8+(((A135)+1)/2)*(Inputs!$J$8-Inputs!$I$8)))*12.9898+(Inputs!$C$6)*78.233+Inputs!$C$47*37.719))*43758.5453)-INT((SIN((((Inputs!$I$8+(((A135)+1)/2)*(Inputs!$J$8-Inputs!$I$8)))*12.9898+(Inputs!$C$6)*78.233+Inputs!$C$47*37.719))*43758.5453)))-1))),NA())</x:f>
        <x:v>127.96939858294071</x:v>
      </x:c>
      <x:c r="AV135" s="48" t="n">
        <x: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(0.45*SIN(2*PI()*((((Inputs!$I$9+(((A135)+1)/2)*(Inputs!$J$9-Inputs!$I$9)))/Inputs!$C$49)+Inputs!$C$47*0.137))+0.35*COS(2*PI()*(((Inputs!$C$6)/Inputs!$C$50)+Inputs!$C$47*0.173))+0.20*SIN(2*PI()*((((Inputs!$I$9+(((A135)+1)/2)*(Inputs!$J$9-Inputs!$I$9)))+(Inputs!$C$6))/(0.5*(Inputs!$C$49+Inputs!$C$50))+Inputs!$C$47*0.097)))+0.30*(2*((SIN((((Inputs!$I$9+(((A135)+1)/2)*(Inputs!$J$9-Inputs!$I$9)))*12.9898+(Inputs!$C$6)*78.233+Inputs!$C$47*37.719))*43758.5453)-INT((SIN((((Inputs!$I$9+(((A135)+1)/2)*(Inputs!$J$9-Inputs!$I$9)))*12.9898+(Inputs!$C$6)*78.233+Inputs!$C$47*37.719))*43758.5453)))-1))),NA())</x:f>
        <x:v>127.96939858294071</x:v>
      </x:c>
      <x:c r="AW135" s="49"/>
      <x:c r="AX135" s="48" t="n">
        <x:f>A135</x:f>
        <x:v>0.108</x:v>
      </x:c>
      <x:c r="AY135" s="48" t="n">
        <x:f>0</x:f>
        <x:v>0</x:v>
      </x:c>
      <x:c r="AZ135" s="48" t="n">
        <x:f>IF(OR(Inputs!$F$6=TRUE,Inputs!$F$6="TRUE",Inputs!$F$6=1),(Inputs!$H$6+Inputs!$L$6*(((Inputs!$I$6+(((A135)+1)/2)*(Inputs!$J$6-Inputs!$I$6)))/Inputs!$K$6)^2),NA())</x:f>
        <x:v>400.046656</x:v>
      </x:c>
      <x:c r="BA135" s="48" t="n">
        <x:f>IF(OR(Inputs!$F$7=TRUE,Inputs!$F$7="TRUE",Inputs!$F$7=1),(Inputs!$H$7+Inputs!$L$7*(((Inputs!$I$7+(((A135)+1)/2)*(Inputs!$J$7-Inputs!$I$7)))/Inputs!$K$7)^2),NA())</x:f>
        <x:v>39.257360000000006</x:v>
      </x:c>
      <x:c r="BB135" s="48" t="n">
        <x:f>IF(OR(Inputs!$F$8=TRUE,Inputs!$F$8="TRUE",Inputs!$F$8=1),(Inputs!$H$8+Inputs!$L$8*(((Inputs!$I$8+(((A135)+1)/2)*(Inputs!$J$8-Inputs!$I$8)))/Inputs!$K$8)^2),NA())</x:f>
        <x:v>46.25576000000002</x:v>
      </x:c>
      <x:c r="BC135" s="48" t="n">
        <x:f>IF(OR(Inputs!$F$9=TRUE,Inputs!$F$9="TRUE",Inputs!$F$9=1),(Inputs!$H$9+Inputs!$L$9*(((Inputs!$I$9+(((A135)+1)/2)*(Inputs!$J$9-Inputs!$I$9)))/Inputs!$K$9)^2),NA())</x:f>
        <x:v>36.37240000000002</x:v>
      </x:c>
      <x:c r="BD135" s="49"/>
      <x:c r="BE135" s="48" t="n">
        <x:f>A135</x:f>
        <x:v>0.108</x:v>
      </x:c>
      <x:c r="BF135" s="48" t="n">
        <x:f>0</x:f>
        <x:v>0</x:v>
      </x:c>
      <x:c r="BG135" s="48"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BH135" s="48"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BI135" s="48"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BJ135" s="48"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row>
    <x:row r="136">
      <x:c r="A136" s="48" t="n">
        <x:f>ROUND(-1+134*2/240,3)</x:f>
        <x:v>0.117</x:v>
      </x:c>
      <x:c r="B136" s="48" t="n">
        <x:f>IF(OR(Inputs!$F$6=TRUE,Inputs!$F$6="TRUE",Inputs!$F$6=1),(Inputs!$H$6+Inputs!$L$6*(((Inputs!$I$6+(((A136)+1)/2)*(Inputs!$J$6-Inputs!$I$6)))/Inputs!$K$6)^2),NA())</x:f>
        <x:v>400.054756</x:v>
      </x:c>
      <x:c r="C136" s="48" t="n">
        <x:f>IF(OR(Inputs!$F$7=TRUE,Inputs!$F$7="TRUE",Inputs!$F$7=1),(Inputs!$H$7+Inputs!$L$7*(((Inputs!$I$7+(((A136)+1)/2)*(Inputs!$J$7-Inputs!$I$7)))/Inputs!$K$7)^2),NA())</x:f>
        <x:v>39.99648500000001</x:v>
      </x:c>
      <x:c r="D136" s="48" t="n">
        <x:f>IF(OR(Inputs!$F$8=TRUE,Inputs!$F$8="TRUE",Inputs!$F$8=1),(Inputs!$H$8+Inputs!$L$8*(((Inputs!$I$8+(((A136)+1)/2)*(Inputs!$J$8-Inputs!$I$8)))/Inputs!$K$8)^2),NA())</x:f>
        <x:v>48.20988500000001</x:v>
      </x:c>
      <x:c r="E136" s="48" t="n">
        <x:f>IF(OR(Inputs!$F$9=TRUE,Inputs!$F$9="TRUE",Inputs!$F$9=1),(Inputs!$H$9+Inputs!$L$9*(((Inputs!$I$9+(((A136)+1)/2)*(Inputs!$J$9-Inputs!$I$9)))/Inputs!$K$9)^2),NA())</x:f>
        <x:v>38.34677500000001</x:v>
      </x:c>
      <x:c r="F136" s="49"/>
      <x:c r="G136" s="48" t="n">
        <x:f>A136</x:f>
        <x:v>0.117</x:v>
      </x:c>
      <x:c r="H136" s="48"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I136" s="48"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J136" s="48"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K136" s="48"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c r="L136" s="49"/>
      <x:c r="M136" s="48" t="n">
        <x:f>A136</x:f>
        <x:v>0.117</x:v>
      </x:c>
      <x:c r="N136" s="48" t="n">
        <x: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x:f>
        <x:v>-60.08551360464571</x:v>
      </x:c>
      <x:c r="O136" s="48" t="n">
        <x: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x:f>
        <x:v>-1354.9037405376112</x:v>
      </x:c>
      <x:c r="P136" s="48" t="n">
        <x: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x:f>
        <x:v>-1619.7906101947278</x:v>
      </x:c>
      <x:c r="Q136" s="48" t="n">
        <x: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x:f>
        <x:v>-1635.7288561983473</x:v>
      </x:c>
      <x:c r="R136" s="49"/>
      <x:c r="S136" s="48" t="n">
        <x:f>A136</x:f>
        <x:v>0.117</x:v>
      </x:c>
      <x:c r="T136" s="48" t="n">
        <x:f>(Inputs!$I$6+(((A136)+1)/2)*(Inputs!$J$6-Inputs!$I$6))</x:f>
        <x:v>7.019999999999996</x:v>
      </x:c>
      <x:c r="U136" s="48" t="n">
        <x:f>(Inputs!$I$7+(((A136)+1)/2)*(Inputs!$J$7-Inputs!$I$7))</x:f>
        <x:v>46.80000000000001</x:v>
      </x:c>
      <x:c r="V136" s="48" t="n">
        <x:f>(Inputs!$I$8+(((A136)+1)/2)*(Inputs!$J$8-Inputs!$I$8))</x:f>
        <x:v>93.60000000000002</x:v>
      </x:c>
      <x:c r="W136" s="48" t="n">
        <x:f>(Inputs!$I$9+(((A136)+1)/2)*(Inputs!$J$9-Inputs!$I$9))</x:f>
        <x:v>93.60000000000002</x:v>
      </x:c>
      <x:c r="X136" s="49"/>
      <x:c r="Y136" s="48" t="n">
        <x:f>A136</x:f>
        <x:v>0.117</x:v>
      </x:c>
      <x:c r="Z136" s="48" t="n">
        <x:f>(Inputs!$H$6+Inputs!$L$6*(((Inputs!$I$6+(((A136)+1)/2)*(Inputs!$J$6-Inputs!$I$6)))/Inputs!$K$6)^2)</x:f>
        <x:v>400.054756</x:v>
      </x:c>
      <x:c r="AA136" s="48" t="n">
        <x:f>(Inputs!$H$7+Inputs!$L$7*(((Inputs!$I$7+(((A136)+1)/2)*(Inputs!$J$7-Inputs!$I$7)))/Inputs!$K$7)^2)</x:f>
        <x:v>39.99648500000001</x:v>
      </x:c>
      <x:c r="AB136" s="48" t="n">
        <x:f>(Inputs!$H$8+Inputs!$L$8*(((Inputs!$I$8+(((A136)+1)/2)*(Inputs!$J$8-Inputs!$I$8)))/Inputs!$K$8)^2)</x:f>
        <x:v>48.20988500000001</x:v>
      </x:c>
      <x:c r="AC136" s="48" t="n">
        <x:f>(Inputs!$H$9+Inputs!$L$9*(((Inputs!$I$9+(((A136)+1)/2)*(Inputs!$J$9-Inputs!$I$9)))/Inputs!$K$9)^2)</x:f>
        <x:v>38.34677500000001</x:v>
      </x:c>
      <x:c r="AD136" s="49"/>
      <x:c r="AE136" s="48" t="n">
        <x:f>A136</x:f>
        <x:v>0.117</x:v>
      </x:c>
      <x:c r="AF136" s="48" t="n">
        <x:f>(((SQRT((Inputs!$C$52+((Inputs!$H$6+Inputs!$L$6*(((Inputs!$I$6+(((A136)+1)/2)*(Inputs!$J$6-Inputs!$I$6)))/Inputs!$K$6)^2)))^2+Inputs!$C$52^2-2*(Inputs!$C$52+((Inputs!$H$6+Inputs!$L$6*(((Inputs!$I$6+(((A136)+1)/2)*(Inputs!$J$6-Inputs!$I$6)))/Inputs!$K$6)^2)))*Inputs!$C$52*COS(SQRT(((Inputs!$I$6+(((A136)+1)/2)*(Inputs!$J$6-Inputs!$I$6)))^2+Inputs!$C$6^2)/Inputs!$C$52)))-((Inputs!$H$6+Inputs!$L$6*(((Inputs!$I$6+(((A136)+1)/2)*(Inputs!$J$6-Inputs!$I$6)))/Inputs!$K$6)^2)))*1000/Inputs!$C$12)</x:f>
        <x:v>593.9990156266146</x:v>
      </x:c>
      <x:c r="AG136" s="48" t="n">
        <x:f>(((SQRT((Inputs!$C$52+((Inputs!$H$7+Inputs!$L$7*(((Inputs!$I$7+(((A136)+1)/2)*(Inputs!$J$7-Inputs!$I$7)))/Inputs!$K$7)^2)))^2+Inputs!$C$52^2-2*(Inputs!$C$52+((Inputs!$H$7+Inputs!$L$7*(((Inputs!$I$7+(((A136)+1)/2)*(Inputs!$J$7-Inputs!$I$7)))/Inputs!$K$7)^2)))*Inputs!$C$52*COS(SQRT(((Inputs!$I$7+(((A136)+1)/2)*(Inputs!$J$7-Inputs!$I$7)))^2+Inputs!$C$6^2)/Inputs!$C$52)))-((Inputs!$H$7+Inputs!$L$7*(((Inputs!$I$7+(((A136)+1)/2)*(Inputs!$J$7-Inputs!$I$7)))/Inputs!$K$7)^2)))*1000/Inputs!$C$12)</x:f>
        <x:v>15161.386077704814</x:v>
      </x:c>
      <x:c r="AH136" s="48" t="n">
        <x:f>(((SQRT((Inputs!$C$52+((Inputs!$H$8+Inputs!$L$8*(((Inputs!$I$8+(((A136)+1)/2)*(Inputs!$J$8-Inputs!$I$8)))/Inputs!$K$8)^2)))^2+Inputs!$C$52^2-2*(Inputs!$C$52+((Inputs!$H$8+Inputs!$L$8*(((Inputs!$I$8+(((A136)+1)/2)*(Inputs!$J$8-Inputs!$I$8)))/Inputs!$K$8)^2)))*Inputs!$C$52*COS(SQRT(((Inputs!$I$8+(((A136)+1)/2)*(Inputs!$J$8-Inputs!$I$8)))^2+Inputs!$C$6^2)/Inputs!$C$52)))-((Inputs!$H$8+Inputs!$L$8*(((Inputs!$I$8+(((A136)+1)/2)*(Inputs!$J$8-Inputs!$I$8)))/Inputs!$K$8)^2)))*1000/Inputs!$C$12)</x:f>
        <x:v>34449.85865380583</x:v>
      </x:c>
      <x:c r="AI136" s="48" t="n">
        <x:f>(((SQRT((Inputs!$C$52+((Inputs!$H$9+Inputs!$L$9*(((Inputs!$I$9+(((A136)+1)/2)*(Inputs!$J$9-Inputs!$I$9)))/Inputs!$K$9)^2)))^2+Inputs!$C$52^2-2*(Inputs!$C$52+((Inputs!$H$9+Inputs!$L$9*(((Inputs!$I$9+(((A136)+1)/2)*(Inputs!$J$9-Inputs!$I$9)))/Inputs!$K$9)^2)))*Inputs!$C$52*COS(SQRT(((Inputs!$I$9+(((A136)+1)/2)*(Inputs!$J$9-Inputs!$I$9)))^2+Inputs!$C$6^2)/Inputs!$C$52)))-((Inputs!$H$9+Inputs!$L$9*(((Inputs!$I$9+(((A136)+1)/2)*(Inputs!$J$9-Inputs!$I$9)))/Inputs!$K$9)^2)))*1000/Inputs!$C$12)</x:f>
        <x:v>37603.12232218852</x:v>
      </x:c>
      <x:c r="AJ136" s="49"/>
      <x:c r="AK136" s="48" t="n">
        <x:f>A136</x:f>
        <x:v>0.117</x:v>
      </x:c>
      <x:c r="AL136" s="48" t="n">
        <x: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x:f>
        <x:v>-60.08551360464571</x:v>
      </x:c>
      <x:c r="AM136" s="48" t="n">
        <x: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x:f>
        <x:v>-1354.9037405376112</x:v>
      </x:c>
      <x:c r="AN136" s="48" t="n">
        <x: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x:f>
        <x:v>-1619.7906101947278</x:v>
      </x:c>
      <x:c r="AO136" s="48" t="n">
        <x: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x:f>
        <x:v>-1635.7288561983473</x:v>
      </x:c>
      <x:c r="AP136" s="49"/>
      <x:c r="AQ136" s="48" t="n">
        <x:f>A136</x:f>
        <x:v>0.117</x:v>
      </x:c>
      <x:c r="AR136" s="48" t="n">
        <x:f>0</x:f>
        <x:v>0</x:v>
      </x:c>
      <x:c r="AS136" s="48" t="n">
        <x: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(0.45*SIN(2*PI()*((((Inputs!$I$6+(((A136)+1)/2)*(Inputs!$J$6-Inputs!$I$6)))/Inputs!$C$49)+Inputs!$C$47*0.137))+0.35*COS(2*PI()*(((Inputs!$C$6)/Inputs!$C$50)+Inputs!$C$47*0.173))+0.20*SIN(2*PI()*((((Inputs!$I$6+(((A136)+1)/2)*(Inputs!$J$6-Inputs!$I$6)))+(Inputs!$C$6))/(0.5*(Inputs!$C$49+Inputs!$C$50))+Inputs!$C$47*0.097)))+0.30*(2*((SIN((((Inputs!$I$6+(((A136)+1)/2)*(Inputs!$J$6-Inputs!$I$6)))*12.9898+(Inputs!$C$6)*78.233+Inputs!$C$47*37.719))*43758.5453)-INT((SIN((((Inputs!$I$6+(((A136)+1)/2)*(Inputs!$J$6-Inputs!$I$6)))*12.9898+(Inputs!$C$6)*78.233+Inputs!$C$47*37.719))*43758.5453)))-1))),NA())</x:f>
        <x:v>519.316452126719</x:v>
      </x:c>
      <x:c r="AT136" s="48" t="n">
        <x: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(0.45*SIN(2*PI()*((((Inputs!$I$7+(((A136)+1)/2)*(Inputs!$J$7-Inputs!$I$7)))/Inputs!$C$49)+Inputs!$C$47*0.137))+0.35*COS(2*PI()*(((Inputs!$C$6)/Inputs!$C$50)+Inputs!$C$47*0.173))+0.20*SIN(2*PI()*((((Inputs!$I$7+(((A136)+1)/2)*(Inputs!$J$7-Inputs!$I$7)))+(Inputs!$C$6))/(0.5*(Inputs!$C$49+Inputs!$C$50))+Inputs!$C$47*0.097)))+0.30*(2*((SIN((((Inputs!$I$7+(((A136)+1)/2)*(Inputs!$J$7-Inputs!$I$7)))*12.9898+(Inputs!$C$6)*78.233+Inputs!$C$47*37.719))*43758.5453)-INT((SIN((((Inputs!$I$7+(((A136)+1)/2)*(Inputs!$J$7-Inputs!$I$7)))*12.9898+(Inputs!$C$6)*78.233+Inputs!$C$47*37.719))*43758.5453)))-1))),NA())</x:f>
        <x:v>135.16456938627948</x:v>
      </x:c>
      <x:c r="AU136" s="48" t="n">
        <x: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(0.45*SIN(2*PI()*((((Inputs!$I$8+(((A136)+1)/2)*(Inputs!$J$8-Inputs!$I$8)))/Inputs!$C$49)+Inputs!$C$47*0.137))+0.35*COS(2*PI()*(((Inputs!$C$6)/Inputs!$C$50)+Inputs!$C$47*0.173))+0.20*SIN(2*PI()*((((Inputs!$I$8+(((A136)+1)/2)*(Inputs!$J$8-Inputs!$I$8)))+(Inputs!$C$6))/(0.5*(Inputs!$C$49+Inputs!$C$50))+Inputs!$C$47*0.097)))+0.30*(2*((SIN((((Inputs!$I$8+(((A136)+1)/2)*(Inputs!$J$8-Inputs!$I$8)))*12.9898+(Inputs!$C$6)*78.233+Inputs!$C$47*37.719))*43758.5453)-INT((SIN((((Inputs!$I$8+(((A136)+1)/2)*(Inputs!$J$8-Inputs!$I$8)))*12.9898+(Inputs!$C$6)*78.233+Inputs!$C$47*37.719))*43758.5453)))-1))),NA())</x:f>
        <x:v>197.54926426745948</x:v>
      </x:c>
      <x:c r="AV136" s="48" t="n">
        <x: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(0.45*SIN(2*PI()*((((Inputs!$I$9+(((A136)+1)/2)*(Inputs!$J$9-Inputs!$I$9)))/Inputs!$C$49)+Inputs!$C$47*0.137))+0.35*COS(2*PI()*(((Inputs!$C$6)/Inputs!$C$50)+Inputs!$C$47*0.173))+0.20*SIN(2*PI()*((((Inputs!$I$9+(((A136)+1)/2)*(Inputs!$J$9-Inputs!$I$9)))+(Inputs!$C$6))/(0.5*(Inputs!$C$49+Inputs!$C$50))+Inputs!$C$47*0.097)))+0.30*(2*((SIN((((Inputs!$I$9+(((A136)+1)/2)*(Inputs!$J$9-Inputs!$I$9)))*12.9898+(Inputs!$C$6)*78.233+Inputs!$C$47*37.719))*43758.5453)-INT((SIN((((Inputs!$I$9+(((A136)+1)/2)*(Inputs!$J$9-Inputs!$I$9)))*12.9898+(Inputs!$C$6)*78.233+Inputs!$C$47*37.719))*43758.5453)))-1))),NA())</x:f>
        <x:v>197.54926426745948</x:v>
      </x:c>
      <x:c r="AW136" s="49"/>
      <x:c r="AX136" s="48" t="n">
        <x:f>A136</x:f>
        <x:v>0.117</x:v>
      </x:c>
      <x:c r="AY136" s="48" t="n">
        <x:f>0</x:f>
        <x:v>0</x:v>
      </x:c>
      <x:c r="AZ136" s="48" t="n">
        <x:f>IF(OR(Inputs!$F$6=TRUE,Inputs!$F$6="TRUE",Inputs!$F$6=1),(Inputs!$H$6+Inputs!$L$6*(((Inputs!$I$6+(((A136)+1)/2)*(Inputs!$J$6-Inputs!$I$6)))/Inputs!$K$6)^2),NA())</x:f>
        <x:v>400.054756</x:v>
      </x:c>
      <x:c r="BA136" s="48" t="n">
        <x:f>IF(OR(Inputs!$F$7=TRUE,Inputs!$F$7="TRUE",Inputs!$F$7=1),(Inputs!$H$7+Inputs!$L$7*(((Inputs!$I$7+(((A136)+1)/2)*(Inputs!$J$7-Inputs!$I$7)))/Inputs!$K$7)^2),NA())</x:f>
        <x:v>39.99648500000001</x:v>
      </x:c>
      <x:c r="BB136" s="48" t="n">
        <x:f>IF(OR(Inputs!$F$8=TRUE,Inputs!$F$8="TRUE",Inputs!$F$8=1),(Inputs!$H$8+Inputs!$L$8*(((Inputs!$I$8+(((A136)+1)/2)*(Inputs!$J$8-Inputs!$I$8)))/Inputs!$K$8)^2),NA())</x:f>
        <x:v>48.20988500000001</x:v>
      </x:c>
      <x:c r="BC136" s="48" t="n">
        <x:f>IF(OR(Inputs!$F$9=TRUE,Inputs!$F$9="TRUE",Inputs!$F$9=1),(Inputs!$H$9+Inputs!$L$9*(((Inputs!$I$9+(((A136)+1)/2)*(Inputs!$J$9-Inputs!$I$9)))/Inputs!$K$9)^2),NA())</x:f>
        <x:v>38.34677500000001</x:v>
      </x:c>
      <x:c r="BD136" s="49"/>
      <x:c r="BE136" s="48" t="n">
        <x:f>A136</x:f>
        <x:v>0.117</x:v>
      </x:c>
      <x:c r="BF136" s="48" t="n">
        <x:f>0</x:f>
        <x:v>0</x:v>
      </x:c>
      <x:c r="BG136" s="48"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BH136" s="48"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BI136" s="48"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BJ136" s="48"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row>
    <x:row r="137">
      <x:c r="A137" s="48" t="n">
        <x:f>ROUND(-1+135*2/240,3)</x:f>
        <x:v>0.125</x:v>
      </x:c>
      <x:c r="B137" s="48" t="n">
        <x:f>IF(OR(Inputs!$F$6=TRUE,Inputs!$F$6="TRUE",Inputs!$F$6=1),(Inputs!$H$6+Inputs!$L$6*(((Inputs!$I$6+(((A137)+1)/2)*(Inputs!$J$6-Inputs!$I$6)))/Inputs!$K$6)^2),NA())</x:f>
        <x:v>400.0625</x:v>
      </x:c>
      <x:c r="C137" s="48" t="n">
        <x:f>IF(OR(Inputs!$F$7=TRUE,Inputs!$F$7="TRUE",Inputs!$F$7=1),(Inputs!$H$7+Inputs!$L$7*(((Inputs!$I$7+(((A137)+1)/2)*(Inputs!$J$7-Inputs!$I$7)))/Inputs!$K$7)^2),NA())</x:f>
        <x:v>40.703125</x:v>
      </x:c>
      <x:c r="D137" s="48" t="n">
        <x:f>IF(OR(Inputs!$F$8=TRUE,Inputs!$F$8="TRUE",Inputs!$F$8=1),(Inputs!$H$8+Inputs!$L$8*(((Inputs!$I$8+(((A137)+1)/2)*(Inputs!$J$8-Inputs!$I$8)))/Inputs!$K$8)^2),NA())</x:f>
        <x:v>50.078125</x:v>
      </x:c>
      <x:c r="E137" s="48" t="n">
        <x:f>IF(OR(Inputs!$F$9=TRUE,Inputs!$F$9="TRUE",Inputs!$F$9=1),(Inputs!$H$9+Inputs!$L$9*(((Inputs!$I$9+(((A137)+1)/2)*(Inputs!$J$9-Inputs!$I$9)))/Inputs!$K$9)^2),NA())</x:f>
        <x:v>40.234375</x:v>
      </x:c>
      <x:c r="F137" s="49"/>
      <x:c r="G137" s="48" t="n">
        <x:f>A137</x:f>
        <x:v>0.125</x:v>
      </x:c>
      <x:c r="H137" s="48"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I137" s="48"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J137" s="48"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K137" s="48"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c r="L137" s="49"/>
      <x:c r="M137" s="48" t="n">
        <x:f>A137</x:f>
        <x:v>0.125</x:v>
      </x:c>
      <x:c r="N137" s="48" t="n">
        <x: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x:f>
        <x:v>-64.19173526273599</x:v>
      </x:c>
      <x:c r="O137" s="48" t="n">
        <x: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x:f>
        <x:v>-1395.1596365231271</x:v>
      </x:c>
      <x:c r="P137" s="48" t="n">
        <x: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x:f>
        <x:v>-1644.14345858545</x:v>
      </x:c>
      <x:c r="Q137" s="48" t="n">
        <x: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x:f>
        <x:v>-1656.2685555541652</x:v>
      </x:c>
      <x:c r="R137" s="49"/>
      <x:c r="S137" s="48" t="n">
        <x:f>A137</x:f>
        <x:v>0.125</x:v>
      </x:c>
      <x:c r="T137" s="48" t="n">
        <x:f>(Inputs!$I$6+(((A137)+1)/2)*(Inputs!$J$6-Inputs!$I$6))</x:f>
        <x:v>7.5</x:v>
      </x:c>
      <x:c r="U137" s="48" t="n">
        <x:f>(Inputs!$I$7+(((A137)+1)/2)*(Inputs!$J$7-Inputs!$I$7))</x:f>
        <x:v>50</x:v>
      </x:c>
      <x:c r="V137" s="48" t="n">
        <x:f>(Inputs!$I$8+(((A137)+1)/2)*(Inputs!$J$8-Inputs!$I$8))</x:f>
        <x:v>100</x:v>
      </x:c>
      <x:c r="W137" s="48" t="n">
        <x:f>(Inputs!$I$9+(((A137)+1)/2)*(Inputs!$J$9-Inputs!$I$9))</x:f>
        <x:v>100</x:v>
      </x:c>
      <x:c r="X137" s="49"/>
      <x:c r="Y137" s="48" t="n">
        <x:f>A137</x:f>
        <x:v>0.125</x:v>
      </x:c>
      <x:c r="Z137" s="48" t="n">
        <x:f>(Inputs!$H$6+Inputs!$L$6*(((Inputs!$I$6+(((A137)+1)/2)*(Inputs!$J$6-Inputs!$I$6)))/Inputs!$K$6)^2)</x:f>
        <x:v>400.0625</x:v>
      </x:c>
      <x:c r="AA137" s="48" t="n">
        <x:f>(Inputs!$H$7+Inputs!$L$7*(((Inputs!$I$7+(((A137)+1)/2)*(Inputs!$J$7-Inputs!$I$7)))/Inputs!$K$7)^2)</x:f>
        <x:v>40.703125</x:v>
      </x:c>
      <x:c r="AB137" s="48" t="n">
        <x:f>(Inputs!$H$8+Inputs!$L$8*(((Inputs!$I$8+(((A137)+1)/2)*(Inputs!$J$8-Inputs!$I$8)))/Inputs!$K$8)^2)</x:f>
        <x:v>50.078125</x:v>
      </x:c>
      <x:c r="AC137" s="48" t="n">
        <x:f>(Inputs!$H$9+Inputs!$L$9*(((Inputs!$I$9+(((A137)+1)/2)*(Inputs!$J$9-Inputs!$I$9)))/Inputs!$K$9)^2)</x:f>
        <x:v>40.234375</x:v>
      </x:c>
      <x:c r="AD137" s="49"/>
      <x:c r="AE137" s="48" t="n">
        <x:f>A137</x:f>
        <x:v>0.125</x:v>
      </x:c>
      <x:c r="AF137" s="48" t="n">
        <x:f>(((SQRT((Inputs!$C$52+((Inputs!$H$6+Inputs!$L$6*(((Inputs!$I$6+(((A137)+1)/2)*(Inputs!$J$6-Inputs!$I$6)))/Inputs!$K$6)^2)))^2+Inputs!$C$52^2-2*(Inputs!$C$52+((Inputs!$H$6+Inputs!$L$6*(((Inputs!$I$6+(((A137)+1)/2)*(Inputs!$J$6-Inputs!$I$6)))/Inputs!$K$6)^2)))*Inputs!$C$52*COS(SQRT(((Inputs!$I$6+(((A137)+1)/2)*(Inputs!$J$6-Inputs!$I$6)))^2+Inputs!$C$6^2)/Inputs!$C$52)))-((Inputs!$H$6+Inputs!$L$6*(((Inputs!$I$6+(((A137)+1)/2)*(Inputs!$J$6-Inputs!$I$6)))/Inputs!$K$6)^2)))*1000/Inputs!$C$12)</x:f>
        <x:v>600.1212615998473</x:v>
      </x:c>
      <x:c r="AG137" s="48" t="n">
        <x:f>(((SQRT((Inputs!$C$52+((Inputs!$H$7+Inputs!$L$7*(((Inputs!$I$7+(((A137)+1)/2)*(Inputs!$J$7-Inputs!$I$7)))/Inputs!$K$7)^2)))^2+Inputs!$C$52^2-2*(Inputs!$C$52+((Inputs!$H$7+Inputs!$L$7*(((Inputs!$I$7+(((A137)+1)/2)*(Inputs!$J$7-Inputs!$I$7)))/Inputs!$K$7)^2)))*Inputs!$C$52*COS(SQRT(((Inputs!$I$7+(((A137)+1)/2)*(Inputs!$J$7-Inputs!$I$7)))^2+Inputs!$C$6^2)/Inputs!$C$52)))-((Inputs!$H$7+Inputs!$L$7*(((Inputs!$I$7+(((A137)+1)/2)*(Inputs!$J$7-Inputs!$I$7)))/Inputs!$K$7)^2)))*1000/Inputs!$C$12)</x:f>
        <x:v>16309.74534120257</x:v>
      </x:c>
      <x:c r="AH137" s="48" t="n">
        <x:f>(((SQRT((Inputs!$C$52+((Inputs!$H$8+Inputs!$L$8*(((Inputs!$I$8+(((A137)+1)/2)*(Inputs!$J$8-Inputs!$I$8)))/Inputs!$K$8)^2)))^2+Inputs!$C$52^2-2*(Inputs!$C$52+((Inputs!$H$8+Inputs!$L$8*(((Inputs!$I$8+(((A137)+1)/2)*(Inputs!$J$8-Inputs!$I$8)))/Inputs!$K$8)^2)))*Inputs!$C$52*COS(SQRT(((Inputs!$I$8+(((A137)+1)/2)*(Inputs!$J$8-Inputs!$I$8)))^2+Inputs!$C$6^2)/Inputs!$C$52)))-((Inputs!$H$8+Inputs!$L$8*(((Inputs!$I$8+(((A137)+1)/2)*(Inputs!$J$8-Inputs!$I$8)))/Inputs!$K$8)^2)))*1000/Inputs!$C$12)</x:f>
        <x:v>37068.01432519924</x:v>
      </x:c>
      <x:c r="AI137" s="48" t="n">
        <x:f>(((SQRT((Inputs!$C$52+((Inputs!$H$9+Inputs!$L$9*(((Inputs!$I$9+(((A137)+1)/2)*(Inputs!$J$9-Inputs!$I$9)))/Inputs!$K$9)^2)))^2+Inputs!$C$52^2-2*(Inputs!$C$52+((Inputs!$H$9+Inputs!$L$9*(((Inputs!$I$9+(((A137)+1)/2)*(Inputs!$J$9-Inputs!$I$9)))/Inputs!$K$9)^2)))*Inputs!$C$52*COS(SQRT(((Inputs!$I$9+(((A137)+1)/2)*(Inputs!$J$9-Inputs!$I$9)))^2+Inputs!$C$6^2)/Inputs!$C$52)))-((Inputs!$H$9+Inputs!$L$9*(((Inputs!$I$9+(((A137)+1)/2)*(Inputs!$J$9-Inputs!$I$9)))/Inputs!$K$9)^2)))*1000/Inputs!$C$12)</x:f>
        <x:v>40241.81805751648</x:v>
      </x:c>
      <x:c r="AJ137" s="49"/>
      <x:c r="AK137" s="48" t="n">
        <x:f>A137</x:f>
        <x:v>0.125</x:v>
      </x:c>
      <x:c r="AL137" s="48" t="n">
        <x: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x:f>
        <x:v>-64.19173526273599</x:v>
      </x:c>
      <x:c r="AM137" s="48" t="n">
        <x: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x:f>
        <x:v>-1395.1596365231271</x:v>
      </x:c>
      <x:c r="AN137" s="48" t="n">
        <x: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x:f>
        <x:v>-1644.14345858545</x:v>
      </x:c>
      <x:c r="AO137" s="48" t="n">
        <x: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x:f>
        <x:v>-1656.2685555541652</x:v>
      </x:c>
      <x:c r="AP137" s="49"/>
      <x:c r="AQ137" s="48" t="n">
        <x:f>A137</x:f>
        <x:v>0.125</x:v>
      </x:c>
      <x:c r="AR137" s="48" t="n">
        <x:f>0</x:f>
        <x:v>0</x:v>
      </x:c>
      <x:c r="AS137" s="48" t="n">
        <x: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(0.45*SIN(2*PI()*((((Inputs!$I$6+(((A137)+1)/2)*(Inputs!$J$6-Inputs!$I$6)))/Inputs!$C$49)+Inputs!$C$47*0.137))+0.35*COS(2*PI()*(((Inputs!$C$6)/Inputs!$C$50)+Inputs!$C$47*0.173))+0.20*SIN(2*PI()*((((Inputs!$I$6+(((A137)+1)/2)*(Inputs!$J$6-Inputs!$I$6)))+(Inputs!$C$6))/(0.5*(Inputs!$C$49+Inputs!$C$50))+Inputs!$C$47*0.097)))+0.30*(2*((SIN((((Inputs!$I$6+(((A137)+1)/2)*(Inputs!$J$6-Inputs!$I$6)))*12.9898+(Inputs!$C$6)*78.233+Inputs!$C$47*37.719))*43758.5453)-INT((SIN((((Inputs!$I$6+(((A137)+1)/2)*(Inputs!$J$6-Inputs!$I$6)))*12.9898+(Inputs!$C$6)*78.233+Inputs!$C$47*37.719))*43758.5453)))-1))),NA())</x:f>
        <x:v>503.48380224840304</x:v>
      </x:c>
      <x:c r="AT137" s="48" t="n">
        <x: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(0.45*SIN(2*PI()*((((Inputs!$I$7+(((A137)+1)/2)*(Inputs!$J$7-Inputs!$I$7)))/Inputs!$C$49)+Inputs!$C$47*0.137))+0.35*COS(2*PI()*(((Inputs!$C$6)/Inputs!$C$50)+Inputs!$C$47*0.173))+0.20*SIN(2*PI()*((((Inputs!$I$7+(((A137)+1)/2)*(Inputs!$J$7-Inputs!$I$7)))+(Inputs!$C$6))/(0.5*(Inputs!$C$49+Inputs!$C$50))+Inputs!$C$47*0.097)))+0.30*(2*((SIN((((Inputs!$I$7+(((A137)+1)/2)*(Inputs!$J$7-Inputs!$I$7)))*12.9898+(Inputs!$C$6)*78.233+Inputs!$C$47*37.719))*43758.5453)-INT((SIN((((Inputs!$I$7+(((A137)+1)/2)*(Inputs!$J$7-Inputs!$I$7)))*12.9898+(Inputs!$C$6)*78.233+Inputs!$C$47*37.719))*43758.5453)))-1))),NA())</x:f>
        <x:v>115.23525161719914</x:v>
      </x:c>
      <x:c r="AU137" s="48" t="n">
        <x: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(0.45*SIN(2*PI()*((((Inputs!$I$8+(((A137)+1)/2)*(Inputs!$J$8-Inputs!$I$8)))/Inputs!$C$49)+Inputs!$C$47*0.137))+0.35*COS(2*PI()*(((Inputs!$C$6)/Inputs!$C$50)+Inputs!$C$47*0.173))+0.20*SIN(2*PI()*((((Inputs!$I$8+(((A137)+1)/2)*(Inputs!$J$8-Inputs!$I$8)))+(Inputs!$C$6))/(0.5*(Inputs!$C$49+Inputs!$C$50))+Inputs!$C$47*0.097)))+0.30*(2*((SIN((((Inputs!$I$8+(((A137)+1)/2)*(Inputs!$J$8-Inputs!$I$8)))*12.9898+(Inputs!$C$6)*78.233+Inputs!$C$47*37.719))*43758.5453)-INT((SIN((((Inputs!$I$8+(((A137)+1)/2)*(Inputs!$J$8-Inputs!$I$8)))*12.9898+(Inputs!$C$6)*78.233+Inputs!$C$47*37.719))*43758.5453)))-1))),NA())</x:f>
        <x:v>145.81280158474385</x:v>
      </x:c>
      <x:c r="AV137" s="48" t="n">
        <x: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(0.45*SIN(2*PI()*((((Inputs!$I$9+(((A137)+1)/2)*(Inputs!$J$9-Inputs!$I$9)))/Inputs!$C$49)+Inputs!$C$47*0.137))+0.35*COS(2*PI()*(((Inputs!$C$6)/Inputs!$C$50)+Inputs!$C$47*0.173))+0.20*SIN(2*PI()*((((Inputs!$I$9+(((A137)+1)/2)*(Inputs!$J$9-Inputs!$I$9)))+(Inputs!$C$6))/(0.5*(Inputs!$C$49+Inputs!$C$50))+Inputs!$C$47*0.097)))+0.30*(2*((SIN((((Inputs!$I$9+(((A137)+1)/2)*(Inputs!$J$9-Inputs!$I$9)))*12.9898+(Inputs!$C$6)*78.233+Inputs!$C$47*37.719))*43758.5453)-INT((SIN((((Inputs!$I$9+(((A137)+1)/2)*(Inputs!$J$9-Inputs!$I$9)))*12.9898+(Inputs!$C$6)*78.233+Inputs!$C$47*37.719))*43758.5453)))-1))),NA())</x:f>
        <x:v>145.81280158474385</x:v>
      </x:c>
      <x:c r="AW137" s="49"/>
      <x:c r="AX137" s="48" t="n">
        <x:f>A137</x:f>
        <x:v>0.125</x:v>
      </x:c>
      <x:c r="AY137" s="48" t="n">
        <x:f>0</x:f>
        <x:v>0</x:v>
      </x:c>
      <x:c r="AZ137" s="48" t="n">
        <x:f>IF(OR(Inputs!$F$6=TRUE,Inputs!$F$6="TRUE",Inputs!$F$6=1),(Inputs!$H$6+Inputs!$L$6*(((Inputs!$I$6+(((A137)+1)/2)*(Inputs!$J$6-Inputs!$I$6)))/Inputs!$K$6)^2),NA())</x:f>
        <x:v>400.0625</x:v>
      </x:c>
      <x:c r="BA137" s="48" t="n">
        <x:f>IF(OR(Inputs!$F$7=TRUE,Inputs!$F$7="TRUE",Inputs!$F$7=1),(Inputs!$H$7+Inputs!$L$7*(((Inputs!$I$7+(((A137)+1)/2)*(Inputs!$J$7-Inputs!$I$7)))/Inputs!$K$7)^2),NA())</x:f>
        <x:v>40.703125</x:v>
      </x:c>
      <x:c r="BB137" s="48" t="n">
        <x:f>IF(OR(Inputs!$F$8=TRUE,Inputs!$F$8="TRUE",Inputs!$F$8=1),(Inputs!$H$8+Inputs!$L$8*(((Inputs!$I$8+(((A137)+1)/2)*(Inputs!$J$8-Inputs!$I$8)))/Inputs!$K$8)^2),NA())</x:f>
        <x:v>50.078125</x:v>
      </x:c>
      <x:c r="BC137" s="48" t="n">
        <x:f>IF(OR(Inputs!$F$9=TRUE,Inputs!$F$9="TRUE",Inputs!$F$9=1),(Inputs!$H$9+Inputs!$L$9*(((Inputs!$I$9+(((A137)+1)/2)*(Inputs!$J$9-Inputs!$I$9)))/Inputs!$K$9)^2),NA())</x:f>
        <x:v>40.234375</x:v>
      </x:c>
      <x:c r="BD137" s="49"/>
      <x:c r="BE137" s="48" t="n">
        <x:f>A137</x:f>
        <x:v>0.125</x:v>
      </x:c>
      <x:c r="BF137" s="48" t="n">
        <x:f>0</x:f>
        <x:v>0</x:v>
      </x:c>
      <x:c r="BG137" s="48"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BH137" s="48"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BI137" s="48"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BJ137" s="48"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row>
    <x:row r="138">
      <x:c r="A138" s="48" t="n">
        <x:f>ROUND(-1+136*2/240,3)</x:f>
        <x:v>0.133</x:v>
      </x:c>
      <x:c r="B138" s="48" t="n">
        <x:f>IF(OR(Inputs!$F$6=TRUE,Inputs!$F$6="TRUE",Inputs!$F$6=1),(Inputs!$H$6+Inputs!$L$6*(((Inputs!$I$6+(((A138)+1)/2)*(Inputs!$J$6-Inputs!$I$6)))/Inputs!$K$6)^2),NA())</x:f>
        <x:v>400.070756</x:v>
      </x:c>
      <x:c r="C138" s="48" t="n">
        <x:f>IF(OR(Inputs!$F$7=TRUE,Inputs!$F$7="TRUE",Inputs!$F$7=1),(Inputs!$H$7+Inputs!$L$7*(((Inputs!$I$7+(((A138)+1)/2)*(Inputs!$J$7-Inputs!$I$7)))/Inputs!$K$7)^2),NA())</x:f>
        <x:v>41.456485</x:v>
      </x:c>
      <x:c r="D138" s="48" t="n">
        <x:f>IF(OR(Inputs!$F$8=TRUE,Inputs!$F$8="TRUE",Inputs!$F$8=1),(Inputs!$H$8+Inputs!$L$8*(((Inputs!$I$8+(((A138)+1)/2)*(Inputs!$J$8-Inputs!$I$8)))/Inputs!$K$8)^2),NA())</x:f>
        <x:v>52.06988499999999</x:v>
      </x:c>
      <x:c r="E138" s="48" t="n">
        <x:f>IF(OR(Inputs!$F$9=TRUE,Inputs!$F$9="TRUE",Inputs!$F$9=1),(Inputs!$H$9+Inputs!$L$9*(((Inputs!$I$9+(((A138)+1)/2)*(Inputs!$J$9-Inputs!$I$9)))/Inputs!$K$9)^2),NA())</x:f>
        <x:v>42.24677499999999</x:v>
      </x:c>
      <x:c r="F138" s="49"/>
      <x:c r="G138" s="48" t="n">
        <x:f>A138</x:f>
        <x:v>0.133</x:v>
      </x:c>
      <x:c r="H138" s="48"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I138" s="48"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J138" s="48"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K138" s="48"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c r="L138" s="49"/>
      <x:c r="M138" s="48" t="n">
        <x:f>A138</x:f>
        <x:v>0.133</x:v>
      </x:c>
      <x:c r="N138" s="48" t="n">
        <x: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x:f>
        <x:v>-68.29752299161274</x:v>
      </x:c>
      <x:c r="O138" s="48" t="n">
        <x: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x:f>
        <x:v>-1431.7433363369678</x:v>
      </x:c>
      <x:c r="P138" s="48" t="n">
        <x: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x:f>
        <x:v>-1666.6842877350293</x:v>
      </x:c>
      <x:c r="Q138" s="48" t="n">
        <x: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x:f>
        <x:v>-1675.5643234080285</x:v>
      </x:c>
      <x:c r="R138" s="49"/>
      <x:c r="S138" s="48" t="n">
        <x:f>A138</x:f>
        <x:v>0.133</x:v>
      </x:c>
      <x:c r="T138" s="48" t="n">
        <x:f>(Inputs!$I$6+(((A138)+1)/2)*(Inputs!$J$6-Inputs!$I$6))</x:f>
        <x:v>7.980000000000004</x:v>
      </x:c>
      <x:c r="U138" s="48" t="n">
        <x:f>(Inputs!$I$7+(((A138)+1)/2)*(Inputs!$J$7-Inputs!$I$7))</x:f>
        <x:v>53.19999999999999</x:v>
      </x:c>
      <x:c r="V138" s="48" t="n">
        <x:f>(Inputs!$I$8+(((A138)+1)/2)*(Inputs!$J$8-Inputs!$I$8))</x:f>
        <x:v>106.39999999999998</x:v>
      </x:c>
      <x:c r="W138" s="48" t="n">
        <x:f>(Inputs!$I$9+(((A138)+1)/2)*(Inputs!$J$9-Inputs!$I$9))</x:f>
        <x:v>106.39999999999998</x:v>
      </x:c>
      <x:c r="X138" s="49"/>
      <x:c r="Y138" s="48" t="n">
        <x:f>A138</x:f>
        <x:v>0.133</x:v>
      </x:c>
      <x:c r="Z138" s="48" t="n">
        <x:f>(Inputs!$H$6+Inputs!$L$6*(((Inputs!$I$6+(((A138)+1)/2)*(Inputs!$J$6-Inputs!$I$6)))/Inputs!$K$6)^2)</x:f>
        <x:v>400.070756</x:v>
      </x:c>
      <x:c r="AA138" s="48" t="n">
        <x:f>(Inputs!$H$7+Inputs!$L$7*(((Inputs!$I$7+(((A138)+1)/2)*(Inputs!$J$7-Inputs!$I$7)))/Inputs!$K$7)^2)</x:f>
        <x:v>41.456485</x:v>
      </x:c>
      <x:c r="AB138" s="48" t="n">
        <x:f>(Inputs!$H$8+Inputs!$L$8*(((Inputs!$I$8+(((A138)+1)/2)*(Inputs!$J$8-Inputs!$I$8)))/Inputs!$K$8)^2)</x:f>
        <x:v>52.06988499999999</x:v>
      </x:c>
      <x:c r="AC138" s="48" t="n">
        <x:f>(Inputs!$H$9+Inputs!$L$9*(((Inputs!$I$9+(((A138)+1)/2)*(Inputs!$J$9-Inputs!$I$9)))/Inputs!$K$9)^2)</x:f>
        <x:v>42.24677499999999</x:v>
      </x:c>
      <x:c r="AD138" s="49"/>
      <x:c r="AE138" s="48" t="n">
        <x:f>A138</x:f>
        <x:v>0.133</x:v>
      </x:c>
      <x:c r="AF138" s="48" t="n">
        <x:f>(((SQRT((Inputs!$C$52+((Inputs!$H$6+Inputs!$L$6*(((Inputs!$I$6+(((A138)+1)/2)*(Inputs!$J$6-Inputs!$I$6)))/Inputs!$K$6)^2)))^2+Inputs!$C$52^2-2*(Inputs!$C$52+((Inputs!$H$6+Inputs!$L$6*(((Inputs!$I$6+(((A138)+1)/2)*(Inputs!$J$6-Inputs!$I$6)))/Inputs!$K$6)^2)))*Inputs!$C$52*COS(SQRT(((Inputs!$I$6+(((A138)+1)/2)*(Inputs!$J$6-Inputs!$I$6)))^2+Inputs!$C$6^2)/Inputs!$C$52)))-((Inputs!$H$6+Inputs!$L$6*(((Inputs!$I$6+(((A138)+1)/2)*(Inputs!$J$6-Inputs!$I$6)))/Inputs!$K$6)^2)))*1000/Inputs!$C$12)</x:f>
        <x:v>606.6478907754753</x:v>
      </x:c>
      <x:c r="AG138" s="48" t="n">
        <x:f>(((SQRT((Inputs!$C$52+((Inputs!$H$7+Inputs!$L$7*(((Inputs!$I$7+(((A138)+1)/2)*(Inputs!$J$7-Inputs!$I$7)))/Inputs!$K$7)^2)))^2+Inputs!$C$52^2-2*(Inputs!$C$52+((Inputs!$H$7+Inputs!$L$7*(((Inputs!$I$7+(((A138)+1)/2)*(Inputs!$J$7-Inputs!$I$7)))/Inputs!$K$7)^2)))*Inputs!$C$52*COS(SQRT(((Inputs!$I$7+(((A138)+1)/2)*(Inputs!$J$7-Inputs!$I$7)))^2+Inputs!$C$6^2)/Inputs!$C$52)))-((Inputs!$H$7+Inputs!$L$7*(((Inputs!$I$7+(((A138)+1)/2)*(Inputs!$J$7-Inputs!$I$7)))/Inputs!$K$7)^2)))*1000/Inputs!$C$12)</x:f>
        <x:v>17474.976993364235</x:v>
      </x:c>
      <x:c r="AH138" s="48" t="n">
        <x:f>(((SQRT((Inputs!$C$52+((Inputs!$H$8+Inputs!$L$8*(((Inputs!$I$8+(((A138)+1)/2)*(Inputs!$J$8-Inputs!$I$8)))/Inputs!$K$8)^2)))^2+Inputs!$C$52^2-2*(Inputs!$C$52+((Inputs!$H$8+Inputs!$L$8*(((Inputs!$I$8+(((A138)+1)/2)*(Inputs!$J$8-Inputs!$I$8)))/Inputs!$K$8)^2)))*Inputs!$C$52*COS(SQRT(((Inputs!$I$8+(((A138)+1)/2)*(Inputs!$J$8-Inputs!$I$8)))^2+Inputs!$C$6^2)/Inputs!$C$52)))-((Inputs!$H$8+Inputs!$L$8*(((Inputs!$I$8+(((A138)+1)/2)*(Inputs!$J$8-Inputs!$I$8)))/Inputs!$K$8)^2)))*1000/Inputs!$C$12)</x:f>
        <x:v>39669.37393534311</x:v>
      </x:c>
      <x:c r="AI138" s="48" t="n">
        <x:f>(((SQRT((Inputs!$C$52+((Inputs!$H$9+Inputs!$L$9*(((Inputs!$I$9+(((A138)+1)/2)*(Inputs!$J$9-Inputs!$I$9)))/Inputs!$K$9)^2)))^2+Inputs!$C$52^2-2*(Inputs!$C$52+((Inputs!$H$9+Inputs!$L$9*(((Inputs!$I$9+(((A138)+1)/2)*(Inputs!$J$9-Inputs!$I$9)))/Inputs!$K$9)^2)))*Inputs!$C$52*COS(SQRT(((Inputs!$I$9+(((A138)+1)/2)*(Inputs!$J$9-Inputs!$I$9)))^2+Inputs!$C$6^2)/Inputs!$C$52)))-((Inputs!$H$9+Inputs!$L$9*(((Inputs!$I$9+(((A138)+1)/2)*(Inputs!$J$9-Inputs!$I$9)))/Inputs!$K$9)^2)))*1000/Inputs!$C$12)</x:f>
        <x:v>42855.08565261963</x:v>
      </x:c>
      <x:c r="AJ138" s="49"/>
      <x:c r="AK138" s="48" t="n">
        <x:f>A138</x:f>
        <x:v>0.133</x:v>
      </x:c>
      <x:c r="AL138" s="48" t="n">
        <x: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x:f>
        <x:v>-68.29752299161274</x:v>
      </x:c>
      <x:c r="AM138" s="48" t="n">
        <x: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x:f>
        <x:v>-1431.7433363369678</x:v>
      </x:c>
      <x:c r="AN138" s="48" t="n">
        <x: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x:f>
        <x:v>-1666.6842877350293</x:v>
      </x:c>
      <x:c r="AO138" s="48" t="n">
        <x: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x:f>
        <x:v>-1675.5643234080285</x:v>
      </x:c>
      <x:c r="AP138" s="49"/>
      <x:c r="AQ138" s="48" t="n">
        <x:f>A138</x:f>
        <x:v>0.133</x:v>
      </x:c>
      <x:c r="AR138" s="48" t="n">
        <x:f>0</x:f>
        <x:v>0</x:v>
      </x:c>
      <x:c r="AS138" s="48" t="n">
        <x: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(0.45*SIN(2*PI()*((((Inputs!$I$6+(((A138)+1)/2)*(Inputs!$J$6-Inputs!$I$6)))/Inputs!$C$49)+Inputs!$C$47*0.137))+0.35*COS(2*PI()*(((Inputs!$C$6)/Inputs!$C$50)+Inputs!$C$47*0.173))+0.20*SIN(2*PI()*((((Inputs!$I$6+(((A138)+1)/2)*(Inputs!$J$6-Inputs!$I$6)))+(Inputs!$C$6))/(0.5*(Inputs!$C$49+Inputs!$C$50))+Inputs!$C$47*0.097)))+0.30*(2*((SIN((((Inputs!$I$6+(((A138)+1)/2)*(Inputs!$J$6-Inputs!$I$6)))*12.9898+(Inputs!$C$6)*78.233+Inputs!$C$47*37.719))*43758.5453)-INT((SIN((((Inputs!$I$6+(((A138)+1)/2)*(Inputs!$J$6-Inputs!$I$6)))*12.9898+(Inputs!$C$6)*78.233+Inputs!$C$47*37.719))*43758.5453)))-1))),NA())</x:f>
        <x:v>508.0006712814641</x:v>
      </x:c>
      <x:c r="AT138" s="48" t="n">
        <x: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(0.45*SIN(2*PI()*((((Inputs!$I$7+(((A138)+1)/2)*(Inputs!$J$7-Inputs!$I$7)))/Inputs!$C$49)+Inputs!$C$47*0.137))+0.35*COS(2*PI()*(((Inputs!$C$6)/Inputs!$C$50)+Inputs!$C$47*0.173))+0.20*SIN(2*PI()*((((Inputs!$I$7+(((A138)+1)/2)*(Inputs!$J$7-Inputs!$I$7)))+(Inputs!$C$6))/(0.5*(Inputs!$C$49+Inputs!$C$50))+Inputs!$C$47*0.097)))+0.30*(2*((SIN((((Inputs!$I$7+(((A138)+1)/2)*(Inputs!$J$7-Inputs!$I$7)))*12.9898+(Inputs!$C$6)*78.233+Inputs!$C$47*37.719))*43758.5453)-INT((SIN((((Inputs!$I$7+(((A138)+1)/2)*(Inputs!$J$7-Inputs!$I$7)))*12.9898+(Inputs!$C$6)*78.233+Inputs!$C$47*37.719))*43758.5453)))-1))),NA())</x:f>
        <x:v>174.2761924941442</x:v>
      </x:c>
      <x:c r="AU138" s="48" t="n">
        <x: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(0.45*SIN(2*PI()*((((Inputs!$I$8+(((A138)+1)/2)*(Inputs!$J$8-Inputs!$I$8)))/Inputs!$C$49)+Inputs!$C$47*0.137))+0.35*COS(2*PI()*(((Inputs!$C$6)/Inputs!$C$50)+Inputs!$C$47*0.173))+0.20*SIN(2*PI()*((((Inputs!$I$8+(((A138)+1)/2)*(Inputs!$J$8-Inputs!$I$8)))+(Inputs!$C$6))/(0.5*(Inputs!$C$49+Inputs!$C$50))+Inputs!$C$47*0.097)))+0.30*(2*((SIN((((Inputs!$I$8+(((A138)+1)/2)*(Inputs!$J$8-Inputs!$I$8)))*12.9898+(Inputs!$C$6)*78.233+Inputs!$C$47*37.719))*43758.5453)-INT((SIN((((Inputs!$I$8+(((A138)+1)/2)*(Inputs!$J$8-Inputs!$I$8)))*12.9898+(Inputs!$C$6)*78.233+Inputs!$C$47*37.719))*43758.5453)))-1))),NA())</x:f>
        <x:v>80.33930635150735</x:v>
      </x:c>
      <x:c r="AV138" s="48" t="n">
        <x: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(0.45*SIN(2*PI()*((((Inputs!$I$9+(((A138)+1)/2)*(Inputs!$J$9-Inputs!$I$9)))/Inputs!$C$49)+Inputs!$C$47*0.137))+0.35*COS(2*PI()*(((Inputs!$C$6)/Inputs!$C$50)+Inputs!$C$47*0.173))+0.20*SIN(2*PI()*((((Inputs!$I$9+(((A138)+1)/2)*(Inputs!$J$9-Inputs!$I$9)))+(Inputs!$C$6))/(0.5*(Inputs!$C$49+Inputs!$C$50))+Inputs!$C$47*0.097)))+0.30*(2*((SIN((((Inputs!$I$9+(((A138)+1)/2)*(Inputs!$J$9-Inputs!$I$9)))*12.9898+(Inputs!$C$6)*78.233+Inputs!$C$47*37.719))*43758.5453)-INT((SIN((((Inputs!$I$9+(((A138)+1)/2)*(Inputs!$J$9-Inputs!$I$9)))*12.9898+(Inputs!$C$6)*78.233+Inputs!$C$47*37.719))*43758.5453)))-1))),NA())</x:f>
        <x:v>80.33930635150735</x:v>
      </x:c>
      <x:c r="AW138" s="49"/>
      <x:c r="AX138" s="48" t="n">
        <x:f>A138</x:f>
        <x:v>0.133</x:v>
      </x:c>
      <x:c r="AY138" s="48" t="n">
        <x:f>0</x:f>
        <x:v>0</x:v>
      </x:c>
      <x:c r="AZ138" s="48" t="n">
        <x:f>IF(OR(Inputs!$F$6=TRUE,Inputs!$F$6="TRUE",Inputs!$F$6=1),(Inputs!$H$6+Inputs!$L$6*(((Inputs!$I$6+(((A138)+1)/2)*(Inputs!$J$6-Inputs!$I$6)))/Inputs!$K$6)^2),NA())</x:f>
        <x:v>400.070756</x:v>
      </x:c>
      <x:c r="BA138" s="48" t="n">
        <x:f>IF(OR(Inputs!$F$7=TRUE,Inputs!$F$7="TRUE",Inputs!$F$7=1),(Inputs!$H$7+Inputs!$L$7*(((Inputs!$I$7+(((A138)+1)/2)*(Inputs!$J$7-Inputs!$I$7)))/Inputs!$K$7)^2),NA())</x:f>
        <x:v>41.456485</x:v>
      </x:c>
      <x:c r="BB138" s="48" t="n">
        <x:f>IF(OR(Inputs!$F$8=TRUE,Inputs!$F$8="TRUE",Inputs!$F$8=1),(Inputs!$H$8+Inputs!$L$8*(((Inputs!$I$8+(((A138)+1)/2)*(Inputs!$J$8-Inputs!$I$8)))/Inputs!$K$8)^2),NA())</x:f>
        <x:v>52.06988499999999</x:v>
      </x:c>
      <x:c r="BC138" s="48" t="n">
        <x:f>IF(OR(Inputs!$F$9=TRUE,Inputs!$F$9="TRUE",Inputs!$F$9=1),(Inputs!$H$9+Inputs!$L$9*(((Inputs!$I$9+(((A138)+1)/2)*(Inputs!$J$9-Inputs!$I$9)))/Inputs!$K$9)^2),NA())</x:f>
        <x:v>42.24677499999999</x:v>
      </x:c>
      <x:c r="BD138" s="49"/>
      <x:c r="BE138" s="48" t="n">
        <x:f>A138</x:f>
        <x:v>0.133</x:v>
      </x:c>
      <x:c r="BF138" s="48" t="n">
        <x:f>0</x:f>
        <x:v>0</x:v>
      </x:c>
      <x:c r="BG138" s="48"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BH138" s="48"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BI138" s="48"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BJ138" s="48"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row>
    <x:row r="139">
      <x:c r="A139" s="48" t="n">
        <x:f>ROUND(-1+137*2/240,3)</x:f>
        <x:v>0.142</x:v>
      </x:c>
      <x:c r="B139" s="48" t="n">
        <x:f>IF(OR(Inputs!$F$6=TRUE,Inputs!$F$6="TRUE",Inputs!$F$6=1),(Inputs!$H$6+Inputs!$L$6*(((Inputs!$I$6+(((A139)+1)/2)*(Inputs!$J$6-Inputs!$I$6)))/Inputs!$K$6)^2),NA())</x:f>
        <x:v>400.080656</x:v>
      </x:c>
      <x:c r="C139" s="48" t="n">
        <x:f>IF(OR(Inputs!$F$7=TRUE,Inputs!$F$7="TRUE",Inputs!$F$7=1),(Inputs!$H$7+Inputs!$L$7*(((Inputs!$I$7+(((A139)+1)/2)*(Inputs!$J$7-Inputs!$I$7)))/Inputs!$K$7)^2),NA())</x:f>
        <x:v>42.35985999999998</x:v>
      </x:c>
      <x:c r="D139" s="48" t="n">
        <x:f>IF(OR(Inputs!$F$8=TRUE,Inputs!$F$8="TRUE",Inputs!$F$8=1),(Inputs!$H$8+Inputs!$L$8*(((Inputs!$I$8+(((A139)+1)/2)*(Inputs!$J$8-Inputs!$I$8)))/Inputs!$K$8)^2),NA())</x:f>
        <x:v>54.45825999999997</x:v>
      </x:c>
      <x:c r="E139" s="48" t="n">
        <x:f>IF(OR(Inputs!$F$9=TRUE,Inputs!$F$9="TRUE",Inputs!$F$9=1),(Inputs!$H$9+Inputs!$L$9*(((Inputs!$I$9+(((A139)+1)/2)*(Inputs!$J$9-Inputs!$I$9)))/Inputs!$K$9)^2),NA())</x:f>
        <x:v>44.659899999999965</x:v>
      </x:c>
      <x:c r="F139" s="49"/>
      <x:c r="G139" s="48" t="n">
        <x:f>A139</x:f>
        <x:v>0.142</x:v>
      </x:c>
      <x:c r="H139" s="48"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I139" s="48"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J139" s="48"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K139" s="48"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c r="L139" s="49"/>
      <x:c r="M139" s="48" t="n">
        <x:f>A139</x:f>
        <x:v>0.142</x:v>
      </x:c>
      <x:c r="N139" s="48" t="n">
        <x: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x:f>
        <x:v>-72.91598106996175</x:v>
      </x:c>
      <x:c r="O139" s="48" t="n">
        <x: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x:f>
        <x:v>-1469.1174397232376</x:v>
      </x:c>
      <x:c r="P139" s="48" t="n">
        <x: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x:f>
        <x:v>-1690.416280810377</x:v>
      </x:c>
      <x:c r="Q139" s="48" t="n">
        <x: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x:f>
        <x:v>-1696.2176513894397</x:v>
      </x:c>
      <x:c r="R139" s="49"/>
      <x:c r="S139" s="48" t="n">
        <x:f>A139</x:f>
        <x:v>0.142</x:v>
      </x:c>
      <x:c r="T139" s="48" t="n">
        <x:f>(Inputs!$I$6+(((A139)+1)/2)*(Inputs!$J$6-Inputs!$I$6))</x:f>
        <x:v>8.519999999999996</x:v>
      </x:c>
      <x:c r="U139" s="48" t="n">
        <x:f>(Inputs!$I$7+(((A139)+1)/2)*(Inputs!$J$7-Inputs!$I$7))</x:f>
        <x:v>56.799999999999955</x:v>
      </x:c>
      <x:c r="V139" s="48" t="n">
        <x:f>(Inputs!$I$8+(((A139)+1)/2)*(Inputs!$J$8-Inputs!$I$8))</x:f>
        <x:v>113.59999999999991</x:v>
      </x:c>
      <x:c r="W139" s="48" t="n">
        <x:f>(Inputs!$I$9+(((A139)+1)/2)*(Inputs!$J$9-Inputs!$I$9))</x:f>
        <x:v>113.59999999999991</x:v>
      </x:c>
      <x:c r="X139" s="49"/>
      <x:c r="Y139" s="48" t="n">
        <x:f>A139</x:f>
        <x:v>0.142</x:v>
      </x:c>
      <x:c r="Z139" s="48" t="n">
        <x:f>(Inputs!$H$6+Inputs!$L$6*(((Inputs!$I$6+(((A139)+1)/2)*(Inputs!$J$6-Inputs!$I$6)))/Inputs!$K$6)^2)</x:f>
        <x:v>400.080656</x:v>
      </x:c>
      <x:c r="AA139" s="48" t="n">
        <x:f>(Inputs!$H$7+Inputs!$L$7*(((Inputs!$I$7+(((A139)+1)/2)*(Inputs!$J$7-Inputs!$I$7)))/Inputs!$K$7)^2)</x:f>
        <x:v>42.35985999999998</x:v>
      </x:c>
      <x:c r="AB139" s="48" t="n">
        <x:f>(Inputs!$H$8+Inputs!$L$8*(((Inputs!$I$8+(((A139)+1)/2)*(Inputs!$J$8-Inputs!$I$8)))/Inputs!$K$8)^2)</x:f>
        <x:v>54.45825999999997</x:v>
      </x:c>
      <x:c r="AC139" s="48" t="n">
        <x:f>(Inputs!$H$9+Inputs!$L$9*(((Inputs!$I$9+(((A139)+1)/2)*(Inputs!$J$9-Inputs!$I$9)))/Inputs!$K$9)^2)</x:f>
        <x:v>44.659899999999965</x:v>
      </x:c>
      <x:c r="AD139" s="49"/>
      <x:c r="AE139" s="48" t="n">
        <x:f>A139</x:f>
        <x:v>0.142</x:v>
      </x:c>
      <x:c r="AF139" s="48" t="n">
        <x:f>(((SQRT((Inputs!$C$52+((Inputs!$H$6+Inputs!$L$6*(((Inputs!$I$6+(((A139)+1)/2)*(Inputs!$J$6-Inputs!$I$6)))/Inputs!$K$6)^2)))^2+Inputs!$C$52^2-2*(Inputs!$C$52+((Inputs!$H$6+Inputs!$L$6*(((Inputs!$I$6+(((A139)+1)/2)*(Inputs!$J$6-Inputs!$I$6)))/Inputs!$K$6)^2)))*Inputs!$C$52*COS(SQRT(((Inputs!$I$6+(((A139)+1)/2)*(Inputs!$J$6-Inputs!$I$6)))^2+Inputs!$C$6^2)/Inputs!$C$52)))-((Inputs!$H$6+Inputs!$L$6*(((Inputs!$I$6+(((A139)+1)/2)*(Inputs!$J$6-Inputs!$I$6)))/Inputs!$K$6)^2)))*1000/Inputs!$C$12)</x:f>
        <x:v>614.4736187505341</x:v>
      </x:c>
      <x:c r="AG139" s="48" t="n">
        <x:f>(((SQRT((Inputs!$C$52+((Inputs!$H$7+Inputs!$L$7*(((Inputs!$I$7+(((A139)+1)/2)*(Inputs!$J$7-Inputs!$I$7)))/Inputs!$K$7)^2)))^2+Inputs!$C$52^2-2*(Inputs!$C$52+((Inputs!$H$7+Inputs!$L$7*(((Inputs!$I$7+(((A139)+1)/2)*(Inputs!$J$7-Inputs!$I$7)))/Inputs!$K$7)^2)))*Inputs!$C$52*COS(SQRT(((Inputs!$I$7+(((A139)+1)/2)*(Inputs!$J$7-Inputs!$I$7)))^2+Inputs!$C$6^2)/Inputs!$C$52)))-((Inputs!$H$7+Inputs!$L$7*(((Inputs!$I$7+(((A139)+1)/2)*(Inputs!$J$7-Inputs!$I$7)))/Inputs!$K$7)^2)))*1000/Inputs!$C$12)</x:f>
        <x:v>18801.262933795908</x:v>
      </x:c>
      <x:c r="AH139" s="48" t="n">
        <x:f>(((SQRT((Inputs!$C$52+((Inputs!$H$8+Inputs!$L$8*(((Inputs!$I$8+(((A139)+1)/2)*(Inputs!$J$8-Inputs!$I$8)))/Inputs!$K$8)^2)))^2+Inputs!$C$52^2-2*(Inputs!$C$52+((Inputs!$H$8+Inputs!$L$8*(((Inputs!$I$8+(((A139)+1)/2)*(Inputs!$J$8-Inputs!$I$8)))/Inputs!$K$8)^2)))*Inputs!$C$52*COS(SQRT(((Inputs!$I$8+(((A139)+1)/2)*(Inputs!$J$8-Inputs!$I$8)))^2+Inputs!$C$6^2)/Inputs!$C$52)))-((Inputs!$H$8+Inputs!$L$8*(((Inputs!$I$8+(((A139)+1)/2)*(Inputs!$J$8-Inputs!$I$8)))/Inputs!$K$8)^2)))*1000/Inputs!$C$12)</x:f>
        <x:v>42571.428061612045</x:v>
      </x:c>
      <x:c r="AI139" s="48" t="n">
        <x:f>(((SQRT((Inputs!$C$52+((Inputs!$H$9+Inputs!$L$9*(((Inputs!$I$9+(((A139)+1)/2)*(Inputs!$J$9-Inputs!$I$9)))/Inputs!$K$9)^2)))^2+Inputs!$C$52^2-2*(Inputs!$C$52+((Inputs!$H$9+Inputs!$L$9*(((Inputs!$I$9+(((A139)+1)/2)*(Inputs!$J$9-Inputs!$I$9)))/Inputs!$K$9)^2)))*Inputs!$C$52*COS(SQRT(((Inputs!$I$9+(((A139)+1)/2)*(Inputs!$J$9-Inputs!$I$9)))^2+Inputs!$C$6^2)/Inputs!$C$52)))-((Inputs!$H$9+Inputs!$L$9*(((Inputs!$I$9+(((A139)+1)/2)*(Inputs!$J$9-Inputs!$I$9)))/Inputs!$K$9)^2)))*1000/Inputs!$C$12)</x:f>
        <x:v>45761.67627041644</x:v>
      </x:c>
      <x:c r="AJ139" s="49"/>
      <x:c r="AK139" s="48" t="n">
        <x:f>A139</x:f>
        <x:v>0.142</x:v>
      </x:c>
      <x:c r="AL139" s="48" t="n">
        <x: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x:f>
        <x:v>-72.91598106996175</x:v>
      </x:c>
      <x:c r="AM139" s="48" t="n">
        <x: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x:f>
        <x:v>-1469.1174397232376</x:v>
      </x:c>
      <x:c r="AN139" s="48" t="n">
        <x: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x:f>
        <x:v>-1690.416280810377</x:v>
      </x:c>
      <x:c r="AO139" s="48" t="n">
        <x: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x:f>
        <x:v>-1696.2176513894397</x:v>
      </x:c>
      <x:c r="AP139" s="49"/>
      <x:c r="AQ139" s="48" t="n">
        <x:f>A139</x:f>
        <x:v>0.142</x:v>
      </x:c>
      <x:c r="AR139" s="48" t="n">
        <x:f>0</x:f>
        <x:v>0</x:v>
      </x:c>
      <x:c r="AS139" s="48" t="n">
        <x: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(0.45*SIN(2*PI()*((((Inputs!$I$6+(((A139)+1)/2)*(Inputs!$J$6-Inputs!$I$6)))/Inputs!$C$49)+Inputs!$C$47*0.137))+0.35*COS(2*PI()*(((Inputs!$C$6)/Inputs!$C$50)+Inputs!$C$47*0.173))+0.20*SIN(2*PI()*((((Inputs!$I$6+(((A139)+1)/2)*(Inputs!$J$6-Inputs!$I$6)))+(Inputs!$C$6))/(0.5*(Inputs!$C$49+Inputs!$C$50))+Inputs!$C$47*0.097)))+0.30*(2*((SIN((((Inputs!$I$6+(((A139)+1)/2)*(Inputs!$J$6-Inputs!$I$6)))*12.9898+(Inputs!$C$6)*78.233+Inputs!$C$47*37.719))*43758.5453)-INT((SIN((((Inputs!$I$6+(((A139)+1)/2)*(Inputs!$J$6-Inputs!$I$6)))*12.9898+(Inputs!$C$6)*78.233+Inputs!$C$47*37.719))*43758.5453)))-1))),NA())</x:f>
        <x:v>500.7223918356248</x:v>
      </x:c>
      <x:c r="AT139" s="48" t="n">
        <x: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(0.45*SIN(2*PI()*((((Inputs!$I$7+(((A139)+1)/2)*(Inputs!$J$7-Inputs!$I$7)))/Inputs!$C$49)+Inputs!$C$47*0.137))+0.35*COS(2*PI()*(((Inputs!$C$6)/Inputs!$C$50)+Inputs!$C$47*0.173))+0.20*SIN(2*PI()*((((Inputs!$I$7+(((A139)+1)/2)*(Inputs!$J$7-Inputs!$I$7)))+(Inputs!$C$6))/(0.5*(Inputs!$C$49+Inputs!$C$50))+Inputs!$C$47*0.097)))+0.30*(2*((SIN((((Inputs!$I$7+(((A139)+1)/2)*(Inputs!$J$7-Inputs!$I$7)))*12.9898+(Inputs!$C$6)*78.233+Inputs!$C$47*37.719))*43758.5453)-INT((SIN((((Inputs!$I$7+(((A139)+1)/2)*(Inputs!$J$7-Inputs!$I$7)))*12.9898+(Inputs!$C$6)*78.233+Inputs!$C$47*37.719))*43758.5453)))-1))),NA())</x:f>
        <x:v>189.63904468643238</x:v>
      </x:c>
      <x:c r="AU139" s="48" t="n">
        <x: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(0.45*SIN(2*PI()*((((Inputs!$I$8+(((A139)+1)/2)*(Inputs!$J$8-Inputs!$I$8)))/Inputs!$C$49)+Inputs!$C$47*0.137))+0.35*COS(2*PI()*(((Inputs!$C$6)/Inputs!$C$50)+Inputs!$C$47*0.173))+0.20*SIN(2*PI()*((((Inputs!$I$8+(((A139)+1)/2)*(Inputs!$J$8-Inputs!$I$8)))+(Inputs!$C$6))/(0.5*(Inputs!$C$49+Inputs!$C$50))+Inputs!$C$47*0.097)))+0.30*(2*((SIN((((Inputs!$I$8+(((A139)+1)/2)*(Inputs!$J$8-Inputs!$I$8)))*12.9898+(Inputs!$C$6)*78.233+Inputs!$C$47*37.719))*43758.5453)-INT((SIN((((Inputs!$I$8+(((A139)+1)/2)*(Inputs!$J$8-Inputs!$I$8)))*12.9898+(Inputs!$C$6)*78.233+Inputs!$C$47*37.719))*43758.5453)))-1))),NA())</x:f>
        <x:v>198.24419205890257</x:v>
      </x:c>
      <x:c r="AV139" s="48" t="n">
        <x: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(0.45*SIN(2*PI()*((((Inputs!$I$9+(((A139)+1)/2)*(Inputs!$J$9-Inputs!$I$9)))/Inputs!$C$49)+Inputs!$C$47*0.137))+0.35*COS(2*PI()*(((Inputs!$C$6)/Inputs!$C$50)+Inputs!$C$47*0.173))+0.20*SIN(2*PI()*((((Inputs!$I$9+(((A139)+1)/2)*(Inputs!$J$9-Inputs!$I$9)))+(Inputs!$C$6))/(0.5*(Inputs!$C$49+Inputs!$C$50))+Inputs!$C$47*0.097)))+0.30*(2*((SIN((((Inputs!$I$9+(((A139)+1)/2)*(Inputs!$J$9-Inputs!$I$9)))*12.9898+(Inputs!$C$6)*78.233+Inputs!$C$47*37.719))*43758.5453)-INT((SIN((((Inputs!$I$9+(((A139)+1)/2)*(Inputs!$J$9-Inputs!$I$9)))*12.9898+(Inputs!$C$6)*78.233+Inputs!$C$47*37.719))*43758.5453)))-1))),NA())</x:f>
        <x:v>198.24419205890257</x:v>
      </x:c>
      <x:c r="AW139" s="49"/>
      <x:c r="AX139" s="48" t="n">
        <x:f>A139</x:f>
        <x:v>0.142</x:v>
      </x:c>
      <x:c r="AY139" s="48" t="n">
        <x:f>0</x:f>
        <x:v>0</x:v>
      </x:c>
      <x:c r="AZ139" s="48" t="n">
        <x:f>IF(OR(Inputs!$F$6=TRUE,Inputs!$F$6="TRUE",Inputs!$F$6=1),(Inputs!$H$6+Inputs!$L$6*(((Inputs!$I$6+(((A139)+1)/2)*(Inputs!$J$6-Inputs!$I$6)))/Inputs!$K$6)^2),NA())</x:f>
        <x:v>400.080656</x:v>
      </x:c>
      <x:c r="BA139" s="48" t="n">
        <x:f>IF(OR(Inputs!$F$7=TRUE,Inputs!$F$7="TRUE",Inputs!$F$7=1),(Inputs!$H$7+Inputs!$L$7*(((Inputs!$I$7+(((A139)+1)/2)*(Inputs!$J$7-Inputs!$I$7)))/Inputs!$K$7)^2),NA())</x:f>
        <x:v>42.35985999999998</x:v>
      </x:c>
      <x:c r="BB139" s="48" t="n">
        <x:f>IF(OR(Inputs!$F$8=TRUE,Inputs!$F$8="TRUE",Inputs!$F$8=1),(Inputs!$H$8+Inputs!$L$8*(((Inputs!$I$8+(((A139)+1)/2)*(Inputs!$J$8-Inputs!$I$8)))/Inputs!$K$8)^2),NA())</x:f>
        <x:v>54.45825999999997</x:v>
      </x:c>
      <x:c r="BC139" s="48" t="n">
        <x:f>IF(OR(Inputs!$F$9=TRUE,Inputs!$F$9="TRUE",Inputs!$F$9=1),(Inputs!$H$9+Inputs!$L$9*(((Inputs!$I$9+(((A139)+1)/2)*(Inputs!$J$9-Inputs!$I$9)))/Inputs!$K$9)^2),NA())</x:f>
        <x:v>44.659899999999965</x:v>
      </x:c>
      <x:c r="BD139" s="49"/>
      <x:c r="BE139" s="48" t="n">
        <x:f>A139</x:f>
        <x:v>0.142</x:v>
      </x:c>
      <x:c r="BF139" s="48" t="n">
        <x:f>0</x:f>
        <x:v>0</x:v>
      </x:c>
      <x:c r="BG139" s="48"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BH139" s="48"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BI139" s="48"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BJ139" s="48"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row>
    <x:row r="140">
      <x:c r="A140" s="48" t="n">
        <x:f>ROUND(-1+138*2/240,3)</x:f>
        <x:v>0.15</x:v>
      </x:c>
      <x:c r="B140" s="48" t="n">
        <x:f>IF(OR(Inputs!$F$6=TRUE,Inputs!$F$6="TRUE",Inputs!$F$6=1),(Inputs!$H$6+Inputs!$L$6*(((Inputs!$I$6+(((A140)+1)/2)*(Inputs!$J$6-Inputs!$I$6)))/Inputs!$K$6)^2),NA())</x:f>
        <x:v>400.09</x:v>
      </x:c>
      <x:c r="C140" s="48" t="n">
        <x:f>IF(OR(Inputs!$F$7=TRUE,Inputs!$F$7="TRUE",Inputs!$F$7=1),(Inputs!$H$7+Inputs!$L$7*(((Inputs!$I$7+(((A140)+1)/2)*(Inputs!$J$7-Inputs!$I$7)))/Inputs!$K$7)^2),NA())</x:f>
        <x:v>43.212499999999984</x:v>
      </x:c>
      <x:c r="D140" s="48" t="n">
        <x:f>IF(OR(Inputs!$F$8=TRUE,Inputs!$F$8="TRUE",Inputs!$F$8=1),(Inputs!$H$8+Inputs!$L$8*(((Inputs!$I$8+(((A140)+1)/2)*(Inputs!$J$8-Inputs!$I$8)))/Inputs!$K$8)^2),NA())</x:f>
        <x:v>56.71249999999996</x:v>
      </x:c>
      <x:c r="E140" s="48" t="n">
        <x:f>IF(OR(Inputs!$F$9=TRUE,Inputs!$F$9="TRUE",Inputs!$F$9=1),(Inputs!$H$9+Inputs!$L$9*(((Inputs!$I$9+(((A140)+1)/2)*(Inputs!$J$9-Inputs!$I$9)))/Inputs!$K$9)^2),NA())</x:f>
        <x:v>46.93749999999996</x:v>
      </x:c>
      <x:c r="F140" s="49"/>
      <x:c r="G140" s="48" t="n">
        <x:f>A140</x:f>
        <x:v>0.15</x:v>
      </x:c>
      <x:c r="H140" s="48"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I140" s="48"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J140" s="48"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K140" s="48"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c r="L140" s="49"/>
      <x:c r="M140" s="48" t="n">
        <x:f>A140</x:f>
        <x:v>0.15</x:v>
      </x:c>
      <x:c r="N140" s="48" t="n">
        <x: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x:f>
        <x:v>-77.02075489521857</x:v>
      </x:c>
      <x:c r="O140" s="48" t="n">
        <x: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x:f>
        <x:v>-1499.4482518447132</x:v>
      </x:c>
      <x:c r="P140" s="48" t="n">
        <x: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x:f>
        <x:v>-1710.4376393669722</x:v>
      </x:c>
      <x:c r="Q140" s="48" t="n">
        <x: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x:f>
        <x:v>-1713.9315995349475</x:v>
      </x:c>
      <x:c r="R140" s="49"/>
      <x:c r="S140" s="48" t="n">
        <x:f>A140</x:f>
        <x:v>0.15</x:v>
      </x:c>
      <x:c r="T140" s="48" t="n">
        <x:f>(Inputs!$I$6+(((A140)+1)/2)*(Inputs!$J$6-Inputs!$I$6))</x:f>
        <x:v>9</x:v>
      </x:c>
      <x:c r="U140" s="48" t="n">
        <x:f>(Inputs!$I$7+(((A140)+1)/2)*(Inputs!$J$7-Inputs!$I$7))</x:f>
        <x:v>59.99999999999994</x:v>
      </x:c>
      <x:c r="V140" s="48" t="n">
        <x:f>(Inputs!$I$8+(((A140)+1)/2)*(Inputs!$J$8-Inputs!$I$8))</x:f>
        <x:v>119.99999999999989</x:v>
      </x:c>
      <x:c r="W140" s="48" t="n">
        <x:f>(Inputs!$I$9+(((A140)+1)/2)*(Inputs!$J$9-Inputs!$I$9))</x:f>
        <x:v>119.99999999999989</x:v>
      </x:c>
      <x:c r="X140" s="49"/>
      <x:c r="Y140" s="48" t="n">
        <x:f>A140</x:f>
        <x:v>0.15</x:v>
      </x:c>
      <x:c r="Z140" s="48" t="n">
        <x:f>(Inputs!$H$6+Inputs!$L$6*(((Inputs!$I$6+(((A140)+1)/2)*(Inputs!$J$6-Inputs!$I$6)))/Inputs!$K$6)^2)</x:f>
        <x:v>400.09</x:v>
      </x:c>
      <x:c r="AA140" s="48" t="n">
        <x:f>(Inputs!$H$7+Inputs!$L$7*(((Inputs!$I$7+(((A140)+1)/2)*(Inputs!$J$7-Inputs!$I$7)))/Inputs!$K$7)^2)</x:f>
        <x:v>43.212499999999984</x:v>
      </x:c>
      <x:c r="AB140" s="48" t="n">
        <x:f>(Inputs!$H$8+Inputs!$L$8*(((Inputs!$I$8+(((A140)+1)/2)*(Inputs!$J$8-Inputs!$I$8)))/Inputs!$K$8)^2)</x:f>
        <x:v>56.71249999999996</x:v>
      </x:c>
      <x:c r="AC140" s="48" t="n">
        <x:f>(Inputs!$H$9+Inputs!$L$9*(((Inputs!$I$9+(((A140)+1)/2)*(Inputs!$J$9-Inputs!$I$9)))/Inputs!$K$9)^2)</x:f>
        <x:v>46.93749999999996</x:v>
      </x:c>
      <x:c r="AD140" s="49"/>
      <x:c r="AE140" s="48" t="n">
        <x:f>A140</x:f>
        <x:v>0.15</x:v>
      </x:c>
      <x:c r="AF140" s="48" t="n">
        <x:f>(((SQRT((Inputs!$C$52+((Inputs!$H$6+Inputs!$L$6*(((Inputs!$I$6+(((A140)+1)/2)*(Inputs!$J$6-Inputs!$I$6)))/Inputs!$K$6)^2)))^2+Inputs!$C$52^2-2*(Inputs!$C$52+((Inputs!$H$6+Inputs!$L$6*(((Inputs!$I$6+(((A140)+1)/2)*(Inputs!$J$6-Inputs!$I$6)))/Inputs!$K$6)^2)))*Inputs!$C$52*COS(SQRT(((Inputs!$I$6+(((A140)+1)/2)*(Inputs!$J$6-Inputs!$I$6)))^2+Inputs!$C$6^2)/Inputs!$C$52)))-((Inputs!$H$6+Inputs!$L$6*(((Inputs!$I$6+(((A140)+1)/2)*(Inputs!$J$6-Inputs!$I$6)))/Inputs!$K$6)^2)))*1000/Inputs!$C$12)</x:f>
        <x:v>621.8593058607947</x:v>
      </x:c>
      <x:c r="AG140" s="48" t="n">
        <x:f>(((SQRT((Inputs!$C$52+((Inputs!$H$7+Inputs!$L$7*(((Inputs!$I$7+(((A140)+1)/2)*(Inputs!$J$7-Inputs!$I$7)))/Inputs!$K$7)^2)))^2+Inputs!$C$52^2-2*(Inputs!$C$52+((Inputs!$H$7+Inputs!$L$7*(((Inputs!$I$7+(((A140)+1)/2)*(Inputs!$J$7-Inputs!$I$7)))/Inputs!$K$7)^2)))*Inputs!$C$52*COS(SQRT(((Inputs!$I$7+(((A140)+1)/2)*(Inputs!$J$7-Inputs!$I$7)))^2+Inputs!$C$6^2)/Inputs!$C$52)))-((Inputs!$H$7+Inputs!$L$7*(((Inputs!$I$7+(((A140)+1)/2)*(Inputs!$J$7-Inputs!$I$7)))/Inputs!$K$7)^2)))*1000/Inputs!$C$12)</x:f>
        <x:v>19990.22023009603</x:v>
      </x:c>
      <x:c r="AH140" s="48" t="n">
        <x:f>(((SQRT((Inputs!$C$52+((Inputs!$H$8+Inputs!$L$8*(((Inputs!$I$8+(((A140)+1)/2)*(Inputs!$J$8-Inputs!$I$8)))/Inputs!$K$8)^2)))^2+Inputs!$C$52^2-2*(Inputs!$C$52+((Inputs!$H$8+Inputs!$L$8*(((Inputs!$I$8+(((A140)+1)/2)*(Inputs!$J$8-Inputs!$I$8)))/Inputs!$K$8)^2)))*Inputs!$C$52*COS(SQRT(((Inputs!$I$8+(((A140)+1)/2)*(Inputs!$J$8-Inputs!$I$8)))^2+Inputs!$C$6^2)/Inputs!$C$52)))-((Inputs!$H$8+Inputs!$L$8*(((Inputs!$I$8+(((A140)+1)/2)*(Inputs!$J$8-Inputs!$I$8)))/Inputs!$K$8)^2)))*1000/Inputs!$C$12)</x:f>
        <x:v>45126.345593671875</x:v>
      </x:c>
      <x:c r="AI140" s="48" t="n">
        <x:f>(((SQRT((Inputs!$C$52+((Inputs!$H$9+Inputs!$L$9*(((Inputs!$I$9+(((A140)+1)/2)*(Inputs!$J$9-Inputs!$I$9)))/Inputs!$K$9)^2)))^2+Inputs!$C$52^2-2*(Inputs!$C$52+((Inputs!$H$9+Inputs!$L$9*(((Inputs!$I$9+(((A140)+1)/2)*(Inputs!$J$9-Inputs!$I$9)))/Inputs!$K$9)^2)))*Inputs!$C$52*COS(SQRT(((Inputs!$I$9+(((A140)+1)/2)*(Inputs!$J$9-Inputs!$I$9)))^2+Inputs!$C$6^2)/Inputs!$C$52)))-((Inputs!$H$9+Inputs!$L$9*(((Inputs!$I$9+(((A140)+1)/2)*(Inputs!$J$9-Inputs!$I$9)))/Inputs!$K$9)^2)))*1000/Inputs!$C$12)</x:f>
        <x:v>48313.845185544335</x:v>
      </x:c>
      <x:c r="AJ140" s="49"/>
      <x:c r="AK140" s="48" t="n">
        <x:f>A140</x:f>
        <x:v>0.15</x:v>
      </x:c>
      <x:c r="AL140" s="48" t="n">
        <x: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x:f>
        <x:v>-77.02075489521857</x:v>
      </x:c>
      <x:c r="AM140" s="48" t="n">
        <x: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x:f>
        <x:v>-1499.4482518447132</x:v>
      </x:c>
      <x:c r="AN140" s="48" t="n">
        <x: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x:f>
        <x:v>-1710.4376393669722</x:v>
      </x:c>
      <x:c r="AO140" s="48" t="n">
        <x: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x:f>
        <x:v>-1713.9315995349475</x:v>
      </x:c>
      <x:c r="AP140" s="49"/>
      <x:c r="AQ140" s="48" t="n">
        <x:f>A140</x:f>
        <x:v>0.15</x:v>
      </x:c>
      <x:c r="AR140" s="48" t="n">
        <x:f>0</x:f>
        <x:v>0</x:v>
      </x:c>
      <x:c r="AS140" s="48" t="n">
        <x: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(0.45*SIN(2*PI()*((((Inputs!$I$6+(((A140)+1)/2)*(Inputs!$J$6-Inputs!$I$6)))/Inputs!$C$49)+Inputs!$C$47*0.137))+0.35*COS(2*PI()*(((Inputs!$C$6)/Inputs!$C$50)+Inputs!$C$47*0.173))+0.20*SIN(2*PI()*((((Inputs!$I$6+(((A140)+1)/2)*(Inputs!$J$6-Inputs!$I$6)))+(Inputs!$C$6))/(0.5*(Inputs!$C$49+Inputs!$C$50))+Inputs!$C$47*0.097)))+0.30*(2*((SIN((((Inputs!$I$6+(((A140)+1)/2)*(Inputs!$J$6-Inputs!$I$6)))*12.9898+(Inputs!$C$6)*78.233+Inputs!$C$47*37.719))*43758.5453)-INT((SIN((((Inputs!$I$6+(((A140)+1)/2)*(Inputs!$J$6-Inputs!$I$6)))*12.9898+(Inputs!$C$6)*78.233+Inputs!$C$47*37.719))*43758.5453)))-1))),NA())</x:f>
        <x:v>481.22587957439987</x:v>
      </x:c>
      <x:c r="AT140" s="48" t="n">
        <x: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(0.45*SIN(2*PI()*((((Inputs!$I$7+(((A140)+1)/2)*(Inputs!$J$7-Inputs!$I$7)))/Inputs!$C$49)+Inputs!$C$47*0.137))+0.35*COS(2*PI()*(((Inputs!$C$6)/Inputs!$C$50)+Inputs!$C$47*0.173))+0.20*SIN(2*PI()*((((Inputs!$I$7+(((A140)+1)/2)*(Inputs!$J$7-Inputs!$I$7)))+(Inputs!$C$6))/(0.5*(Inputs!$C$49+Inputs!$C$50))+Inputs!$C$47*0.097)))+0.30*(2*((SIN((((Inputs!$I$7+(((A140)+1)/2)*(Inputs!$J$7-Inputs!$I$7)))*12.9898+(Inputs!$C$6)*78.233+Inputs!$C$47*37.719))*43758.5453)-INT((SIN((((Inputs!$I$7+(((A140)+1)/2)*(Inputs!$J$7-Inputs!$I$7)))*12.9898+(Inputs!$C$6)*78.233+Inputs!$C$47*37.719))*43758.5453)))-1))),NA())</x:f>
        <x:v>179.34901179725153</x:v>
      </x:c>
      <x:c r="AU140" s="48" t="n">
        <x: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(0.45*SIN(2*PI()*((((Inputs!$I$8+(((A140)+1)/2)*(Inputs!$J$8-Inputs!$I$8)))/Inputs!$C$49)+Inputs!$C$47*0.137))+0.35*COS(2*PI()*(((Inputs!$C$6)/Inputs!$C$50)+Inputs!$C$47*0.173))+0.20*SIN(2*PI()*((((Inputs!$I$8+(((A140)+1)/2)*(Inputs!$J$8-Inputs!$I$8)))+(Inputs!$C$6))/(0.5*(Inputs!$C$49+Inputs!$C$50))+Inputs!$C$47*0.097)))+0.30*(2*((SIN((((Inputs!$I$8+(((A140)+1)/2)*(Inputs!$J$8-Inputs!$I$8)))*12.9898+(Inputs!$C$6)*78.233+Inputs!$C$47*37.719))*43758.5453)-INT((SIN((((Inputs!$I$8+(((A140)+1)/2)*(Inputs!$J$8-Inputs!$I$8)))*12.9898+(Inputs!$C$6)*78.233+Inputs!$C$47*37.719))*43758.5453)))-1))),NA())</x:f>
        <x:v>68.45877244632369</x:v>
      </x:c>
      <x:c r="AV140" s="48" t="n">
        <x: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(0.45*SIN(2*PI()*((((Inputs!$I$9+(((A140)+1)/2)*(Inputs!$J$9-Inputs!$I$9)))/Inputs!$C$49)+Inputs!$C$47*0.137))+0.35*COS(2*PI()*(((Inputs!$C$6)/Inputs!$C$50)+Inputs!$C$47*0.173))+0.20*SIN(2*PI()*((((Inputs!$I$9+(((A140)+1)/2)*(Inputs!$J$9-Inputs!$I$9)))+(Inputs!$C$6))/(0.5*(Inputs!$C$49+Inputs!$C$50))+Inputs!$C$47*0.097)))+0.30*(2*((SIN((((Inputs!$I$9+(((A140)+1)/2)*(Inputs!$J$9-Inputs!$I$9)))*12.9898+(Inputs!$C$6)*78.233+Inputs!$C$47*37.719))*43758.5453)-INT((SIN((((Inputs!$I$9+(((A140)+1)/2)*(Inputs!$J$9-Inputs!$I$9)))*12.9898+(Inputs!$C$6)*78.233+Inputs!$C$47*37.719))*43758.5453)))-1))),NA())</x:f>
        <x:v>68.45877244632369</x:v>
      </x:c>
      <x:c r="AW140" s="49"/>
      <x:c r="AX140" s="48" t="n">
        <x:f>A140</x:f>
        <x:v>0.15</x:v>
      </x:c>
      <x:c r="AY140" s="48" t="n">
        <x:f>0</x:f>
        <x:v>0</x:v>
      </x:c>
      <x:c r="AZ140" s="48" t="n">
        <x:f>IF(OR(Inputs!$F$6=TRUE,Inputs!$F$6="TRUE",Inputs!$F$6=1),(Inputs!$H$6+Inputs!$L$6*(((Inputs!$I$6+(((A140)+1)/2)*(Inputs!$J$6-Inputs!$I$6)))/Inputs!$K$6)^2),NA())</x:f>
        <x:v>400.09</x:v>
      </x:c>
      <x:c r="BA140" s="48" t="n">
        <x:f>IF(OR(Inputs!$F$7=TRUE,Inputs!$F$7="TRUE",Inputs!$F$7=1),(Inputs!$H$7+Inputs!$L$7*(((Inputs!$I$7+(((A140)+1)/2)*(Inputs!$J$7-Inputs!$I$7)))/Inputs!$K$7)^2),NA())</x:f>
        <x:v>43.212499999999984</x:v>
      </x:c>
      <x:c r="BB140" s="48" t="n">
        <x:f>IF(OR(Inputs!$F$8=TRUE,Inputs!$F$8="TRUE",Inputs!$F$8=1),(Inputs!$H$8+Inputs!$L$8*(((Inputs!$I$8+(((A140)+1)/2)*(Inputs!$J$8-Inputs!$I$8)))/Inputs!$K$8)^2),NA())</x:f>
        <x:v>56.71249999999996</x:v>
      </x:c>
      <x:c r="BC140" s="48" t="n">
        <x:f>IF(OR(Inputs!$F$9=TRUE,Inputs!$F$9="TRUE",Inputs!$F$9=1),(Inputs!$H$9+Inputs!$L$9*(((Inputs!$I$9+(((A140)+1)/2)*(Inputs!$J$9-Inputs!$I$9)))/Inputs!$K$9)^2),NA())</x:f>
        <x:v>46.93749999999996</x:v>
      </x:c>
      <x:c r="BD140" s="49"/>
      <x:c r="BE140" s="48" t="n">
        <x:f>A140</x:f>
        <x:v>0.15</x:v>
      </x:c>
      <x:c r="BF140" s="48" t="n">
        <x:f>0</x:f>
        <x:v>0</x:v>
      </x:c>
      <x:c r="BG140" s="48"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BH140" s="48"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BI140" s="48"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BJ140" s="48"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row>
    <x:row r="141">
      <x:c r="A141" s="48" t="n">
        <x:f>ROUND(-1+139*2/240,3)</x:f>
        <x:v>0.158</x:v>
      </x:c>
      <x:c r="B141" s="48" t="n">
        <x:f>IF(OR(Inputs!$F$6=TRUE,Inputs!$F$6="TRUE",Inputs!$F$6=1),(Inputs!$H$6+Inputs!$L$6*(((Inputs!$I$6+(((A141)+1)/2)*(Inputs!$J$6-Inputs!$I$6)))/Inputs!$K$6)^2),NA())</x:f>
        <x:v>400.099856</x:v>
      </x:c>
      <x:c r="C141" s="48" t="n">
        <x:f>IF(OR(Inputs!$F$7=TRUE,Inputs!$F$7="TRUE",Inputs!$F$7=1),(Inputs!$H$7+Inputs!$L$7*(((Inputs!$I$7+(((A141)+1)/2)*(Inputs!$J$7-Inputs!$I$7)))/Inputs!$K$7)^2),NA())</x:f>
        <x:v>44.11186</x:v>
      </x:c>
      <x:c r="D141" s="48" t="n">
        <x:f>IF(OR(Inputs!$F$8=TRUE,Inputs!$F$8="TRUE",Inputs!$F$8=1),(Inputs!$H$8+Inputs!$L$8*(((Inputs!$I$8+(((A141)+1)/2)*(Inputs!$J$8-Inputs!$I$8)))/Inputs!$K$8)^2),NA())</x:f>
        <x:v>59.090259999999994</x:v>
      </x:c>
      <x:c r="E141" s="48" t="n">
        <x:f>IF(OR(Inputs!$F$9=TRUE,Inputs!$F$9="TRUE",Inputs!$F$9=1),(Inputs!$H$9+Inputs!$L$9*(((Inputs!$I$9+(((A141)+1)/2)*(Inputs!$J$9-Inputs!$I$9)))/Inputs!$K$9)^2),NA())</x:f>
        <x:v>49.33989999999999</x:v>
      </x:c>
      <x:c r="F141" s="49"/>
      <x:c r="G141" s="48" t="n">
        <x:f>A141</x:f>
        <x:v>0.158</x:v>
      </x:c>
      <x:c r="H141" s="48"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I141" s="48"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J141" s="48"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K141" s="48"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c r="L141" s="49"/>
      <x:c r="M141" s="48" t="n">
        <x:f>A141</x:f>
        <x:v>0.158</x:v>
      </x:c>
      <x:c r="N141" s="48" t="n">
        <x: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x:f>
        <x:v>-81.12500843456993</x:v>
      </x:c>
      <x:c r="O141" s="48" t="n">
        <x: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x:f>
        <x:v>-1527.4443088866037</x:v>
      </x:c>
      <x:c r="P141" s="48" t="n">
        <x: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x:f>
        <x:v>-1729.7219498568793</x:v>
      </x:c>
      <x:c r="Q141" s="48" t="n">
        <x: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x:f>
        <x:v>-1731.250542210164</x:v>
      </x:c>
      <x:c r="R141" s="49"/>
      <x:c r="S141" s="48" t="n">
        <x:f>A141</x:f>
        <x:v>0.158</x:v>
      </x:c>
      <x:c r="T141" s="48" t="n">
        <x:f>(Inputs!$I$6+(((A141)+1)/2)*(Inputs!$J$6-Inputs!$I$6))</x:f>
        <x:v>9.47999999999999</x:v>
      </x:c>
      <x:c r="U141" s="48" t="n">
        <x:f>(Inputs!$I$7+(((A141)+1)/2)*(Inputs!$J$7-Inputs!$I$7))</x:f>
        <x:v>63.19999999999999</x:v>
      </x:c>
      <x:c r="V141" s="48" t="n">
        <x:f>(Inputs!$I$8+(((A141)+1)/2)*(Inputs!$J$8-Inputs!$I$8))</x:f>
        <x:v>126.39999999999998</x:v>
      </x:c>
      <x:c r="W141" s="48" t="n">
        <x:f>(Inputs!$I$9+(((A141)+1)/2)*(Inputs!$J$9-Inputs!$I$9))</x:f>
        <x:v>126.39999999999998</x:v>
      </x:c>
      <x:c r="X141" s="49"/>
      <x:c r="Y141" s="48" t="n">
        <x:f>A141</x:f>
        <x:v>0.158</x:v>
      </x:c>
      <x:c r="Z141" s="48" t="n">
        <x:f>(Inputs!$H$6+Inputs!$L$6*(((Inputs!$I$6+(((A141)+1)/2)*(Inputs!$J$6-Inputs!$I$6)))/Inputs!$K$6)^2)</x:f>
        <x:v>400.099856</x:v>
      </x:c>
      <x:c r="AA141" s="48" t="n">
        <x:f>(Inputs!$H$7+Inputs!$L$7*(((Inputs!$I$7+(((A141)+1)/2)*(Inputs!$J$7-Inputs!$I$7)))/Inputs!$K$7)^2)</x:f>
        <x:v>44.11186</x:v>
      </x:c>
      <x:c r="AB141" s="48" t="n">
        <x:f>(Inputs!$H$8+Inputs!$L$8*(((Inputs!$I$8+(((A141)+1)/2)*(Inputs!$J$8-Inputs!$I$8)))/Inputs!$K$8)^2)</x:f>
        <x:v>59.090259999999994</x:v>
      </x:c>
      <x:c r="AC141" s="48" t="n">
        <x:f>(Inputs!$H$9+Inputs!$L$9*(((Inputs!$I$9+(((A141)+1)/2)*(Inputs!$J$9-Inputs!$I$9)))/Inputs!$K$9)^2)</x:f>
        <x:v>49.33989999999999</x:v>
      </x:c>
      <x:c r="AD141" s="49"/>
      <x:c r="AE141" s="48" t="n">
        <x:f>A141</x:f>
        <x:v>0.158</x:v>
      </x:c>
      <x:c r="AF141" s="48" t="n">
        <x:f>(((SQRT((Inputs!$C$52+((Inputs!$H$6+Inputs!$L$6*(((Inputs!$I$6+(((A141)+1)/2)*(Inputs!$J$6-Inputs!$I$6)))/Inputs!$K$6)^2)))^2+Inputs!$C$52^2-2*(Inputs!$C$52+((Inputs!$H$6+Inputs!$L$6*(((Inputs!$I$6+(((A141)+1)/2)*(Inputs!$J$6-Inputs!$I$6)))/Inputs!$K$6)^2)))*Inputs!$C$52*COS(SQRT(((Inputs!$I$6+(((A141)+1)/2)*(Inputs!$J$6-Inputs!$I$6)))^2+Inputs!$C$6^2)/Inputs!$C$52)))-((Inputs!$H$6+Inputs!$L$6*(((Inputs!$I$6+(((A141)+1)/2)*(Inputs!$J$6-Inputs!$I$6)))/Inputs!$K$6)^2)))*1000/Inputs!$C$12)</x:f>
        <x:v>629.649124878404</x:v>
      </x:c>
      <x:c r="AG141" s="48" t="n">
        <x:f>(((SQRT((Inputs!$C$52+((Inputs!$H$7+Inputs!$L$7*(((Inputs!$I$7+(((A141)+1)/2)*(Inputs!$J$7-Inputs!$I$7)))/Inputs!$K$7)^2)))^2+Inputs!$C$52^2-2*(Inputs!$C$52+((Inputs!$H$7+Inputs!$L$7*(((Inputs!$I$7+(((A141)+1)/2)*(Inputs!$J$7-Inputs!$I$7)))/Inputs!$K$7)^2)))*Inputs!$C$52*COS(SQRT(((Inputs!$I$7+(((A141)+1)/2)*(Inputs!$J$7-Inputs!$I$7)))^2+Inputs!$C$6^2)/Inputs!$C$52)))-((Inputs!$H$7+Inputs!$L$7*(((Inputs!$I$7+(((A141)+1)/2)*(Inputs!$J$7-Inputs!$I$7)))/Inputs!$K$7)^2)))*1000/Inputs!$C$12)</x:f>
        <x:v>21185.66606469081</x:v>
      </x:c>
      <x:c r="AH141" s="48" t="n">
        <x:f>(((SQRT((Inputs!$C$52+((Inputs!$H$8+Inputs!$L$8*(((Inputs!$I$8+(((A141)+1)/2)*(Inputs!$J$8-Inputs!$I$8)))/Inputs!$K$8)^2)))^2+Inputs!$C$52^2-2*(Inputs!$C$52+((Inputs!$H$8+Inputs!$L$8*(((Inputs!$I$8+(((A141)+1)/2)*(Inputs!$J$8-Inputs!$I$8)))/Inputs!$K$8)^2)))*Inputs!$C$52*COS(SQRT(((Inputs!$I$8+(((A141)+1)/2)*(Inputs!$J$8-Inputs!$I$8)))^2+Inputs!$C$6^2)/Inputs!$C$52)))-((Inputs!$H$8+Inputs!$L$8*(((Inputs!$I$8+(((A141)+1)/2)*(Inputs!$J$8-Inputs!$I$8)))/Inputs!$K$8)^2)))*1000/Inputs!$C$12)</x:f>
        <x:v>47655.99028626687</x:v>
      </x:c>
      <x:c r="AI141" s="48" t="n">
        <x:f>(((SQRT((Inputs!$C$52+((Inputs!$H$9+Inputs!$L$9*(((Inputs!$I$9+(((A141)+1)/2)*(Inputs!$J$9-Inputs!$I$9)))/Inputs!$K$9)^2)))^2+Inputs!$C$52^2-2*(Inputs!$C$52+((Inputs!$H$9+Inputs!$L$9*(((Inputs!$I$9+(((A141)+1)/2)*(Inputs!$J$9-Inputs!$I$9)))/Inputs!$K$9)^2)))*Inputs!$C$52*COS(SQRT(((Inputs!$I$9+(((A141)+1)/2)*(Inputs!$J$9-Inputs!$I$9)))^2+Inputs!$C$6^2)/Inputs!$C$52)))-((Inputs!$H$9+Inputs!$L$9*(((Inputs!$I$9+(((A141)+1)/2)*(Inputs!$J$9-Inputs!$I$9)))/Inputs!$K$9)^2)))*1000/Inputs!$C$12)</x:f>
        <x:v>50835.2313610763</x:v>
      </x:c>
      <x:c r="AJ141" s="49"/>
      <x:c r="AK141" s="48" t="n">
        <x:f>A141</x:f>
        <x:v>0.158</x:v>
      </x:c>
      <x:c r="AL141" s="48" t="n">
        <x: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x:f>
        <x:v>-81.12500843456993</x:v>
      </x:c>
      <x:c r="AM141" s="48" t="n">
        <x: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x:f>
        <x:v>-1527.4443088866037</x:v>
      </x:c>
      <x:c r="AN141" s="48" t="n">
        <x: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x:f>
        <x:v>-1729.7219498568793</x:v>
      </x:c>
      <x:c r="AO141" s="48" t="n">
        <x: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x:f>
        <x:v>-1731.250542210164</x:v>
      </x:c>
      <x:c r="AP141" s="49"/>
      <x:c r="AQ141" s="48" t="n">
        <x:f>A141</x:f>
        <x:v>0.158</x:v>
      </x:c>
      <x:c r="AR141" s="48" t="n">
        <x:f>0</x:f>
        <x:v>0</x:v>
      </x:c>
      <x:c r="AS141" s="48" t="n">
        <x: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(0.45*SIN(2*PI()*((((Inputs!$I$6+(((A141)+1)/2)*(Inputs!$J$6-Inputs!$I$6)))/Inputs!$C$49)+Inputs!$C$47*0.137))+0.35*COS(2*PI()*(((Inputs!$C$6)/Inputs!$C$50)+Inputs!$C$47*0.173))+0.20*SIN(2*PI()*((((Inputs!$I$6+(((A141)+1)/2)*(Inputs!$J$6-Inputs!$I$6)))+(Inputs!$C$6))/(0.5*(Inputs!$C$49+Inputs!$C$50))+Inputs!$C$47*0.097)))+0.30*(2*((SIN((((Inputs!$I$6+(((A141)+1)/2)*(Inputs!$J$6-Inputs!$I$6)))*12.9898+(Inputs!$C$6)*78.233+Inputs!$C$47*37.719))*43758.5453)-INT((SIN((((Inputs!$I$6+(((A141)+1)/2)*(Inputs!$J$6-Inputs!$I$6)))*12.9898+(Inputs!$C$6)*78.233+Inputs!$C$47*37.719))*43758.5453)))-1))),NA())</x:f>
        <x:v>470.86072890691673</x:v>
      </x:c>
      <x:c r="AT141" s="48" t="n">
        <x: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(0.45*SIN(2*PI()*((((Inputs!$I$7+(((A141)+1)/2)*(Inputs!$J$7-Inputs!$I$7)))/Inputs!$C$49)+Inputs!$C$47*0.137))+0.35*COS(2*PI()*(((Inputs!$C$6)/Inputs!$C$50)+Inputs!$C$47*0.173))+0.20*SIN(2*PI()*((((Inputs!$I$7+(((A141)+1)/2)*(Inputs!$J$7-Inputs!$I$7)))+(Inputs!$C$6))/(0.5*(Inputs!$C$49+Inputs!$C$50))+Inputs!$C$47*0.097)))+0.30*(2*((SIN((((Inputs!$I$7+(((A141)+1)/2)*(Inputs!$J$7-Inputs!$I$7)))*12.9898+(Inputs!$C$6)*78.233+Inputs!$C$47*37.719))*43758.5453)-INT((SIN((((Inputs!$I$7+(((A141)+1)/2)*(Inputs!$J$7-Inputs!$I$7)))*12.9898+(Inputs!$C$6)*78.233+Inputs!$C$47*37.719))*43758.5453)))-1))),NA())</x:f>
        <x:v>163.0488383631107</x:v>
      </x:c>
      <x:c r="AU141" s="48" t="n">
        <x: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(0.45*SIN(2*PI()*((((Inputs!$I$8+(((A141)+1)/2)*(Inputs!$J$8-Inputs!$I$8)))/Inputs!$C$49)+Inputs!$C$47*0.137))+0.35*COS(2*PI()*(((Inputs!$C$6)/Inputs!$C$50)+Inputs!$C$47*0.173))+0.20*SIN(2*PI()*((((Inputs!$I$8+(((A141)+1)/2)*(Inputs!$J$8-Inputs!$I$8)))+(Inputs!$C$6))/(0.5*(Inputs!$C$49+Inputs!$C$50))+Inputs!$C$47*0.097)))+0.30*(2*((SIN((((Inputs!$I$8+(((A141)+1)/2)*(Inputs!$J$8-Inputs!$I$8)))*12.9898+(Inputs!$C$6)*78.233+Inputs!$C$47*37.719))*43758.5453)-INT((SIN((((Inputs!$I$8+(((A141)+1)/2)*(Inputs!$J$8-Inputs!$I$8)))*12.9898+(Inputs!$C$6)*78.233+Inputs!$C$47*37.719))*43758.5453)))-1))),NA())</x:f>
        <x:v>140.66154472484308</x:v>
      </x:c>
      <x:c r="AV141" s="48" t="n">
        <x: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(0.45*SIN(2*PI()*((((Inputs!$I$9+(((A141)+1)/2)*(Inputs!$J$9-Inputs!$I$9)))/Inputs!$C$49)+Inputs!$C$47*0.137))+0.35*COS(2*PI()*(((Inputs!$C$6)/Inputs!$C$50)+Inputs!$C$47*0.173))+0.20*SIN(2*PI()*((((Inputs!$I$9+(((A141)+1)/2)*(Inputs!$J$9-Inputs!$I$9)))+(Inputs!$C$6))/(0.5*(Inputs!$C$49+Inputs!$C$50))+Inputs!$C$47*0.097)))+0.30*(2*((SIN((((Inputs!$I$9+(((A141)+1)/2)*(Inputs!$J$9-Inputs!$I$9)))*12.9898+(Inputs!$C$6)*78.233+Inputs!$C$47*37.719))*43758.5453)-INT((SIN((((Inputs!$I$9+(((A141)+1)/2)*(Inputs!$J$9-Inputs!$I$9)))*12.9898+(Inputs!$C$6)*78.233+Inputs!$C$47*37.719))*43758.5453)))-1))),NA())</x:f>
        <x:v>140.66154472484308</x:v>
      </x:c>
      <x:c r="AW141" s="49"/>
      <x:c r="AX141" s="48" t="n">
        <x:f>A141</x:f>
        <x:v>0.158</x:v>
      </x:c>
      <x:c r="AY141" s="48" t="n">
        <x:f>0</x:f>
        <x:v>0</x:v>
      </x:c>
      <x:c r="AZ141" s="48" t="n">
        <x:f>IF(OR(Inputs!$F$6=TRUE,Inputs!$F$6="TRUE",Inputs!$F$6=1),(Inputs!$H$6+Inputs!$L$6*(((Inputs!$I$6+(((A141)+1)/2)*(Inputs!$J$6-Inputs!$I$6)))/Inputs!$K$6)^2),NA())</x:f>
        <x:v>400.099856</x:v>
      </x:c>
      <x:c r="BA141" s="48" t="n">
        <x:f>IF(OR(Inputs!$F$7=TRUE,Inputs!$F$7="TRUE",Inputs!$F$7=1),(Inputs!$H$7+Inputs!$L$7*(((Inputs!$I$7+(((A141)+1)/2)*(Inputs!$J$7-Inputs!$I$7)))/Inputs!$K$7)^2),NA())</x:f>
        <x:v>44.11186</x:v>
      </x:c>
      <x:c r="BB141" s="48" t="n">
        <x:f>IF(OR(Inputs!$F$8=TRUE,Inputs!$F$8="TRUE",Inputs!$F$8=1),(Inputs!$H$8+Inputs!$L$8*(((Inputs!$I$8+(((A141)+1)/2)*(Inputs!$J$8-Inputs!$I$8)))/Inputs!$K$8)^2),NA())</x:f>
        <x:v>59.090259999999994</x:v>
      </x:c>
      <x:c r="BC141" s="48" t="n">
        <x:f>IF(OR(Inputs!$F$9=TRUE,Inputs!$F$9="TRUE",Inputs!$F$9=1),(Inputs!$H$9+Inputs!$L$9*(((Inputs!$I$9+(((A141)+1)/2)*(Inputs!$J$9-Inputs!$I$9)))/Inputs!$K$9)^2),NA())</x:f>
        <x:v>49.33989999999999</x:v>
      </x:c>
      <x:c r="BD141" s="49"/>
      <x:c r="BE141" s="48" t="n">
        <x:f>A141</x:f>
        <x:v>0.158</x:v>
      </x:c>
      <x:c r="BF141" s="48" t="n">
        <x:f>0</x:f>
        <x:v>0</x:v>
      </x:c>
      <x:c r="BG141" s="48"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BH141" s="48"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BI141" s="48"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BJ141" s="48"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row>
    <x:row r="142">
      <x:c r="A142" s="48" t="n">
        <x:f>ROUND(-1+140*2/240,3)</x:f>
        <x:v>0.167</x:v>
      </x:c>
      <x:c r="B142" s="48" t="n">
        <x:f>IF(OR(Inputs!$F$6=TRUE,Inputs!$F$6="TRUE",Inputs!$F$6=1),(Inputs!$H$6+Inputs!$L$6*(((Inputs!$I$6+(((A142)+1)/2)*(Inputs!$J$6-Inputs!$I$6)))/Inputs!$K$6)^2),NA())</x:f>
        <x:v>400.111556</x:v>
      </x:c>
      <x:c r="C142" s="48" t="n">
        <x:f>IF(OR(Inputs!$F$7=TRUE,Inputs!$F$7="TRUE",Inputs!$F$7=1),(Inputs!$H$7+Inputs!$L$7*(((Inputs!$I$7+(((A142)+1)/2)*(Inputs!$J$7-Inputs!$I$7)))/Inputs!$K$7)^2),NA())</x:f>
        <x:v>45.179485</x:v>
      </x:c>
      <x:c r="D142" s="48" t="n">
        <x:f>IF(OR(Inputs!$F$8=TRUE,Inputs!$F$8="TRUE",Inputs!$F$8=1),(Inputs!$H$8+Inputs!$L$8*(((Inputs!$I$8+(((A142)+1)/2)*(Inputs!$J$8-Inputs!$I$8)))/Inputs!$K$8)^2),NA())</x:f>
        <x:v>61.91288500000001</x:v>
      </x:c>
      <x:c r="E142" s="48" t="n">
        <x:f>IF(OR(Inputs!$F$9=TRUE,Inputs!$F$9="TRUE",Inputs!$F$9=1),(Inputs!$H$9+Inputs!$L$9*(((Inputs!$I$9+(((A142)+1)/2)*(Inputs!$J$9-Inputs!$I$9)))/Inputs!$K$9)^2),NA())</x:f>
        <x:v>52.19177500000001</x:v>
      </x:c>
      <x:c r="F142" s="49"/>
      <x:c r="G142" s="48" t="n">
        <x:f>A142</x:f>
        <x:v>0.167</x:v>
      </x:c>
      <x:c r="H142" s="48"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I142" s="48"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J142" s="48"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K142" s="48"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c r="L142" s="49"/>
      <x:c r="M142" s="48" t="n">
        <x:f>A142</x:f>
        <x:v>0.167</x:v>
      </x:c>
      <x:c r="N142" s="48" t="n">
        <x: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x:f>
        <x:v>-85.74163741440107</x:v>
      </x:c>
      <x:c r="O142" s="48" t="n">
        <x: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x:f>
        <x:v>-1556.546637394312</x:v>
      </x:c>
      <x:c r="P142" s="48" t="n">
        <x: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x:f>
        <x:v>-1750.791310857258</x:v>
      </x:c>
      <x:c r="Q142" s="48" t="n">
        <x: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x:f>
        <x:v>-1750.4567699771662</x:v>
      </x:c>
      <x:c r="R142" s="49"/>
      <x:c r="S142" s="48" t="n">
        <x:f>A142</x:f>
        <x:v>0.167</x:v>
      </x:c>
      <x:c r="T142" s="48" t="n">
        <x:f>(Inputs!$I$6+(((A142)+1)/2)*(Inputs!$J$6-Inputs!$I$6))</x:f>
        <x:v>10.019999999999996</x:v>
      </x:c>
      <x:c r="U142" s="48" t="n">
        <x:f>(Inputs!$I$7+(((A142)+1)/2)*(Inputs!$J$7-Inputs!$I$7))</x:f>
        <x:v>66.80000000000001</x:v>
      </x:c>
      <x:c r="V142" s="48" t="n">
        <x:f>(Inputs!$I$8+(((A142)+1)/2)*(Inputs!$J$8-Inputs!$I$8))</x:f>
        <x:v>133.60000000000002</x:v>
      </x:c>
      <x:c r="W142" s="48" t="n">
        <x:f>(Inputs!$I$9+(((A142)+1)/2)*(Inputs!$J$9-Inputs!$I$9))</x:f>
        <x:v>133.60000000000002</x:v>
      </x:c>
      <x:c r="X142" s="49"/>
      <x:c r="Y142" s="48" t="n">
        <x:f>A142</x:f>
        <x:v>0.167</x:v>
      </x:c>
      <x:c r="Z142" s="48" t="n">
        <x:f>(Inputs!$H$6+Inputs!$L$6*(((Inputs!$I$6+(((A142)+1)/2)*(Inputs!$J$6-Inputs!$I$6)))/Inputs!$K$6)^2)</x:f>
        <x:v>400.111556</x:v>
      </x:c>
      <x:c r="AA142" s="48" t="n">
        <x:f>(Inputs!$H$7+Inputs!$L$7*(((Inputs!$I$7+(((A142)+1)/2)*(Inputs!$J$7-Inputs!$I$7)))/Inputs!$K$7)^2)</x:f>
        <x:v>45.179485</x:v>
      </x:c>
      <x:c r="AB142" s="48" t="n">
        <x:f>(Inputs!$H$8+Inputs!$L$8*(((Inputs!$I$8+(((A142)+1)/2)*(Inputs!$J$8-Inputs!$I$8)))/Inputs!$K$8)^2)</x:f>
        <x:v>61.91288500000001</x:v>
      </x:c>
      <x:c r="AC142" s="48" t="n">
        <x:f>(Inputs!$H$9+Inputs!$L$9*(((Inputs!$I$9+(((A142)+1)/2)*(Inputs!$J$9-Inputs!$I$9)))/Inputs!$K$9)^2)</x:f>
        <x:v>52.19177500000001</x:v>
      </x:c>
      <x:c r="AD142" s="49"/>
      <x:c r="AE142" s="48" t="n">
        <x:f>A142</x:f>
        <x:v>0.167</x:v>
      </x:c>
      <x:c r="AF142" s="48" t="n">
        <x:f>(((SQRT((Inputs!$C$52+((Inputs!$H$6+Inputs!$L$6*(((Inputs!$I$6+(((A142)+1)/2)*(Inputs!$J$6-Inputs!$I$6)))/Inputs!$K$6)^2)))^2+Inputs!$C$52^2-2*(Inputs!$C$52+((Inputs!$H$6+Inputs!$L$6*(((Inputs!$I$6+(((A142)+1)/2)*(Inputs!$J$6-Inputs!$I$6)))/Inputs!$K$6)^2)))*Inputs!$C$52*COS(SQRT(((Inputs!$I$6+(((A142)+1)/2)*(Inputs!$J$6-Inputs!$I$6)))^2+Inputs!$C$6^2)/Inputs!$C$52)))-((Inputs!$H$6+Inputs!$L$6*(((Inputs!$I$6+(((A142)+1)/2)*(Inputs!$J$6-Inputs!$I$6)))/Inputs!$K$6)^2)))*1000/Inputs!$C$12)</x:f>
        <x:v>638.8956229355646</x:v>
      </x:c>
      <x:c r="AG142" s="48" t="n">
        <x:f>(((SQRT((Inputs!$C$52+((Inputs!$H$7+Inputs!$L$7*(((Inputs!$I$7+(((A142)+1)/2)*(Inputs!$J$7-Inputs!$I$7)))/Inputs!$K$7)^2)))^2+Inputs!$C$52^2-2*(Inputs!$C$52+((Inputs!$H$7+Inputs!$L$7*(((Inputs!$I$7+(((A142)+1)/2)*(Inputs!$J$7-Inputs!$I$7)))/Inputs!$K$7)^2)))*Inputs!$C$52*COS(SQRT(((Inputs!$I$7+(((A142)+1)/2)*(Inputs!$J$7-Inputs!$I$7)))^2+Inputs!$C$6^2)/Inputs!$C$52)))-((Inputs!$H$7+Inputs!$L$7*(((Inputs!$I$7+(((A142)+1)/2)*(Inputs!$J$7-Inputs!$I$7)))/Inputs!$K$7)^2)))*1000/Inputs!$C$12)</x:f>
        <x:v>22535.275057314186</x:v>
      </x:c>
      <x:c r="AH142" s="48" t="n">
        <x:f>(((SQRT((Inputs!$C$52+((Inputs!$H$8+Inputs!$L$8*(((Inputs!$I$8+(((A142)+1)/2)*(Inputs!$J$8-Inputs!$I$8)))/Inputs!$K$8)^2)))^2+Inputs!$C$52^2-2*(Inputs!$C$52+((Inputs!$H$8+Inputs!$L$8*(((Inputs!$I$8+(((A142)+1)/2)*(Inputs!$J$8-Inputs!$I$8)))/Inputs!$K$8)^2)))*Inputs!$C$52*COS(SQRT(((Inputs!$I$8+(((A142)+1)/2)*(Inputs!$J$8-Inputs!$I$8)))^2+Inputs!$C$6^2)/Inputs!$C$52)))-((Inputs!$H$8+Inputs!$L$8*(((Inputs!$I$8+(((A142)+1)/2)*(Inputs!$J$8-Inputs!$I$8)))/Inputs!$K$8)^2)))*1000/Inputs!$C$12)</x:f>
        <x:v>50469.88612276079</x:v>
      </x:c>
      <x:c r="AI142" s="48" t="n">
        <x:f>(((SQRT((Inputs!$C$52+((Inputs!$H$9+Inputs!$L$9*(((Inputs!$I$9+(((A142)+1)/2)*(Inputs!$J$9-Inputs!$I$9)))/Inputs!$K$9)^2)))^2+Inputs!$C$52^2-2*(Inputs!$C$52+((Inputs!$H$9+Inputs!$L$9*(((Inputs!$I$9+(((A142)+1)/2)*(Inputs!$J$9-Inputs!$I$9)))/Inputs!$K$9)^2)))*Inputs!$C$52*COS(SQRT(((Inputs!$I$9+(((A142)+1)/2)*(Inputs!$J$9-Inputs!$I$9)))^2+Inputs!$C$6^2)/Inputs!$C$52)))-((Inputs!$H$9+Inputs!$L$9*(((Inputs!$I$9+(((A142)+1)/2)*(Inputs!$J$9-Inputs!$I$9)))/Inputs!$K$9)^2)))*1000/Inputs!$C$12)</x:f>
        <x:v>53634.13236649723</x:v>
      </x:c>
      <x:c r="AJ142" s="49"/>
      <x:c r="AK142" s="48" t="n">
        <x:f>A142</x:f>
        <x:v>0.167</x:v>
      </x:c>
      <x:c r="AL142" s="48" t="n">
        <x: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x:f>
        <x:v>-85.74163741440107</x:v>
      </x:c>
      <x:c r="AM142" s="48" t="n">
        <x: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x:f>
        <x:v>-1556.546637394312</x:v>
      </x:c>
      <x:c r="AN142" s="48" t="n">
        <x: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x:f>
        <x:v>-1750.791310857258</x:v>
      </x:c>
      <x:c r="AO142" s="48" t="n">
        <x: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x:f>
        <x:v>-1750.4567699771662</x:v>
      </x:c>
      <x:c r="AP142" s="49"/>
      <x:c r="AQ142" s="48" t="n">
        <x:f>A142</x:f>
        <x:v>0.167</x:v>
      </x:c>
      <x:c r="AR142" s="48" t="n">
        <x:f>0</x:f>
        <x:v>0</x:v>
      </x:c>
      <x:c r="AS142" s="48" t="n">
        <x: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(0.45*SIN(2*PI()*((((Inputs!$I$6+(((A142)+1)/2)*(Inputs!$J$6-Inputs!$I$6)))/Inputs!$C$49)+Inputs!$C$47*0.137))+0.35*COS(2*PI()*(((Inputs!$C$6)/Inputs!$C$50)+Inputs!$C$47*0.173))+0.20*SIN(2*PI()*((((Inputs!$I$6+(((A142)+1)/2)*(Inputs!$J$6-Inputs!$I$6)))+(Inputs!$C$6))/(0.5*(Inputs!$C$49+Inputs!$C$50))+Inputs!$C$47*0.097)))+0.30*(2*((SIN((((Inputs!$I$6+(((A142)+1)/2)*(Inputs!$J$6-Inputs!$I$6)))*12.9898+(Inputs!$C$6)*78.233+Inputs!$C$47*37.719))*43758.5453)-INT((SIN((((Inputs!$I$6+(((A142)+1)/2)*(Inputs!$J$6-Inputs!$I$6)))*12.9898+(Inputs!$C$6)*78.233+Inputs!$C$47*37.719))*43758.5453)))-1))),NA())</x:f>
        <x:v>445.53234851770645</x:v>
      </x:c>
      <x:c r="AT142" s="48" t="n">
        <x: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(0.45*SIN(2*PI()*((((Inputs!$I$7+(((A142)+1)/2)*(Inputs!$J$7-Inputs!$I$7)))/Inputs!$C$49)+Inputs!$C$47*0.137))+0.35*COS(2*PI()*(((Inputs!$C$6)/Inputs!$C$50)+Inputs!$C$47*0.173))+0.20*SIN(2*PI()*((((Inputs!$I$7+(((A142)+1)/2)*(Inputs!$J$7-Inputs!$I$7)))+(Inputs!$C$6))/(0.5*(Inputs!$C$49+Inputs!$C$50))+Inputs!$C$47*0.097)))+0.30*(2*((SIN((((Inputs!$I$7+(((A142)+1)/2)*(Inputs!$J$7-Inputs!$I$7)))*12.9898+(Inputs!$C$6)*78.233+Inputs!$C$47*37.719))*43758.5453)-INT((SIN((((Inputs!$I$7+(((A142)+1)/2)*(Inputs!$J$7-Inputs!$I$7)))*12.9898+(Inputs!$C$6)*78.233+Inputs!$C$47*37.719))*43758.5453)))-1))),NA())</x:f>
        <x:v>115.5552676755764</x:v>
      </x:c>
      <x:c r="AU142" s="48" t="n">
        <x: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(0.45*SIN(2*PI()*((((Inputs!$I$8+(((A142)+1)/2)*(Inputs!$J$8-Inputs!$I$8)))/Inputs!$C$49)+Inputs!$C$47*0.137))+0.35*COS(2*PI()*(((Inputs!$C$6)/Inputs!$C$50)+Inputs!$C$47*0.173))+0.20*SIN(2*PI()*((((Inputs!$I$8+(((A142)+1)/2)*(Inputs!$J$8-Inputs!$I$8)))+(Inputs!$C$6))/(0.5*(Inputs!$C$49+Inputs!$C$50))+Inputs!$C$47*0.097)))+0.30*(2*((SIN((((Inputs!$I$8+(((A142)+1)/2)*(Inputs!$J$8-Inputs!$I$8)))*12.9898+(Inputs!$C$6)*78.233+Inputs!$C$47*37.719))*43758.5453)-INT((SIN((((Inputs!$I$8+(((A142)+1)/2)*(Inputs!$J$8-Inputs!$I$8)))*12.9898+(Inputs!$C$6)*78.233+Inputs!$C$47*37.719))*43758.5453)))-1))),NA())</x:f>
        <x:v>163.69674416862193</x:v>
      </x:c>
      <x:c r="AV142" s="48" t="n">
        <x: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(0.45*SIN(2*PI()*((((Inputs!$I$9+(((A142)+1)/2)*(Inputs!$J$9-Inputs!$I$9)))/Inputs!$C$49)+Inputs!$C$47*0.137))+0.35*COS(2*PI()*(((Inputs!$C$6)/Inputs!$C$50)+Inputs!$C$47*0.173))+0.20*SIN(2*PI()*((((Inputs!$I$9+(((A142)+1)/2)*(Inputs!$J$9-Inputs!$I$9)))+(Inputs!$C$6))/(0.5*(Inputs!$C$49+Inputs!$C$50))+Inputs!$C$47*0.097)))+0.30*(2*((SIN((((Inputs!$I$9+(((A142)+1)/2)*(Inputs!$J$9-Inputs!$I$9)))*12.9898+(Inputs!$C$6)*78.233+Inputs!$C$47*37.719))*43758.5453)-INT((SIN((((Inputs!$I$9+(((A142)+1)/2)*(Inputs!$J$9-Inputs!$I$9)))*12.9898+(Inputs!$C$6)*78.233+Inputs!$C$47*37.719))*43758.5453)))-1))),NA())</x:f>
        <x:v>163.69674416862193</x:v>
      </x:c>
      <x:c r="AW142" s="49"/>
      <x:c r="AX142" s="48" t="n">
        <x:f>A142</x:f>
        <x:v>0.167</x:v>
      </x:c>
      <x:c r="AY142" s="48" t="n">
        <x:f>0</x:f>
        <x:v>0</x:v>
      </x:c>
      <x:c r="AZ142" s="48" t="n">
        <x:f>IF(OR(Inputs!$F$6=TRUE,Inputs!$F$6="TRUE",Inputs!$F$6=1),(Inputs!$H$6+Inputs!$L$6*(((Inputs!$I$6+(((A142)+1)/2)*(Inputs!$J$6-Inputs!$I$6)))/Inputs!$K$6)^2),NA())</x:f>
        <x:v>400.111556</x:v>
      </x:c>
      <x:c r="BA142" s="48" t="n">
        <x:f>IF(OR(Inputs!$F$7=TRUE,Inputs!$F$7="TRUE",Inputs!$F$7=1),(Inputs!$H$7+Inputs!$L$7*(((Inputs!$I$7+(((A142)+1)/2)*(Inputs!$J$7-Inputs!$I$7)))/Inputs!$K$7)^2),NA())</x:f>
        <x:v>45.179485</x:v>
      </x:c>
      <x:c r="BB142" s="48" t="n">
        <x:f>IF(OR(Inputs!$F$8=TRUE,Inputs!$F$8="TRUE",Inputs!$F$8=1),(Inputs!$H$8+Inputs!$L$8*(((Inputs!$I$8+(((A142)+1)/2)*(Inputs!$J$8-Inputs!$I$8)))/Inputs!$K$8)^2),NA())</x:f>
        <x:v>61.91288500000001</x:v>
      </x:c>
      <x:c r="BC142" s="48" t="n">
        <x:f>IF(OR(Inputs!$F$9=TRUE,Inputs!$F$9="TRUE",Inputs!$F$9=1),(Inputs!$H$9+Inputs!$L$9*(((Inputs!$I$9+(((A142)+1)/2)*(Inputs!$J$9-Inputs!$I$9)))/Inputs!$K$9)^2),NA())</x:f>
        <x:v>52.19177500000001</x:v>
      </x:c>
      <x:c r="BD142" s="49"/>
      <x:c r="BE142" s="48" t="n">
        <x:f>A142</x:f>
        <x:v>0.167</x:v>
      </x:c>
      <x:c r="BF142" s="48" t="n">
        <x:f>0</x:f>
        <x:v>0</x:v>
      </x:c>
      <x:c r="BG142" s="48"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BH142" s="48"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BI142" s="48"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BJ142" s="48"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row>
    <x:row r="143">
      <x:c r="A143" s="48" t="n">
        <x:f>ROUND(-1+141*2/240,3)</x:f>
        <x:v>0.175</x:v>
      </x:c>
      <x:c r="B143" s="48" t="n">
        <x:f>IF(OR(Inputs!$F$6=TRUE,Inputs!$F$6="TRUE",Inputs!$F$6=1),(Inputs!$H$6+Inputs!$L$6*(((Inputs!$I$6+(((A143)+1)/2)*(Inputs!$J$6-Inputs!$I$6)))/Inputs!$K$6)^2),NA())</x:f>
        <x:v>400.1225</x:v>
      </x:c>
      <x:c r="C143" s="48" t="n">
        <x:f>IF(OR(Inputs!$F$7=TRUE,Inputs!$F$7="TRUE",Inputs!$F$7=1),(Inputs!$H$7+Inputs!$L$7*(((Inputs!$I$7+(((A143)+1)/2)*(Inputs!$J$7-Inputs!$I$7)))/Inputs!$K$7)^2),NA())</x:f>
        <x:v>46.178124999999994</x:v>
      </x:c>
      <x:c r="D143" s="48" t="n">
        <x:f>IF(OR(Inputs!$F$8=TRUE,Inputs!$F$8="TRUE",Inputs!$F$8=1),(Inputs!$H$8+Inputs!$L$8*(((Inputs!$I$8+(((A143)+1)/2)*(Inputs!$J$8-Inputs!$I$8)))/Inputs!$K$8)^2),NA())</x:f>
        <x:v>64.553125</x:v>
      </x:c>
      <x:c r="E143" s="48" t="n">
        <x:f>IF(OR(Inputs!$F$9=TRUE,Inputs!$F$9="TRUE",Inputs!$F$9=1),(Inputs!$H$9+Inputs!$L$9*(((Inputs!$I$9+(((A143)+1)/2)*(Inputs!$J$9-Inputs!$I$9)))/Inputs!$K$9)^2),NA())</x:f>
        <x:v>54.859375</x:v>
      </x:c>
      <x:c r="F143" s="49"/>
      <x:c r="G143" s="48" t="n">
        <x:f>A143</x:f>
        <x:v>0.175</x:v>
      </x:c>
      <x:c r="H143" s="48"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I143" s="48"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J143" s="48"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K143" s="48"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c r="L143" s="49"/>
      <x:c r="M143" s="48" t="n">
        <x:f>A143</x:f>
        <x:v>0.175</x:v>
      </x:c>
      <x:c r="N143" s="48" t="n">
        <x: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x:f>
        <x:v>-89.84469378114167</x:v>
      </x:c>
      <x:c r="O143" s="48" t="n">
        <x: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x:f>
        <x:v>-1580.593266241955</x:v>
      </x:c>
      <x:c r="P143" s="48" t="n">
        <x: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x:f>
        <x:v>-1769.1436703985887</x:v>
      </x:c>
      <x:c r="Q143" s="48" t="n">
        <x: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x:f>
        <x:v>-1767.4173230174663</x:v>
      </x:c>
      <x:c r="R143" s="49"/>
      <x:c r="S143" s="48" t="n">
        <x:f>A143</x:f>
        <x:v>0.175</x:v>
      </x:c>
      <x:c r="T143" s="48" t="n">
        <x:f>(Inputs!$I$6+(((A143)+1)/2)*(Inputs!$J$6-Inputs!$I$6))</x:f>
        <x:v>10.5</x:v>
      </x:c>
      <x:c r="U143" s="48" t="n">
        <x:f>(Inputs!$I$7+(((A143)+1)/2)*(Inputs!$J$7-Inputs!$I$7))</x:f>
        <x:v>70</x:v>
      </x:c>
      <x:c r="V143" s="48" t="n">
        <x:f>(Inputs!$I$8+(((A143)+1)/2)*(Inputs!$J$8-Inputs!$I$8))</x:f>
        <x:v>140</x:v>
      </x:c>
      <x:c r="W143" s="48" t="n">
        <x:f>(Inputs!$I$9+(((A143)+1)/2)*(Inputs!$J$9-Inputs!$I$9))</x:f>
        <x:v>140</x:v>
      </x:c>
      <x:c r="X143" s="49"/>
      <x:c r="Y143" s="48" t="n">
        <x:f>A143</x:f>
        <x:v>0.175</x:v>
      </x:c>
      <x:c r="Z143" s="48" t="n">
        <x:f>(Inputs!$H$6+Inputs!$L$6*(((Inputs!$I$6+(((A143)+1)/2)*(Inputs!$J$6-Inputs!$I$6)))/Inputs!$K$6)^2)</x:f>
        <x:v>400.1225</x:v>
      </x:c>
      <x:c r="AA143" s="48" t="n">
        <x:f>(Inputs!$H$7+Inputs!$L$7*(((Inputs!$I$7+(((A143)+1)/2)*(Inputs!$J$7-Inputs!$I$7)))/Inputs!$K$7)^2)</x:f>
        <x:v>46.178124999999994</x:v>
      </x:c>
      <x:c r="AB143" s="48" t="n">
        <x:f>(Inputs!$H$8+Inputs!$L$8*(((Inputs!$I$8+(((A143)+1)/2)*(Inputs!$J$8-Inputs!$I$8)))/Inputs!$K$8)^2)</x:f>
        <x:v>64.553125</x:v>
      </x:c>
      <x:c r="AC143" s="48" t="n">
        <x:f>(Inputs!$H$9+Inputs!$L$9*(((Inputs!$I$9+(((A143)+1)/2)*(Inputs!$J$9-Inputs!$I$9)))/Inputs!$K$9)^2)</x:f>
        <x:v>54.859375</x:v>
      </x:c>
      <x:c r="AD143" s="49"/>
      <x:c r="AE143" s="48" t="n">
        <x:f>A143</x:f>
        <x:v>0.175</x:v>
      </x:c>
      <x:c r="AF143" s="48" t="n">
        <x:f>(((SQRT((Inputs!$C$52+((Inputs!$H$6+Inputs!$L$6*(((Inputs!$I$6+(((A143)+1)/2)*(Inputs!$J$6-Inputs!$I$6)))/Inputs!$K$6)^2)))^2+Inputs!$C$52^2-2*(Inputs!$C$52+((Inputs!$H$6+Inputs!$L$6*(((Inputs!$I$6+(((A143)+1)/2)*(Inputs!$J$6-Inputs!$I$6)))/Inputs!$K$6)^2)))*Inputs!$C$52*COS(SQRT(((Inputs!$I$6+(((A143)+1)/2)*(Inputs!$J$6-Inputs!$I$6)))^2+Inputs!$C$6^2)/Inputs!$C$52)))-((Inputs!$H$6+Inputs!$L$6*(((Inputs!$I$6+(((A143)+1)/2)*(Inputs!$J$6-Inputs!$I$6)))/Inputs!$K$6)^2)))*1000/Inputs!$C$12)</x:f>
        <x:v>647.5439175957033</x:v>
      </x:c>
      <x:c r="AG143" s="48" t="n">
        <x:f>(((SQRT((Inputs!$C$52+((Inputs!$H$7+Inputs!$L$7*(((Inputs!$I$7+(((A143)+1)/2)*(Inputs!$J$7-Inputs!$I$7)))/Inputs!$K$7)^2)))^2+Inputs!$C$52^2-2*(Inputs!$C$52+((Inputs!$H$7+Inputs!$L$7*(((Inputs!$I$7+(((A143)+1)/2)*(Inputs!$J$7-Inputs!$I$7)))/Inputs!$K$7)^2)))*Inputs!$C$52*COS(SQRT(((Inputs!$I$7+(((A143)+1)/2)*(Inputs!$J$7-Inputs!$I$7)))^2+Inputs!$C$6^2)/Inputs!$C$52)))-((Inputs!$H$7+Inputs!$L$7*(((Inputs!$I$7+(((A143)+1)/2)*(Inputs!$J$7-Inputs!$I$7)))/Inputs!$K$7)^2)))*1000/Inputs!$C$12)</x:f>
        <x:v>23736.82737098973</x:v>
      </x:c>
      <x:c r="AH143" s="48" t="n">
        <x:f>(((SQRT((Inputs!$C$52+((Inputs!$H$8+Inputs!$L$8*(((Inputs!$I$8+(((A143)+1)/2)*(Inputs!$J$8-Inputs!$I$8)))/Inputs!$K$8)^2)))^2+Inputs!$C$52^2-2*(Inputs!$C$52+((Inputs!$H$8+Inputs!$L$8*(((Inputs!$I$8+(((A143)+1)/2)*(Inputs!$J$8-Inputs!$I$8)))/Inputs!$K$8)^2)))*Inputs!$C$52*COS(SQRT(((Inputs!$I$8+(((A143)+1)/2)*(Inputs!$J$8-Inputs!$I$8)))^2+Inputs!$C$6^2)/Inputs!$C$52)))-((Inputs!$H$8+Inputs!$L$8*(((Inputs!$I$8+(((A143)+1)/2)*(Inputs!$J$8-Inputs!$I$8)))/Inputs!$K$8)^2)))*1000/Inputs!$C$12)</x:f>
        <x:v>52941.64041645862</x:v>
      </x:c>
      <x:c r="AI143" s="48" t="n">
        <x:f>(((SQRT((Inputs!$C$52+((Inputs!$H$9+Inputs!$L$9*(((Inputs!$I$9+(((A143)+1)/2)*(Inputs!$J$9-Inputs!$I$9)))/Inputs!$K$9)^2)))^2+Inputs!$C$52^2-2*(Inputs!$C$52+((Inputs!$H$9+Inputs!$L$9*(((Inputs!$I$9+(((A143)+1)/2)*(Inputs!$J$9-Inputs!$I$9)))/Inputs!$K$9)^2)))*Inputs!$C$52*COS(SQRT(((Inputs!$I$9+(((A143)+1)/2)*(Inputs!$J$9-Inputs!$I$9)))^2+Inputs!$C$6^2)/Inputs!$C$52)))-((Inputs!$H$9+Inputs!$L$9*(((Inputs!$I$9+(((A143)+1)/2)*(Inputs!$J$9-Inputs!$I$9)))/Inputs!$K$9)^2)))*1000/Inputs!$C$12)</x:f>
        <x:v>56088.15733083674</x:v>
      </x:c>
      <x:c r="AJ143" s="49"/>
      <x:c r="AK143" s="48" t="n">
        <x:f>A143</x:f>
        <x:v>0.175</x:v>
      </x:c>
      <x:c r="AL143" s="48" t="n">
        <x: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x:f>
        <x:v>-89.84469378114167</x:v>
      </x:c>
      <x:c r="AM143" s="48" t="n">
        <x: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x:f>
        <x:v>-1580.593266241955</x:v>
      </x:c>
      <x:c r="AN143" s="48" t="n">
        <x: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x:f>
        <x:v>-1769.1436703985887</x:v>
      </x:c>
      <x:c r="AO143" s="48" t="n">
        <x: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x:f>
        <x:v>-1767.4173230174663</x:v>
      </x:c>
      <x:c r="AP143" s="49"/>
      <x:c r="AQ143" s="48" t="n">
        <x:f>A143</x:f>
        <x:v>0.175</x:v>
      </x:c>
      <x:c r="AR143" s="48" t="n">
        <x:f>0</x:f>
        <x:v>0</x:v>
      </x:c>
      <x:c r="AS143" s="48" t="n">
        <x: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(0.45*SIN(2*PI()*((((Inputs!$I$6+(((A143)+1)/2)*(Inputs!$J$6-Inputs!$I$6)))/Inputs!$C$49)+Inputs!$C$47*0.137))+0.35*COS(2*PI()*(((Inputs!$C$6)/Inputs!$C$50)+Inputs!$C$47*0.173))+0.20*SIN(2*PI()*((((Inputs!$I$6+(((A143)+1)/2)*(Inputs!$J$6-Inputs!$I$6)))+(Inputs!$C$6))/(0.5*(Inputs!$C$49+Inputs!$C$50))+Inputs!$C$47*0.097)))+0.30*(2*((SIN((((Inputs!$I$6+(((A143)+1)/2)*(Inputs!$J$6-Inputs!$I$6)))*12.9898+(Inputs!$C$6)*78.233+Inputs!$C$47*37.719))*43758.5453)-INT((SIN((((Inputs!$I$6+(((A143)+1)/2)*(Inputs!$J$6-Inputs!$I$6)))*12.9898+(Inputs!$C$6)*78.233+Inputs!$C$47*37.719))*43758.5453)))-1))),NA())</x:f>
        <x:v>437.9381023255588</x:v>
      </x:c>
      <x:c r="AT143" s="48" t="n">
        <x: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(0.45*SIN(2*PI()*((((Inputs!$I$7+(((A143)+1)/2)*(Inputs!$J$7-Inputs!$I$7)))/Inputs!$C$49)+Inputs!$C$47*0.137))+0.35*COS(2*PI()*(((Inputs!$C$6)/Inputs!$C$50)+Inputs!$C$47*0.173))+0.20*SIN(2*PI()*((((Inputs!$I$7+(((A143)+1)/2)*(Inputs!$J$7-Inputs!$I$7)))+(Inputs!$C$6))/(0.5*(Inputs!$C$49+Inputs!$C$50))+Inputs!$C$47*0.097)))+0.30*(2*((SIN((((Inputs!$I$7+(((A143)+1)/2)*(Inputs!$J$7-Inputs!$I$7)))*12.9898+(Inputs!$C$6)*78.233+Inputs!$C$47*37.719))*43758.5453)-INT((SIN((((Inputs!$I$7+(((A143)+1)/2)*(Inputs!$J$7-Inputs!$I$7)))*12.9898+(Inputs!$C$6)*78.233+Inputs!$C$47*37.719))*43758.5453)))-1))),NA())</x:f>
        <x:v>102.95991914372087</x:v>
      </x:c>
      <x:c r="AU143" s="48" t="n">
        <x: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(0.45*SIN(2*PI()*((((Inputs!$I$8+(((A143)+1)/2)*(Inputs!$J$8-Inputs!$I$8)))/Inputs!$C$49)+Inputs!$C$47*0.137))+0.35*COS(2*PI()*(((Inputs!$C$6)/Inputs!$C$50)+Inputs!$C$47*0.173))+0.20*SIN(2*PI()*((((Inputs!$I$8+(((A143)+1)/2)*(Inputs!$J$8-Inputs!$I$8)))+(Inputs!$C$6))/(0.5*(Inputs!$C$49+Inputs!$C$50))+Inputs!$C$47*0.097)))+0.30*(2*((SIN((((Inputs!$I$8+(((A143)+1)/2)*(Inputs!$J$8-Inputs!$I$8)))*12.9898+(Inputs!$C$6)*78.233+Inputs!$C$47*37.719))*43758.5453)-INT((SIN((((Inputs!$I$8+(((A143)+1)/2)*(Inputs!$J$8-Inputs!$I$8)))*12.9898+(Inputs!$C$6)*78.233+Inputs!$C$47*37.719))*43758.5453)))-1))),NA())</x:f>
        <x:v>82.3871567913042</x:v>
      </x:c>
      <x:c r="AV143" s="48" t="n">
        <x: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(0.45*SIN(2*PI()*((((Inputs!$I$9+(((A143)+1)/2)*(Inputs!$J$9-Inputs!$I$9)))/Inputs!$C$49)+Inputs!$C$47*0.137))+0.35*COS(2*PI()*(((Inputs!$C$6)/Inputs!$C$50)+Inputs!$C$47*0.173))+0.20*SIN(2*PI()*((((Inputs!$I$9+(((A143)+1)/2)*(Inputs!$J$9-Inputs!$I$9)))+(Inputs!$C$6))/(0.5*(Inputs!$C$49+Inputs!$C$50))+Inputs!$C$47*0.097)))+0.30*(2*((SIN((((Inputs!$I$9+(((A143)+1)/2)*(Inputs!$J$9-Inputs!$I$9)))*12.9898+(Inputs!$C$6)*78.233+Inputs!$C$47*37.719))*43758.5453)-INT((SIN((((Inputs!$I$9+(((A143)+1)/2)*(Inputs!$J$9-Inputs!$I$9)))*12.9898+(Inputs!$C$6)*78.233+Inputs!$C$47*37.719))*43758.5453)))-1))),NA())</x:f>
        <x:v>82.3871567913042</x:v>
      </x:c>
      <x:c r="AW143" s="49"/>
      <x:c r="AX143" s="48" t="n">
        <x:f>A143</x:f>
        <x:v>0.175</x:v>
      </x:c>
      <x:c r="AY143" s="48" t="n">
        <x:f>0</x:f>
        <x:v>0</x:v>
      </x:c>
      <x:c r="AZ143" s="48" t="n">
        <x:f>IF(OR(Inputs!$F$6=TRUE,Inputs!$F$6="TRUE",Inputs!$F$6=1),(Inputs!$H$6+Inputs!$L$6*(((Inputs!$I$6+(((A143)+1)/2)*(Inputs!$J$6-Inputs!$I$6)))/Inputs!$K$6)^2),NA())</x:f>
        <x:v>400.1225</x:v>
      </x:c>
      <x:c r="BA143" s="48" t="n">
        <x:f>IF(OR(Inputs!$F$7=TRUE,Inputs!$F$7="TRUE",Inputs!$F$7=1),(Inputs!$H$7+Inputs!$L$7*(((Inputs!$I$7+(((A143)+1)/2)*(Inputs!$J$7-Inputs!$I$7)))/Inputs!$K$7)^2),NA())</x:f>
        <x:v>46.178124999999994</x:v>
      </x:c>
      <x:c r="BB143" s="48" t="n">
        <x:f>IF(OR(Inputs!$F$8=TRUE,Inputs!$F$8="TRUE",Inputs!$F$8=1),(Inputs!$H$8+Inputs!$L$8*(((Inputs!$I$8+(((A143)+1)/2)*(Inputs!$J$8-Inputs!$I$8)))/Inputs!$K$8)^2),NA())</x:f>
        <x:v>64.553125</x:v>
      </x:c>
      <x:c r="BC143" s="48" t="n">
        <x:f>IF(OR(Inputs!$F$9=TRUE,Inputs!$F$9="TRUE",Inputs!$F$9=1),(Inputs!$H$9+Inputs!$L$9*(((Inputs!$I$9+(((A143)+1)/2)*(Inputs!$J$9-Inputs!$I$9)))/Inputs!$K$9)^2),NA())</x:f>
        <x:v>54.859375</x:v>
      </x:c>
      <x:c r="BD143" s="49"/>
      <x:c r="BE143" s="48" t="n">
        <x:f>A143</x:f>
        <x:v>0.175</x:v>
      </x:c>
      <x:c r="BF143" s="48" t="n">
        <x:f>0</x:f>
        <x:v>0</x:v>
      </x:c>
      <x:c r="BG143" s="48"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BH143" s="48"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BI143" s="48"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BJ143" s="48"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row>
    <x:row r="144">
      <x:c r="A144" s="48" t="n">
        <x:f>ROUND(-1+142*2/240,3)</x:f>
        <x:v>0.183</x:v>
      </x:c>
      <x:c r="B144" s="48" t="n">
        <x:f>IF(OR(Inputs!$F$6=TRUE,Inputs!$F$6="TRUE",Inputs!$F$6=1),(Inputs!$H$6+Inputs!$L$6*(((Inputs!$I$6+(((A144)+1)/2)*(Inputs!$J$6-Inputs!$I$6)))/Inputs!$K$6)^2),NA())</x:f>
        <x:v>400.133956</x:v>
      </x:c>
      <x:c r="C144" s="48" t="n">
        <x:f>IF(OR(Inputs!$F$7=TRUE,Inputs!$F$7="TRUE",Inputs!$F$7=1),(Inputs!$H$7+Inputs!$L$7*(((Inputs!$I$7+(((A144)+1)/2)*(Inputs!$J$7-Inputs!$I$7)))/Inputs!$K$7)^2),NA())</x:f>
        <x:v>47.22348500000001</x:v>
      </x:c>
      <x:c r="D144" s="48" t="n">
        <x:f>IF(OR(Inputs!$F$8=TRUE,Inputs!$F$8="TRUE",Inputs!$F$8=1),(Inputs!$H$8+Inputs!$L$8*(((Inputs!$I$8+(((A144)+1)/2)*(Inputs!$J$8-Inputs!$I$8)))/Inputs!$K$8)^2),NA())</x:f>
        <x:v>67.31688500000004</x:v>
      </x:c>
      <x:c r="E144" s="48" t="n">
        <x:f>IF(OR(Inputs!$F$9=TRUE,Inputs!$F$9="TRUE",Inputs!$F$9=1),(Inputs!$H$9+Inputs!$L$9*(((Inputs!$I$9+(((A144)+1)/2)*(Inputs!$J$9-Inputs!$I$9)))/Inputs!$K$9)^2),NA())</x:f>
        <x:v>57.651775000000036</x:v>
      </x:c>
      <x:c r="F144" s="49"/>
      <x:c r="G144" s="48" t="n">
        <x:f>A144</x:f>
        <x:v>0.183</x:v>
      </x:c>
      <x:c r="H144" s="48"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I144" s="48"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J144" s="48"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K144" s="48"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c r="L144" s="49"/>
      <x:c r="M144" s="48" t="n">
        <x:f>A144</x:f>
        <x:v>0.183</x:v>
      </x:c>
      <x:c r="N144" s="48" t="n">
        <x: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x:f>
        <x:v>-93.94714373866205</x:v>
      </x:c>
      <x:c r="O144" s="48" t="n">
        <x: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x:f>
        <x:v>-1603.172765395027</x:v>
      </x:c>
      <x:c r="P144" s="48" t="n">
        <x: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x:f>
        <x:v>-1787.277233379359</x:v>
      </x:c>
      <x:c r="Q144" s="48" t="n">
        <x: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x:f>
        <x:v>-1784.372674206615</x:v>
      </x:c>
      <x:c r="R144" s="49"/>
      <x:c r="S144" s="48" t="n">
        <x:f>A144</x:f>
        <x:v>0.183</x:v>
      </x:c>
      <x:c r="T144" s="48" t="n">
        <x:f>(Inputs!$I$6+(((A144)+1)/2)*(Inputs!$J$6-Inputs!$I$6))</x:f>
        <x:v>10.980000000000004</x:v>
      </x:c>
      <x:c r="U144" s="48" t="n">
        <x:f>(Inputs!$I$7+(((A144)+1)/2)*(Inputs!$J$7-Inputs!$I$7))</x:f>
        <x:v>73.20000000000005</x:v>
      </x:c>
      <x:c r="V144" s="48" t="n">
        <x:f>(Inputs!$I$8+(((A144)+1)/2)*(Inputs!$J$8-Inputs!$I$8))</x:f>
        <x:v>146.4000000000001</x:v>
      </x:c>
      <x:c r="W144" s="48" t="n">
        <x:f>(Inputs!$I$9+(((A144)+1)/2)*(Inputs!$J$9-Inputs!$I$9))</x:f>
        <x:v>146.4000000000001</x:v>
      </x:c>
      <x:c r="X144" s="49"/>
      <x:c r="Y144" s="48" t="n">
        <x:f>A144</x:f>
        <x:v>0.183</x:v>
      </x:c>
      <x:c r="Z144" s="48" t="n">
        <x:f>(Inputs!$H$6+Inputs!$L$6*(((Inputs!$I$6+(((A144)+1)/2)*(Inputs!$J$6-Inputs!$I$6)))/Inputs!$K$6)^2)</x:f>
        <x:v>400.133956</x:v>
      </x:c>
      <x:c r="AA144" s="48" t="n">
        <x:f>(Inputs!$H$7+Inputs!$L$7*(((Inputs!$I$7+(((A144)+1)/2)*(Inputs!$J$7-Inputs!$I$7)))/Inputs!$K$7)^2)</x:f>
        <x:v>47.22348500000001</x:v>
      </x:c>
      <x:c r="AB144" s="48" t="n">
        <x:f>(Inputs!$H$8+Inputs!$L$8*(((Inputs!$I$8+(((A144)+1)/2)*(Inputs!$J$8-Inputs!$I$8)))/Inputs!$K$8)^2)</x:f>
        <x:v>67.31688500000004</x:v>
      </x:c>
      <x:c r="AC144" s="48" t="n">
        <x:f>(Inputs!$H$9+Inputs!$L$9*(((Inputs!$I$9+(((A144)+1)/2)*(Inputs!$J$9-Inputs!$I$9)))/Inputs!$K$9)^2)</x:f>
        <x:v>57.651775000000036</x:v>
      </x:c>
      <x:c r="AD144" s="49"/>
      <x:c r="AE144" s="48" t="n">
        <x:f>A144</x:f>
        <x:v>0.183</x:v>
      </x:c>
      <x:c r="AF144" s="48" t="n">
        <x:f>(((SQRT((Inputs!$C$52+((Inputs!$H$6+Inputs!$L$6*(((Inputs!$I$6+(((A144)+1)/2)*(Inputs!$J$6-Inputs!$I$6)))/Inputs!$K$6)^2)))^2+Inputs!$C$52^2-2*(Inputs!$C$52+((Inputs!$H$6+Inputs!$L$6*(((Inputs!$I$6+(((A144)+1)/2)*(Inputs!$J$6-Inputs!$I$6)))/Inputs!$K$6)^2)))*Inputs!$C$52*COS(SQRT(((Inputs!$I$6+(((A144)+1)/2)*(Inputs!$J$6-Inputs!$I$6)))^2+Inputs!$C$6^2)/Inputs!$C$52)))-((Inputs!$H$6+Inputs!$L$6*(((Inputs!$I$6+(((A144)+1)/2)*(Inputs!$J$6-Inputs!$I$6)))/Inputs!$K$6)^2)))*1000/Inputs!$C$12)</x:f>
        <x:v>656.5960474451427</x:v>
      </x:c>
      <x:c r="AG144" s="48" t="n">
        <x:f>(((SQRT((Inputs!$C$52+((Inputs!$H$7+Inputs!$L$7*(((Inputs!$I$7+(((A144)+1)/2)*(Inputs!$J$7-Inputs!$I$7)))/Inputs!$K$7)^2)))^2+Inputs!$C$52^2-2*(Inputs!$C$52+((Inputs!$H$7+Inputs!$L$7*(((Inputs!$I$7+(((A144)+1)/2)*(Inputs!$J$7-Inputs!$I$7)))/Inputs!$K$7)^2)))*Inputs!$C$52*COS(SQRT(((Inputs!$I$7+(((A144)+1)/2)*(Inputs!$J$7-Inputs!$I$7)))^2+Inputs!$C$6^2)/Inputs!$C$52)))-((Inputs!$H$7+Inputs!$L$7*(((Inputs!$I$7+(((A144)+1)/2)*(Inputs!$J$7-Inputs!$I$7)))/Inputs!$K$7)^2)))*1000/Inputs!$C$12)</x:f>
        <x:v>24938.306338684157</x:v>
      </x:c>
      <x:c r="AH144" s="48" t="n">
        <x:f>(((SQRT((Inputs!$C$52+((Inputs!$H$8+Inputs!$L$8*(((Inputs!$I$8+(((A144)+1)/2)*(Inputs!$J$8-Inputs!$I$8)))/Inputs!$K$8)^2)))^2+Inputs!$C$52^2-2*(Inputs!$C$52+((Inputs!$H$8+Inputs!$L$8*(((Inputs!$I$8+(((A144)+1)/2)*(Inputs!$J$8-Inputs!$I$8)))/Inputs!$K$8)^2)))*Inputs!$C$52*COS(SQRT(((Inputs!$I$8+(((A144)+1)/2)*(Inputs!$J$8-Inputs!$I$8)))^2+Inputs!$C$6^2)/Inputs!$C$52)))-((Inputs!$H$8+Inputs!$L$8*(((Inputs!$I$8+(((A144)+1)/2)*(Inputs!$J$8-Inputs!$I$8)))/Inputs!$K$8)^2)))*1000/Inputs!$C$12)</x:f>
        <x:v>55384.975297901554</x:v>
      </x:c>
      <x:c r="AI144" s="48" t="n">
        <x:f>(((SQRT((Inputs!$C$52+((Inputs!$H$9+Inputs!$L$9*(((Inputs!$I$9+(((A144)+1)/2)*(Inputs!$J$9-Inputs!$I$9)))/Inputs!$K$9)^2)))^2+Inputs!$C$52^2-2*(Inputs!$C$52+((Inputs!$H$9+Inputs!$L$9*(((Inputs!$I$9+(((A144)+1)/2)*(Inputs!$J$9-Inputs!$I$9)))/Inputs!$K$9)^2)))*Inputs!$C$52*COS(SQRT(((Inputs!$I$9+(((A144)+1)/2)*(Inputs!$J$9-Inputs!$I$9)))^2+Inputs!$C$6^2)/Inputs!$C$52)))-((Inputs!$H$9+Inputs!$L$9*(((Inputs!$I$9+(((A144)+1)/2)*(Inputs!$J$9-Inputs!$I$9)))/Inputs!$K$9)^2)))*1000/Inputs!$C$12)</x:f>
        <x:v>58510.16186477176</x:v>
      </x:c>
      <x:c r="AJ144" s="49"/>
      <x:c r="AK144" s="48" t="n">
        <x:f>A144</x:f>
        <x:v>0.183</x:v>
      </x:c>
      <x:c r="AL144" s="48" t="n">
        <x: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x:f>
        <x:v>-93.94714373866205</x:v>
      </x:c>
      <x:c r="AM144" s="48" t="n">
        <x: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x:f>
        <x:v>-1603.172765395027</x:v>
      </x:c>
      <x:c r="AN144" s="48" t="n">
        <x: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x:f>
        <x:v>-1787.277233379359</x:v>
      </x:c>
      <x:c r="AO144" s="48" t="n">
        <x: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x:f>
        <x:v>-1784.372674206615</x:v>
      </x:c>
      <x:c r="AP144" s="49"/>
      <x:c r="AQ144" s="48" t="n">
        <x:f>A144</x:f>
        <x:v>0.183</x:v>
      </x:c>
      <x:c r="AR144" s="48" t="n">
        <x:f>0</x:f>
        <x:v>0</x:v>
      </x:c>
      <x:c r="AS144" s="48" t="n">
        <x: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(0.45*SIN(2*PI()*((((Inputs!$I$6+(((A144)+1)/2)*(Inputs!$J$6-Inputs!$I$6)))/Inputs!$C$49)+Inputs!$C$47*0.137))+0.35*COS(2*PI()*(((Inputs!$C$6)/Inputs!$C$50)+Inputs!$C$47*0.173))+0.20*SIN(2*PI()*((((Inputs!$I$6+(((A144)+1)/2)*(Inputs!$J$6-Inputs!$I$6)))+(Inputs!$C$6))/(0.5*(Inputs!$C$49+Inputs!$C$50))+Inputs!$C$47*0.097)))+0.30*(2*((SIN((((Inputs!$I$6+(((A144)+1)/2)*(Inputs!$J$6-Inputs!$I$6)))*12.9898+(Inputs!$C$6)*78.233+Inputs!$C$47*37.719))*43758.5453)-INT((SIN((((Inputs!$I$6+(((A144)+1)/2)*(Inputs!$J$6-Inputs!$I$6)))*12.9898+(Inputs!$C$6)*78.233+Inputs!$C$47*37.719))*43758.5453)))-1))),NA())</x:f>
        <x:v>439.1863562650421</x:v>
      </x:c>
      <x:c r="AT144" s="48" t="n">
        <x: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(0.45*SIN(2*PI()*((((Inputs!$I$7+(((A144)+1)/2)*(Inputs!$J$7-Inputs!$I$7)))/Inputs!$C$49)+Inputs!$C$47*0.137))+0.35*COS(2*PI()*(((Inputs!$C$6)/Inputs!$C$50)+Inputs!$C$47*0.173))+0.20*SIN(2*PI()*((((Inputs!$I$7+(((A144)+1)/2)*(Inputs!$J$7-Inputs!$I$7)))+(Inputs!$C$6))/(0.5*(Inputs!$C$49+Inputs!$C$50))+Inputs!$C$47*0.097)))+0.30*(2*((SIN((((Inputs!$I$7+(((A144)+1)/2)*(Inputs!$J$7-Inputs!$I$7)))*12.9898+(Inputs!$C$6)*78.233+Inputs!$C$47*37.719))*43758.5453)-INT((SIN((((Inputs!$I$7+(((A144)+1)/2)*(Inputs!$J$7-Inputs!$I$7)))*12.9898+(Inputs!$C$6)*78.233+Inputs!$C$47*37.719))*43758.5453)))-1))),NA())</x:f>
        <x:v>169.3871199961569</x:v>
      </x:c>
      <x:c r="AU144" s="48" t="n">
        <x: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(0.45*SIN(2*PI()*((((Inputs!$I$8+(((A144)+1)/2)*(Inputs!$J$8-Inputs!$I$8)))/Inputs!$C$49)+Inputs!$C$47*0.137))+0.35*COS(2*PI()*(((Inputs!$C$6)/Inputs!$C$50)+Inputs!$C$47*0.173))+0.20*SIN(2*PI()*((((Inputs!$I$8+(((A144)+1)/2)*(Inputs!$J$8-Inputs!$I$8)))+(Inputs!$C$6))/(0.5*(Inputs!$C$49+Inputs!$C$50))+Inputs!$C$47*0.097)))+0.30*(2*((SIN((((Inputs!$I$8+(((A144)+1)/2)*(Inputs!$J$8-Inputs!$I$8)))*12.9898+(Inputs!$C$6)*78.233+Inputs!$C$47*37.719))*43758.5453)-INT((SIN((((Inputs!$I$8+(((A144)+1)/2)*(Inputs!$J$8-Inputs!$I$8)))*12.9898+(Inputs!$C$6)*78.233+Inputs!$C$47*37.719))*43758.5453)))-1))),NA())</x:f>
        <x:v>227.66381835813354</x:v>
      </x:c>
      <x:c r="AV144" s="48" t="n">
        <x: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(0.45*SIN(2*PI()*((((Inputs!$I$9+(((A144)+1)/2)*(Inputs!$J$9-Inputs!$I$9)))/Inputs!$C$49)+Inputs!$C$47*0.137))+0.35*COS(2*PI()*(((Inputs!$C$6)/Inputs!$C$50)+Inputs!$C$47*0.173))+0.20*SIN(2*PI()*((((Inputs!$I$9+(((A144)+1)/2)*(Inputs!$J$9-Inputs!$I$9)))+(Inputs!$C$6))/(0.5*(Inputs!$C$49+Inputs!$C$50))+Inputs!$C$47*0.097)))+0.30*(2*((SIN((((Inputs!$I$9+(((A144)+1)/2)*(Inputs!$J$9-Inputs!$I$9)))*12.9898+(Inputs!$C$6)*78.233+Inputs!$C$47*37.719))*43758.5453)-INT((SIN((((Inputs!$I$9+(((A144)+1)/2)*(Inputs!$J$9-Inputs!$I$9)))*12.9898+(Inputs!$C$6)*78.233+Inputs!$C$47*37.719))*43758.5453)))-1))),NA())</x:f>
        <x:v>227.66381835813354</x:v>
      </x:c>
      <x:c r="AW144" s="49"/>
      <x:c r="AX144" s="48" t="n">
        <x:f>A144</x:f>
        <x:v>0.183</x:v>
      </x:c>
      <x:c r="AY144" s="48" t="n">
        <x:f>0</x:f>
        <x:v>0</x:v>
      </x:c>
      <x:c r="AZ144" s="48" t="n">
        <x:f>IF(OR(Inputs!$F$6=TRUE,Inputs!$F$6="TRUE",Inputs!$F$6=1),(Inputs!$H$6+Inputs!$L$6*(((Inputs!$I$6+(((A144)+1)/2)*(Inputs!$J$6-Inputs!$I$6)))/Inputs!$K$6)^2),NA())</x:f>
        <x:v>400.133956</x:v>
      </x:c>
      <x:c r="BA144" s="48" t="n">
        <x:f>IF(OR(Inputs!$F$7=TRUE,Inputs!$F$7="TRUE",Inputs!$F$7=1),(Inputs!$H$7+Inputs!$L$7*(((Inputs!$I$7+(((A144)+1)/2)*(Inputs!$J$7-Inputs!$I$7)))/Inputs!$K$7)^2),NA())</x:f>
        <x:v>47.22348500000001</x:v>
      </x:c>
      <x:c r="BB144" s="48" t="n">
        <x:f>IF(OR(Inputs!$F$8=TRUE,Inputs!$F$8="TRUE",Inputs!$F$8=1),(Inputs!$H$8+Inputs!$L$8*(((Inputs!$I$8+(((A144)+1)/2)*(Inputs!$J$8-Inputs!$I$8)))/Inputs!$K$8)^2),NA())</x:f>
        <x:v>67.31688500000004</x:v>
      </x:c>
      <x:c r="BC144" s="48" t="n">
        <x:f>IF(OR(Inputs!$F$9=TRUE,Inputs!$F$9="TRUE",Inputs!$F$9=1),(Inputs!$H$9+Inputs!$L$9*(((Inputs!$I$9+(((A144)+1)/2)*(Inputs!$J$9-Inputs!$I$9)))/Inputs!$K$9)^2),NA())</x:f>
        <x:v>57.651775000000036</x:v>
      </x:c>
      <x:c r="BD144" s="49"/>
      <x:c r="BE144" s="48" t="n">
        <x:f>A144</x:f>
        <x:v>0.183</x:v>
      </x:c>
      <x:c r="BF144" s="48" t="n">
        <x:f>0</x:f>
        <x:v>0</x:v>
      </x:c>
      <x:c r="BG144" s="48"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BH144" s="48"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BI144" s="48"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BJ144" s="48"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row>
    <x:row r="145">
      <x:c r="A145" s="48" t="n">
        <x:f>ROUND(-1+143*2/240,3)</x:f>
        <x:v>0.192</x:v>
      </x:c>
      <x:c r="B145" s="48" t="n">
        <x:f>IF(OR(Inputs!$F$6=TRUE,Inputs!$F$6="TRUE",Inputs!$F$6=1),(Inputs!$H$6+Inputs!$L$6*(((Inputs!$I$6+(((A145)+1)/2)*(Inputs!$J$6-Inputs!$I$6)))/Inputs!$K$6)^2),NA())</x:f>
        <x:v>400.147456</x:v>
      </x:c>
      <x:c r="C145" s="48" t="n">
        <x:f>IF(OR(Inputs!$F$7=TRUE,Inputs!$F$7="TRUE",Inputs!$F$7=1),(Inputs!$H$7+Inputs!$L$7*(((Inputs!$I$7+(((A145)+1)/2)*(Inputs!$J$7-Inputs!$I$7)))/Inputs!$K$7)^2),NA())</x:f>
        <x:v>48.455359999999985</x:v>
      </x:c>
      <x:c r="D145" s="48" t="n">
        <x:f>IF(OR(Inputs!$F$8=TRUE,Inputs!$F$8="TRUE",Inputs!$F$8=1),(Inputs!$H$8+Inputs!$L$8*(((Inputs!$I$8+(((A145)+1)/2)*(Inputs!$J$8-Inputs!$I$8)))/Inputs!$K$8)^2),NA())</x:f>
        <x:v>70.57375999999996</x:v>
      </x:c>
      <x:c r="E145" s="48" t="n">
        <x:f>IF(OR(Inputs!$F$9=TRUE,Inputs!$F$9="TRUE",Inputs!$F$9=1),(Inputs!$H$9+Inputs!$L$9*(((Inputs!$I$9+(((A145)+1)/2)*(Inputs!$J$9-Inputs!$I$9)))/Inputs!$K$9)^2),NA())</x:f>
        <x:v>60.942399999999964</x:v>
      </x:c>
      <x:c r="F145" s="49"/>
      <x:c r="G145" s="48" t="n">
        <x:f>A145</x:f>
        <x:v>0.192</x:v>
      </x:c>
      <x:c r="H145" s="48"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I145" s="48"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J145" s="48"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K145" s="48"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c r="L145" s="49"/>
      <x:c r="M145" s="48" t="n">
        <x:f>A145</x:f>
        <x:v>0.192</x:v>
      </x:c>
      <x:c r="N145" s="48" t="n">
        <x: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x:f>
        <x:v>-98.56164084788621</x:v>
      </x:c>
      <x:c r="O145" s="48" t="n">
        <x: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x:f>
        <x:v>-1627.0753088758588</x:v>
      </x:c>
      <x:c r="P145" s="48" t="n">
        <x: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x:f>
        <x:v>-1807.544444136745</x:v>
      </x:c>
      <x:c r="Q145" s="48" t="n">
        <x: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x:f>
        <x:v>-1803.534814031977</x:v>
      </x:c>
      <x:c r="R145" s="49"/>
      <x:c r="S145" s="48" t="n">
        <x:f>A145</x:f>
        <x:v>0.192</x:v>
      </x:c>
      <x:c r="T145" s="48" t="n">
        <x:f>(Inputs!$I$6+(((A145)+1)/2)*(Inputs!$J$6-Inputs!$I$6))</x:f>
        <x:v>11.519999999999996</x:v>
      </x:c>
      <x:c r="U145" s="48" t="n">
        <x:f>(Inputs!$I$7+(((A145)+1)/2)*(Inputs!$J$7-Inputs!$I$7))</x:f>
        <x:v>76.79999999999995</x:v>
      </x:c>
      <x:c r="V145" s="48" t="n">
        <x:f>(Inputs!$I$8+(((A145)+1)/2)*(Inputs!$J$8-Inputs!$I$8))</x:f>
        <x:v>153.5999999999999</x:v>
      </x:c>
      <x:c r="W145" s="48" t="n">
        <x:f>(Inputs!$I$9+(((A145)+1)/2)*(Inputs!$J$9-Inputs!$I$9))</x:f>
        <x:v>153.5999999999999</x:v>
      </x:c>
      <x:c r="X145" s="49"/>
      <x:c r="Y145" s="48" t="n">
        <x:f>A145</x:f>
        <x:v>0.192</x:v>
      </x:c>
      <x:c r="Z145" s="48" t="n">
        <x:f>(Inputs!$H$6+Inputs!$L$6*(((Inputs!$I$6+(((A145)+1)/2)*(Inputs!$J$6-Inputs!$I$6)))/Inputs!$K$6)^2)</x:f>
        <x:v>400.147456</x:v>
      </x:c>
      <x:c r="AA145" s="48" t="n">
        <x:f>(Inputs!$H$7+Inputs!$L$7*(((Inputs!$I$7+(((A145)+1)/2)*(Inputs!$J$7-Inputs!$I$7)))/Inputs!$K$7)^2)</x:f>
        <x:v>48.455359999999985</x:v>
      </x:c>
      <x:c r="AB145" s="48" t="n">
        <x:f>(Inputs!$H$8+Inputs!$L$8*(((Inputs!$I$8+(((A145)+1)/2)*(Inputs!$J$8-Inputs!$I$8)))/Inputs!$K$8)^2)</x:f>
        <x:v>70.57375999999996</x:v>
      </x:c>
      <x:c r="AC145" s="48" t="n">
        <x:f>(Inputs!$H$9+Inputs!$L$9*(((Inputs!$I$9+(((A145)+1)/2)*(Inputs!$J$9-Inputs!$I$9)))/Inputs!$K$9)^2)</x:f>
        <x:v>60.942399999999964</x:v>
      </x:c>
      <x:c r="AD145" s="49"/>
      <x:c r="AE145" s="48" t="n">
        <x:f>A145</x:f>
        <x:v>0.192</x:v>
      </x:c>
      <x:c r="AF145" s="48" t="n">
        <x:f>(((SQRT((Inputs!$C$52+((Inputs!$H$6+Inputs!$L$6*(((Inputs!$I$6+(((A145)+1)/2)*(Inputs!$J$6-Inputs!$I$6)))/Inputs!$K$6)^2)))^2+Inputs!$C$52^2-2*(Inputs!$C$52+((Inputs!$H$6+Inputs!$L$6*(((Inputs!$I$6+(((A145)+1)/2)*(Inputs!$J$6-Inputs!$I$6)))/Inputs!$K$6)^2)))*Inputs!$C$52*COS(SQRT(((Inputs!$I$6+(((A145)+1)/2)*(Inputs!$J$6-Inputs!$I$6)))^2+Inputs!$C$6^2)/Inputs!$C$52)))-((Inputs!$H$6+Inputs!$L$6*(((Inputs!$I$6+(((A145)+1)/2)*(Inputs!$J$6-Inputs!$I$6)))/Inputs!$K$6)^2)))*1000/Inputs!$C$12)</x:f>
        <x:v>667.2622724531248</x:v>
      </x:c>
      <x:c r="AG145" s="48" t="n">
        <x:f>(((SQRT((Inputs!$C$52+((Inputs!$H$7+Inputs!$L$7*(((Inputs!$I$7+(((A145)+1)/2)*(Inputs!$J$7-Inputs!$I$7)))/Inputs!$K$7)^2)))^2+Inputs!$C$52^2-2*(Inputs!$C$52+((Inputs!$H$7+Inputs!$L$7*(((Inputs!$I$7+(((A145)+1)/2)*(Inputs!$J$7-Inputs!$I$7)))/Inputs!$K$7)^2)))*Inputs!$C$52*COS(SQRT(((Inputs!$I$7+(((A145)+1)/2)*(Inputs!$J$7-Inputs!$I$7)))^2+Inputs!$C$6^2)/Inputs!$C$52)))-((Inputs!$H$7+Inputs!$L$7*(((Inputs!$I$7+(((A145)+1)/2)*(Inputs!$J$7-Inputs!$I$7)))/Inputs!$K$7)^2)))*1000/Inputs!$C$12)</x:f>
        <x:v>26287.98543844219</x:v>
      </x:c>
      <x:c r="AH145" s="48" t="n">
        <x:f>(((SQRT((Inputs!$C$52+((Inputs!$H$8+Inputs!$L$8*(((Inputs!$I$8+(((A145)+1)/2)*(Inputs!$J$8-Inputs!$I$8)))/Inputs!$K$8)^2)))^2+Inputs!$C$52^2-2*(Inputs!$C$52+((Inputs!$H$8+Inputs!$L$8*(((Inputs!$I$8+(((A145)+1)/2)*(Inputs!$J$8-Inputs!$I$8)))/Inputs!$K$8)^2)))*Inputs!$C$52*COS(SQRT(((Inputs!$I$8+(((A145)+1)/2)*(Inputs!$J$8-Inputs!$I$8)))^2+Inputs!$C$6^2)/Inputs!$C$52)))-((Inputs!$H$8+Inputs!$L$8*(((Inputs!$I$8+(((A145)+1)/2)*(Inputs!$J$8-Inputs!$I$8)))/Inputs!$K$8)^2)))*1000/Inputs!$C$12)</x:f>
        <x:v>58099.3036369933</x:v>
      </x:c>
      <x:c r="AI145" s="48" t="n">
        <x:f>(((SQRT((Inputs!$C$52+((Inputs!$H$9+Inputs!$L$9*(((Inputs!$I$9+(((A145)+1)/2)*(Inputs!$J$9-Inputs!$I$9)))/Inputs!$K$9)^2)))^2+Inputs!$C$52^2-2*(Inputs!$C$52+((Inputs!$H$9+Inputs!$L$9*(((Inputs!$I$9+(((A145)+1)/2)*(Inputs!$J$9-Inputs!$I$9)))/Inputs!$K$9)^2)))*Inputs!$C$52*COS(SQRT(((Inputs!$I$9+(((A145)+1)/2)*(Inputs!$J$9-Inputs!$I$9)))^2+Inputs!$C$6^2)/Inputs!$C$52)))-((Inputs!$H$9+Inputs!$L$9*(((Inputs!$I$9+(((A145)+1)/2)*(Inputs!$J$9-Inputs!$I$9)))/Inputs!$K$9)^2)))*1000/Inputs!$C$12)</x:f>
        <x:v>61196.743987923845</x:v>
      </x:c>
      <x:c r="AJ145" s="49"/>
      <x:c r="AK145" s="48" t="n">
        <x:f>A145</x:f>
        <x:v>0.192</x:v>
      </x:c>
      <x:c r="AL145" s="48" t="n">
        <x: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x:f>
        <x:v>-98.56164084788621</x:v>
      </x:c>
      <x:c r="AM145" s="48" t="n">
        <x: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x:f>
        <x:v>-1627.0753088758588</x:v>
      </x:c>
      <x:c r="AN145" s="48" t="n">
        <x: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x:f>
        <x:v>-1807.544444136745</x:v>
      </x:c>
      <x:c r="AO145" s="48" t="n">
        <x: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x:f>
        <x:v>-1803.534814031977</x:v>
      </x:c>
      <x:c r="AP145" s="49"/>
      <x:c r="AQ145" s="48" t="n">
        <x:f>A145</x:f>
        <x:v>0.192</x:v>
      </x:c>
      <x:c r="AR145" s="48" t="n">
        <x:f>0</x:f>
        <x:v>0</x:v>
      </x:c>
      <x:c r="AS145" s="48" t="n">
        <x: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(0.45*SIN(2*PI()*((((Inputs!$I$6+(((A145)+1)/2)*(Inputs!$J$6-Inputs!$I$6)))/Inputs!$C$49)+Inputs!$C$47*0.137))+0.35*COS(2*PI()*(((Inputs!$C$6)/Inputs!$C$50)+Inputs!$C$47*0.173))+0.20*SIN(2*PI()*((((Inputs!$I$6+(((A145)+1)/2)*(Inputs!$J$6-Inputs!$I$6)))+(Inputs!$C$6))/(0.5*(Inputs!$C$49+Inputs!$C$50))+Inputs!$C$47*0.097)))+0.30*(2*((SIN((((Inputs!$I$6+(((A145)+1)/2)*(Inputs!$J$6-Inputs!$I$6)))*12.9898+(Inputs!$C$6)*78.233+Inputs!$C$47*37.719))*43758.5453)-INT((SIN((((Inputs!$I$6+(((A145)+1)/2)*(Inputs!$J$6-Inputs!$I$6)))*12.9898+(Inputs!$C$6)*78.233+Inputs!$C$47*37.719))*43758.5453)))-1))),NA())</x:f>
        <x:v>421.33382769243025</x:v>
      </x:c>
      <x:c r="AT145" s="48" t="n">
        <x: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(0.45*SIN(2*PI()*((((Inputs!$I$7+(((A145)+1)/2)*(Inputs!$J$7-Inputs!$I$7)))/Inputs!$C$49)+Inputs!$C$47*0.137))+0.35*COS(2*PI()*(((Inputs!$C$6)/Inputs!$C$50)+Inputs!$C$47*0.173))+0.20*SIN(2*PI()*((((Inputs!$I$7+(((A145)+1)/2)*(Inputs!$J$7-Inputs!$I$7)))+(Inputs!$C$6))/(0.5*(Inputs!$C$49+Inputs!$C$50))+Inputs!$C$47*0.097)))+0.30*(2*((SIN((((Inputs!$I$7+(((A145)+1)/2)*(Inputs!$J$7-Inputs!$I$7)))*12.9898+(Inputs!$C$6)*78.233+Inputs!$C$47*37.719))*43758.5453)-INT((SIN((((Inputs!$I$7+(((A145)+1)/2)*(Inputs!$J$7-Inputs!$I$7)))*12.9898+(Inputs!$C$6)*78.233+Inputs!$C$47*37.719))*43758.5453)))-1))),NA())</x:f>
        <x:v>219.9009043352383</x:v>
      </x:c>
      <x:c r="AU145" s="48" t="n">
        <x: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(0.45*SIN(2*PI()*((((Inputs!$I$8+(((A145)+1)/2)*(Inputs!$J$8-Inputs!$I$8)))/Inputs!$C$49)+Inputs!$C$47*0.137))+0.35*COS(2*PI()*(((Inputs!$C$6)/Inputs!$C$50)+Inputs!$C$47*0.173))+0.20*SIN(2*PI()*((((Inputs!$I$8+(((A145)+1)/2)*(Inputs!$J$8-Inputs!$I$8)))+(Inputs!$C$6))/(0.5*(Inputs!$C$49+Inputs!$C$50))+Inputs!$C$47*0.097)))+0.30*(2*((SIN((((Inputs!$I$8+(((A145)+1)/2)*(Inputs!$J$8-Inputs!$I$8)))*12.9898+(Inputs!$C$6)*78.233+Inputs!$C$47*37.719))*43758.5453)-INT((SIN((((Inputs!$I$8+(((A145)+1)/2)*(Inputs!$J$8-Inputs!$I$8)))*12.9898+(Inputs!$C$6)*78.233+Inputs!$C$47*37.719))*43758.5453)))-1))),NA())</x:f>
        <x:v>129.6529153799332</x:v>
      </x:c>
      <x:c r="AV145" s="48" t="n">
        <x: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(0.45*SIN(2*PI()*((((Inputs!$I$9+(((A145)+1)/2)*(Inputs!$J$9-Inputs!$I$9)))/Inputs!$C$49)+Inputs!$C$47*0.137))+0.35*COS(2*PI()*(((Inputs!$C$6)/Inputs!$C$50)+Inputs!$C$47*0.173))+0.20*SIN(2*PI()*((((Inputs!$I$9+(((A145)+1)/2)*(Inputs!$J$9-Inputs!$I$9)))+(Inputs!$C$6))/(0.5*(Inputs!$C$49+Inputs!$C$50))+Inputs!$C$47*0.097)))+0.30*(2*((SIN((((Inputs!$I$9+(((A145)+1)/2)*(Inputs!$J$9-Inputs!$I$9)))*12.9898+(Inputs!$C$6)*78.233+Inputs!$C$47*37.719))*43758.5453)-INT((SIN((((Inputs!$I$9+(((A145)+1)/2)*(Inputs!$J$9-Inputs!$I$9)))*12.9898+(Inputs!$C$6)*78.233+Inputs!$C$47*37.719))*43758.5453)))-1))),NA())</x:f>
        <x:v>129.6529153799332</x:v>
      </x:c>
      <x:c r="AW145" s="49"/>
      <x:c r="AX145" s="48" t="n">
        <x:f>A145</x:f>
        <x:v>0.192</x:v>
      </x:c>
      <x:c r="AY145" s="48" t="n">
        <x:f>0</x:f>
        <x:v>0</x:v>
      </x:c>
      <x:c r="AZ145" s="48" t="n">
        <x:f>IF(OR(Inputs!$F$6=TRUE,Inputs!$F$6="TRUE",Inputs!$F$6=1),(Inputs!$H$6+Inputs!$L$6*(((Inputs!$I$6+(((A145)+1)/2)*(Inputs!$J$6-Inputs!$I$6)))/Inputs!$K$6)^2),NA())</x:f>
        <x:v>400.147456</x:v>
      </x:c>
      <x:c r="BA145" s="48" t="n">
        <x:f>IF(OR(Inputs!$F$7=TRUE,Inputs!$F$7="TRUE",Inputs!$F$7=1),(Inputs!$H$7+Inputs!$L$7*(((Inputs!$I$7+(((A145)+1)/2)*(Inputs!$J$7-Inputs!$I$7)))/Inputs!$K$7)^2),NA())</x:f>
        <x:v>48.455359999999985</x:v>
      </x:c>
      <x:c r="BB145" s="48" t="n">
        <x:f>IF(OR(Inputs!$F$8=TRUE,Inputs!$F$8="TRUE",Inputs!$F$8=1),(Inputs!$H$8+Inputs!$L$8*(((Inputs!$I$8+(((A145)+1)/2)*(Inputs!$J$8-Inputs!$I$8)))/Inputs!$K$8)^2),NA())</x:f>
        <x:v>70.57375999999996</x:v>
      </x:c>
      <x:c r="BC145" s="48" t="n">
        <x:f>IF(OR(Inputs!$F$9=TRUE,Inputs!$F$9="TRUE",Inputs!$F$9=1),(Inputs!$H$9+Inputs!$L$9*(((Inputs!$I$9+(((A145)+1)/2)*(Inputs!$J$9-Inputs!$I$9)))/Inputs!$K$9)^2),NA())</x:f>
        <x:v>60.942399999999964</x:v>
      </x:c>
      <x:c r="BD145" s="49"/>
      <x:c r="BE145" s="48" t="n">
        <x:f>A145</x:f>
        <x:v>0.192</x:v>
      </x:c>
      <x:c r="BF145" s="48" t="n">
        <x:f>0</x:f>
        <x:v>0</x:v>
      </x:c>
      <x:c r="BG145" s="48"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BH145" s="48"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BI145" s="48"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BJ145" s="48"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row>
    <x:row r="146">
      <x:c r="A146" s="48" t="n">
        <x:f>ROUND(-1+144*2/240,3)</x:f>
        <x:v>0.2</x:v>
      </x:c>
      <x:c r="B146" s="48" t="n">
        <x:f>IF(OR(Inputs!$F$6=TRUE,Inputs!$F$6="TRUE",Inputs!$F$6=1),(Inputs!$H$6+Inputs!$L$6*(((Inputs!$I$6+(((A146)+1)/2)*(Inputs!$J$6-Inputs!$I$6)))/Inputs!$K$6)^2),NA())</x:f>
        <x:v>400.16</x:v>
      </x:c>
      <x:c r="C146" s="48" t="n">
        <x:f>IF(OR(Inputs!$F$7=TRUE,Inputs!$F$7="TRUE",Inputs!$F$7=1),(Inputs!$H$7+Inputs!$L$7*(((Inputs!$I$7+(((A146)+1)/2)*(Inputs!$J$7-Inputs!$I$7)))/Inputs!$K$7)^2),NA())</x:f>
        <x:v>49.6</x:v>
      </x:c>
      <x:c r="D146" s="48" t="n">
        <x:f>IF(OR(Inputs!$F$8=TRUE,Inputs!$F$8="TRUE",Inputs!$F$8=1),(Inputs!$H$8+Inputs!$L$8*(((Inputs!$I$8+(((A146)+1)/2)*(Inputs!$J$8-Inputs!$I$8)))/Inputs!$K$8)^2),NA())</x:f>
        <x:v>73.60000000000001</x:v>
      </x:c>
      <x:c r="E146" s="48" t="n">
        <x:f>IF(OR(Inputs!$F$9=TRUE,Inputs!$F$9="TRUE",Inputs!$F$9=1),(Inputs!$H$9+Inputs!$L$9*(((Inputs!$I$9+(((A146)+1)/2)*(Inputs!$J$9-Inputs!$I$9)))/Inputs!$K$9)^2),NA())</x:f>
        <x:v>64</x:v>
      </x:c>
      <x:c r="F146" s="49"/>
      <x:c r="G146" s="48" t="n">
        <x:f>A146</x:f>
        <x:v>0.2</x:v>
      </x:c>
      <x:c r="H146" s="48"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I146" s="48"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J146" s="48"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K146" s="48"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c r="L146" s="49"/>
      <x:c r="M146" s="48" t="n">
        <x:f>A146</x:f>
        <x:v>0.2</x:v>
      </x:c>
      <x:c r="N146" s="48" t="n">
        <x: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x:f>
        <x:v>-102.66271090049356</x:v>
      </x:c>
      <x:c r="O146" s="48" t="n">
        <x: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x:f>
        <x:v>-1647.1842199885127</x:v>
      </x:c>
      <x:c r="P146" s="48" t="n">
        <x: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x:f>
        <x:v>-1825.5334020523155</x:v>
      </x:c>
      <x:c r="Q146" s="48" t="n">
        <x: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x:f>
        <x:v>-1820.7114117933004</x:v>
      </x:c>
      <x:c r="R146" s="49"/>
      <x:c r="S146" s="48" t="n">
        <x:f>A146</x:f>
        <x:v>0.2</x:v>
      </x:c>
      <x:c r="T146" s="48" t="n">
        <x:f>(Inputs!$I$6+(((A146)+1)/2)*(Inputs!$J$6-Inputs!$I$6))</x:f>
        <x:v>12</x:v>
      </x:c>
      <x:c r="U146" s="48" t="n">
        <x:f>(Inputs!$I$7+(((A146)+1)/2)*(Inputs!$J$7-Inputs!$I$7))</x:f>
        <x:v>80</x:v>
      </x:c>
      <x:c r="V146" s="48" t="n">
        <x:f>(Inputs!$I$8+(((A146)+1)/2)*(Inputs!$J$8-Inputs!$I$8))</x:f>
        <x:v>160</x:v>
      </x:c>
      <x:c r="W146" s="48" t="n">
        <x:f>(Inputs!$I$9+(((A146)+1)/2)*(Inputs!$J$9-Inputs!$I$9))</x:f>
        <x:v>160</x:v>
      </x:c>
      <x:c r="X146" s="49"/>
      <x:c r="Y146" s="48" t="n">
        <x:f>A146</x:f>
        <x:v>0.2</x:v>
      </x:c>
      <x:c r="Z146" s="48" t="n">
        <x:f>(Inputs!$H$6+Inputs!$L$6*(((Inputs!$I$6+(((A146)+1)/2)*(Inputs!$J$6-Inputs!$I$6)))/Inputs!$K$6)^2)</x:f>
        <x:v>400.16</x:v>
      </x:c>
      <x:c r="AA146" s="48" t="n">
        <x:f>(Inputs!$H$7+Inputs!$L$7*(((Inputs!$I$7+(((A146)+1)/2)*(Inputs!$J$7-Inputs!$I$7)))/Inputs!$K$7)^2)</x:f>
        <x:v>49.6</x:v>
      </x:c>
      <x:c r="AB146" s="48" t="n">
        <x:f>(Inputs!$H$8+Inputs!$L$8*(((Inputs!$I$8+(((A146)+1)/2)*(Inputs!$J$8-Inputs!$I$8)))/Inputs!$K$8)^2)</x:f>
        <x:v>73.60000000000001</x:v>
      </x:c>
      <x:c r="AC146" s="48" t="n">
        <x:f>(Inputs!$H$9+Inputs!$L$9*(((Inputs!$I$9+(((A146)+1)/2)*(Inputs!$J$9-Inputs!$I$9)))/Inputs!$K$9)^2)</x:f>
        <x:v>64</x:v>
      </x:c>
      <x:c r="AD146" s="49"/>
      <x:c r="AE146" s="48" t="n">
        <x:f>A146</x:f>
        <x:v>0.2</x:v>
      </x:c>
      <x:c r="AF146" s="48" t="n">
        <x:f>(((SQRT((Inputs!$C$52+((Inputs!$H$6+Inputs!$L$6*(((Inputs!$I$6+(((A146)+1)/2)*(Inputs!$J$6-Inputs!$I$6)))/Inputs!$K$6)^2)))^2+Inputs!$C$52^2-2*(Inputs!$C$52+((Inputs!$H$6+Inputs!$L$6*(((Inputs!$I$6+(((A146)+1)/2)*(Inputs!$J$6-Inputs!$I$6)))/Inputs!$K$6)^2)))*Inputs!$C$52*COS(SQRT(((Inputs!$I$6+(((A146)+1)/2)*(Inputs!$J$6-Inputs!$I$6)))^2+Inputs!$C$6^2)/Inputs!$C$52)))-((Inputs!$H$6+Inputs!$L$6*(((Inputs!$I$6+(((A146)+1)/2)*(Inputs!$J$6-Inputs!$I$6)))/Inputs!$K$6)^2)))*1000/Inputs!$C$12)</x:f>
        <x:v>677.1721992654893</x:v>
      </x:c>
      <x:c r="AG146" s="48" t="n">
        <x:f>(((SQRT((Inputs!$C$52+((Inputs!$H$7+Inputs!$L$7*(((Inputs!$I$7+(((A146)+1)/2)*(Inputs!$J$7-Inputs!$I$7)))/Inputs!$K$7)^2)))^2+Inputs!$C$52^2-2*(Inputs!$C$52+((Inputs!$H$7+Inputs!$L$7*(((Inputs!$I$7+(((A146)+1)/2)*(Inputs!$J$7-Inputs!$I$7)))/Inputs!$K$7)^2)))*Inputs!$C$52*COS(SQRT(((Inputs!$I$7+(((A146)+1)/2)*(Inputs!$J$7-Inputs!$I$7)))^2+Inputs!$C$6^2)/Inputs!$C$52)))-((Inputs!$H$7+Inputs!$L$7*(((Inputs!$I$7+(((A146)+1)/2)*(Inputs!$J$7-Inputs!$I$7)))/Inputs!$K$7)^2)))*1000/Inputs!$C$12)</x:f>
        <x:v>27484.49305665487</x:v>
      </x:c>
      <x:c r="AH146" s="48" t="n">
        <x:f>(((SQRT((Inputs!$C$52+((Inputs!$H$8+Inputs!$L$8*(((Inputs!$I$8+(((A146)+1)/2)*(Inputs!$J$8-Inputs!$I$8)))/Inputs!$K$8)^2)))^2+Inputs!$C$52^2-2*(Inputs!$C$52+((Inputs!$H$8+Inputs!$L$8*(((Inputs!$I$8+(((A146)+1)/2)*(Inputs!$J$8-Inputs!$I$8)))/Inputs!$K$8)^2)))*Inputs!$C$52*COS(SQRT(((Inputs!$I$8+(((A146)+1)/2)*(Inputs!$J$8-Inputs!$I$8)))^2+Inputs!$C$6^2)/Inputs!$C$52)))-((Inputs!$H$8+Inputs!$L$8*(((Inputs!$I$8+(((A146)+1)/2)*(Inputs!$J$8-Inputs!$I$8)))/Inputs!$K$8)^2)))*1000/Inputs!$C$12)</x:f>
        <x:v>60481.27607300804</x:v>
      </x:c>
      <x:c r="AI146" s="48" t="n">
        <x:f>(((SQRT((Inputs!$C$52+((Inputs!$H$9+Inputs!$L$9*(((Inputs!$I$9+(((A146)+1)/2)*(Inputs!$J$9-Inputs!$I$9)))/Inputs!$K$9)^2)))^2+Inputs!$C$52^2-2*(Inputs!$C$52+((Inputs!$H$9+Inputs!$L$9*(((Inputs!$I$9+(((A146)+1)/2)*(Inputs!$J$9-Inputs!$I$9)))/Inputs!$K$9)^2)))*Inputs!$C$52*COS(SQRT(((Inputs!$I$9+(((A146)+1)/2)*(Inputs!$J$9-Inputs!$I$9)))^2+Inputs!$C$6^2)/Inputs!$C$52)))-((Inputs!$H$9+Inputs!$L$9*(((Inputs!$I$9+(((A146)+1)/2)*(Inputs!$J$9-Inputs!$I$9)))/Inputs!$K$9)^2)))*1000/Inputs!$C$12)</x:f>
        <x:v>63551.14745527264</x:v>
      </x:c>
      <x:c r="AJ146" s="49"/>
      <x:c r="AK146" s="48" t="n">
        <x:f>A146</x:f>
        <x:v>0.2</x:v>
      </x:c>
      <x:c r="AL146" s="48" t="n">
        <x: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x:f>
        <x:v>-102.66271090049356</x:v>
      </x:c>
      <x:c r="AM146" s="48" t="n">
        <x: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x:f>
        <x:v>-1647.1842199885127</x:v>
      </x:c>
      <x:c r="AN146" s="48" t="n">
        <x: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x:f>
        <x:v>-1825.5334020523155</x:v>
      </x:c>
      <x:c r="AO146" s="48" t="n">
        <x: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x:f>
        <x:v>-1820.7114117933004</x:v>
      </x:c>
      <x:c r="AP146" s="49"/>
      <x:c r="AQ146" s="48" t="n">
        <x:f>A146</x:f>
        <x:v>0.2</x:v>
      </x:c>
      <x:c r="AR146" s="48" t="n">
        <x:f>0</x:f>
        <x:v>0</x:v>
      </x:c>
      <x:c r="AS146" s="48" t="n">
        <x: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(0.45*SIN(2*PI()*((((Inputs!$I$6+(((A146)+1)/2)*(Inputs!$J$6-Inputs!$I$6)))/Inputs!$C$49)+Inputs!$C$47*0.137))+0.35*COS(2*PI()*(((Inputs!$C$6)/Inputs!$C$50)+Inputs!$C$47*0.173))+0.20*SIN(2*PI()*((((Inputs!$I$6+(((A146)+1)/2)*(Inputs!$J$6-Inputs!$I$6)))+(Inputs!$C$6))/(0.5*(Inputs!$C$49+Inputs!$C$50))+Inputs!$C$47*0.097)))+0.30*(2*((SIN((((Inputs!$I$6+(((A146)+1)/2)*(Inputs!$J$6-Inputs!$I$6)))*12.9898+(Inputs!$C$6)*78.233+Inputs!$C$47*37.719))*43758.5453)-INT((SIN((((Inputs!$I$6+(((A146)+1)/2)*(Inputs!$J$6-Inputs!$I$6)))*12.9898+(Inputs!$C$6)*78.233+Inputs!$C$47*37.719))*43758.5453)))-1))),NA())</x:f>
        <x:v>422.8387186345762</x:v>
      </x:c>
      <x:c r="AT146" s="48" t="n">
        <x: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(0.45*SIN(2*PI()*((((Inputs!$I$7+(((A146)+1)/2)*(Inputs!$J$7-Inputs!$I$7)))/Inputs!$C$49)+Inputs!$C$47*0.137))+0.35*COS(2*PI()*(((Inputs!$C$6)/Inputs!$C$50)+Inputs!$C$47*0.173))+0.20*SIN(2*PI()*((((Inputs!$I$7+(((A146)+1)/2)*(Inputs!$J$7-Inputs!$I$7)))+(Inputs!$C$6))/(0.5*(Inputs!$C$49+Inputs!$C$50))+Inputs!$C$47*0.097)))+0.30*(2*((SIN((((Inputs!$I$7+(((A146)+1)/2)*(Inputs!$J$7-Inputs!$I$7)))*12.9898+(Inputs!$C$6)*78.233+Inputs!$C$47*37.719))*43758.5453)-INT((SIN((((Inputs!$I$7+(((A146)+1)/2)*(Inputs!$J$7-Inputs!$I$7)))*12.9898+(Inputs!$C$6)*78.233+Inputs!$C$47*37.719))*43758.5453)))-1))),NA())</x:f>
        <x:v>159.82837344932233</x:v>
      </x:c>
      <x:c r="AU146" s="48" t="n">
        <x: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(0.45*SIN(2*PI()*((((Inputs!$I$8+(((A146)+1)/2)*(Inputs!$J$8-Inputs!$I$8)))/Inputs!$C$49)+Inputs!$C$47*0.137))+0.35*COS(2*PI()*(((Inputs!$C$6)/Inputs!$C$50)+Inputs!$C$47*0.173))+0.20*SIN(2*PI()*((((Inputs!$I$8+(((A146)+1)/2)*(Inputs!$J$8-Inputs!$I$8)))+(Inputs!$C$6))/(0.5*(Inputs!$C$49+Inputs!$C$50))+Inputs!$C$47*0.097)))+0.30*(2*((SIN((((Inputs!$I$8+(((A146)+1)/2)*(Inputs!$J$8-Inputs!$I$8)))*12.9898+(Inputs!$C$6)*78.233+Inputs!$C$47*37.719))*43758.5453)-INT((SIN((((Inputs!$I$8+(((A146)+1)/2)*(Inputs!$J$8-Inputs!$I$8)))*12.9898+(Inputs!$C$6)*78.233+Inputs!$C$47*37.719))*43758.5453)))-1))),NA())</x:f>
        <x:v>163.1736055869338</x:v>
      </x:c>
      <x:c r="AV146" s="48" t="n">
        <x: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(0.45*SIN(2*PI()*((((Inputs!$I$9+(((A146)+1)/2)*(Inputs!$J$9-Inputs!$I$9)))/Inputs!$C$49)+Inputs!$C$47*0.137))+0.35*COS(2*PI()*(((Inputs!$C$6)/Inputs!$C$50)+Inputs!$C$47*0.173))+0.20*SIN(2*PI()*((((Inputs!$I$9+(((A146)+1)/2)*(Inputs!$J$9-Inputs!$I$9)))+(Inputs!$C$6))/(0.5*(Inputs!$C$49+Inputs!$C$50))+Inputs!$C$47*0.097)))+0.30*(2*((SIN((((Inputs!$I$9+(((A146)+1)/2)*(Inputs!$J$9-Inputs!$I$9)))*12.9898+(Inputs!$C$6)*78.233+Inputs!$C$47*37.719))*43758.5453)-INT((SIN((((Inputs!$I$9+(((A146)+1)/2)*(Inputs!$J$9-Inputs!$I$9)))*12.9898+(Inputs!$C$6)*78.233+Inputs!$C$47*37.719))*43758.5453)))-1))),NA())</x:f>
        <x:v>163.1736055869338</x:v>
      </x:c>
      <x:c r="AW146" s="49"/>
      <x:c r="AX146" s="48" t="n">
        <x:f>A146</x:f>
        <x:v>0.2</x:v>
      </x:c>
      <x:c r="AY146" s="48" t="n">
        <x:f>0</x:f>
        <x:v>0</x:v>
      </x:c>
      <x:c r="AZ146" s="48" t="n">
        <x:f>IF(OR(Inputs!$F$6=TRUE,Inputs!$F$6="TRUE",Inputs!$F$6=1),(Inputs!$H$6+Inputs!$L$6*(((Inputs!$I$6+(((A146)+1)/2)*(Inputs!$J$6-Inputs!$I$6)))/Inputs!$K$6)^2),NA())</x:f>
        <x:v>400.16</x:v>
      </x:c>
      <x:c r="BA146" s="48" t="n">
        <x:f>IF(OR(Inputs!$F$7=TRUE,Inputs!$F$7="TRUE",Inputs!$F$7=1),(Inputs!$H$7+Inputs!$L$7*(((Inputs!$I$7+(((A146)+1)/2)*(Inputs!$J$7-Inputs!$I$7)))/Inputs!$K$7)^2),NA())</x:f>
        <x:v>49.6</x:v>
      </x:c>
      <x:c r="BB146" s="48" t="n">
        <x:f>IF(OR(Inputs!$F$8=TRUE,Inputs!$F$8="TRUE",Inputs!$F$8=1),(Inputs!$H$8+Inputs!$L$8*(((Inputs!$I$8+(((A146)+1)/2)*(Inputs!$J$8-Inputs!$I$8)))/Inputs!$K$8)^2),NA())</x:f>
        <x:v>73.60000000000001</x:v>
      </x:c>
      <x:c r="BC146" s="48" t="n">
        <x:f>IF(OR(Inputs!$F$9=TRUE,Inputs!$F$9="TRUE",Inputs!$F$9=1),(Inputs!$H$9+Inputs!$L$9*(((Inputs!$I$9+(((A146)+1)/2)*(Inputs!$J$9-Inputs!$I$9)))/Inputs!$K$9)^2),NA())</x:f>
        <x:v>64</x:v>
      </x:c>
      <x:c r="BD146" s="49"/>
      <x:c r="BE146" s="48" t="n">
        <x:f>A146</x:f>
        <x:v>0.2</x:v>
      </x:c>
      <x:c r="BF146" s="48" t="n">
        <x:f>0</x:f>
        <x:v>0</x:v>
      </x:c>
      <x:c r="BG146" s="48"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BH146" s="48"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BI146" s="48"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BJ146" s="48"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row>
    <x:row r="147">
      <x:c r="A147" s="48" t="n">
        <x:f>ROUND(-1+145*2/240,3)</x:f>
        <x:v>0.208</x:v>
      </x:c>
      <x:c r="B147" s="48" t="n">
        <x:f>IF(OR(Inputs!$F$6=TRUE,Inputs!$F$6="TRUE",Inputs!$F$6=1),(Inputs!$H$6+Inputs!$L$6*(((Inputs!$I$6+(((A147)+1)/2)*(Inputs!$J$6-Inputs!$I$6)))/Inputs!$K$6)^2),NA())</x:f>
        <x:v>400.173056</x:v>
      </x:c>
      <x:c r="C147" s="48" t="n">
        <x:f>IF(OR(Inputs!$F$7=TRUE,Inputs!$F$7="TRUE",Inputs!$F$7=1),(Inputs!$H$7+Inputs!$L$7*(((Inputs!$I$7+(((A147)+1)/2)*(Inputs!$J$7-Inputs!$I$7)))/Inputs!$K$7)^2),NA())</x:f>
        <x:v>50.79136</x:v>
      </x:c>
      <x:c r="D147" s="48" t="n">
        <x:f>IF(OR(Inputs!$F$8=TRUE,Inputs!$F$8="TRUE",Inputs!$F$8=1),(Inputs!$H$8+Inputs!$L$8*(((Inputs!$I$8+(((A147)+1)/2)*(Inputs!$J$8-Inputs!$I$8)))/Inputs!$K$8)^2),NA())</x:f>
        <x:v>76.74975999999998</x:v>
      </x:c>
      <x:c r="E147" s="48" t="n">
        <x:f>IF(OR(Inputs!$F$9=TRUE,Inputs!$F$9="TRUE",Inputs!$F$9=1),(Inputs!$H$9+Inputs!$L$9*(((Inputs!$I$9+(((A147)+1)/2)*(Inputs!$J$9-Inputs!$I$9)))/Inputs!$K$9)^2),NA())</x:f>
        <x:v>67.18239999999997</x:v>
      </x:c>
      <x:c r="F147" s="49"/>
      <x:c r="G147" s="48" t="n">
        <x:f>A147</x:f>
        <x:v>0.208</x:v>
      </x:c>
      <x:c r="H147" s="48"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I147" s="48"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J147" s="48"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K147" s="48"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c r="L147" s="49"/>
      <x:c r="M147" s="48" t="n">
        <x:f>A147</x:f>
        <x:v>0.208</x:v>
      </x:c>
      <x:c r="N147" s="48" t="n">
        <x: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x:f>
        <x:v>-106.76308869225288</x:v>
      </x:c>
      <x:c r="O147" s="48" t="n">
        <x: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x:f>
        <x:v>-1666.3807003058387</x:v>
      </x:c>
      <x:c r="P147" s="48" t="n">
        <x: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x:f>
        <x:v>-1843.5674135532493</x:v>
      </x:c>
      <x:c r="Q147" s="48" t="n">
        <x: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x:f>
        <x:v>-1838.0723898684603</x:v>
      </x:c>
      <x:c r="R147" s="49"/>
      <x:c r="S147" s="48" t="n">
        <x:f>A147</x:f>
        <x:v>0.208</x:v>
      </x:c>
      <x:c r="T147" s="48" t="n">
        <x:f>(Inputs!$I$6+(((A147)+1)/2)*(Inputs!$J$6-Inputs!$I$6))</x:f>
        <x:v>12.480000000000004</x:v>
      </x:c>
      <x:c r="U147" s="48" t="n">
        <x:f>(Inputs!$I$7+(((A147)+1)/2)*(Inputs!$J$7-Inputs!$I$7))</x:f>
        <x:v>83.19999999999999</x:v>
      </x:c>
      <x:c r="V147" s="48" t="n">
        <x:f>(Inputs!$I$8+(((A147)+1)/2)*(Inputs!$J$8-Inputs!$I$8))</x:f>
        <x:v>166.39999999999998</x:v>
      </x:c>
      <x:c r="W147" s="48" t="n">
        <x:f>(Inputs!$I$9+(((A147)+1)/2)*(Inputs!$J$9-Inputs!$I$9))</x:f>
        <x:v>166.39999999999998</x:v>
      </x:c>
      <x:c r="X147" s="49"/>
      <x:c r="Y147" s="48" t="n">
        <x:f>A147</x:f>
        <x:v>0.208</x:v>
      </x:c>
      <x:c r="Z147" s="48" t="n">
        <x:f>(Inputs!$H$6+Inputs!$L$6*(((Inputs!$I$6+(((A147)+1)/2)*(Inputs!$J$6-Inputs!$I$6)))/Inputs!$K$6)^2)</x:f>
        <x:v>400.173056</x:v>
      </x:c>
      <x:c r="AA147" s="48" t="n">
        <x:f>(Inputs!$H$7+Inputs!$L$7*(((Inputs!$I$7+(((A147)+1)/2)*(Inputs!$J$7-Inputs!$I$7)))/Inputs!$K$7)^2)</x:f>
        <x:v>50.79136</x:v>
      </x:c>
      <x:c r="AB147" s="48" t="n">
        <x:f>(Inputs!$H$8+Inputs!$L$8*(((Inputs!$I$8+(((A147)+1)/2)*(Inputs!$J$8-Inputs!$I$8)))/Inputs!$K$8)^2)</x:f>
        <x:v>76.74975999999998</x:v>
      </x:c>
      <x:c r="AC147" s="48" t="n">
        <x:f>(Inputs!$H$9+Inputs!$L$9*(((Inputs!$I$9+(((A147)+1)/2)*(Inputs!$J$9-Inputs!$I$9)))/Inputs!$K$9)^2)</x:f>
        <x:v>67.18239999999997</x:v>
      </x:c>
      <x:c r="AD147" s="49"/>
      <x:c r="AE147" s="48" t="n">
        <x:f>A147</x:f>
        <x:v>0.208</x:v>
      </x:c>
      <x:c r="AF147" s="48" t="n">
        <x:f>(((SQRT((Inputs!$C$52+((Inputs!$H$6+Inputs!$L$6*(((Inputs!$I$6+(((A147)+1)/2)*(Inputs!$J$6-Inputs!$I$6)))/Inputs!$K$6)^2)))^2+Inputs!$C$52^2-2*(Inputs!$C$52+((Inputs!$H$6+Inputs!$L$6*(((Inputs!$I$6+(((A147)+1)/2)*(Inputs!$J$6-Inputs!$I$6)))/Inputs!$K$6)^2)))*Inputs!$C$52*COS(SQRT(((Inputs!$I$6+(((A147)+1)/2)*(Inputs!$J$6-Inputs!$I$6)))^2+Inputs!$C$6^2)/Inputs!$C$52)))-((Inputs!$H$6+Inputs!$L$6*(((Inputs!$I$6+(((A147)+1)/2)*(Inputs!$J$6-Inputs!$I$6)))/Inputs!$K$6)^2)))*1000/Inputs!$C$12)</x:f>
        <x:v>687.4856192586656</x:v>
      </x:c>
      <x:c r="AG147" s="48" t="n">
        <x:f>(((SQRT((Inputs!$C$52+((Inputs!$H$7+Inputs!$L$7*(((Inputs!$I$7+(((A147)+1)/2)*(Inputs!$J$7-Inputs!$I$7)))/Inputs!$K$7)^2)))^2+Inputs!$C$52^2-2*(Inputs!$C$52+((Inputs!$H$7+Inputs!$L$7*(((Inputs!$I$7+(((A147)+1)/2)*(Inputs!$J$7-Inputs!$I$7)))/Inputs!$K$7)^2)))*Inputs!$C$52*COS(SQRT(((Inputs!$I$7+(((A147)+1)/2)*(Inputs!$J$7-Inputs!$I$7)))^2+Inputs!$C$6^2)/Inputs!$C$52)))-((Inputs!$H$7+Inputs!$L$7*(((Inputs!$I$7+(((A147)+1)/2)*(Inputs!$J$7-Inputs!$I$7)))/Inputs!$K$7)^2)))*1000/Inputs!$C$12)</x:f>
        <x:v>28676.821975093742</x:v>
      </x:c>
      <x:c r="AH147" s="48" t="n">
        <x:f>(((SQRT((Inputs!$C$52+((Inputs!$H$8+Inputs!$L$8*(((Inputs!$I$8+(((A147)+1)/2)*(Inputs!$J$8-Inputs!$I$8)))/Inputs!$K$8)^2)))^2+Inputs!$C$52^2-2*(Inputs!$C$52+((Inputs!$H$8+Inputs!$L$8*(((Inputs!$I$8+(((A147)+1)/2)*(Inputs!$J$8-Inputs!$I$8)))/Inputs!$K$8)^2)))*Inputs!$C$52*COS(SQRT(((Inputs!$I$8+(((A147)+1)/2)*(Inputs!$J$8-Inputs!$I$8)))^2+Inputs!$C$6^2)/Inputs!$C$52)))-((Inputs!$H$8+Inputs!$L$8*(((Inputs!$I$8+(((A147)+1)/2)*(Inputs!$J$8-Inputs!$I$8)))/Inputs!$K$8)^2)))*1000/Inputs!$C$12)</x:f>
        <x:v>62834.319273826455</x:v>
      </x:c>
      <x:c r="AI147" s="48" t="n">
        <x:f>(((SQRT((Inputs!$C$52+((Inputs!$H$9+Inputs!$L$9*(((Inputs!$I$9+(((A147)+1)/2)*(Inputs!$J$9-Inputs!$I$9)))/Inputs!$K$9)^2)))^2+Inputs!$C$52^2-2*(Inputs!$C$52+((Inputs!$H$9+Inputs!$L$9*(((Inputs!$I$9+(((A147)+1)/2)*(Inputs!$J$9-Inputs!$I$9)))/Inputs!$K$9)^2)))*Inputs!$C$52*COS(SQRT(((Inputs!$I$9+(((A147)+1)/2)*(Inputs!$J$9-Inputs!$I$9)))^2+Inputs!$C$6^2)/Inputs!$C$52)))-((Inputs!$H$9+Inputs!$L$9*(((Inputs!$I$9+(((A147)+1)/2)*(Inputs!$J$9-Inputs!$I$9)))/Inputs!$K$9)^2)))*1000/Inputs!$C$12)</x:f>
        <x:v>65874.23699367428</x:v>
      </x:c>
      <x:c r="AJ147" s="49"/>
      <x:c r="AK147" s="48" t="n">
        <x:f>A147</x:f>
        <x:v>0.208</x:v>
      </x:c>
      <x:c r="AL147" s="48" t="n">
        <x: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x:f>
        <x:v>-106.76308869225288</x:v>
      </x:c>
      <x:c r="AM147" s="48" t="n">
        <x: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x:f>
        <x:v>-1666.3807003058387</x:v>
      </x:c>
      <x:c r="AN147" s="48" t="n">
        <x: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x:f>
        <x:v>-1843.5674135532493</x:v>
      </x:c>
      <x:c r="AO147" s="48" t="n">
        <x: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x:f>
        <x:v>-1838.0723898684603</x:v>
      </x:c>
      <x:c r="AP147" s="49"/>
      <x:c r="AQ147" s="48" t="n">
        <x:f>A147</x:f>
        <x:v>0.208</x:v>
      </x:c>
      <x:c r="AR147" s="48" t="n">
        <x:f>0</x:f>
        <x:v>0</x:v>
      </x:c>
      <x:c r="AS147" s="48" t="n">
        <x: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(0.45*SIN(2*PI()*((((Inputs!$I$6+(((A147)+1)/2)*(Inputs!$J$6-Inputs!$I$6)))/Inputs!$C$49)+Inputs!$C$47*0.137))+0.35*COS(2*PI()*(((Inputs!$C$6)/Inputs!$C$50)+Inputs!$C$47*0.173))+0.20*SIN(2*PI()*((((Inputs!$I$6+(((A147)+1)/2)*(Inputs!$J$6-Inputs!$I$6)))+(Inputs!$C$6))/(0.5*(Inputs!$C$49+Inputs!$C$50))+Inputs!$C$47*0.097)))+0.30*(2*((SIN((((Inputs!$I$6+(((A147)+1)/2)*(Inputs!$J$6-Inputs!$I$6)))*12.9898+(Inputs!$C$6)*78.233+Inputs!$C$47*37.719))*43758.5453)-INT((SIN((((Inputs!$I$6+(((A147)+1)/2)*(Inputs!$J$6-Inputs!$I$6)))*12.9898+(Inputs!$C$6)*78.233+Inputs!$C$47*37.719))*43758.5453)))-1))),NA())</x:f>
        <x:v>411.58967673701164</x:v>
      </x:c>
      <x:c r="AT147" s="48" t="n">
        <x: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(0.45*SIN(2*PI()*((((Inputs!$I$7+(((A147)+1)/2)*(Inputs!$J$7-Inputs!$I$7)))/Inputs!$C$49)+Inputs!$C$47*0.137))+0.35*COS(2*PI()*(((Inputs!$C$6)/Inputs!$C$50)+Inputs!$C$47*0.173))+0.20*SIN(2*PI()*((((Inputs!$I$7+(((A147)+1)/2)*(Inputs!$J$7-Inputs!$I$7)))+(Inputs!$C$6))/(0.5*(Inputs!$C$49+Inputs!$C$50))+Inputs!$C$47*0.097)))+0.30*(2*((SIN((((Inputs!$I$7+(((A147)+1)/2)*(Inputs!$J$7-Inputs!$I$7)))*12.9898+(Inputs!$C$6)*78.233+Inputs!$C$47*37.719))*43758.5453)-INT((SIN((((Inputs!$I$7+(((A147)+1)/2)*(Inputs!$J$7-Inputs!$I$7)))*12.9898+(Inputs!$C$6)*78.233+Inputs!$C$47*37.719))*43758.5453)))-1))),NA())</x:f>
        <x:v>140.16892305145183</x:v>
      </x:c>
      <x:c r="AU147" s="48" t="n">
        <x: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(0.45*SIN(2*PI()*((((Inputs!$I$8+(((A147)+1)/2)*(Inputs!$J$8-Inputs!$I$8)))/Inputs!$C$49)+Inputs!$C$47*0.137))+0.35*COS(2*PI()*(((Inputs!$C$6)/Inputs!$C$50)+Inputs!$C$47*0.173))+0.20*SIN(2*PI()*((((Inputs!$I$8+(((A147)+1)/2)*(Inputs!$J$8-Inputs!$I$8)))+(Inputs!$C$6))/(0.5*(Inputs!$C$49+Inputs!$C$50))+Inputs!$C$47*0.097)))+0.30*(2*((SIN((((Inputs!$I$8+(((A147)+1)/2)*(Inputs!$J$8-Inputs!$I$8)))*12.9898+(Inputs!$C$6)*78.233+Inputs!$C$47*37.719))*43758.5453)-INT((SIN((((Inputs!$I$8+(((A147)+1)/2)*(Inputs!$J$8-Inputs!$I$8)))*12.9898+(Inputs!$C$6)*78.233+Inputs!$C$47*37.719))*43758.5453)))-1))),NA())</x:f>
        <x:v>199.09571850646452</x:v>
      </x:c>
      <x:c r="AV147" s="48" t="n">
        <x: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(0.45*SIN(2*PI()*((((Inputs!$I$9+(((A147)+1)/2)*(Inputs!$J$9-Inputs!$I$9)))/Inputs!$C$49)+Inputs!$C$47*0.137))+0.35*COS(2*PI()*(((Inputs!$C$6)/Inputs!$C$50)+Inputs!$C$47*0.173))+0.20*SIN(2*PI()*((((Inputs!$I$9+(((A147)+1)/2)*(Inputs!$J$9-Inputs!$I$9)))+(Inputs!$C$6))/(0.5*(Inputs!$C$49+Inputs!$C$50))+Inputs!$C$47*0.097)))+0.30*(2*((SIN((((Inputs!$I$9+(((A147)+1)/2)*(Inputs!$J$9-Inputs!$I$9)))*12.9898+(Inputs!$C$6)*78.233+Inputs!$C$47*37.719))*43758.5453)-INT((SIN((((Inputs!$I$9+(((A147)+1)/2)*(Inputs!$J$9-Inputs!$I$9)))*12.9898+(Inputs!$C$6)*78.233+Inputs!$C$47*37.719))*43758.5453)))-1))),NA())</x:f>
        <x:v>199.09571850646452</x:v>
      </x:c>
      <x:c r="AW147" s="49"/>
      <x:c r="AX147" s="48" t="n">
        <x:f>A147</x:f>
        <x:v>0.208</x:v>
      </x:c>
      <x:c r="AY147" s="48" t="n">
        <x:f>0</x:f>
        <x:v>0</x:v>
      </x:c>
      <x:c r="AZ147" s="48" t="n">
        <x:f>IF(OR(Inputs!$F$6=TRUE,Inputs!$F$6="TRUE",Inputs!$F$6=1),(Inputs!$H$6+Inputs!$L$6*(((Inputs!$I$6+(((A147)+1)/2)*(Inputs!$J$6-Inputs!$I$6)))/Inputs!$K$6)^2),NA())</x:f>
        <x:v>400.173056</x:v>
      </x:c>
      <x:c r="BA147" s="48" t="n">
        <x:f>IF(OR(Inputs!$F$7=TRUE,Inputs!$F$7="TRUE",Inputs!$F$7=1),(Inputs!$H$7+Inputs!$L$7*(((Inputs!$I$7+(((A147)+1)/2)*(Inputs!$J$7-Inputs!$I$7)))/Inputs!$K$7)^2),NA())</x:f>
        <x:v>50.79136</x:v>
      </x:c>
      <x:c r="BB147" s="48" t="n">
        <x:f>IF(OR(Inputs!$F$8=TRUE,Inputs!$F$8="TRUE",Inputs!$F$8=1),(Inputs!$H$8+Inputs!$L$8*(((Inputs!$I$8+(((A147)+1)/2)*(Inputs!$J$8-Inputs!$I$8)))/Inputs!$K$8)^2),NA())</x:f>
        <x:v>76.74975999999998</x:v>
      </x:c>
      <x:c r="BC147" s="48" t="n">
        <x:f>IF(OR(Inputs!$F$9=TRUE,Inputs!$F$9="TRUE",Inputs!$F$9=1),(Inputs!$H$9+Inputs!$L$9*(((Inputs!$I$9+(((A147)+1)/2)*(Inputs!$J$9-Inputs!$I$9)))/Inputs!$K$9)^2),NA())</x:f>
        <x:v>67.18239999999997</x:v>
      </x:c>
      <x:c r="BD147" s="49"/>
      <x:c r="BE147" s="48" t="n">
        <x:f>A147</x:f>
        <x:v>0.208</x:v>
      </x:c>
      <x:c r="BF147" s="48" t="n">
        <x:f>0</x:f>
        <x:v>0</x:v>
      </x:c>
      <x:c r="BG147" s="48"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BH147" s="48"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BI147" s="48"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BJ147" s="48"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row>
    <x:row r="148">
      <x:c r="A148" s="48" t="n">
        <x:f>ROUND(-1+146*2/240,3)</x:f>
        <x:v>0.217</x:v>
      </x:c>
      <x:c r="B148" s="48" t="n">
        <x:f>IF(OR(Inputs!$F$6=TRUE,Inputs!$F$6="TRUE",Inputs!$F$6=1),(Inputs!$H$6+Inputs!$L$6*(((Inputs!$I$6+(((A148)+1)/2)*(Inputs!$J$6-Inputs!$I$6)))/Inputs!$K$6)^2),NA())</x:f>
        <x:v>400.188356</x:v>
      </x:c>
      <x:c r="C148" s="48" t="n">
        <x:f>IF(OR(Inputs!$F$7=TRUE,Inputs!$F$7="TRUE",Inputs!$F$7=1),(Inputs!$H$7+Inputs!$L$7*(((Inputs!$I$7+(((A148)+1)/2)*(Inputs!$J$7-Inputs!$I$7)))/Inputs!$K$7)^2),NA())</x:f>
        <x:v>52.18748500000001</x:v>
      </x:c>
      <x:c r="D148" s="48" t="n">
        <x:f>IF(OR(Inputs!$F$8=TRUE,Inputs!$F$8="TRUE",Inputs!$F$8=1),(Inputs!$H$8+Inputs!$L$8*(((Inputs!$I$8+(((A148)+1)/2)*(Inputs!$J$8-Inputs!$I$8)))/Inputs!$K$8)^2),NA())</x:f>
        <x:v>80.44088500000001</x:v>
      </x:c>
      <x:c r="E148" s="48" t="n">
        <x:f>IF(OR(Inputs!$F$9=TRUE,Inputs!$F$9="TRUE",Inputs!$F$9=1),(Inputs!$H$9+Inputs!$L$9*(((Inputs!$I$9+(((A148)+1)/2)*(Inputs!$J$9-Inputs!$I$9)))/Inputs!$K$9)^2),NA())</x:f>
        <x:v>70.911775</x:v>
      </x:c>
      <x:c r="F148" s="49"/>
      <x:c r="G148" s="48" t="n">
        <x:f>A148</x:f>
        <x:v>0.217</x:v>
      </x:c>
      <x:c r="H148" s="48"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I148" s="48"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J148" s="48"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K148" s="48"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c r="L148" s="49"/>
      <x:c r="M148" s="48" t="n">
        <x:f>A148</x:f>
        <x:v>0.217</x:v>
      </x:c>
      <x:c r="N148" s="48" t="n">
        <x: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x:f>
        <x:v>-111.37515211389446</x:v>
      </x:c>
      <x:c r="O148" s="48" t="n">
        <x: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x:f>
        <x:v>-1687.0490582285954</x:v>
      </x:c>
      <x:c r="P148" s="48" t="n">
        <x: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x:f>
        <x:v>-1863.9766572864032</x:v>
      </x:c>
      <x:c r="Q148" s="48" t="n">
        <x: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x:f>
        <x:v>-1857.8702803822314</x:v>
      </x:c>
      <x:c r="R148" s="49"/>
      <x:c r="S148" s="48" t="n">
        <x:f>A148</x:f>
        <x:v>0.217</x:v>
      </x:c>
      <x:c r="T148" s="48" t="n">
        <x:f>(Inputs!$I$6+(((A148)+1)/2)*(Inputs!$J$6-Inputs!$I$6))</x:f>
        <x:v>13.02000000000001</x:v>
      </x:c>
      <x:c r="U148" s="48" t="n">
        <x:f>(Inputs!$I$7+(((A148)+1)/2)*(Inputs!$J$7-Inputs!$I$7))</x:f>
        <x:v>86.80000000000001</x:v>
      </x:c>
      <x:c r="V148" s="48" t="n">
        <x:f>(Inputs!$I$8+(((A148)+1)/2)*(Inputs!$J$8-Inputs!$I$8))</x:f>
        <x:v>173.60000000000002</x:v>
      </x:c>
      <x:c r="W148" s="48" t="n">
        <x:f>(Inputs!$I$9+(((A148)+1)/2)*(Inputs!$J$9-Inputs!$I$9))</x:f>
        <x:v>173.60000000000002</x:v>
      </x:c>
      <x:c r="X148" s="49"/>
      <x:c r="Y148" s="48" t="n">
        <x:f>A148</x:f>
        <x:v>0.217</x:v>
      </x:c>
      <x:c r="Z148" s="48" t="n">
        <x:f>(Inputs!$H$6+Inputs!$L$6*(((Inputs!$I$6+(((A148)+1)/2)*(Inputs!$J$6-Inputs!$I$6)))/Inputs!$K$6)^2)</x:f>
        <x:v>400.188356</x:v>
      </x:c>
      <x:c r="AA148" s="48" t="n">
        <x:f>(Inputs!$H$7+Inputs!$L$7*(((Inputs!$I$7+(((A148)+1)/2)*(Inputs!$J$7-Inputs!$I$7)))/Inputs!$K$7)^2)</x:f>
        <x:v>52.18748500000001</x:v>
      </x:c>
      <x:c r="AB148" s="48" t="n">
        <x:f>(Inputs!$H$8+Inputs!$L$8*(((Inputs!$I$8+(((A148)+1)/2)*(Inputs!$J$8-Inputs!$I$8)))/Inputs!$K$8)^2)</x:f>
        <x:v>80.44088500000001</x:v>
      </x:c>
      <x:c r="AC148" s="48" t="n">
        <x:f>(Inputs!$H$9+Inputs!$L$9*(((Inputs!$I$9+(((A148)+1)/2)*(Inputs!$J$9-Inputs!$I$9)))/Inputs!$K$9)^2)</x:f>
        <x:v>70.911775</x:v>
      </x:c>
      <x:c r="AD148" s="49"/>
      <x:c r="AE148" s="48" t="n">
        <x:f>A148</x:f>
        <x:v>0.217</x:v>
      </x:c>
      <x:c r="AF148" s="48" t="n">
        <x:f>(((SQRT((Inputs!$C$52+((Inputs!$H$6+Inputs!$L$6*(((Inputs!$I$6+(((A148)+1)/2)*(Inputs!$J$6-Inputs!$I$6)))/Inputs!$K$6)^2)))^2+Inputs!$C$52^2-2*(Inputs!$C$52+((Inputs!$H$6+Inputs!$L$6*(((Inputs!$I$6+(((A148)+1)/2)*(Inputs!$J$6-Inputs!$I$6)))/Inputs!$K$6)^2)))*Inputs!$C$52*COS(SQRT(((Inputs!$I$6+(((A148)+1)/2)*(Inputs!$J$6-Inputs!$I$6)))^2+Inputs!$C$6^2)/Inputs!$C$52)))-((Inputs!$H$6+Inputs!$L$6*(((Inputs!$I$6+(((A148)+1)/2)*(Inputs!$J$6-Inputs!$I$6)))/Inputs!$K$6)^2)))*1000/Inputs!$C$12)</x:f>
        <x:v>699.5703688663037</x:v>
      </x:c>
      <x:c r="AG148" s="48" t="n">
        <x:f>(((SQRT((Inputs!$C$52+((Inputs!$H$7+Inputs!$L$7*(((Inputs!$I$7+(((A148)+1)/2)*(Inputs!$J$7-Inputs!$I$7)))/Inputs!$K$7)^2)))^2+Inputs!$C$52^2-2*(Inputs!$C$52+((Inputs!$H$7+Inputs!$L$7*(((Inputs!$I$7+(((A148)+1)/2)*(Inputs!$J$7-Inputs!$I$7)))/Inputs!$K$7)^2)))*Inputs!$C$52*COS(SQRT(((Inputs!$I$7+(((A148)+1)/2)*(Inputs!$J$7-Inputs!$I$7)))^2+Inputs!$C$6^2)/Inputs!$C$52)))-((Inputs!$H$7+Inputs!$L$7*(((Inputs!$I$7+(((A148)+1)/2)*(Inputs!$J$7-Inputs!$I$7)))/Inputs!$K$7)^2)))*1000/Inputs!$C$12)</x:f>
        <x:v>30012.020237868906</x:v>
      </x:c>
      <x:c r="AH148" s="48" t="n">
        <x:f>(((SQRT((Inputs!$C$52+((Inputs!$H$8+Inputs!$L$8*(((Inputs!$I$8+(((A148)+1)/2)*(Inputs!$J$8-Inputs!$I$8)))/Inputs!$K$8)^2)))^2+Inputs!$C$52^2-2*(Inputs!$C$52+((Inputs!$H$8+Inputs!$L$8*(((Inputs!$I$8+(((A148)+1)/2)*(Inputs!$J$8-Inputs!$I$8)))/Inputs!$K$8)^2)))*Inputs!$C$52*COS(SQRT(((Inputs!$I$8+(((A148)+1)/2)*(Inputs!$J$8-Inputs!$I$8)))^2+Inputs!$C$6^2)/Inputs!$C$52)))-((Inputs!$H$8+Inputs!$L$8*(((Inputs!$I$8+(((A148)+1)/2)*(Inputs!$J$8-Inputs!$I$8)))/Inputs!$K$8)^2)))*1000/Inputs!$C$12)</x:f>
        <x:v>65447.122357005865</x:v>
      </x:c>
      <x:c r="AI148" s="48" t="n">
        <x:f>(((SQRT((Inputs!$C$52+((Inputs!$H$9+Inputs!$L$9*(((Inputs!$I$9+(((A148)+1)/2)*(Inputs!$J$9-Inputs!$I$9)))/Inputs!$K$9)^2)))^2+Inputs!$C$52^2-2*(Inputs!$C$52+((Inputs!$H$9+Inputs!$L$9*(((Inputs!$I$9+(((A148)+1)/2)*(Inputs!$J$9-Inputs!$I$9)))/Inputs!$K$9)^2)))*Inputs!$C$52*COS(SQRT(((Inputs!$I$9+(((A148)+1)/2)*(Inputs!$J$9-Inputs!$I$9)))^2+Inputs!$C$6^2)/Inputs!$C$52)))-((Inputs!$H$9+Inputs!$L$9*(((Inputs!$I$9+(((A148)+1)/2)*(Inputs!$J$9-Inputs!$I$9)))/Inputs!$K$9)^2)))*1000/Inputs!$C$12)</x:f>
        <x:v>68450.85617748929</x:v>
      </x:c>
      <x:c r="AJ148" s="49"/>
      <x:c r="AK148" s="48" t="n">
        <x:f>A148</x:f>
        <x:v>0.217</x:v>
      </x:c>
      <x:c r="AL148" s="48" t="n">
        <x: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x:f>
        <x:v>-111.37515211389446</x:v>
      </x:c>
      <x:c r="AM148" s="48" t="n">
        <x: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x:f>
        <x:v>-1687.0490582285954</x:v>
      </x:c>
      <x:c r="AN148" s="48" t="n">
        <x: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x:f>
        <x:v>-1863.9766572864032</x:v>
      </x:c>
      <x:c r="AO148" s="48" t="n">
        <x: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x:f>
        <x:v>-1857.8702803822314</x:v>
      </x:c>
      <x:c r="AP148" s="49"/>
      <x:c r="AQ148" s="48" t="n">
        <x:f>A148</x:f>
        <x:v>0.217</x:v>
      </x:c>
      <x:c r="AR148" s="48" t="n">
        <x:f>0</x:f>
        <x:v>0</x:v>
      </x:c>
      <x:c r="AS148" s="48" t="n">
        <x: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(0.45*SIN(2*PI()*((((Inputs!$I$6+(((A148)+1)/2)*(Inputs!$J$6-Inputs!$I$6)))/Inputs!$C$49)+Inputs!$C$47*0.137))+0.35*COS(2*PI()*(((Inputs!$C$6)/Inputs!$C$50)+Inputs!$C$47*0.173))+0.20*SIN(2*PI()*((((Inputs!$I$6+(((A148)+1)/2)*(Inputs!$J$6-Inputs!$I$6)))+(Inputs!$C$6))/(0.5*(Inputs!$C$49+Inputs!$C$50))+Inputs!$C$47*0.097)))+0.30*(2*((SIN((((Inputs!$I$6+(((A148)+1)/2)*(Inputs!$J$6-Inputs!$I$6)))*12.9898+(Inputs!$C$6)*78.233+Inputs!$C$47*37.719))*43758.5453)-INT((SIN((((Inputs!$I$6+(((A148)+1)/2)*(Inputs!$J$6-Inputs!$I$6)))*12.9898+(Inputs!$C$6)*78.233+Inputs!$C$47*37.719))*43758.5453)))-1))),NA())</x:f>
        <x:v>418.55290721650675</x:v>
      </x:c>
      <x:c r="AT148" s="48" t="n">
        <x: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(0.45*SIN(2*PI()*((((Inputs!$I$7+(((A148)+1)/2)*(Inputs!$J$7-Inputs!$I$7)))/Inputs!$C$49)+Inputs!$C$47*0.137))+0.35*COS(2*PI()*(((Inputs!$C$6)/Inputs!$C$50)+Inputs!$C$47*0.173))+0.20*SIN(2*PI()*((((Inputs!$I$7+(((A148)+1)/2)*(Inputs!$J$7-Inputs!$I$7)))+(Inputs!$C$6))/(0.5*(Inputs!$C$49+Inputs!$C$50))+Inputs!$C$47*0.097)))+0.30*(2*((SIN((((Inputs!$I$7+(((A148)+1)/2)*(Inputs!$J$7-Inputs!$I$7)))*12.9898+(Inputs!$C$6)*78.233+Inputs!$C$47*37.719))*43758.5453)-INT((SIN((((Inputs!$I$7+(((A148)+1)/2)*(Inputs!$J$7-Inputs!$I$7)))*12.9898+(Inputs!$C$6)*78.233+Inputs!$C$47*37.719))*43758.5453)))-1))),NA())</x:f>
        <x:v>128.60865148543502</x:v>
      </x:c>
      <x:c r="AU148" s="48" t="n">
        <x: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(0.45*SIN(2*PI()*((((Inputs!$I$8+(((A148)+1)/2)*(Inputs!$J$8-Inputs!$I$8)))/Inputs!$C$49)+Inputs!$C$47*0.137))+0.35*COS(2*PI()*(((Inputs!$C$6)/Inputs!$C$50)+Inputs!$C$47*0.173))+0.20*SIN(2*PI()*((((Inputs!$I$8+(((A148)+1)/2)*(Inputs!$J$8-Inputs!$I$8)))+(Inputs!$C$6))/(0.5*(Inputs!$C$49+Inputs!$C$50))+Inputs!$C$47*0.097)))+0.30*(2*((SIN((((Inputs!$I$8+(((A148)+1)/2)*(Inputs!$J$8-Inputs!$I$8)))*12.9898+(Inputs!$C$6)*78.233+Inputs!$C$47*37.719))*43758.5453)-INT((SIN((((Inputs!$I$8+(((A148)+1)/2)*(Inputs!$J$8-Inputs!$I$8)))*12.9898+(Inputs!$C$6)*78.233+Inputs!$C$47*37.719))*43758.5453)))-1))),NA())</x:f>
        <x:v>118.95488331328893</x:v>
      </x:c>
      <x:c r="AV148" s="48" t="n">
        <x: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(0.45*SIN(2*PI()*((((Inputs!$I$9+(((A148)+1)/2)*(Inputs!$J$9-Inputs!$I$9)))/Inputs!$C$49)+Inputs!$C$47*0.137))+0.35*COS(2*PI()*(((Inputs!$C$6)/Inputs!$C$50)+Inputs!$C$47*0.173))+0.20*SIN(2*PI()*((((Inputs!$I$9+(((A148)+1)/2)*(Inputs!$J$9-Inputs!$I$9)))+(Inputs!$C$6))/(0.5*(Inputs!$C$49+Inputs!$C$50))+Inputs!$C$47*0.097)))+0.30*(2*((SIN((((Inputs!$I$9+(((A148)+1)/2)*(Inputs!$J$9-Inputs!$I$9)))*12.9898+(Inputs!$C$6)*78.233+Inputs!$C$47*37.719))*43758.5453)-INT((SIN((((Inputs!$I$9+(((A148)+1)/2)*(Inputs!$J$9-Inputs!$I$9)))*12.9898+(Inputs!$C$6)*78.233+Inputs!$C$47*37.719))*43758.5453)))-1))),NA())</x:f>
        <x:v>118.95488331328893</x:v>
      </x:c>
      <x:c r="AW148" s="49"/>
      <x:c r="AX148" s="48" t="n">
        <x:f>A148</x:f>
        <x:v>0.217</x:v>
      </x:c>
      <x:c r="AY148" s="48" t="n">
        <x:f>0</x:f>
        <x:v>0</x:v>
      </x:c>
      <x:c r="AZ148" s="48" t="n">
        <x:f>IF(OR(Inputs!$F$6=TRUE,Inputs!$F$6="TRUE",Inputs!$F$6=1),(Inputs!$H$6+Inputs!$L$6*(((Inputs!$I$6+(((A148)+1)/2)*(Inputs!$J$6-Inputs!$I$6)))/Inputs!$K$6)^2),NA())</x:f>
        <x:v>400.188356</x:v>
      </x:c>
      <x:c r="BA148" s="48" t="n">
        <x:f>IF(OR(Inputs!$F$7=TRUE,Inputs!$F$7="TRUE",Inputs!$F$7=1),(Inputs!$H$7+Inputs!$L$7*(((Inputs!$I$7+(((A148)+1)/2)*(Inputs!$J$7-Inputs!$I$7)))/Inputs!$K$7)^2),NA())</x:f>
        <x:v>52.18748500000001</x:v>
      </x:c>
      <x:c r="BB148" s="48" t="n">
        <x:f>IF(OR(Inputs!$F$8=TRUE,Inputs!$F$8="TRUE",Inputs!$F$8=1),(Inputs!$H$8+Inputs!$L$8*(((Inputs!$I$8+(((A148)+1)/2)*(Inputs!$J$8-Inputs!$I$8)))/Inputs!$K$8)^2),NA())</x:f>
        <x:v>80.44088500000001</x:v>
      </x:c>
      <x:c r="BC148" s="48" t="n">
        <x:f>IF(OR(Inputs!$F$9=TRUE,Inputs!$F$9="TRUE",Inputs!$F$9=1),(Inputs!$H$9+Inputs!$L$9*(((Inputs!$I$9+(((A148)+1)/2)*(Inputs!$J$9-Inputs!$I$9)))/Inputs!$K$9)^2),NA())</x:f>
        <x:v>70.911775</x:v>
      </x:c>
      <x:c r="BD148" s="49"/>
      <x:c r="BE148" s="48" t="n">
        <x:f>A148</x:f>
        <x:v>0.217</x:v>
      </x:c>
      <x:c r="BF148" s="48" t="n">
        <x:f>0</x:f>
        <x:v>0</x:v>
      </x:c>
      <x:c r="BG148" s="48"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BH148" s="48"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BI148" s="48"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BJ148" s="48"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row>
    <x:row r="149">
      <x:c r="A149" s="48" t="n">
        <x:f>ROUND(-1+147*2/240,3)</x:f>
        <x:v>0.225</x:v>
      </x:c>
      <x:c r="B149" s="48" t="n">
        <x:f>IF(OR(Inputs!$F$6=TRUE,Inputs!$F$6="TRUE",Inputs!$F$6=1),(Inputs!$H$6+Inputs!$L$6*(((Inputs!$I$6+(((A149)+1)/2)*(Inputs!$J$6-Inputs!$I$6)))/Inputs!$K$6)^2),NA())</x:f>
        <x:v>400.2025</x:v>
      </x:c>
      <x:c r="C149" s="48" t="n">
        <x:f>IF(OR(Inputs!$F$7=TRUE,Inputs!$F$7="TRUE",Inputs!$F$7=1),(Inputs!$H$7+Inputs!$L$7*(((Inputs!$I$7+(((A149)+1)/2)*(Inputs!$J$7-Inputs!$I$7)))/Inputs!$K$7)^2),NA())</x:f>
        <x:v>53.47812500000002</x:v>
      </x:c>
      <x:c r="D149" s="48" t="n">
        <x:f>IF(OR(Inputs!$F$8=TRUE,Inputs!$F$8="TRUE",Inputs!$F$8=1),(Inputs!$H$8+Inputs!$L$8*(((Inputs!$I$8+(((A149)+1)/2)*(Inputs!$J$8-Inputs!$I$8)))/Inputs!$K$8)^2),NA())</x:f>
        <x:v>83.85312500000006</x:v>
      </x:c>
      <x:c r="E149" s="48" t="n">
        <x:f>IF(OR(Inputs!$F$9=TRUE,Inputs!$F$9="TRUE",Inputs!$F$9=1),(Inputs!$H$9+Inputs!$L$9*(((Inputs!$I$9+(((A149)+1)/2)*(Inputs!$J$9-Inputs!$I$9)))/Inputs!$K$9)^2),NA())</x:f>
        <x:v>74.35937500000006</x:v>
      </x:c>
      <x:c r="F149" s="49"/>
      <x:c r="G149" s="48" t="n">
        <x:f>A149</x:f>
        <x:v>0.225</x:v>
      </x:c>
      <x:c r="H149" s="48"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I149" s="48"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J149" s="48"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K149" s="48"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c r="L149" s="49"/>
      <x:c r="M149" s="48" t="n">
        <x:f>A149</x:f>
        <x:v>0.225</x:v>
      </x:c>
      <x:c r="N149" s="48" t="n">
        <x: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x:f>
        <x:v>-115.47396788625974</x:v>
      </x:c>
      <x:c r="O149" s="48" t="n">
        <x: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x:f>
        <x:v>-1704.7217018039846</x:v>
      </x:c>
      <x:c r="P149" s="48" t="n">
        <x: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x:f>
        <x:v>-1882.2740929695956</x:v>
      </x:c>
      <x:c r="Q149" s="48" t="n">
        <x: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x:f>
        <x:v>-1875.7382315443106</x:v>
      </x:c>
      <x:c r="R149" s="49"/>
      <x:c r="S149" s="48" t="n">
        <x:f>A149</x:f>
        <x:v>0.225</x:v>
      </x:c>
      <x:c r="T149" s="48" t="n">
        <x:f>(Inputs!$I$6+(((A149)+1)/2)*(Inputs!$J$6-Inputs!$I$6))</x:f>
        <x:v>13.5</x:v>
      </x:c>
      <x:c r="U149" s="48" t="n">
        <x:f>(Inputs!$I$7+(((A149)+1)/2)*(Inputs!$J$7-Inputs!$I$7))</x:f>
        <x:v>90.00000000000006</x:v>
      </x:c>
      <x:c r="V149" s="48" t="n">
        <x:f>(Inputs!$I$8+(((A149)+1)/2)*(Inputs!$J$8-Inputs!$I$8))</x:f>
        <x:v>180.0000000000001</x:v>
      </x:c>
      <x:c r="W149" s="48" t="n">
        <x:f>(Inputs!$I$9+(((A149)+1)/2)*(Inputs!$J$9-Inputs!$I$9))</x:f>
        <x:v>180.0000000000001</x:v>
      </x:c>
      <x:c r="X149" s="49"/>
      <x:c r="Y149" s="48" t="n">
        <x:f>A149</x:f>
        <x:v>0.225</x:v>
      </x:c>
      <x:c r="Z149" s="48" t="n">
        <x:f>(Inputs!$H$6+Inputs!$L$6*(((Inputs!$I$6+(((A149)+1)/2)*(Inputs!$J$6-Inputs!$I$6)))/Inputs!$K$6)^2)</x:f>
        <x:v>400.2025</x:v>
      </x:c>
      <x:c r="AA149" s="48" t="n">
        <x:f>(Inputs!$H$7+Inputs!$L$7*(((Inputs!$I$7+(((A149)+1)/2)*(Inputs!$J$7-Inputs!$I$7)))/Inputs!$K$7)^2)</x:f>
        <x:v>53.47812500000002</x:v>
      </x:c>
      <x:c r="AB149" s="48" t="n">
        <x:f>(Inputs!$H$8+Inputs!$L$8*(((Inputs!$I$8+(((A149)+1)/2)*(Inputs!$J$8-Inputs!$I$8)))/Inputs!$K$8)^2)</x:f>
        <x:v>83.85312500000006</x:v>
      </x:c>
      <x:c r="AC149" s="48" t="n">
        <x:f>(Inputs!$H$9+Inputs!$L$9*(((Inputs!$I$9+(((A149)+1)/2)*(Inputs!$J$9-Inputs!$I$9)))/Inputs!$K$9)^2)</x:f>
        <x:v>74.35937500000006</x:v>
      </x:c>
      <x:c r="AD149" s="49"/>
      <x:c r="AE149" s="48" t="n">
        <x:f>A149</x:f>
        <x:v>0.225</x:v>
      </x:c>
      <x:c r="AF149" s="48" t="n">
        <x:f>(((SQRT((Inputs!$C$52+((Inputs!$H$6+Inputs!$L$6*(((Inputs!$I$6+(((A149)+1)/2)*(Inputs!$J$6-Inputs!$I$6)))/Inputs!$K$6)^2)))^2+Inputs!$C$52^2-2*(Inputs!$C$52+((Inputs!$H$6+Inputs!$L$6*(((Inputs!$I$6+(((A149)+1)/2)*(Inputs!$J$6-Inputs!$I$6)))/Inputs!$K$6)^2)))*Inputs!$C$52*COS(SQRT(((Inputs!$I$6+(((A149)+1)/2)*(Inputs!$J$6-Inputs!$I$6)))^2+Inputs!$C$6^2)/Inputs!$C$52)))-((Inputs!$H$6+Inputs!$L$6*(((Inputs!$I$6+(((A149)+1)/2)*(Inputs!$J$6-Inputs!$I$6)))/Inputs!$K$6)^2)))*1000/Inputs!$C$12)</x:f>
        <x:v>710.7408110589965</x:v>
      </x:c>
      <x:c r="AG149" s="48" t="n">
        <x:f>(((SQRT((Inputs!$C$52+((Inputs!$H$7+Inputs!$L$7*(((Inputs!$I$7+(((A149)+1)/2)*(Inputs!$J$7-Inputs!$I$7)))/Inputs!$K$7)^2)))^2+Inputs!$C$52^2-2*(Inputs!$C$52+((Inputs!$H$7+Inputs!$L$7*(((Inputs!$I$7+(((A149)+1)/2)*(Inputs!$J$7-Inputs!$I$7)))/Inputs!$K$7)^2)))*Inputs!$C$52*COS(SQRT(((Inputs!$I$7+(((A149)+1)/2)*(Inputs!$J$7-Inputs!$I$7)))^2+Inputs!$C$6^2)/Inputs!$C$52)))-((Inputs!$H$7+Inputs!$L$7*(((Inputs!$I$7+(((A149)+1)/2)*(Inputs!$J$7-Inputs!$I$7)))/Inputs!$K$7)^2)))*1000/Inputs!$C$12)</x:f>
        <x:v>31192.487165497874</x:v>
      </x:c>
      <x:c r="AH149" s="48" t="n">
        <x:f>(((SQRT((Inputs!$C$52+((Inputs!$H$8+Inputs!$L$8*(((Inputs!$I$8+(((A149)+1)/2)*(Inputs!$J$8-Inputs!$I$8)))/Inputs!$K$8)^2)))^2+Inputs!$C$52^2-2*(Inputs!$C$52+((Inputs!$H$8+Inputs!$L$8*(((Inputs!$I$8+(((A149)+1)/2)*(Inputs!$J$8-Inputs!$I$8)))/Inputs!$K$8)^2)))*Inputs!$C$52*COS(SQRT(((Inputs!$I$8+(((A149)+1)/2)*(Inputs!$J$8-Inputs!$I$8)))^2+Inputs!$C$6^2)/Inputs!$C$52)))-((Inputs!$H$8+Inputs!$L$8*(((Inputs!$I$8+(((A149)+1)/2)*(Inputs!$J$8-Inputs!$I$8)))/Inputs!$K$8)^2)))*1000/Inputs!$C$12)</x:f>
        <x:v>67739.37276615945</x:v>
      </x:c>
      <x:c r="AI149" s="48" t="n">
        <x:f>(((SQRT((Inputs!$C$52+((Inputs!$H$9+Inputs!$L$9*(((Inputs!$I$9+(((A149)+1)/2)*(Inputs!$J$9-Inputs!$I$9)))/Inputs!$K$9)^2)))^2+Inputs!$C$52^2-2*(Inputs!$C$52+((Inputs!$H$9+Inputs!$L$9*(((Inputs!$I$9+(((A149)+1)/2)*(Inputs!$J$9-Inputs!$I$9)))/Inputs!$K$9)^2)))*Inputs!$C$52*COS(SQRT(((Inputs!$I$9+(((A149)+1)/2)*(Inputs!$J$9-Inputs!$I$9)))^2+Inputs!$C$6^2)/Inputs!$C$52)))-((Inputs!$H$9+Inputs!$L$9*(((Inputs!$I$9+(((A149)+1)/2)*(Inputs!$J$9-Inputs!$I$9)))/Inputs!$K$9)^2)))*1000/Inputs!$C$12)</x:f>
        <x:v>70709.01786813774</x:v>
      </x:c>
      <x:c r="AJ149" s="49"/>
      <x:c r="AK149" s="48" t="n">
        <x:f>A149</x:f>
        <x:v>0.225</x:v>
      </x:c>
      <x:c r="AL149" s="48" t="n">
        <x: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x:f>
        <x:v>-115.47396788625974</x:v>
      </x:c>
      <x:c r="AM149" s="48" t="n">
        <x: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x:f>
        <x:v>-1704.7217018039846</x:v>
      </x:c>
      <x:c r="AN149" s="48" t="n">
        <x: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x:f>
        <x:v>-1882.2740929695956</x:v>
      </x:c>
      <x:c r="AO149" s="48" t="n">
        <x: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x:f>
        <x:v>-1875.7382315443106</x:v>
      </x:c>
      <x:c r="AP149" s="49"/>
      <x:c r="AQ149" s="48" t="n">
        <x:f>A149</x:f>
        <x:v>0.225</x:v>
      </x:c>
      <x:c r="AR149" s="48" t="n">
        <x:f>0</x:f>
        <x:v>0</x:v>
      </x:c>
      <x:c r="AS149" s="48" t="n">
        <x: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(0.45*SIN(2*PI()*((((Inputs!$I$6+(((A149)+1)/2)*(Inputs!$J$6-Inputs!$I$6)))/Inputs!$C$49)+Inputs!$C$47*0.137))+0.35*COS(2*PI()*(((Inputs!$C$6)/Inputs!$C$50)+Inputs!$C$47*0.173))+0.20*SIN(2*PI()*((((Inputs!$I$6+(((A149)+1)/2)*(Inputs!$J$6-Inputs!$I$6)))+(Inputs!$C$6))/(0.5*(Inputs!$C$49+Inputs!$C$50))+Inputs!$C$47*0.097)))+0.30*(2*((SIN((((Inputs!$I$6+(((A149)+1)/2)*(Inputs!$J$6-Inputs!$I$6)))*12.9898+(Inputs!$C$6)*78.233+Inputs!$C$47*37.719))*43758.5453)-INT((SIN((((Inputs!$I$6+(((A149)+1)/2)*(Inputs!$J$6-Inputs!$I$6)))*12.9898+(Inputs!$C$6)*78.233+Inputs!$C$47*37.719))*43758.5453)))-1))),NA())</x:f>
        <x:v>408.84619240872695</x:v>
      </x:c>
      <x:c r="AT149" s="48" t="n">
        <x: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(0.45*SIN(2*PI()*((((Inputs!$I$7+(((A149)+1)/2)*(Inputs!$J$7-Inputs!$I$7)))/Inputs!$C$49)+Inputs!$C$47*0.137))+0.35*COS(2*PI()*(((Inputs!$C$6)/Inputs!$C$50)+Inputs!$C$47*0.173))+0.20*SIN(2*PI()*((((Inputs!$I$7+(((A149)+1)/2)*(Inputs!$J$7-Inputs!$I$7)))+(Inputs!$C$6))/(0.5*(Inputs!$C$49+Inputs!$C$50))+Inputs!$C$47*0.097)))+0.30*(2*((SIN((((Inputs!$I$7+(((A149)+1)/2)*(Inputs!$J$7-Inputs!$I$7)))*12.9898+(Inputs!$C$6)*78.233+Inputs!$C$47*37.719))*43758.5453)-INT((SIN((((Inputs!$I$7+(((A149)+1)/2)*(Inputs!$J$7-Inputs!$I$7)))*12.9898+(Inputs!$C$6)*78.233+Inputs!$C$47*37.719))*43758.5453)))-1))),NA())</x:f>
        <x:v>159.5736798888086</x:v>
      </x:c>
      <x:c r="AU149" s="48" t="n">
        <x: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(0.45*SIN(2*PI()*((((Inputs!$I$8+(((A149)+1)/2)*(Inputs!$J$8-Inputs!$I$8)))/Inputs!$C$49)+Inputs!$C$47*0.137))+0.35*COS(2*PI()*(((Inputs!$C$6)/Inputs!$C$50)+Inputs!$C$47*0.173))+0.20*SIN(2*PI()*((((Inputs!$I$8+(((A149)+1)/2)*(Inputs!$J$8-Inputs!$I$8)))+(Inputs!$C$6))/(0.5*(Inputs!$C$49+Inputs!$C$50))+Inputs!$C$47*0.097)))+0.30*(2*((SIN((((Inputs!$I$8+(((A149)+1)/2)*(Inputs!$J$8-Inputs!$I$8)))*12.9898+(Inputs!$C$6)*78.233+Inputs!$C$47*37.719))*43758.5453)-INT((SIN((((Inputs!$I$8+(((A149)+1)/2)*(Inputs!$J$8-Inputs!$I$8)))*12.9898+(Inputs!$C$6)*78.233+Inputs!$C$47*37.719))*43758.5453)))-1))),NA())</x:f>
        <x:v>131.8458942827403</x:v>
      </x:c>
      <x:c r="AV149" s="48" t="n">
        <x: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(0.45*SIN(2*PI()*((((Inputs!$I$9+(((A149)+1)/2)*(Inputs!$J$9-Inputs!$I$9)))/Inputs!$C$49)+Inputs!$C$47*0.137))+0.35*COS(2*PI()*(((Inputs!$C$6)/Inputs!$C$50)+Inputs!$C$47*0.173))+0.20*SIN(2*PI()*((((Inputs!$I$9+(((A149)+1)/2)*(Inputs!$J$9-Inputs!$I$9)))+(Inputs!$C$6))/(0.5*(Inputs!$C$49+Inputs!$C$50))+Inputs!$C$47*0.097)))+0.30*(2*((SIN((((Inputs!$I$9+(((A149)+1)/2)*(Inputs!$J$9-Inputs!$I$9)))*12.9898+(Inputs!$C$6)*78.233+Inputs!$C$47*37.719))*43758.5453)-INT((SIN((((Inputs!$I$9+(((A149)+1)/2)*(Inputs!$J$9-Inputs!$I$9)))*12.9898+(Inputs!$C$6)*78.233+Inputs!$C$47*37.719))*43758.5453)))-1))),NA())</x:f>
        <x:v>131.8458942827403</x:v>
      </x:c>
      <x:c r="AW149" s="49"/>
      <x:c r="AX149" s="48" t="n">
        <x:f>A149</x:f>
        <x:v>0.225</x:v>
      </x:c>
      <x:c r="AY149" s="48" t="n">
        <x:f>0</x:f>
        <x:v>0</x:v>
      </x:c>
      <x:c r="AZ149" s="48" t="n">
        <x:f>IF(OR(Inputs!$F$6=TRUE,Inputs!$F$6="TRUE",Inputs!$F$6=1),(Inputs!$H$6+Inputs!$L$6*(((Inputs!$I$6+(((A149)+1)/2)*(Inputs!$J$6-Inputs!$I$6)))/Inputs!$K$6)^2),NA())</x:f>
        <x:v>400.2025</x:v>
      </x:c>
      <x:c r="BA149" s="48" t="n">
        <x:f>IF(OR(Inputs!$F$7=TRUE,Inputs!$F$7="TRUE",Inputs!$F$7=1),(Inputs!$H$7+Inputs!$L$7*(((Inputs!$I$7+(((A149)+1)/2)*(Inputs!$J$7-Inputs!$I$7)))/Inputs!$K$7)^2),NA())</x:f>
        <x:v>53.47812500000002</x:v>
      </x:c>
      <x:c r="BB149" s="48" t="n">
        <x:f>IF(OR(Inputs!$F$8=TRUE,Inputs!$F$8="TRUE",Inputs!$F$8=1),(Inputs!$H$8+Inputs!$L$8*(((Inputs!$I$8+(((A149)+1)/2)*(Inputs!$J$8-Inputs!$I$8)))/Inputs!$K$8)^2),NA())</x:f>
        <x:v>83.85312500000006</x:v>
      </x:c>
      <x:c r="BC149" s="48" t="n">
        <x:f>IF(OR(Inputs!$F$9=TRUE,Inputs!$F$9="TRUE",Inputs!$F$9=1),(Inputs!$H$9+Inputs!$L$9*(((Inputs!$I$9+(((A149)+1)/2)*(Inputs!$J$9-Inputs!$I$9)))/Inputs!$K$9)^2),NA())</x:f>
        <x:v>74.35937500000006</x:v>
      </x:c>
      <x:c r="BD149" s="49"/>
      <x:c r="BE149" s="48" t="n">
        <x:f>A149</x:f>
        <x:v>0.225</x:v>
      </x:c>
      <x:c r="BF149" s="48" t="n">
        <x:f>0</x:f>
        <x:v>0</x:v>
      </x:c>
      <x:c r="BG149" s="48"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BH149" s="48"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BI149" s="48"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BJ149" s="48"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row>
    <x:row r="150">
      <x:c r="A150" s="48" t="n">
        <x:f>ROUND(-1+148*2/240,3)</x:f>
        <x:v>0.233</x:v>
      </x:c>
      <x:c r="B150" s="48" t="n">
        <x:f>IF(OR(Inputs!$F$6=TRUE,Inputs!$F$6="TRUE",Inputs!$F$6=1),(Inputs!$H$6+Inputs!$L$6*(((Inputs!$I$6+(((A150)+1)/2)*(Inputs!$J$6-Inputs!$I$6)))/Inputs!$K$6)^2),NA())</x:f>
        <x:v>400.217156</x:v>
      </x:c>
      <x:c r="C150" s="48" t="n">
        <x:f>IF(OR(Inputs!$F$7=TRUE,Inputs!$F$7="TRUE",Inputs!$F$7=1),(Inputs!$H$7+Inputs!$L$7*(((Inputs!$I$7+(((A150)+1)/2)*(Inputs!$J$7-Inputs!$I$7)))/Inputs!$K$7)^2),NA())</x:f>
        <x:v>54.815485000000024</x:v>
      </x:c>
      <x:c r="D150" s="48" t="n">
        <x:f>IF(OR(Inputs!$F$8=TRUE,Inputs!$F$8="TRUE",Inputs!$F$8=1),(Inputs!$H$8+Inputs!$L$8*(((Inputs!$I$8+(((A150)+1)/2)*(Inputs!$J$8-Inputs!$I$8)))/Inputs!$K$8)^2),NA())</x:f>
        <x:v>87.38888500000006</x:v>
      </x:c>
      <x:c r="E150" s="48" t="n">
        <x:f>IF(OR(Inputs!$F$9=TRUE,Inputs!$F$9="TRUE",Inputs!$F$9=1),(Inputs!$H$9+Inputs!$L$9*(((Inputs!$I$9+(((A150)+1)/2)*(Inputs!$J$9-Inputs!$I$9)))/Inputs!$K$9)^2),NA())</x:f>
        <x:v>77.93177500000006</x:v>
      </x:c>
      <x:c r="F150" s="49"/>
      <x:c r="G150" s="48" t="n">
        <x:f>A150</x:f>
        <x:v>0.233</x:v>
      </x:c>
      <x:c r="H150" s="48"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I150" s="48"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J150" s="48"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K150" s="48"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c r="L150" s="49"/>
      <x:c r="M150" s="48" t="n">
        <x:f>A150</x:f>
        <x:v>0.233</x:v>
      </x:c>
      <x:c r="N150" s="48" t="n">
        <x: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x:f>
        <x:v>-119.57200585587711</x:v>
      </x:c>
      <x:c r="O150" s="48" t="n">
        <x: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x:f>
        <x:v>-1721.8385237392085</x:v>
      </x:c>
      <x:c r="P150" s="48" t="n">
        <x: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x:f>
        <x:v>-1900.7550949797283</x:v>
      </x:c>
      <x:c r="Q150" s="48" t="n">
        <x: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x:f>
        <x:v>-1893.884389645406</x:v>
      </x:c>
      <x:c r="R150" s="49"/>
      <x:c r="S150" s="48" t="n">
        <x:f>A150</x:f>
        <x:v>0.233</x:v>
      </x:c>
      <x:c r="T150" s="48" t="n">
        <x:f>(Inputs!$I$6+(((A150)+1)/2)*(Inputs!$J$6-Inputs!$I$6))</x:f>
        <x:v>13.980000000000004</x:v>
      </x:c>
      <x:c r="U150" s="48" t="n">
        <x:f>(Inputs!$I$7+(((A150)+1)/2)*(Inputs!$J$7-Inputs!$I$7))</x:f>
        <x:v>93.20000000000005</x:v>
      </x:c>
      <x:c r="V150" s="48" t="n">
        <x:f>(Inputs!$I$8+(((A150)+1)/2)*(Inputs!$J$8-Inputs!$I$8))</x:f>
        <x:v>186.4000000000001</x:v>
      </x:c>
      <x:c r="W150" s="48" t="n">
        <x:f>(Inputs!$I$9+(((A150)+1)/2)*(Inputs!$J$9-Inputs!$I$9))</x:f>
        <x:v>186.4000000000001</x:v>
      </x:c>
      <x:c r="X150" s="49"/>
      <x:c r="Y150" s="48" t="n">
        <x:f>A150</x:f>
        <x:v>0.233</x:v>
      </x:c>
      <x:c r="Z150" s="48" t="n">
        <x:f>(Inputs!$H$6+Inputs!$L$6*(((Inputs!$I$6+(((A150)+1)/2)*(Inputs!$J$6-Inputs!$I$6)))/Inputs!$K$6)^2)</x:f>
        <x:v>400.217156</x:v>
      </x:c>
      <x:c r="AA150" s="48" t="n">
        <x:f>(Inputs!$H$7+Inputs!$L$7*(((Inputs!$I$7+(((A150)+1)/2)*(Inputs!$J$7-Inputs!$I$7)))/Inputs!$K$7)^2)</x:f>
        <x:v>54.815485000000024</x:v>
      </x:c>
      <x:c r="AB150" s="48" t="n">
        <x:f>(Inputs!$H$8+Inputs!$L$8*(((Inputs!$I$8+(((A150)+1)/2)*(Inputs!$J$8-Inputs!$I$8)))/Inputs!$K$8)^2)</x:f>
        <x:v>87.38888500000006</x:v>
      </x:c>
      <x:c r="AC150" s="48" t="n">
        <x:f>(Inputs!$H$9+Inputs!$L$9*(((Inputs!$I$9+(((A150)+1)/2)*(Inputs!$J$9-Inputs!$I$9)))/Inputs!$K$9)^2)</x:f>
        <x:v>77.93177500000006</x:v>
      </x:c>
      <x:c r="AD150" s="49"/>
      <x:c r="AE150" s="48" t="n">
        <x:f>A150</x:f>
        <x:v>0.233</x:v>
      </x:c>
      <x:c r="AF150" s="48" t="n">
        <x:f>(((SQRT((Inputs!$C$52+((Inputs!$H$6+Inputs!$L$6*(((Inputs!$I$6+(((A150)+1)/2)*(Inputs!$J$6-Inputs!$I$6)))/Inputs!$K$6)^2)))^2+Inputs!$C$52^2-2*(Inputs!$C$52+((Inputs!$H$6+Inputs!$L$6*(((Inputs!$I$6+(((A150)+1)/2)*(Inputs!$J$6-Inputs!$I$6)))/Inputs!$K$6)^2)))*Inputs!$C$52*COS(SQRT(((Inputs!$I$6+(((A150)+1)/2)*(Inputs!$J$6-Inputs!$I$6)))^2+Inputs!$C$6^2)/Inputs!$C$52)))-((Inputs!$H$6+Inputs!$L$6*(((Inputs!$I$6+(((A150)+1)/2)*(Inputs!$J$6-Inputs!$I$6)))/Inputs!$K$6)^2)))*1000/Inputs!$C$12)</x:f>
        <x:v>722.3143592884536</x:v>
      </x:c>
      <x:c r="AG150" s="48" t="n">
        <x:f>(((SQRT((Inputs!$C$52+((Inputs!$H$7+Inputs!$L$7*(((Inputs!$I$7+(((A150)+1)/2)*(Inputs!$J$7-Inputs!$I$7)))/Inputs!$K$7)^2)))^2+Inputs!$C$52^2-2*(Inputs!$C$52+((Inputs!$H$7+Inputs!$L$7*(((Inputs!$I$7+(((A150)+1)/2)*(Inputs!$J$7-Inputs!$I$7)))/Inputs!$K$7)^2)))*Inputs!$C$52*COS(SQRT(((Inputs!$I$7+(((A150)+1)/2)*(Inputs!$J$7-Inputs!$I$7)))^2+Inputs!$C$6^2)/Inputs!$C$52)))-((Inputs!$H$7+Inputs!$L$7*(((Inputs!$I$7+(((A150)+1)/2)*(Inputs!$J$7-Inputs!$I$7)))/Inputs!$K$7)^2)))*1000/Inputs!$C$12)</x:f>
        <x:v>32366.243011376544</x:v>
      </x:c>
      <x:c r="AH150" s="48" t="n">
        <x:f>(((SQRT((Inputs!$C$52+((Inputs!$H$8+Inputs!$L$8*(((Inputs!$I$8+(((A150)+1)/2)*(Inputs!$J$8-Inputs!$I$8)))/Inputs!$K$8)^2)))^2+Inputs!$C$52^2-2*(Inputs!$C$52+((Inputs!$H$8+Inputs!$L$8*(((Inputs!$I$8+(((A150)+1)/2)*(Inputs!$J$8-Inputs!$I$8)))/Inputs!$K$8)^2)))*Inputs!$C$52*COS(SQRT(((Inputs!$I$8+(((A150)+1)/2)*(Inputs!$J$8-Inputs!$I$8)))^2+Inputs!$C$6^2)/Inputs!$C$52)))-((Inputs!$H$8+Inputs!$L$8*(((Inputs!$I$8+(((A150)+1)/2)*(Inputs!$J$8-Inputs!$I$8)))/Inputs!$K$8)^2)))*1000/Inputs!$C$12)</x:f>
        <x:v>70003.54808077244</x:v>
      </x:c>
      <x:c r="AI150" s="48" t="n">
        <x:f>(((SQRT((Inputs!$C$52+((Inputs!$H$9+Inputs!$L$9*(((Inputs!$I$9+(((A150)+1)/2)*(Inputs!$J$9-Inputs!$I$9)))/Inputs!$K$9)^2)))^2+Inputs!$C$52^2-2*(Inputs!$C$52+((Inputs!$H$9+Inputs!$L$9*(((Inputs!$I$9+(((A150)+1)/2)*(Inputs!$J$9-Inputs!$I$9)))/Inputs!$K$9)^2)))*Inputs!$C$52*COS(SQRT(((Inputs!$I$9+(((A150)+1)/2)*(Inputs!$J$9-Inputs!$I$9)))^2+Inputs!$C$6^2)/Inputs!$C$52)))-((Inputs!$H$9+Inputs!$L$9*(((Inputs!$I$9+(((A150)+1)/2)*(Inputs!$J$9-Inputs!$I$9)))/Inputs!$K$9)^2)))*1000/Inputs!$C$12)</x:f>
        <x:v>72937.52865569343</x:v>
      </x:c>
      <x:c r="AJ150" s="49"/>
      <x:c r="AK150" s="48" t="n">
        <x:f>A150</x:f>
        <x:v>0.233</x:v>
      </x:c>
      <x:c r="AL150" s="48" t="n">
        <x: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x:f>
        <x:v>-119.57200585587711</x:v>
      </x:c>
      <x:c r="AM150" s="48" t="n">
        <x: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x:f>
        <x:v>-1721.8385237392085</x:v>
      </x:c>
      <x:c r="AN150" s="48" t="n">
        <x: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x:f>
        <x:v>-1900.7550949797283</x:v>
      </x:c>
      <x:c r="AO150" s="48" t="n">
        <x: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x:f>
        <x:v>-1893.884389645406</x:v>
      </x:c>
      <x:c r="AP150" s="49"/>
      <x:c r="AQ150" s="48" t="n">
        <x:f>A150</x:f>
        <x:v>0.233</x:v>
      </x:c>
      <x:c r="AR150" s="48" t="n">
        <x:f>0</x:f>
        <x:v>0</x:v>
      </x:c>
      <x:c r="AS150" s="48" t="n">
        <x: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(0.45*SIN(2*PI()*((((Inputs!$I$6+(((A150)+1)/2)*(Inputs!$J$6-Inputs!$I$6)))/Inputs!$C$49)+Inputs!$C$47*0.137))+0.35*COS(2*PI()*(((Inputs!$C$6)/Inputs!$C$50)+Inputs!$C$47*0.173))+0.20*SIN(2*PI()*((((Inputs!$I$6+(((A150)+1)/2)*(Inputs!$J$6-Inputs!$I$6)))+(Inputs!$C$6))/(0.5*(Inputs!$C$49+Inputs!$C$50))+Inputs!$C$47*0.097)))+0.30*(2*((SIN((((Inputs!$I$6+(((A150)+1)/2)*(Inputs!$J$6-Inputs!$I$6)))*12.9898+(Inputs!$C$6)*78.233+Inputs!$C$47*37.719))*43758.5453)-INT((SIN((((Inputs!$I$6+(((A150)+1)/2)*(Inputs!$J$6-Inputs!$I$6)))*12.9898+(Inputs!$C$6)*78.233+Inputs!$C$47*37.719))*43758.5453)))-1))),NA())</x:f>
        <x:v>422.9764833471079</x:v>
      </x:c>
      <x:c r="AT150" s="48" t="n">
        <x: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(0.45*SIN(2*PI()*((((Inputs!$I$7+(((A150)+1)/2)*(Inputs!$J$7-Inputs!$I$7)))/Inputs!$C$49)+Inputs!$C$47*0.137))+0.35*COS(2*PI()*(((Inputs!$C$6)/Inputs!$C$50)+Inputs!$C$47*0.173))+0.20*SIN(2*PI()*((((Inputs!$I$7+(((A150)+1)/2)*(Inputs!$J$7-Inputs!$I$7)))+(Inputs!$C$6))/(0.5*(Inputs!$C$49+Inputs!$C$50))+Inputs!$C$47*0.097)))+0.30*(2*((SIN((((Inputs!$I$7+(((A150)+1)/2)*(Inputs!$J$7-Inputs!$I$7)))*12.9898+(Inputs!$C$6)*78.233+Inputs!$C$47*37.719))*43758.5453)-INT((SIN((((Inputs!$I$7+(((A150)+1)/2)*(Inputs!$J$7-Inputs!$I$7)))*12.9898+(Inputs!$C$6)*78.233+Inputs!$C$47*37.719))*43758.5453)))-1))),NA())</x:f>
        <x:v>173.9880715961159</x:v>
      </x:c>
      <x:c r="AU150" s="48" t="n">
        <x: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(0.45*SIN(2*PI()*((((Inputs!$I$8+(((A150)+1)/2)*(Inputs!$J$8-Inputs!$I$8)))/Inputs!$C$49)+Inputs!$C$47*0.137))+0.35*COS(2*PI()*(((Inputs!$C$6)/Inputs!$C$50)+Inputs!$C$47*0.173))+0.20*SIN(2*PI()*((((Inputs!$I$8+(((A150)+1)/2)*(Inputs!$J$8-Inputs!$I$8)))+(Inputs!$C$6))/(0.5*(Inputs!$C$49+Inputs!$C$50))+Inputs!$C$47*0.097)))+0.30*(2*((SIN((((Inputs!$I$8+(((A150)+1)/2)*(Inputs!$J$8-Inputs!$I$8)))*12.9898+(Inputs!$C$6)*78.233+Inputs!$C$47*37.719))*43758.5453)-INT((SIN((((Inputs!$I$8+(((A150)+1)/2)*(Inputs!$J$8-Inputs!$I$8)))*12.9898+(Inputs!$C$6)*78.233+Inputs!$C$47*37.719))*43758.5453)))-1))),NA())</x:f>
        <x:v>169.37052952909403</x:v>
      </x:c>
      <x:c r="AV150" s="48" t="n">
        <x: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(0.45*SIN(2*PI()*((((Inputs!$I$9+(((A150)+1)/2)*(Inputs!$J$9-Inputs!$I$9)))/Inputs!$C$49)+Inputs!$C$47*0.137))+0.35*COS(2*PI()*(((Inputs!$C$6)/Inputs!$C$50)+Inputs!$C$47*0.173))+0.20*SIN(2*PI()*((((Inputs!$I$9+(((A150)+1)/2)*(Inputs!$J$9-Inputs!$I$9)))+(Inputs!$C$6))/(0.5*(Inputs!$C$49+Inputs!$C$50))+Inputs!$C$47*0.097)))+0.30*(2*((SIN((((Inputs!$I$9+(((A150)+1)/2)*(Inputs!$J$9-Inputs!$I$9)))*12.9898+(Inputs!$C$6)*78.233+Inputs!$C$47*37.719))*43758.5453)-INT((SIN((((Inputs!$I$9+(((A150)+1)/2)*(Inputs!$J$9-Inputs!$I$9)))*12.9898+(Inputs!$C$6)*78.233+Inputs!$C$47*37.719))*43758.5453)))-1))),NA())</x:f>
        <x:v>169.37052952909403</x:v>
      </x:c>
      <x:c r="AW150" s="49"/>
      <x:c r="AX150" s="48" t="n">
        <x:f>A150</x:f>
        <x:v>0.233</x:v>
      </x:c>
      <x:c r="AY150" s="48" t="n">
        <x:f>0</x:f>
        <x:v>0</x:v>
      </x:c>
      <x:c r="AZ150" s="48" t="n">
        <x:f>IF(OR(Inputs!$F$6=TRUE,Inputs!$F$6="TRUE",Inputs!$F$6=1),(Inputs!$H$6+Inputs!$L$6*(((Inputs!$I$6+(((A150)+1)/2)*(Inputs!$J$6-Inputs!$I$6)))/Inputs!$K$6)^2),NA())</x:f>
        <x:v>400.217156</x:v>
      </x:c>
      <x:c r="BA150" s="48" t="n">
        <x:f>IF(OR(Inputs!$F$7=TRUE,Inputs!$F$7="TRUE",Inputs!$F$7=1),(Inputs!$H$7+Inputs!$L$7*(((Inputs!$I$7+(((A150)+1)/2)*(Inputs!$J$7-Inputs!$I$7)))/Inputs!$K$7)^2),NA())</x:f>
        <x:v>54.815485000000024</x:v>
      </x:c>
      <x:c r="BB150" s="48" t="n">
        <x:f>IF(OR(Inputs!$F$8=TRUE,Inputs!$F$8="TRUE",Inputs!$F$8=1),(Inputs!$H$8+Inputs!$L$8*(((Inputs!$I$8+(((A150)+1)/2)*(Inputs!$J$8-Inputs!$I$8)))/Inputs!$K$8)^2),NA())</x:f>
        <x:v>87.38888500000006</x:v>
      </x:c>
      <x:c r="BC150" s="48" t="n">
        <x:f>IF(OR(Inputs!$F$9=TRUE,Inputs!$F$9="TRUE",Inputs!$F$9=1),(Inputs!$H$9+Inputs!$L$9*(((Inputs!$I$9+(((A150)+1)/2)*(Inputs!$J$9-Inputs!$I$9)))/Inputs!$K$9)^2),NA())</x:f>
        <x:v>77.93177500000006</x:v>
      </x:c>
      <x:c r="BD150" s="49"/>
      <x:c r="BE150" s="48" t="n">
        <x:f>A150</x:f>
        <x:v>0.233</x:v>
      </x:c>
      <x:c r="BF150" s="48" t="n">
        <x:f>0</x:f>
        <x:v>0</x:v>
      </x:c>
      <x:c r="BG150" s="48"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BH150" s="48"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BI150" s="48"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BJ150" s="48"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row>
    <x:row r="151">
      <x:c r="A151" s="48" t="n">
        <x:f>ROUND(-1+149*2/240,3)</x:f>
        <x:v>0.242</x:v>
      </x:c>
      <x:c r="B151" s="48" t="n">
        <x:f>IF(OR(Inputs!$F$6=TRUE,Inputs!$F$6="TRUE",Inputs!$F$6=1),(Inputs!$H$6+Inputs!$L$6*(((Inputs!$I$6+(((A151)+1)/2)*(Inputs!$J$6-Inputs!$I$6)))/Inputs!$K$6)^2),NA())</x:f>
        <x:v>400.234256</x:v>
      </x:c>
      <x:c r="C151" s="48" t="n">
        <x:f>IF(OR(Inputs!$F$7=TRUE,Inputs!$F$7="TRUE",Inputs!$F$7=1),(Inputs!$H$7+Inputs!$L$7*(((Inputs!$I$7+(((A151)+1)/2)*(Inputs!$J$7-Inputs!$I$7)))/Inputs!$K$7)^2),NA())</x:f>
        <x:v>56.37586</x:v>
      </x:c>
      <x:c r="D151" s="48" t="n">
        <x:f>IF(OR(Inputs!$F$8=TRUE,Inputs!$F$8="TRUE",Inputs!$F$8=1),(Inputs!$H$8+Inputs!$L$8*(((Inputs!$I$8+(((A151)+1)/2)*(Inputs!$J$8-Inputs!$I$8)))/Inputs!$K$8)^2),NA())</x:f>
        <x:v>91.51426000000001</x:v>
      </x:c>
      <x:c r="E151" s="48" t="n">
        <x:f>IF(OR(Inputs!$F$9=TRUE,Inputs!$F$9="TRUE",Inputs!$F$9=1),(Inputs!$H$9+Inputs!$L$9*(((Inputs!$I$9+(((A151)+1)/2)*(Inputs!$J$9-Inputs!$I$9)))/Inputs!$K$9)^2),NA())</x:f>
        <x:v>82.09990000000002</x:v>
      </x:c>
      <x:c r="F151" s="49"/>
      <x:c r="G151" s="48" t="n">
        <x:f>A151</x:f>
        <x:v>0.242</x:v>
      </x:c>
      <x:c r="H151" s="48"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I151" s="48"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J151" s="48"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K151" s="48"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c r="L151" s="49"/>
      <x:c r="M151" s="48" t="n">
        <x:f>A151</x:f>
        <x:v>0.242</x:v>
      </x:c>
      <x:c r="N151" s="48" t="n">
        <x: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x:f>
        <x:v>-124.18133486180761</x:v>
      </x:c>
      <x:c r="O151" s="48" t="n">
        <x: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x:f>
        <x:v>-1740.536255332231</x:v>
      </x:c>
      <x:c r="P151" s="48" t="n">
        <x: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x:f>
        <x:v>-1921.8010226962556</x:v>
      </x:c>
      <x:c r="Q151" s="48" t="n">
        <x: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x:f>
        <x:v>-1914.653874069625</x:v>
      </x:c>
      <x:c r="R151" s="49"/>
      <x:c r="S151" s="48" t="n">
        <x:f>A151</x:f>
        <x:v>0.242</x:v>
      </x:c>
      <x:c r="T151" s="48" t="n">
        <x:f>(Inputs!$I$6+(((A151)+1)/2)*(Inputs!$J$6-Inputs!$I$6))</x:f>
        <x:v>14.519999999999996</x:v>
      </x:c>
      <x:c r="U151" s="48" t="n">
        <x:f>(Inputs!$I$7+(((A151)+1)/2)*(Inputs!$J$7-Inputs!$I$7))</x:f>
        <x:v>96.80000000000001</x:v>
      </x:c>
      <x:c r="V151" s="48" t="n">
        <x:f>(Inputs!$I$8+(((A151)+1)/2)*(Inputs!$J$8-Inputs!$I$8))</x:f>
        <x:v>193.60000000000002</x:v>
      </x:c>
      <x:c r="W151" s="48" t="n">
        <x:f>(Inputs!$I$9+(((A151)+1)/2)*(Inputs!$J$9-Inputs!$I$9))</x:f>
        <x:v>193.60000000000002</x:v>
      </x:c>
      <x:c r="X151" s="49"/>
      <x:c r="Y151" s="48" t="n">
        <x:f>A151</x:f>
        <x:v>0.242</x:v>
      </x:c>
      <x:c r="Z151" s="48" t="n">
        <x:f>(Inputs!$H$6+Inputs!$L$6*(((Inputs!$I$6+(((A151)+1)/2)*(Inputs!$J$6-Inputs!$I$6)))/Inputs!$K$6)^2)</x:f>
        <x:v>400.234256</x:v>
      </x:c>
      <x:c r="AA151" s="48" t="n">
        <x:f>(Inputs!$H$7+Inputs!$L$7*(((Inputs!$I$7+(((A151)+1)/2)*(Inputs!$J$7-Inputs!$I$7)))/Inputs!$K$7)^2)</x:f>
        <x:v>56.37586</x:v>
      </x:c>
      <x:c r="AB151" s="48" t="n">
        <x:f>(Inputs!$H$8+Inputs!$L$8*(((Inputs!$I$8+(((A151)+1)/2)*(Inputs!$J$8-Inputs!$I$8)))/Inputs!$K$8)^2)</x:f>
        <x:v>91.51426000000001</x:v>
      </x:c>
      <x:c r="AC151" s="48" t="n">
        <x:f>(Inputs!$H$9+Inputs!$L$9*(((Inputs!$I$9+(((A151)+1)/2)*(Inputs!$J$9-Inputs!$I$9)))/Inputs!$K$9)^2)</x:f>
        <x:v>82.09990000000002</x:v>
      </x:c>
      <x:c r="AD151" s="49"/>
      <x:c r="AE151" s="48" t="n">
        <x:f>A151</x:f>
        <x:v>0.242</x:v>
      </x:c>
      <x:c r="AF151" s="48" t="n">
        <x:f>(((SQRT((Inputs!$C$52+((Inputs!$H$6+Inputs!$L$6*(((Inputs!$I$6+(((A151)+1)/2)*(Inputs!$J$6-Inputs!$I$6)))/Inputs!$K$6)^2)))^2+Inputs!$C$52^2-2*(Inputs!$C$52+((Inputs!$H$6+Inputs!$L$6*(((Inputs!$I$6+(((A151)+1)/2)*(Inputs!$J$6-Inputs!$I$6)))/Inputs!$K$6)^2)))*Inputs!$C$52*COS(SQRT(((Inputs!$I$6+(((A151)+1)/2)*(Inputs!$J$6-Inputs!$I$6)))^2+Inputs!$C$6^2)/Inputs!$C$52)))-((Inputs!$H$6+Inputs!$L$6*(((Inputs!$I$6+(((A151)+1)/2)*(Inputs!$J$6-Inputs!$I$6)))/Inputs!$K$6)^2)))*1000/Inputs!$C$12)</x:f>
        <x:v>735.816272463049</x:v>
      </x:c>
      <x:c r="AG151" s="48" t="n">
        <x:f>(((SQRT((Inputs!$C$52+((Inputs!$H$7+Inputs!$L$7*(((Inputs!$I$7+(((A151)+1)/2)*(Inputs!$J$7-Inputs!$I$7)))/Inputs!$K$7)^2)))^2+Inputs!$C$52^2-2*(Inputs!$C$52+((Inputs!$H$7+Inputs!$L$7*(((Inputs!$I$7+(((A151)+1)/2)*(Inputs!$J$7-Inputs!$I$7)))/Inputs!$K$7)^2)))*Inputs!$C$52*COS(SQRT(((Inputs!$I$7+(((A151)+1)/2)*(Inputs!$J$7-Inputs!$I$7)))^2+Inputs!$C$6^2)/Inputs!$C$52)))-((Inputs!$H$7+Inputs!$L$7*(((Inputs!$I$7+(((A151)+1)/2)*(Inputs!$J$7-Inputs!$I$7)))/Inputs!$K$7)^2)))*1000/Inputs!$C$12)</x:f>
        <x:v>33677.983434025526</x:v>
      </x:c>
      <x:c r="AH151" s="48" t="n">
        <x:f>(((SQRT((Inputs!$C$52+((Inputs!$H$8+Inputs!$L$8*(((Inputs!$I$8+(((A151)+1)/2)*(Inputs!$J$8-Inputs!$I$8)))/Inputs!$K$8)^2)))^2+Inputs!$C$52^2-2*(Inputs!$C$52+((Inputs!$H$8+Inputs!$L$8*(((Inputs!$I$8+(((A151)+1)/2)*(Inputs!$J$8-Inputs!$I$8)))/Inputs!$K$8)^2)))*Inputs!$C$52*COS(SQRT(((Inputs!$I$8+(((A151)+1)/2)*(Inputs!$J$8-Inputs!$I$8)))^2+Inputs!$C$6^2)/Inputs!$C$52)))-((Inputs!$H$8+Inputs!$L$8*(((Inputs!$I$8+(((A151)+1)/2)*(Inputs!$J$8-Inputs!$I$8)))/Inputs!$K$8)^2)))*1000/Inputs!$C$12)</x:f>
        <x:v>72517.74413656176</x:v>
      </x:c>
      <x:c r="AI151" s="48" t="n">
        <x:f>(((SQRT((Inputs!$C$52+((Inputs!$H$9+Inputs!$L$9*(((Inputs!$I$9+(((A151)+1)/2)*(Inputs!$J$9-Inputs!$I$9)))/Inputs!$K$9)^2)))^2+Inputs!$C$52^2-2*(Inputs!$C$52+((Inputs!$H$9+Inputs!$L$9*(((Inputs!$I$9+(((A151)+1)/2)*(Inputs!$J$9-Inputs!$I$9)))/Inputs!$K$9)^2)))*Inputs!$C$52*COS(SQRT(((Inputs!$I$9+(((A151)+1)/2)*(Inputs!$J$9-Inputs!$I$9)))^2+Inputs!$C$6^2)/Inputs!$C$52)))-((Inputs!$H$9+Inputs!$L$9*(((Inputs!$I$9+(((A151)+1)/2)*(Inputs!$J$9-Inputs!$I$9)))/Inputs!$K$9)^2)))*1000/Inputs!$C$12)</x:f>
        <x:v>75409.96760106955</x:v>
      </x:c>
      <x:c r="AJ151" s="49"/>
      <x:c r="AK151" s="48" t="n">
        <x:f>A151</x:f>
        <x:v>0.242</x:v>
      </x:c>
      <x:c r="AL151" s="48" t="n">
        <x: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x:f>
        <x:v>-124.18133486180761</x:v>
      </x:c>
      <x:c r="AM151" s="48" t="n">
        <x: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x:f>
        <x:v>-1740.536255332231</x:v>
      </x:c>
      <x:c r="AN151" s="48" t="n">
        <x: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x:f>
        <x:v>-1921.8010226962556</x:v>
      </x:c>
      <x:c r="AO151" s="48" t="n">
        <x: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x:f>
        <x:v>-1914.653874069625</x:v>
      </x:c>
      <x:c r="AP151" s="49"/>
      <x:c r="AQ151" s="48" t="n">
        <x:f>A151</x:f>
        <x:v>0.242</x:v>
      </x:c>
      <x:c r="AR151" s="48" t="n">
        <x:f>0</x:f>
        <x:v>0</x:v>
      </x:c>
      <x:c r="AS151" s="48" t="n">
        <x: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(0.45*SIN(2*PI()*((((Inputs!$I$6+(((A151)+1)/2)*(Inputs!$J$6-Inputs!$I$6)))/Inputs!$C$49)+Inputs!$C$47*0.137))+0.35*COS(2*PI()*(((Inputs!$C$6)/Inputs!$C$50)+Inputs!$C$47*0.173))+0.20*SIN(2*PI()*((((Inputs!$I$6+(((A151)+1)/2)*(Inputs!$J$6-Inputs!$I$6)))+(Inputs!$C$6))/(0.5*(Inputs!$C$49+Inputs!$C$50))+Inputs!$C$47*0.097)))+0.30*(2*((SIN((((Inputs!$I$6+(((A151)+1)/2)*(Inputs!$J$6-Inputs!$I$6)))*12.9898+(Inputs!$C$6)*78.233+Inputs!$C$47*37.719))*43758.5453)-INT((SIN((((Inputs!$I$6+(((A151)+1)/2)*(Inputs!$J$6-Inputs!$I$6)))*12.9898+(Inputs!$C$6)*78.233+Inputs!$C$47*37.719))*43758.5453)))-1))),NA())</x:f>
        <x:v>417.44975846448233</x:v>
      </x:c>
      <x:c r="AT151" s="48" t="n">
        <x: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(0.45*SIN(2*PI()*((((Inputs!$I$7+(((A151)+1)/2)*(Inputs!$J$7-Inputs!$I$7)))/Inputs!$C$49)+Inputs!$C$47*0.137))+0.35*COS(2*PI()*(((Inputs!$C$6)/Inputs!$C$50)+Inputs!$C$47*0.173))+0.20*SIN(2*PI()*((((Inputs!$I$7+(((A151)+1)/2)*(Inputs!$J$7-Inputs!$I$7)))+(Inputs!$C$6))/(0.5*(Inputs!$C$49+Inputs!$C$50))+Inputs!$C$47*0.097)))+0.30*(2*((SIN((((Inputs!$I$7+(((A151)+1)/2)*(Inputs!$J$7-Inputs!$I$7)))*12.9898+(Inputs!$C$6)*78.233+Inputs!$C$47*37.719))*43758.5453)-INT((SIN((((Inputs!$I$7+(((A151)+1)/2)*(Inputs!$J$7-Inputs!$I$7)))*12.9898+(Inputs!$C$6)*78.233+Inputs!$C$47*37.719))*43758.5453)))-1))),NA())</x:f>
        <x:v>203.88439653681294</x:v>
      </x:c>
      <x:c r="AU151" s="48" t="n">
        <x: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(0.45*SIN(2*PI()*((((Inputs!$I$8+(((A151)+1)/2)*(Inputs!$J$8-Inputs!$I$8)))/Inputs!$C$49)+Inputs!$C$47*0.137))+0.35*COS(2*PI()*(((Inputs!$C$6)/Inputs!$C$50)+Inputs!$C$47*0.173))+0.20*SIN(2*PI()*((((Inputs!$I$8+(((A151)+1)/2)*(Inputs!$J$8-Inputs!$I$8)))+(Inputs!$C$6))/(0.5*(Inputs!$C$49+Inputs!$C$50))+Inputs!$C$47*0.097)))+0.30*(2*((SIN((((Inputs!$I$8+(((A151)+1)/2)*(Inputs!$J$8-Inputs!$I$8)))*12.9898+(Inputs!$C$6)*78.233+Inputs!$C$47*37.719))*43758.5453)-INT((SIN((((Inputs!$I$8+(((A151)+1)/2)*(Inputs!$J$8-Inputs!$I$8)))*12.9898+(Inputs!$C$6)*78.233+Inputs!$C$47*37.719))*43758.5453)))-1))),NA())</x:f>
        <x:v>85.07745798640758</x:v>
      </x:c>
      <x:c r="AV151" s="48" t="n">
        <x: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(0.45*SIN(2*PI()*((((Inputs!$I$9+(((A151)+1)/2)*(Inputs!$J$9-Inputs!$I$9)))/Inputs!$C$49)+Inputs!$C$47*0.137))+0.35*COS(2*PI()*(((Inputs!$C$6)/Inputs!$C$50)+Inputs!$C$47*0.173))+0.20*SIN(2*PI()*((((Inputs!$I$9+(((A151)+1)/2)*(Inputs!$J$9-Inputs!$I$9)))+(Inputs!$C$6))/(0.5*(Inputs!$C$49+Inputs!$C$50))+Inputs!$C$47*0.097)))+0.30*(2*((SIN((((Inputs!$I$9+(((A151)+1)/2)*(Inputs!$J$9-Inputs!$I$9)))*12.9898+(Inputs!$C$6)*78.233+Inputs!$C$47*37.719))*43758.5453)-INT((SIN((((Inputs!$I$9+(((A151)+1)/2)*(Inputs!$J$9-Inputs!$I$9)))*12.9898+(Inputs!$C$6)*78.233+Inputs!$C$47*37.719))*43758.5453)))-1))),NA())</x:f>
        <x:v>85.07745798640758</x:v>
      </x:c>
      <x:c r="AW151" s="49"/>
      <x:c r="AX151" s="48" t="n">
        <x:f>A151</x:f>
        <x:v>0.242</x:v>
      </x:c>
      <x:c r="AY151" s="48" t="n">
        <x:f>0</x:f>
        <x:v>0</x:v>
      </x:c>
      <x:c r="AZ151" s="48" t="n">
        <x:f>IF(OR(Inputs!$F$6=TRUE,Inputs!$F$6="TRUE",Inputs!$F$6=1),(Inputs!$H$6+Inputs!$L$6*(((Inputs!$I$6+(((A151)+1)/2)*(Inputs!$J$6-Inputs!$I$6)))/Inputs!$K$6)^2),NA())</x:f>
        <x:v>400.234256</x:v>
      </x:c>
      <x:c r="BA151" s="48" t="n">
        <x:f>IF(OR(Inputs!$F$7=TRUE,Inputs!$F$7="TRUE",Inputs!$F$7=1),(Inputs!$H$7+Inputs!$L$7*(((Inputs!$I$7+(((A151)+1)/2)*(Inputs!$J$7-Inputs!$I$7)))/Inputs!$K$7)^2),NA())</x:f>
        <x:v>56.37586</x:v>
      </x:c>
      <x:c r="BB151" s="48" t="n">
        <x:f>IF(OR(Inputs!$F$8=TRUE,Inputs!$F$8="TRUE",Inputs!$F$8=1),(Inputs!$H$8+Inputs!$L$8*(((Inputs!$I$8+(((A151)+1)/2)*(Inputs!$J$8-Inputs!$I$8)))/Inputs!$K$8)^2),NA())</x:f>
        <x:v>91.51426000000001</x:v>
      </x:c>
      <x:c r="BC151" s="48" t="n">
        <x:f>IF(OR(Inputs!$F$9=TRUE,Inputs!$F$9="TRUE",Inputs!$F$9=1),(Inputs!$H$9+Inputs!$L$9*(((Inputs!$I$9+(((A151)+1)/2)*(Inputs!$J$9-Inputs!$I$9)))/Inputs!$K$9)^2),NA())</x:f>
        <x:v>82.09990000000002</x:v>
      </x:c>
      <x:c r="BD151" s="49"/>
      <x:c r="BE151" s="48" t="n">
        <x:f>A151</x:f>
        <x:v>0.242</x:v>
      </x:c>
      <x:c r="BF151" s="48" t="n">
        <x:f>0</x:f>
        <x:v>0</x:v>
      </x:c>
      <x:c r="BG151" s="48"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BH151" s="48"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BI151" s="48"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BJ151" s="48"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row>
    <x:row r="152">
      <x:c r="A152" s="48" t="n">
        <x:f>ROUND(-1+150*2/240,3)</x:f>
        <x:v>0.25</x:v>
      </x:c>
      <x:c r="B152" s="48" t="n">
        <x:f>IF(OR(Inputs!$F$6=TRUE,Inputs!$F$6="TRUE",Inputs!$F$6=1),(Inputs!$H$6+Inputs!$L$6*(((Inputs!$I$6+(((A152)+1)/2)*(Inputs!$J$6-Inputs!$I$6)))/Inputs!$K$6)^2),NA())</x:f>
        <x:v>400.25</x:v>
      </x:c>
      <x:c r="C152" s="48" t="n">
        <x:f>IF(OR(Inputs!$F$7=TRUE,Inputs!$F$7="TRUE",Inputs!$F$7=1),(Inputs!$H$7+Inputs!$L$7*(((Inputs!$I$7+(((A152)+1)/2)*(Inputs!$J$7-Inputs!$I$7)))/Inputs!$K$7)^2),NA())</x:f>
        <x:v>57.8125</x:v>
      </x:c>
      <x:c r="D152" s="48" t="n">
        <x:f>IF(OR(Inputs!$F$8=TRUE,Inputs!$F$8="TRUE",Inputs!$F$8=1),(Inputs!$H$8+Inputs!$L$8*(((Inputs!$I$8+(((A152)+1)/2)*(Inputs!$J$8-Inputs!$I$8)))/Inputs!$K$8)^2),NA())</x:f>
        <x:v>95.3125</x:v>
      </x:c>
      <x:c r="E152" s="48" t="n">
        <x:f>IF(OR(Inputs!$F$9=TRUE,Inputs!$F$9="TRUE",Inputs!$F$9=1),(Inputs!$H$9+Inputs!$L$9*(((Inputs!$I$9+(((A152)+1)/2)*(Inputs!$J$9-Inputs!$I$9)))/Inputs!$K$9)^2),NA())</x:f>
        <x:v>85.9375</x:v>
      </x:c>
      <x:c r="F152" s="49"/>
      <x:c r="G152" s="48" t="n">
        <x:f>A152</x:f>
        <x:v>0.25</x:v>
      </x:c>
      <x:c r="H152" s="48"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I152" s="48"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J152" s="48"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K152" s="48"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c r="L152" s="49"/>
      <x:c r="M152" s="48" t="n">
        <x:f>A152</x:f>
        <x:v>0.25</x:v>
      </x:c>
      <x:c r="N152" s="48" t="n">
        <x: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x:f>
        <x:v>-128.27762939589343</x:v>
      </x:c>
      <x:c r="O152" s="48" t="n">
        <x: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x:f>
        <x:v>-1756.7415501153985</x:v>
      </x:c>
      <x:c r="P152" s="48" t="n">
        <x: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x:f>
        <x:v>-1940.7603378833421</x:v>
      </x:c>
      <x:c r="Q152" s="48" t="n">
        <x: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x:f>
        <x:v>-1933.4467080059392</x:v>
      </x:c>
      <x:c r="R152" s="49"/>
      <x:c r="S152" s="48" t="n">
        <x:f>A152</x:f>
        <x:v>0.25</x:v>
      </x:c>
      <x:c r="T152" s="48" t="n">
        <x:f>(Inputs!$I$6+(((A152)+1)/2)*(Inputs!$J$6-Inputs!$I$6))</x:f>
        <x:v>15</x:v>
      </x:c>
      <x:c r="U152" s="48" t="n">
        <x:f>(Inputs!$I$7+(((A152)+1)/2)*(Inputs!$J$7-Inputs!$I$7))</x:f>
        <x:v>100</x:v>
      </x:c>
      <x:c r="V152" s="48" t="n">
        <x:f>(Inputs!$I$8+(((A152)+1)/2)*(Inputs!$J$8-Inputs!$I$8))</x:f>
        <x:v>200</x:v>
      </x:c>
      <x:c r="W152" s="48" t="n">
        <x:f>(Inputs!$I$9+(((A152)+1)/2)*(Inputs!$J$9-Inputs!$I$9))</x:f>
        <x:v>200</x:v>
      </x:c>
      <x:c r="X152" s="49"/>
      <x:c r="Y152" s="48" t="n">
        <x:f>A152</x:f>
        <x:v>0.25</x:v>
      </x:c>
      <x:c r="Z152" s="48" t="n">
        <x:f>(Inputs!$H$6+Inputs!$L$6*(((Inputs!$I$6+(((A152)+1)/2)*(Inputs!$J$6-Inputs!$I$6)))/Inputs!$K$6)^2)</x:f>
        <x:v>400.25</x:v>
      </x:c>
      <x:c r="AA152" s="48" t="n">
        <x:f>(Inputs!$H$7+Inputs!$L$7*(((Inputs!$I$7+(((A152)+1)/2)*(Inputs!$J$7-Inputs!$I$7)))/Inputs!$K$7)^2)</x:f>
        <x:v>57.8125</x:v>
      </x:c>
      <x:c r="AB152" s="48" t="n">
        <x:f>(Inputs!$H$8+Inputs!$L$8*(((Inputs!$I$8+(((A152)+1)/2)*(Inputs!$J$8-Inputs!$I$8)))/Inputs!$K$8)^2)</x:f>
        <x:v>95.3125</x:v>
      </x:c>
      <x:c r="AC152" s="48" t="n">
        <x:f>(Inputs!$H$9+Inputs!$L$9*(((Inputs!$I$9+(((A152)+1)/2)*(Inputs!$J$9-Inputs!$I$9)))/Inputs!$K$9)^2)</x:f>
        <x:v>85.9375</x:v>
      </x:c>
      <x:c r="AD152" s="49"/>
      <x:c r="AE152" s="48" t="n">
        <x:f>A152</x:f>
        <x:v>0.25</x:v>
      </x:c>
      <x:c r="AF152" s="48" t="n">
        <x:f>(((SQRT((Inputs!$C$52+((Inputs!$H$6+Inputs!$L$6*(((Inputs!$I$6+(((A152)+1)/2)*(Inputs!$J$6-Inputs!$I$6)))/Inputs!$K$6)^2)))^2+Inputs!$C$52^2-2*(Inputs!$C$52+((Inputs!$H$6+Inputs!$L$6*(((Inputs!$I$6+(((A152)+1)/2)*(Inputs!$J$6-Inputs!$I$6)))/Inputs!$K$6)^2)))*Inputs!$C$52*COS(SQRT(((Inputs!$I$6+(((A152)+1)/2)*(Inputs!$J$6-Inputs!$I$6)))^2+Inputs!$C$6^2)/Inputs!$C$52)))-((Inputs!$H$6+Inputs!$L$6*(((Inputs!$I$6+(((A152)+1)/2)*(Inputs!$J$6-Inputs!$I$6)))/Inputs!$K$6)^2)))*1000/Inputs!$C$12)</x:f>
        <x:v>748.2459723916826</x:v>
      </x:c>
      <x:c r="AG152" s="48" t="n">
        <x:f>(((SQRT((Inputs!$C$52+((Inputs!$H$7+Inputs!$L$7*(((Inputs!$I$7+(((A152)+1)/2)*(Inputs!$J$7-Inputs!$I$7)))/Inputs!$K$7)^2)))^2+Inputs!$C$52^2-2*(Inputs!$C$52+((Inputs!$H$7+Inputs!$L$7*(((Inputs!$I$7+(((A152)+1)/2)*(Inputs!$J$7-Inputs!$I$7)))/Inputs!$K$7)^2)))*Inputs!$C$52*COS(SQRT(((Inputs!$I$7+(((A152)+1)/2)*(Inputs!$J$7-Inputs!$I$7)))^2+Inputs!$C$6^2)/Inputs!$C$52)))-((Inputs!$H$7+Inputs!$L$7*(((Inputs!$I$7+(((A152)+1)/2)*(Inputs!$J$7-Inputs!$I$7)))/Inputs!$K$7)^2)))*1000/Inputs!$C$12)</x:f>
        <x:v>34835.67826622314</x:v>
      </x:c>
      <x:c r="AH152" s="48" t="n">
        <x:f>(((SQRT((Inputs!$C$52+((Inputs!$H$8+Inputs!$L$8*(((Inputs!$I$8+(((A152)+1)/2)*(Inputs!$J$8-Inputs!$I$8)))/Inputs!$K$8)^2)))^2+Inputs!$C$52^2-2*(Inputs!$C$52+((Inputs!$H$8+Inputs!$L$8*(((Inputs!$I$8+(((A152)+1)/2)*(Inputs!$J$8-Inputs!$I$8)))/Inputs!$K$8)^2)))*Inputs!$C$52*COS(SQRT(((Inputs!$I$8+(((A152)+1)/2)*(Inputs!$J$8-Inputs!$I$8)))^2+Inputs!$C$6^2)/Inputs!$C$52)))-((Inputs!$H$8+Inputs!$L$8*(((Inputs!$I$8+(((A152)+1)/2)*(Inputs!$J$8-Inputs!$I$8)))/Inputs!$K$8)^2)))*1000/Inputs!$C$12)</x:f>
        <x:v>74723.81163268053</x:v>
      </x:c>
      <x:c r="AI152" s="48" t="n">
        <x:f>(((SQRT((Inputs!$C$52+((Inputs!$H$9+Inputs!$L$9*(((Inputs!$I$9+(((A152)+1)/2)*(Inputs!$J$9-Inputs!$I$9)))/Inputs!$K$9)^2)))^2+Inputs!$C$52^2-2*(Inputs!$C$52+((Inputs!$H$9+Inputs!$L$9*(((Inputs!$I$9+(((A152)+1)/2)*(Inputs!$J$9-Inputs!$I$9)))/Inputs!$K$9)^2)))*Inputs!$C$52*COS(SQRT(((Inputs!$I$9+(((A152)+1)/2)*(Inputs!$J$9-Inputs!$I$9)))^2+Inputs!$C$6^2)/Inputs!$C$52)))-((Inputs!$H$9+Inputs!$L$9*(((Inputs!$I$9+(((A152)+1)/2)*(Inputs!$J$9-Inputs!$I$9)))/Inputs!$K$9)^2)))*1000/Inputs!$C$12)</x:f>
        <x:v>77577.66152805233</x:v>
      </x:c>
      <x:c r="AJ152" s="49"/>
      <x:c r="AK152" s="48" t="n">
        <x:f>A152</x:f>
        <x:v>0.25</x:v>
      </x:c>
      <x:c r="AL152" s="48" t="n">
        <x: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x:f>
        <x:v>-128.27762939589343</x:v>
      </x:c>
      <x:c r="AM152" s="48" t="n">
        <x: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x:f>
        <x:v>-1756.7415501153985</x:v>
      </x:c>
      <x:c r="AN152" s="48" t="n">
        <x: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x:f>
        <x:v>-1940.7603378833421</x:v>
      </x:c>
      <x:c r="AO152" s="48" t="n">
        <x: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x:f>
        <x:v>-1933.4467080059392</x:v>
      </x:c>
      <x:c r="AP152" s="49"/>
      <x:c r="AQ152" s="48" t="n">
        <x:f>A152</x:f>
        <x:v>0.25</x:v>
      </x:c>
      <x:c r="AR152" s="48" t="n">
        <x:f>0</x:f>
        <x:v>0</x:v>
      </x:c>
      <x:c r="AS152" s="48" t="n">
        <x: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(0.45*SIN(2*PI()*((((Inputs!$I$6+(((A152)+1)/2)*(Inputs!$J$6-Inputs!$I$6)))/Inputs!$C$49)+Inputs!$C$47*0.137))+0.35*COS(2*PI()*(((Inputs!$C$6)/Inputs!$C$50)+Inputs!$C$47*0.173))+0.20*SIN(2*PI()*((((Inputs!$I$6+(((A152)+1)/2)*(Inputs!$J$6-Inputs!$I$6)))+(Inputs!$C$6))/(0.5*(Inputs!$C$49+Inputs!$C$50))+Inputs!$C$47*0.097)))+0.30*(2*((SIN((((Inputs!$I$6+(((A152)+1)/2)*(Inputs!$J$6-Inputs!$I$6)))*12.9898+(Inputs!$C$6)*78.233+Inputs!$C$47*37.719))*43758.5453)-INT((SIN((((Inputs!$I$6+(((A152)+1)/2)*(Inputs!$J$6-Inputs!$I$6)))*12.9898+(Inputs!$C$6)*78.233+Inputs!$C$47*37.719))*43758.5453)))-1))),NA())</x:f>
        <x:v>399.34593170493116</x:v>
      </x:c>
      <x:c r="AT152" s="48" t="n">
        <x: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(0.45*SIN(2*PI()*((((Inputs!$I$7+(((A152)+1)/2)*(Inputs!$J$7-Inputs!$I$7)))/Inputs!$C$49)+Inputs!$C$47*0.137))+0.35*COS(2*PI()*(((Inputs!$C$6)/Inputs!$C$50)+Inputs!$C$47*0.173))+0.20*SIN(2*PI()*((((Inputs!$I$7+(((A152)+1)/2)*(Inputs!$J$7-Inputs!$I$7)))+(Inputs!$C$6))/(0.5*(Inputs!$C$49+Inputs!$C$50))+Inputs!$C$47*0.097)))+0.30*(2*((SIN((((Inputs!$I$7+(((A152)+1)/2)*(Inputs!$J$7-Inputs!$I$7)))*12.9898+(Inputs!$C$6)*78.233+Inputs!$C$47*37.719))*43758.5453)-INT((SIN((((Inputs!$I$7+(((A152)+1)/2)*(Inputs!$J$7-Inputs!$I$7)))*12.9898+(Inputs!$C$6)*78.233+Inputs!$C$47*37.719))*43758.5453)))-1))),NA())</x:f>
        <x:v>145.81280158474385</x:v>
      </x:c>
      <x:c r="AU152" s="48" t="n">
        <x: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(0.45*SIN(2*PI()*((((Inputs!$I$8+(((A152)+1)/2)*(Inputs!$J$8-Inputs!$I$8)))/Inputs!$C$49)+Inputs!$C$47*0.137))+0.35*COS(2*PI()*(((Inputs!$C$6)/Inputs!$C$50)+Inputs!$C$47*0.173))+0.20*SIN(2*PI()*((((Inputs!$I$8+(((A152)+1)/2)*(Inputs!$J$8-Inputs!$I$8)))+(Inputs!$C$6))/(0.5*(Inputs!$C$49+Inputs!$C$50))+Inputs!$C$47*0.097)))+0.30*(2*((SIN((((Inputs!$I$8+(((A152)+1)/2)*(Inputs!$J$8-Inputs!$I$8)))*12.9898+(Inputs!$C$6)*78.233+Inputs!$C$47*37.719))*43758.5453)-INT((SIN((((Inputs!$I$8+(((A152)+1)/2)*(Inputs!$J$8-Inputs!$I$8)))*12.9898+(Inputs!$C$6)*78.233+Inputs!$C$47*37.719))*43758.5453)))-1))),NA())</x:f>
        <x:v>158.86775074007286</x:v>
      </x:c>
      <x:c r="AV152" s="48" t="n">
        <x: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(0.45*SIN(2*PI()*((((Inputs!$I$9+(((A152)+1)/2)*(Inputs!$J$9-Inputs!$I$9)))/Inputs!$C$49)+Inputs!$C$47*0.137))+0.35*COS(2*PI()*(((Inputs!$C$6)/Inputs!$C$50)+Inputs!$C$47*0.173))+0.20*SIN(2*PI()*((((Inputs!$I$9+(((A152)+1)/2)*(Inputs!$J$9-Inputs!$I$9)))+(Inputs!$C$6))/(0.5*(Inputs!$C$49+Inputs!$C$50))+Inputs!$C$47*0.097)))+0.30*(2*((SIN((((Inputs!$I$9+(((A152)+1)/2)*(Inputs!$J$9-Inputs!$I$9)))*12.9898+(Inputs!$C$6)*78.233+Inputs!$C$47*37.719))*43758.5453)-INT((SIN((((Inputs!$I$9+(((A152)+1)/2)*(Inputs!$J$9-Inputs!$I$9)))*12.9898+(Inputs!$C$6)*78.233+Inputs!$C$47*37.719))*43758.5453)))-1))),NA())</x:f>
        <x:v>158.86775074007286</x:v>
      </x:c>
      <x:c r="AW152" s="49"/>
      <x:c r="AX152" s="48" t="n">
        <x:f>A152</x:f>
        <x:v>0.25</x:v>
      </x:c>
      <x:c r="AY152" s="48" t="n">
        <x:f>0</x:f>
        <x:v>0</x:v>
      </x:c>
      <x:c r="AZ152" s="48" t="n">
        <x:f>IF(OR(Inputs!$F$6=TRUE,Inputs!$F$6="TRUE",Inputs!$F$6=1),(Inputs!$H$6+Inputs!$L$6*(((Inputs!$I$6+(((A152)+1)/2)*(Inputs!$J$6-Inputs!$I$6)))/Inputs!$K$6)^2),NA())</x:f>
        <x:v>400.25</x:v>
      </x:c>
      <x:c r="BA152" s="48" t="n">
        <x:f>IF(OR(Inputs!$F$7=TRUE,Inputs!$F$7="TRUE",Inputs!$F$7=1),(Inputs!$H$7+Inputs!$L$7*(((Inputs!$I$7+(((A152)+1)/2)*(Inputs!$J$7-Inputs!$I$7)))/Inputs!$K$7)^2),NA())</x:f>
        <x:v>57.8125</x:v>
      </x:c>
      <x:c r="BB152" s="48" t="n">
        <x:f>IF(OR(Inputs!$F$8=TRUE,Inputs!$F$8="TRUE",Inputs!$F$8=1),(Inputs!$H$8+Inputs!$L$8*(((Inputs!$I$8+(((A152)+1)/2)*(Inputs!$J$8-Inputs!$I$8)))/Inputs!$K$8)^2),NA())</x:f>
        <x:v>95.3125</x:v>
      </x:c>
      <x:c r="BC152" s="48" t="n">
        <x:f>IF(OR(Inputs!$F$9=TRUE,Inputs!$F$9="TRUE",Inputs!$F$9=1),(Inputs!$H$9+Inputs!$L$9*(((Inputs!$I$9+(((A152)+1)/2)*(Inputs!$J$9-Inputs!$I$9)))/Inputs!$K$9)^2),NA())</x:f>
        <x:v>85.9375</x:v>
      </x:c>
      <x:c r="BD152" s="49"/>
      <x:c r="BE152" s="48" t="n">
        <x:f>A152</x:f>
        <x:v>0.25</x:v>
      </x:c>
      <x:c r="BF152" s="48" t="n">
        <x:f>0</x:f>
        <x:v>0</x:v>
      </x:c>
      <x:c r="BG152" s="48"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BH152" s="48"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BI152" s="48"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BJ152" s="48"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row>
    <x:row r="153">
      <x:c r="A153" s="48" t="n">
        <x:f>ROUND(-1+151*2/240,3)</x:f>
        <x:v>0.258</x:v>
      </x:c>
      <x:c r="B153" s="48" t="n">
        <x:f>IF(OR(Inputs!$F$6=TRUE,Inputs!$F$6="TRUE",Inputs!$F$6=1),(Inputs!$H$6+Inputs!$L$6*(((Inputs!$I$6+(((A153)+1)/2)*(Inputs!$J$6-Inputs!$I$6)))/Inputs!$K$6)^2),NA())</x:f>
        <x:v>400.266256</x:v>
      </x:c>
      <x:c r="C153" s="48" t="n">
        <x:f>IF(OR(Inputs!$F$7=TRUE,Inputs!$F$7="TRUE",Inputs!$F$7=1),(Inputs!$H$7+Inputs!$L$7*(((Inputs!$I$7+(((A153)+1)/2)*(Inputs!$J$7-Inputs!$I$7)))/Inputs!$K$7)^2),NA())</x:f>
        <x:v>59.29585999999999</x:v>
      </x:c>
      <x:c r="D153" s="48" t="n">
        <x:f>IF(OR(Inputs!$F$8=TRUE,Inputs!$F$8="TRUE",Inputs!$F$8=1),(Inputs!$H$8+Inputs!$L$8*(((Inputs!$I$8+(((A153)+1)/2)*(Inputs!$J$8-Inputs!$I$8)))/Inputs!$K$8)^2),NA())</x:f>
        <x:v>99.23425999999998</x:v>
      </x:c>
      <x:c r="E153" s="48" t="n">
        <x:f>IF(OR(Inputs!$F$9=TRUE,Inputs!$F$9="TRUE",Inputs!$F$9=1),(Inputs!$H$9+Inputs!$L$9*(((Inputs!$I$9+(((A153)+1)/2)*(Inputs!$J$9-Inputs!$I$9)))/Inputs!$K$9)^2),NA())</x:f>
        <x:v>89.89989999999997</x:v>
      </x:c>
      <x:c r="F153" s="49"/>
      <x:c r="G153" s="48" t="n">
        <x:f>A153</x:f>
        <x:v>0.258</x:v>
      </x:c>
      <x:c r="H153" s="48"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I153" s="48"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J153" s="48"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K153" s="48"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c r="L153" s="49"/>
      <x:c r="M153" s="48" t="n">
        <x:f>A153</x:f>
        <x:v>0.258</x:v>
      </x:c>
      <x:c r="N153" s="48" t="n">
        <x: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x:f>
        <x:v>-132.3730609327959</x:v>
      </x:c>
      <x:c r="O153" s="48" t="n">
        <x: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x:f>
        <x:v>-1772.6233215244902</x:v>
      </x:c>
      <x:c r="P153" s="48" t="n">
        <x: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x:f>
        <x:v>-1959.97575090098</x:v>
      </x:c>
      <x:c r="Q153" s="48" t="n">
        <x: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x:f>
        <x:v>-1952.5621718334994</x:v>
      </x:c>
      <x:c r="R153" s="49"/>
      <x:c r="S153" s="48" t="n">
        <x:f>A153</x:f>
        <x:v>0.258</x:v>
      </x:c>
      <x:c r="T153" s="48" t="n">
        <x:f>(Inputs!$I$6+(((A153)+1)/2)*(Inputs!$J$6-Inputs!$I$6))</x:f>
        <x:v>15.480000000000004</x:v>
      </x:c>
      <x:c r="U153" s="48" t="n">
        <x:f>(Inputs!$I$7+(((A153)+1)/2)*(Inputs!$J$7-Inputs!$I$7))</x:f>
        <x:v>103.19999999999999</x:v>
      </x:c>
      <x:c r="V153" s="48" t="n">
        <x:f>(Inputs!$I$8+(((A153)+1)/2)*(Inputs!$J$8-Inputs!$I$8))</x:f>
        <x:v>206.39999999999998</x:v>
      </x:c>
      <x:c r="W153" s="48" t="n">
        <x:f>(Inputs!$I$9+(((A153)+1)/2)*(Inputs!$J$9-Inputs!$I$9))</x:f>
        <x:v>206.39999999999998</x:v>
      </x:c>
      <x:c r="X153" s="49"/>
      <x:c r="Y153" s="48" t="n">
        <x:f>A153</x:f>
        <x:v>0.258</x:v>
      </x:c>
      <x:c r="Z153" s="48" t="n">
        <x:f>(Inputs!$H$6+Inputs!$L$6*(((Inputs!$I$6+(((A153)+1)/2)*(Inputs!$J$6-Inputs!$I$6)))/Inputs!$K$6)^2)</x:f>
        <x:v>400.266256</x:v>
      </x:c>
      <x:c r="AA153" s="48" t="n">
        <x:f>(Inputs!$H$7+Inputs!$L$7*(((Inputs!$I$7+(((A153)+1)/2)*(Inputs!$J$7-Inputs!$I$7)))/Inputs!$K$7)^2)</x:f>
        <x:v>59.29585999999999</x:v>
      </x:c>
      <x:c r="AB153" s="48" t="n">
        <x:f>(Inputs!$H$8+Inputs!$L$8*(((Inputs!$I$8+(((A153)+1)/2)*(Inputs!$J$8-Inputs!$I$8)))/Inputs!$K$8)^2)</x:f>
        <x:v>99.23425999999998</x:v>
      </x:c>
      <x:c r="AC153" s="48" t="n">
        <x:f>(Inputs!$H$9+Inputs!$L$9*(((Inputs!$I$9+(((A153)+1)/2)*(Inputs!$J$9-Inputs!$I$9)))/Inputs!$K$9)^2)</x:f>
        <x:v>89.89989999999997</x:v>
      </x:c>
      <x:c r="AD153" s="49"/>
      <x:c r="AE153" s="48" t="n">
        <x:f>A153</x:f>
        <x:v>0.258</x:v>
      </x:c>
      <x:c r="AF153" s="48" t="n">
        <x:f>(((SQRT((Inputs!$C$52+((Inputs!$H$6+Inputs!$L$6*(((Inputs!$I$6+(((A153)+1)/2)*(Inputs!$J$6-Inputs!$I$6)))/Inputs!$K$6)^2)))^2+Inputs!$C$52^2-2*(Inputs!$C$52+((Inputs!$H$6+Inputs!$L$6*(((Inputs!$I$6+(((A153)+1)/2)*(Inputs!$J$6-Inputs!$I$6)))/Inputs!$K$6)^2)))*Inputs!$C$52*COS(SQRT(((Inputs!$I$6+(((A153)+1)/2)*(Inputs!$J$6-Inputs!$I$6)))^2+Inputs!$C$6^2)/Inputs!$C$52)))-((Inputs!$H$6+Inputs!$L$6*(((Inputs!$I$6+(((A153)+1)/2)*(Inputs!$J$6-Inputs!$I$6)))/Inputs!$K$6)^2)))*1000/Inputs!$C$12)</x:f>
        <x:v>761.0783462484194</x:v>
      </x:c>
      <x:c r="AG153" s="48" t="n">
        <x:f>(((SQRT((Inputs!$C$52+((Inputs!$H$7+Inputs!$L$7*(((Inputs!$I$7+(((A153)+1)/2)*(Inputs!$J$7-Inputs!$I$7)))/Inputs!$K$7)^2)))^2+Inputs!$C$52^2-2*(Inputs!$C$52+((Inputs!$H$7+Inputs!$L$7*(((Inputs!$I$7+(((A153)+1)/2)*(Inputs!$J$7-Inputs!$I$7)))/Inputs!$K$7)^2)))*Inputs!$C$52*COS(SQRT(((Inputs!$I$7+(((A153)+1)/2)*(Inputs!$J$7-Inputs!$I$7)))^2+Inputs!$C$6^2)/Inputs!$C$52)))-((Inputs!$H$7+Inputs!$L$7*(((Inputs!$I$7+(((A153)+1)/2)*(Inputs!$J$7-Inputs!$I$7)))/Inputs!$K$7)^2)))*1000/Inputs!$C$12)</x:f>
        <x:v>35985.1467452645</x:v>
      </x:c>
      <x:c r="AH153" s="48" t="n">
        <x:f>(((SQRT((Inputs!$C$52+((Inputs!$H$8+Inputs!$L$8*(((Inputs!$I$8+(((A153)+1)/2)*(Inputs!$J$8-Inputs!$I$8)))/Inputs!$K$8)^2)))^2+Inputs!$C$52^2-2*(Inputs!$C$52+((Inputs!$H$8+Inputs!$L$8*(((Inputs!$I$8+(((A153)+1)/2)*(Inputs!$J$8-Inputs!$I$8)))/Inputs!$K$8)^2)))*Inputs!$C$52*COS(SQRT(((Inputs!$I$8+(((A153)+1)/2)*(Inputs!$J$8-Inputs!$I$8)))^2+Inputs!$C$6^2)/Inputs!$C$52)))-((Inputs!$H$8+Inputs!$L$8*(((Inputs!$I$8+(((A153)+1)/2)*(Inputs!$J$8-Inputs!$I$8)))/Inputs!$K$8)^2)))*1000/Inputs!$C$12)</x:f>
        <x:v>76903.37578196949</x:v>
      </x:c>
      <x:c r="AI153" s="48" t="n">
        <x:f>(((SQRT((Inputs!$C$52+((Inputs!$H$9+Inputs!$L$9*(((Inputs!$I$9+(((A153)+1)/2)*(Inputs!$J$9-Inputs!$I$9)))/Inputs!$K$9)^2)))^2+Inputs!$C$52^2-2*(Inputs!$C$52+((Inputs!$H$9+Inputs!$L$9*(((Inputs!$I$9+(((A153)+1)/2)*(Inputs!$J$9-Inputs!$I$9)))/Inputs!$K$9)^2)))*Inputs!$C$52*COS(SQRT(((Inputs!$I$9+(((A153)+1)/2)*(Inputs!$J$9-Inputs!$I$9)))^2+Inputs!$C$6^2)/Inputs!$C$52)))-((Inputs!$H$9+Inputs!$L$9*(((Inputs!$I$9+(((A153)+1)/2)*(Inputs!$J$9-Inputs!$I$9)))/Inputs!$K$9)^2)))*1000/Inputs!$C$12)</x:f>
        <x:v>79717.83499236075</x:v>
      </x:c>
      <x:c r="AJ153" s="49"/>
      <x:c r="AK153" s="48" t="n">
        <x:f>A153</x:f>
        <x:v>0.258</x:v>
      </x:c>
      <x:c r="AL153" s="48" t="n">
        <x: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x:f>
        <x:v>-132.3730609327959</x:v>
      </x:c>
      <x:c r="AM153" s="48" t="n">
        <x: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x:f>
        <x:v>-1772.6233215244902</x:v>
      </x:c>
      <x:c r="AN153" s="48" t="n">
        <x: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x:f>
        <x:v>-1959.97575090098</x:v>
      </x:c>
      <x:c r="AO153" s="48" t="n">
        <x: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x:f>
        <x:v>-1952.5621718334994</x:v>
      </x:c>
      <x:c r="AP153" s="49"/>
      <x:c r="AQ153" s="48" t="n">
        <x:f>A153</x:f>
        <x:v>0.258</x:v>
      </x:c>
      <x:c r="AR153" s="48" t="n">
        <x:f>0</x:f>
        <x:v>0</x:v>
      </x:c>
      <x:c r="AS153" s="48" t="n">
        <x: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(0.45*SIN(2*PI()*((((Inputs!$I$6+(((A153)+1)/2)*(Inputs!$J$6-Inputs!$I$6)))/Inputs!$C$49)+Inputs!$C$47*0.137))+0.35*COS(2*PI()*(((Inputs!$C$6)/Inputs!$C$50)+Inputs!$C$47*0.173))+0.20*SIN(2*PI()*((((Inputs!$I$6+(((A153)+1)/2)*(Inputs!$J$6-Inputs!$I$6)))+(Inputs!$C$6))/(0.5*(Inputs!$C$49+Inputs!$C$50))+Inputs!$C$47*0.097)))+0.30*(2*((SIN((((Inputs!$I$6+(((A153)+1)/2)*(Inputs!$J$6-Inputs!$I$6)))*12.9898+(Inputs!$C$6)*78.233+Inputs!$C$47*37.719))*43758.5453)-INT((SIN((((Inputs!$I$6+(((A153)+1)/2)*(Inputs!$J$6-Inputs!$I$6)))*12.9898+(Inputs!$C$6)*78.233+Inputs!$C$47*37.719))*43758.5453)))-1))),NA())</x:f>
        <x:v>395.3000924820049</x:v>
      </x:c>
      <x:c r="AT153" s="48" t="n">
        <x: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(0.45*SIN(2*PI()*((((Inputs!$I$7+(((A153)+1)/2)*(Inputs!$J$7-Inputs!$I$7)))/Inputs!$C$49)+Inputs!$C$47*0.137))+0.35*COS(2*PI()*(((Inputs!$C$6)/Inputs!$C$50)+Inputs!$C$47*0.173))+0.20*SIN(2*PI()*((((Inputs!$I$7+(((A153)+1)/2)*(Inputs!$J$7-Inputs!$I$7)))+(Inputs!$C$6))/(0.5*(Inputs!$C$49+Inputs!$C$50))+Inputs!$C$47*0.097)))+0.30*(2*((SIN((((Inputs!$I$7+(((A153)+1)/2)*(Inputs!$J$7-Inputs!$I$7)))*12.9898+(Inputs!$C$6)*78.233+Inputs!$C$47*37.719))*43758.5453)-INT((SIN((((Inputs!$I$7+(((A153)+1)/2)*(Inputs!$J$7-Inputs!$I$7)))*12.9898+(Inputs!$C$6)*78.233+Inputs!$C$47*37.719))*43758.5453)))-1))),NA())</x:f>
        <x:v>69.05880867402514</x:v>
      </x:c>
      <x:c r="AU153" s="48" t="n">
        <x: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(0.45*SIN(2*PI()*((((Inputs!$I$8+(((A153)+1)/2)*(Inputs!$J$8-Inputs!$I$8)))/Inputs!$C$49)+Inputs!$C$47*0.137))+0.35*COS(2*PI()*(((Inputs!$C$6)/Inputs!$C$50)+Inputs!$C$47*0.173))+0.20*SIN(2*PI()*((((Inputs!$I$8+(((A153)+1)/2)*(Inputs!$J$8-Inputs!$I$8)))+(Inputs!$C$6))/(0.5*(Inputs!$C$49+Inputs!$C$50))+Inputs!$C$47*0.097)))+0.30*(2*((SIN((((Inputs!$I$8+(((A153)+1)/2)*(Inputs!$J$8-Inputs!$I$8)))*12.9898+(Inputs!$C$6)*78.233+Inputs!$C$47*37.719))*43758.5453)-INT((SIN((((Inputs!$I$8+(((A153)+1)/2)*(Inputs!$J$8-Inputs!$I$8)))*12.9898+(Inputs!$C$6)*78.233+Inputs!$C$47*37.719))*43758.5453)))-1))),NA())</x:f>
        <x:v>151.27363630682072</x:v>
      </x:c>
      <x:c r="AV153" s="48" t="n">
        <x: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(0.45*SIN(2*PI()*((((Inputs!$I$9+(((A153)+1)/2)*(Inputs!$J$9-Inputs!$I$9)))/Inputs!$C$49)+Inputs!$C$47*0.137))+0.35*COS(2*PI()*(((Inputs!$C$6)/Inputs!$C$50)+Inputs!$C$47*0.173))+0.20*SIN(2*PI()*((((Inputs!$I$9+(((A153)+1)/2)*(Inputs!$J$9-Inputs!$I$9)))+(Inputs!$C$6))/(0.5*(Inputs!$C$49+Inputs!$C$50))+Inputs!$C$47*0.097)))+0.30*(2*((SIN((((Inputs!$I$9+(((A153)+1)/2)*(Inputs!$J$9-Inputs!$I$9)))*12.9898+(Inputs!$C$6)*78.233+Inputs!$C$47*37.719))*43758.5453)-INT((SIN((((Inputs!$I$9+(((A153)+1)/2)*(Inputs!$J$9-Inputs!$I$9)))*12.9898+(Inputs!$C$6)*78.233+Inputs!$C$47*37.719))*43758.5453)))-1))),NA())</x:f>
        <x:v>151.27363630682072</x:v>
      </x:c>
      <x:c r="AW153" s="49"/>
      <x:c r="AX153" s="48" t="n">
        <x:f>A153</x:f>
        <x:v>0.258</x:v>
      </x:c>
      <x:c r="AY153" s="48" t="n">
        <x:f>0</x:f>
        <x:v>0</x:v>
      </x:c>
      <x:c r="AZ153" s="48" t="n">
        <x:f>IF(OR(Inputs!$F$6=TRUE,Inputs!$F$6="TRUE",Inputs!$F$6=1),(Inputs!$H$6+Inputs!$L$6*(((Inputs!$I$6+(((A153)+1)/2)*(Inputs!$J$6-Inputs!$I$6)))/Inputs!$K$6)^2),NA())</x:f>
        <x:v>400.266256</x:v>
      </x:c>
      <x:c r="BA153" s="48" t="n">
        <x:f>IF(OR(Inputs!$F$7=TRUE,Inputs!$F$7="TRUE",Inputs!$F$7=1),(Inputs!$H$7+Inputs!$L$7*(((Inputs!$I$7+(((A153)+1)/2)*(Inputs!$J$7-Inputs!$I$7)))/Inputs!$K$7)^2),NA())</x:f>
        <x:v>59.29585999999999</x:v>
      </x:c>
      <x:c r="BB153" s="48" t="n">
        <x:f>IF(OR(Inputs!$F$8=TRUE,Inputs!$F$8="TRUE",Inputs!$F$8=1),(Inputs!$H$8+Inputs!$L$8*(((Inputs!$I$8+(((A153)+1)/2)*(Inputs!$J$8-Inputs!$I$8)))/Inputs!$K$8)^2),NA())</x:f>
        <x:v>99.23425999999998</x:v>
      </x:c>
      <x:c r="BC153" s="48" t="n">
        <x:f>IF(OR(Inputs!$F$9=TRUE,Inputs!$F$9="TRUE",Inputs!$F$9=1),(Inputs!$H$9+Inputs!$L$9*(((Inputs!$I$9+(((A153)+1)/2)*(Inputs!$J$9-Inputs!$I$9)))/Inputs!$K$9)^2),NA())</x:f>
        <x:v>89.89989999999997</x:v>
      </x:c>
      <x:c r="BD153" s="49"/>
      <x:c r="BE153" s="48" t="n">
        <x:f>A153</x:f>
        <x:v>0.258</x:v>
      </x:c>
      <x:c r="BF153" s="48" t="n">
        <x:f>0</x:f>
        <x:v>0</x:v>
      </x:c>
      <x:c r="BG153" s="48"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BH153" s="48"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BI153" s="48"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BJ153" s="48"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row>
    <x:row r="154">
      <x:c r="A154" s="48" t="n">
        <x:f>ROUND(-1+152*2/240,3)</x:f>
        <x:v>0.267</x:v>
      </x:c>
      <x:c r="B154" s="48" t="n">
        <x:f>IF(OR(Inputs!$F$6=TRUE,Inputs!$F$6="TRUE",Inputs!$F$6=1),(Inputs!$H$6+Inputs!$L$6*(((Inputs!$I$6+(((A154)+1)/2)*(Inputs!$J$6-Inputs!$I$6)))/Inputs!$K$6)^2),NA())</x:f>
        <x:v>400.285156</x:v>
      </x:c>
      <x:c r="C154" s="48" t="n">
        <x:f>IF(OR(Inputs!$F$7=TRUE,Inputs!$F$7="TRUE",Inputs!$F$7=1),(Inputs!$H$7+Inputs!$L$7*(((Inputs!$I$7+(((A154)+1)/2)*(Inputs!$J$7-Inputs!$I$7)))/Inputs!$K$7)^2),NA())</x:f>
        <x:v>61.02048499999998</x:v>
      </x:c>
      <x:c r="D154" s="48" t="n">
        <x:f>IF(OR(Inputs!$F$8=TRUE,Inputs!$F$8="TRUE",Inputs!$F$8=1),(Inputs!$H$8+Inputs!$L$8*(((Inputs!$I$8+(((A154)+1)/2)*(Inputs!$J$8-Inputs!$I$8)))/Inputs!$K$8)^2),NA())</x:f>
        <x:v>103.79388499999995</x:v>
      </x:c>
      <x:c r="E154" s="48" t="n">
        <x:f>IF(OR(Inputs!$F$9=TRUE,Inputs!$F$9="TRUE",Inputs!$F$9=1),(Inputs!$H$9+Inputs!$L$9*(((Inputs!$I$9+(((A154)+1)/2)*(Inputs!$J$9-Inputs!$I$9)))/Inputs!$K$9)^2),NA())</x:f>
        <x:v>94.50677499999995</x:v>
      </x:c>
      <x:c r="F154" s="49"/>
      <x:c r="G154" s="48" t="n">
        <x:f>A154</x:f>
        <x:v>0.267</x:v>
      </x:c>
      <x:c r="H154" s="48"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I154" s="48"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J154" s="48"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K154" s="48"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c r="L154" s="49"/>
      <x:c r="M154" s="48" t="n">
        <x:f>A154</x:f>
        <x:v>0.267</x:v>
      </x:c>
      <x:c r="N154" s="48" t="n">
        <x: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x:f>
        <x:v>-136.97935601639546</x:v>
      </x:c>
      <x:c r="O154" s="48" t="n">
        <x: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x:f>
        <x:v>-1790.173169189156</x:v>
      </x:c>
      <x:c r="P154" s="48" t="n">
        <x: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x:f>
        <x:v>-1981.9171770542719</x:v>
      </x:c>
      <x:c r="Q154" s="48" t="n">
        <x: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x:f>
        <x:v>-1974.4623337460114</x:v>
      </x:c>
      <x:c r="R154" s="49"/>
      <x:c r="S154" s="48" t="n">
        <x:f>A154</x:f>
        <x:v>0.267</x:v>
      </x:c>
      <x:c r="T154" s="48" t="n">
        <x:f>(Inputs!$I$6+(((A154)+1)/2)*(Inputs!$J$6-Inputs!$I$6))</x:f>
        <x:v>16.019999999999996</x:v>
      </x:c>
      <x:c r="U154" s="48" t="n">
        <x:f>(Inputs!$I$7+(((A154)+1)/2)*(Inputs!$J$7-Inputs!$I$7))</x:f>
        <x:v>106.79999999999995</x:v>
      </x:c>
      <x:c r="V154" s="48" t="n">
        <x:f>(Inputs!$I$8+(((A154)+1)/2)*(Inputs!$J$8-Inputs!$I$8))</x:f>
        <x:v>213.5999999999999</x:v>
      </x:c>
      <x:c r="W154" s="48" t="n">
        <x:f>(Inputs!$I$9+(((A154)+1)/2)*(Inputs!$J$9-Inputs!$I$9))</x:f>
        <x:v>213.5999999999999</x:v>
      </x:c>
      <x:c r="X154" s="49"/>
      <x:c r="Y154" s="48" t="n">
        <x:f>A154</x:f>
        <x:v>0.267</x:v>
      </x:c>
      <x:c r="Z154" s="48" t="n">
        <x:f>(Inputs!$H$6+Inputs!$L$6*(((Inputs!$I$6+(((A154)+1)/2)*(Inputs!$J$6-Inputs!$I$6)))/Inputs!$K$6)^2)</x:f>
        <x:v>400.285156</x:v>
      </x:c>
      <x:c r="AA154" s="48" t="n">
        <x:f>(Inputs!$H$7+Inputs!$L$7*(((Inputs!$I$7+(((A154)+1)/2)*(Inputs!$J$7-Inputs!$I$7)))/Inputs!$K$7)^2)</x:f>
        <x:v>61.02048499999998</x:v>
      </x:c>
      <x:c r="AB154" s="48" t="n">
        <x:f>(Inputs!$H$8+Inputs!$L$8*(((Inputs!$I$8+(((A154)+1)/2)*(Inputs!$J$8-Inputs!$I$8)))/Inputs!$K$8)^2)</x:f>
        <x:v>103.79388499999995</x:v>
      </x:c>
      <x:c r="AC154" s="48" t="n">
        <x:f>(Inputs!$H$9+Inputs!$L$9*(((Inputs!$I$9+(((A154)+1)/2)*(Inputs!$J$9-Inputs!$I$9)))/Inputs!$K$9)^2)</x:f>
        <x:v>94.50677499999995</x:v>
      </x:c>
      <x:c r="AD154" s="49"/>
      <x:c r="AE154" s="48" t="n">
        <x:f>A154</x:f>
        <x:v>0.267</x:v>
      </x:c>
      <x:c r="AF154" s="48" t="n">
        <x:f>(((SQRT((Inputs!$C$52+((Inputs!$H$6+Inputs!$L$6*(((Inputs!$I$6+(((A154)+1)/2)*(Inputs!$J$6-Inputs!$I$6)))/Inputs!$K$6)^2)))^2+Inputs!$C$52^2-2*(Inputs!$C$52+((Inputs!$H$6+Inputs!$L$6*(((Inputs!$I$6+(((A154)+1)/2)*(Inputs!$J$6-Inputs!$I$6)))/Inputs!$K$6)^2)))*Inputs!$C$52*COS(SQRT(((Inputs!$I$6+(((A154)+1)/2)*(Inputs!$J$6-Inputs!$I$6)))^2+Inputs!$C$6^2)/Inputs!$C$52)))-((Inputs!$H$6+Inputs!$L$6*(((Inputs!$I$6+(((A154)+1)/2)*(Inputs!$J$6-Inputs!$I$6)))/Inputs!$K$6)^2)))*1000/Inputs!$C$12)</x:f>
        <x:v>775.995903883741</x:v>
      </x:c>
      <x:c r="AG154" s="48" t="n">
        <x:f>(((SQRT((Inputs!$C$52+((Inputs!$H$7+Inputs!$L$7*(((Inputs!$I$7+(((A154)+1)/2)*(Inputs!$J$7-Inputs!$I$7)))/Inputs!$K$7)^2)))^2+Inputs!$C$52^2-2*(Inputs!$C$52+((Inputs!$H$7+Inputs!$L$7*(((Inputs!$I$7+(((A154)+1)/2)*(Inputs!$J$7-Inputs!$I$7)))/Inputs!$K$7)^2)))*Inputs!$C$52*COS(SQRT(((Inputs!$I$7+(((A154)+1)/2)*(Inputs!$J$7-Inputs!$I$7)))^2+Inputs!$C$6^2)/Inputs!$C$52)))-((Inputs!$H$7+Inputs!$L$7*(((Inputs!$I$7+(((A154)+1)/2)*(Inputs!$J$7-Inputs!$I$7)))/Inputs!$K$7)^2)))*1000/Inputs!$C$12)</x:f>
        <x:v>37268.05555516211</x:v>
      </x:c>
      <x:c r="AH154" s="48" t="n">
        <x:f>(((SQRT((Inputs!$C$52+((Inputs!$H$8+Inputs!$L$8*(((Inputs!$I$8+(((A154)+1)/2)*(Inputs!$J$8-Inputs!$I$8)))/Inputs!$K$8)^2)))^2+Inputs!$C$52^2-2*(Inputs!$C$52+((Inputs!$H$8+Inputs!$L$8*(((Inputs!$I$8+(((A154)+1)/2)*(Inputs!$J$8-Inputs!$I$8)))/Inputs!$K$8)^2)))*Inputs!$C$52*COS(SQRT(((Inputs!$I$8+(((A154)+1)/2)*(Inputs!$J$8-Inputs!$I$8)))^2+Inputs!$C$6^2)/Inputs!$C$52)))-((Inputs!$H$8+Inputs!$L$8*(((Inputs!$I$8+(((A154)+1)/2)*(Inputs!$J$8-Inputs!$I$8)))/Inputs!$K$8)^2)))*1000/Inputs!$C$12)</x:f>
        <x:v>79324.4445199174</x:v>
      </x:c>
      <x:c r="AI154" s="48" t="n">
        <x:f>(((SQRT((Inputs!$C$52+((Inputs!$H$9+Inputs!$L$9*(((Inputs!$I$9+(((A154)+1)/2)*(Inputs!$J$9-Inputs!$I$9)))/Inputs!$K$9)^2)))^2+Inputs!$C$52^2-2*(Inputs!$C$52+((Inputs!$H$9+Inputs!$L$9*(((Inputs!$I$9+(((A154)+1)/2)*(Inputs!$J$9-Inputs!$I$9)))/Inputs!$K$9)^2)))*Inputs!$C$52*COS(SQRT(((Inputs!$I$9+(((A154)+1)/2)*(Inputs!$J$9-Inputs!$I$9)))^2+Inputs!$C$6^2)/Inputs!$C$52)))-((Inputs!$H$9+Inputs!$L$9*(((Inputs!$I$9+(((A154)+1)/2)*(Inputs!$J$9-Inputs!$I$9)))/Inputs!$K$9)^2)))*1000/Inputs!$C$12)</x:f>
        <x:v>82093.54940892191</x:v>
      </x:c>
      <x:c r="AJ154" s="49"/>
      <x:c r="AK154" s="48" t="n">
        <x:f>A154</x:f>
        <x:v>0.267</x:v>
      </x:c>
      <x:c r="AL154" s="48" t="n">
        <x: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x:f>
        <x:v>-136.97935601639546</x:v>
      </x:c>
      <x:c r="AM154" s="48" t="n">
        <x: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x:f>
        <x:v>-1790.173169189156</x:v>
      </x:c>
      <x:c r="AN154" s="48" t="n">
        <x: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x:f>
        <x:v>-1981.9171770542719</x:v>
      </x:c>
      <x:c r="AO154" s="48" t="n">
        <x: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x:f>
        <x:v>-1974.4623337460114</x:v>
      </x:c>
      <x:c r="AP154" s="49"/>
      <x:c r="AQ154" s="48" t="n">
        <x:f>A154</x:f>
        <x:v>0.267</x:v>
      </x:c>
      <x:c r="AR154" s="48" t="n">
        <x:f>0</x:f>
        <x:v>0</x:v>
      </x:c>
      <x:c r="AS154" s="48" t="n">
        <x: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(0.45*SIN(2*PI()*((((Inputs!$I$6+(((A154)+1)/2)*(Inputs!$J$6-Inputs!$I$6)))/Inputs!$C$49)+Inputs!$C$47*0.137))+0.35*COS(2*PI()*(((Inputs!$C$6)/Inputs!$C$50)+Inputs!$C$47*0.173))+0.20*SIN(2*PI()*((((Inputs!$I$6+(((A154)+1)/2)*(Inputs!$J$6-Inputs!$I$6)))+(Inputs!$C$6))/(0.5*(Inputs!$C$49+Inputs!$C$50))+Inputs!$C$47*0.097)))+0.30*(2*((SIN((((Inputs!$I$6+(((A154)+1)/2)*(Inputs!$J$6-Inputs!$I$6)))*12.9898+(Inputs!$C$6)*78.233+Inputs!$C$47*37.719))*43758.5453)-INT((SIN((((Inputs!$I$6+(((A154)+1)/2)*(Inputs!$J$6-Inputs!$I$6)))*12.9898+(Inputs!$C$6)*78.233+Inputs!$C$47*37.719))*43758.5453)))-1))),NA())</x:f>
        <x:v>402.66314608033497</x:v>
      </x:c>
      <x:c r="AT154" s="48" t="n">
        <x: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(0.45*SIN(2*PI()*((((Inputs!$I$7+(((A154)+1)/2)*(Inputs!$J$7-Inputs!$I$7)))/Inputs!$C$49)+Inputs!$C$47*0.137))+0.35*COS(2*PI()*(((Inputs!$C$6)/Inputs!$C$50)+Inputs!$C$47*0.173))+0.20*SIN(2*PI()*((((Inputs!$I$7+(((A154)+1)/2)*(Inputs!$J$7-Inputs!$I$7)))+(Inputs!$C$6))/(0.5*(Inputs!$C$49+Inputs!$C$50))+Inputs!$C$47*0.097)))+0.30*(2*((SIN((((Inputs!$I$7+(((A154)+1)/2)*(Inputs!$J$7-Inputs!$I$7)))*12.9898+(Inputs!$C$6)*78.233+Inputs!$C$47*37.719))*43758.5453)-INT((SIN((((Inputs!$I$7+(((A154)+1)/2)*(Inputs!$J$7-Inputs!$I$7)))*12.9898+(Inputs!$C$6)*78.233+Inputs!$C$47*37.719))*43758.5453)))-1))),NA())</x:f>
        <x:v>113.58459570558153</x:v>
      </x:c>
      <x:c r="AU154" s="48" t="n">
        <x: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(0.45*SIN(2*PI()*((((Inputs!$I$8+(((A154)+1)/2)*(Inputs!$J$8-Inputs!$I$8)))/Inputs!$C$49)+Inputs!$C$47*0.137))+0.35*COS(2*PI()*(((Inputs!$C$6)/Inputs!$C$50)+Inputs!$C$47*0.173))+0.20*SIN(2*PI()*((((Inputs!$I$8+(((A154)+1)/2)*(Inputs!$J$8-Inputs!$I$8)))+(Inputs!$C$6))/(0.5*(Inputs!$C$49+Inputs!$C$50))+Inputs!$C$47*0.097)))+0.30*(2*((SIN((((Inputs!$I$8+(((A154)+1)/2)*(Inputs!$J$8-Inputs!$I$8)))*12.9898+(Inputs!$C$6)*78.233+Inputs!$C$47*37.719))*43758.5453)-INT((SIN((((Inputs!$I$8+(((A154)+1)/2)*(Inputs!$J$8-Inputs!$I$8)))*12.9898+(Inputs!$C$6)*78.233+Inputs!$C$47*37.719))*43758.5453)))-1))),NA())</x:f>
        <x:v>82.05897988380767</x:v>
      </x:c>
      <x:c r="AV154" s="48" t="n">
        <x: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(0.45*SIN(2*PI()*((((Inputs!$I$9+(((A154)+1)/2)*(Inputs!$J$9-Inputs!$I$9)))/Inputs!$C$49)+Inputs!$C$47*0.137))+0.35*COS(2*PI()*(((Inputs!$C$6)/Inputs!$C$50)+Inputs!$C$47*0.173))+0.20*SIN(2*PI()*((((Inputs!$I$9+(((A154)+1)/2)*(Inputs!$J$9-Inputs!$I$9)))+(Inputs!$C$6))/(0.5*(Inputs!$C$49+Inputs!$C$50))+Inputs!$C$47*0.097)))+0.30*(2*((SIN((((Inputs!$I$9+(((A154)+1)/2)*(Inputs!$J$9-Inputs!$I$9)))*12.9898+(Inputs!$C$6)*78.233+Inputs!$C$47*37.719))*43758.5453)-INT((SIN((((Inputs!$I$9+(((A154)+1)/2)*(Inputs!$J$9-Inputs!$I$9)))*12.9898+(Inputs!$C$6)*78.233+Inputs!$C$47*37.719))*43758.5453)))-1))),NA())</x:f>
        <x:v>82.05897988380767</x:v>
      </x:c>
      <x:c r="AW154" s="49"/>
      <x:c r="AX154" s="48" t="n">
        <x:f>A154</x:f>
        <x:v>0.267</x:v>
      </x:c>
      <x:c r="AY154" s="48" t="n">
        <x:f>0</x:f>
        <x:v>0</x:v>
      </x:c>
      <x:c r="AZ154" s="48" t="n">
        <x:f>IF(OR(Inputs!$F$6=TRUE,Inputs!$F$6="TRUE",Inputs!$F$6=1),(Inputs!$H$6+Inputs!$L$6*(((Inputs!$I$6+(((A154)+1)/2)*(Inputs!$J$6-Inputs!$I$6)))/Inputs!$K$6)^2),NA())</x:f>
        <x:v>400.285156</x:v>
      </x:c>
      <x:c r="BA154" s="48" t="n">
        <x:f>IF(OR(Inputs!$F$7=TRUE,Inputs!$F$7="TRUE",Inputs!$F$7=1),(Inputs!$H$7+Inputs!$L$7*(((Inputs!$I$7+(((A154)+1)/2)*(Inputs!$J$7-Inputs!$I$7)))/Inputs!$K$7)^2),NA())</x:f>
        <x:v>61.02048499999998</x:v>
      </x:c>
      <x:c r="BB154" s="48" t="n">
        <x:f>IF(OR(Inputs!$F$8=TRUE,Inputs!$F$8="TRUE",Inputs!$F$8=1),(Inputs!$H$8+Inputs!$L$8*(((Inputs!$I$8+(((A154)+1)/2)*(Inputs!$J$8-Inputs!$I$8)))/Inputs!$K$8)^2),NA())</x:f>
        <x:v>103.79388499999995</x:v>
      </x:c>
      <x:c r="BC154" s="48" t="n">
        <x:f>IF(OR(Inputs!$F$9=TRUE,Inputs!$F$9="TRUE",Inputs!$F$9=1),(Inputs!$H$9+Inputs!$L$9*(((Inputs!$I$9+(((A154)+1)/2)*(Inputs!$J$9-Inputs!$I$9)))/Inputs!$K$9)^2),NA())</x:f>
        <x:v>94.50677499999995</x:v>
      </x:c>
      <x:c r="BD154" s="49"/>
      <x:c r="BE154" s="48" t="n">
        <x:f>A154</x:f>
        <x:v>0.267</x:v>
      </x:c>
      <x:c r="BF154" s="48" t="n">
        <x:f>0</x:f>
        <x:v>0</x:v>
      </x:c>
      <x:c r="BG154" s="48"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BH154" s="48"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BI154" s="48"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BJ154" s="48"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row>
    <x:row r="155">
      <x:c r="A155" s="48" t="n">
        <x:f>ROUND(-1+153*2/240,3)</x:f>
        <x:v>0.275</x:v>
      </x:c>
      <x:c r="B155" s="48" t="n">
        <x:f>IF(OR(Inputs!$F$6=TRUE,Inputs!$F$6="TRUE",Inputs!$F$6=1),(Inputs!$H$6+Inputs!$L$6*(((Inputs!$I$6+(((A155)+1)/2)*(Inputs!$J$6-Inputs!$I$6)))/Inputs!$K$6)^2),NA())</x:f>
        <x:v>400.3025</x:v>
      </x:c>
      <x:c r="C155" s="48" t="n">
        <x:f>IF(OR(Inputs!$F$7=TRUE,Inputs!$F$7="TRUE",Inputs!$F$7=1),(Inputs!$H$7+Inputs!$L$7*(((Inputs!$I$7+(((A155)+1)/2)*(Inputs!$J$7-Inputs!$I$7)))/Inputs!$K$7)^2),NA())</x:f>
        <x:v>62.60312499999997</x:v>
      </x:c>
      <x:c r="D155" s="48" t="n">
        <x:f>IF(OR(Inputs!$F$8=TRUE,Inputs!$F$8="TRUE",Inputs!$F$8=1),(Inputs!$H$8+Inputs!$L$8*(((Inputs!$I$8+(((A155)+1)/2)*(Inputs!$J$8-Inputs!$I$8)))/Inputs!$K$8)^2),NA())</x:f>
        <x:v>107.97812499999992</x:v>
      </x:c>
      <x:c r="E155" s="48" t="n">
        <x:f>IF(OR(Inputs!$F$9=TRUE,Inputs!$F$9="TRUE",Inputs!$F$9=1),(Inputs!$H$9+Inputs!$L$9*(((Inputs!$I$9+(((A155)+1)/2)*(Inputs!$J$9-Inputs!$I$9)))/Inputs!$K$9)^2),NA())</x:f>
        <x:v>98.73437499999991</x:v>
      </x:c>
      <x:c r="F155" s="49"/>
      <x:c r="G155" s="48" t="n">
        <x:f>A155</x:f>
        <x:v>0.275</x:v>
      </x:c>
      <x:c r="H155" s="48"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I155" s="48"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J155" s="48"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K155" s="48"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c r="L155" s="49"/>
      <x:c r="M155" s="48" t="n">
        <x:f>A155</x:f>
        <x:v>0.275</x:v>
      </x:c>
      <x:c r="N155" s="48" t="n">
        <x: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x:f>
        <x:v>-141.0728634798053</x:v>
      </x:c>
      <x:c r="O155" s="48" t="n">
        <x: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x:f>
        <x:v>-1805.5451664152629</x:v>
      </x:c>
      <x:c r="P155" s="48" t="n">
        <x: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x:f>
        <x:v>-2001.721243780326</x:v>
      </x:c>
      <x:c r="Q155" s="48" t="n">
        <x: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x:f>
        <x:v>-1994.2864981877924</x:v>
      </x:c>
      <x:c r="R155" s="49"/>
      <x:c r="S155" s="48" t="n">
        <x:f>A155</x:f>
        <x:v>0.275</x:v>
      </x:c>
      <x:c r="T155" s="48" t="n">
        <x:f>(Inputs!$I$6+(((A155)+1)/2)*(Inputs!$J$6-Inputs!$I$6))</x:f>
        <x:v>16.5</x:v>
      </x:c>
      <x:c r="U155" s="48" t="n">
        <x:f>(Inputs!$I$7+(((A155)+1)/2)*(Inputs!$J$7-Inputs!$I$7))</x:f>
        <x:v>109.99999999999994</x:v>
      </x:c>
      <x:c r="V155" s="48" t="n">
        <x:f>(Inputs!$I$8+(((A155)+1)/2)*(Inputs!$J$8-Inputs!$I$8))</x:f>
        <x:v>219.9999999999999</x:v>
      </x:c>
      <x:c r="W155" s="48" t="n">
        <x:f>(Inputs!$I$9+(((A155)+1)/2)*(Inputs!$J$9-Inputs!$I$9))</x:f>
        <x:v>219.9999999999999</x:v>
      </x:c>
      <x:c r="X155" s="49"/>
      <x:c r="Y155" s="48" t="n">
        <x:f>A155</x:f>
        <x:v>0.275</x:v>
      </x:c>
      <x:c r="Z155" s="48" t="n">
        <x:f>(Inputs!$H$6+Inputs!$L$6*(((Inputs!$I$6+(((A155)+1)/2)*(Inputs!$J$6-Inputs!$I$6)))/Inputs!$K$6)^2)</x:f>
        <x:v>400.3025</x:v>
      </x:c>
      <x:c r="AA155" s="48" t="n">
        <x:f>(Inputs!$H$7+Inputs!$L$7*(((Inputs!$I$7+(((A155)+1)/2)*(Inputs!$J$7-Inputs!$I$7)))/Inputs!$K$7)^2)</x:f>
        <x:v>62.60312499999997</x:v>
      </x:c>
      <x:c r="AB155" s="48" t="n">
        <x:f>(Inputs!$H$8+Inputs!$L$8*(((Inputs!$I$8+(((A155)+1)/2)*(Inputs!$J$8-Inputs!$I$8)))/Inputs!$K$8)^2)</x:f>
        <x:v>107.97812499999992</x:v>
      </x:c>
      <x:c r="AC155" s="48" t="n">
        <x:f>(Inputs!$H$9+Inputs!$L$9*(((Inputs!$I$9+(((A155)+1)/2)*(Inputs!$J$9-Inputs!$I$9)))/Inputs!$K$9)^2)</x:f>
        <x:v>98.73437499999991</x:v>
      </x:c>
      <x:c r="AD155" s="49"/>
      <x:c r="AE155" s="48" t="n">
        <x:f>A155</x:f>
        <x:v>0.275</x:v>
      </x:c>
      <x:c r="AF155" s="48" t="n">
        <x:f>(((SQRT((Inputs!$C$52+((Inputs!$H$6+Inputs!$L$6*(((Inputs!$I$6+(((A155)+1)/2)*(Inputs!$J$6-Inputs!$I$6)))/Inputs!$K$6)^2)))^2+Inputs!$C$52^2-2*(Inputs!$C$52+((Inputs!$H$6+Inputs!$L$6*(((Inputs!$I$6+(((A155)+1)/2)*(Inputs!$J$6-Inputs!$I$6)))/Inputs!$K$6)^2)))*Inputs!$C$52*COS(SQRT(((Inputs!$I$6+(((A155)+1)/2)*(Inputs!$J$6-Inputs!$I$6)))^2+Inputs!$C$6^2)/Inputs!$C$52)))-((Inputs!$H$6+Inputs!$L$6*(((Inputs!$I$6+(((A155)+1)/2)*(Inputs!$J$6-Inputs!$I$6)))/Inputs!$K$6)^2)))*1000/Inputs!$C$12)</x:f>
        <x:v>789.6834635919838</x:v>
      </x:c>
      <x:c r="AG155" s="48" t="n">
        <x:f>(((SQRT((Inputs!$C$52+((Inputs!$H$7+Inputs!$L$7*(((Inputs!$I$7+(((A155)+1)/2)*(Inputs!$J$7-Inputs!$I$7)))/Inputs!$K$7)^2)))^2+Inputs!$C$52^2-2*(Inputs!$C$52+((Inputs!$H$7+Inputs!$L$7*(((Inputs!$I$7+(((A155)+1)/2)*(Inputs!$J$7-Inputs!$I$7)))/Inputs!$K$7)^2)))*Inputs!$C$52*COS(SQRT(((Inputs!$I$7+(((A155)+1)/2)*(Inputs!$J$7-Inputs!$I$7)))^2+Inputs!$C$6^2)/Inputs!$C$52)))-((Inputs!$H$7+Inputs!$L$7*(((Inputs!$I$7+(((A155)+1)/2)*(Inputs!$J$7-Inputs!$I$7)))/Inputs!$K$7)^2)))*1000/Inputs!$C$12)</x:f>
        <x:v>38399.01625195177</x:v>
      </x:c>
      <x:c r="AH155" s="48" t="n">
        <x:f>(((SQRT((Inputs!$C$52+((Inputs!$H$8+Inputs!$L$8*(((Inputs!$I$8+(((A155)+1)/2)*(Inputs!$J$8-Inputs!$I$8)))/Inputs!$K$8)^2)))^2+Inputs!$C$52^2-2*(Inputs!$C$52+((Inputs!$H$8+Inputs!$L$8*(((Inputs!$I$8+(((A155)+1)/2)*(Inputs!$J$8-Inputs!$I$8)))/Inputs!$K$8)^2)))*Inputs!$C$52*COS(SQRT(((Inputs!$I$8+(((A155)+1)/2)*(Inputs!$J$8-Inputs!$I$8)))^2+Inputs!$C$6^2)/Inputs!$C$52)))-((Inputs!$H$8+Inputs!$L$8*(((Inputs!$I$8+(((A155)+1)/2)*(Inputs!$J$8-Inputs!$I$8)))/Inputs!$K$8)^2)))*1000/Inputs!$C$12)</x:f>
        <x:v>81449.69217407831</x:v>
      </x:c>
      <x:c r="AI155" s="48" t="n">
        <x:f>(((SQRT((Inputs!$C$52+((Inputs!$H$9+Inputs!$L$9*(((Inputs!$I$9+(((A155)+1)/2)*(Inputs!$J$9-Inputs!$I$9)))/Inputs!$K$9)^2)))^2+Inputs!$C$52^2-2*(Inputs!$C$52+((Inputs!$H$9+Inputs!$L$9*(((Inputs!$I$9+(((A155)+1)/2)*(Inputs!$J$9-Inputs!$I$9)))/Inputs!$K$9)^2)))*Inputs!$C$52*COS(SQRT(((Inputs!$I$9+(((A155)+1)/2)*(Inputs!$J$9-Inputs!$I$9)))^2+Inputs!$C$6^2)/Inputs!$C$52)))-((Inputs!$H$9+Inputs!$L$9*(((Inputs!$I$9+(((A155)+1)/2)*(Inputs!$J$9-Inputs!$I$9)))/Inputs!$K$9)^2)))*1000/Inputs!$C$12)</x:f>
        <x:v>84177.69817688933</x:v>
      </x:c>
      <x:c r="AJ155" s="49"/>
      <x:c r="AK155" s="48" t="n">
        <x:f>A155</x:f>
        <x:v>0.275</x:v>
      </x:c>
      <x:c r="AL155" s="48" t="n">
        <x: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x:f>
        <x:v>-141.0728634798053</x:v>
      </x:c>
      <x:c r="AM155" s="48" t="n">
        <x: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x:f>
        <x:v>-1805.5451664152629</x:v>
      </x:c>
      <x:c r="AN155" s="48" t="n">
        <x: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x:f>
        <x:v>-2001.721243780326</x:v>
      </x:c>
      <x:c r="AO155" s="48" t="n">
        <x: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x:f>
        <x:v>-1994.2864981877924</x:v>
      </x:c>
      <x:c r="AP155" s="49"/>
      <x:c r="AQ155" s="48" t="n">
        <x:f>A155</x:f>
        <x:v>0.275</x:v>
      </x:c>
      <x:c r="AR155" s="48" t="n">
        <x:f>0</x:f>
        <x:v>0</x:v>
      </x:c>
      <x:c r="AS155" s="48" t="n">
        <x: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(0.45*SIN(2*PI()*((((Inputs!$I$6+(((A155)+1)/2)*(Inputs!$J$6-Inputs!$I$6)))/Inputs!$C$49)+Inputs!$C$47*0.137))+0.35*COS(2*PI()*(((Inputs!$C$6)/Inputs!$C$50)+Inputs!$C$47*0.173))+0.20*SIN(2*PI()*((((Inputs!$I$6+(((A155)+1)/2)*(Inputs!$J$6-Inputs!$I$6)))+(Inputs!$C$6))/(0.5*(Inputs!$C$49+Inputs!$C$50))+Inputs!$C$47*0.097)))+0.30*(2*((SIN((((Inputs!$I$6+(((A155)+1)/2)*(Inputs!$J$6-Inputs!$I$6)))*12.9898+(Inputs!$C$6)*78.233+Inputs!$C$47*37.719))*43758.5453)-INT((SIN((((Inputs!$I$6+(((A155)+1)/2)*(Inputs!$J$6-Inputs!$I$6)))*12.9898+(Inputs!$C$6)*78.233+Inputs!$C$47*37.719))*43758.5453)))-1))),NA())</x:f>
        <x:v>406.20178346502695</x:v>
      </x:c>
      <x:c r="AT155" s="48" t="n">
        <x: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(0.45*SIN(2*PI()*((((Inputs!$I$7+(((A155)+1)/2)*(Inputs!$J$7-Inputs!$I$7)))/Inputs!$C$49)+Inputs!$C$47*0.137))+0.35*COS(2*PI()*(((Inputs!$C$6)/Inputs!$C$50)+Inputs!$C$47*0.173))+0.20*SIN(2*PI()*((((Inputs!$I$7+(((A155)+1)/2)*(Inputs!$J$7-Inputs!$I$7)))+(Inputs!$C$6))/(0.5*(Inputs!$C$49+Inputs!$C$50))+Inputs!$C$47*0.097)))+0.30*(2*((SIN((((Inputs!$I$7+(((A155)+1)/2)*(Inputs!$J$7-Inputs!$I$7)))*12.9898+(Inputs!$C$6)*78.233+Inputs!$C$47*37.719))*43758.5453)-INT((SIN((((Inputs!$I$7+(((A155)+1)/2)*(Inputs!$J$7-Inputs!$I$7)))*12.9898+(Inputs!$C$6)*78.233+Inputs!$C$47*37.719))*43758.5453)))-1))),NA())</x:f>
        <x:v>174.21313379386783</x:v>
      </x:c>
      <x:c r="AU155" s="48" t="n">
        <x: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(0.45*SIN(2*PI()*((((Inputs!$I$8+(((A155)+1)/2)*(Inputs!$J$8-Inputs!$I$8)))/Inputs!$C$49)+Inputs!$C$47*0.137))+0.35*COS(2*PI()*(((Inputs!$C$6)/Inputs!$C$50)+Inputs!$C$47*0.173))+0.20*SIN(2*PI()*((((Inputs!$I$8+(((A155)+1)/2)*(Inputs!$J$8-Inputs!$I$8)))+(Inputs!$C$6))/(0.5*(Inputs!$C$49+Inputs!$C$50))+Inputs!$C$47*0.097)))+0.30*(2*((SIN((((Inputs!$I$8+(((A155)+1)/2)*(Inputs!$J$8-Inputs!$I$8)))*12.9898+(Inputs!$C$6)*78.233+Inputs!$C$47*37.719))*43758.5453)-INT((SIN((((Inputs!$I$8+(((A155)+1)/2)*(Inputs!$J$8-Inputs!$I$8)))*12.9898+(Inputs!$C$6)*78.233+Inputs!$C$47*37.719))*43758.5453)))-1))),NA())</x:f>
        <x:v>240.54359828898043</x:v>
      </x:c>
      <x:c r="AV155" s="48" t="n">
        <x: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(0.45*SIN(2*PI()*((((Inputs!$I$9+(((A155)+1)/2)*(Inputs!$J$9-Inputs!$I$9)))/Inputs!$C$49)+Inputs!$C$47*0.137))+0.35*COS(2*PI()*(((Inputs!$C$6)/Inputs!$C$50)+Inputs!$C$47*0.173))+0.20*SIN(2*PI()*((((Inputs!$I$9+(((A155)+1)/2)*(Inputs!$J$9-Inputs!$I$9)))+(Inputs!$C$6))/(0.5*(Inputs!$C$49+Inputs!$C$50))+Inputs!$C$47*0.097)))+0.30*(2*((SIN((((Inputs!$I$9+(((A155)+1)/2)*(Inputs!$J$9-Inputs!$I$9)))*12.9898+(Inputs!$C$6)*78.233+Inputs!$C$47*37.719))*43758.5453)-INT((SIN((((Inputs!$I$9+(((A155)+1)/2)*(Inputs!$J$9-Inputs!$I$9)))*12.9898+(Inputs!$C$6)*78.233+Inputs!$C$47*37.719))*43758.5453)))-1))),NA())</x:f>
        <x:v>240.54359828898043</x:v>
      </x:c>
      <x:c r="AW155" s="49"/>
      <x:c r="AX155" s="48" t="n">
        <x:f>A155</x:f>
        <x:v>0.275</x:v>
      </x:c>
      <x:c r="AY155" s="48" t="n">
        <x:f>0</x:f>
        <x:v>0</x:v>
      </x:c>
      <x:c r="AZ155" s="48" t="n">
        <x:f>IF(OR(Inputs!$F$6=TRUE,Inputs!$F$6="TRUE",Inputs!$F$6=1),(Inputs!$H$6+Inputs!$L$6*(((Inputs!$I$6+(((A155)+1)/2)*(Inputs!$J$6-Inputs!$I$6)))/Inputs!$K$6)^2),NA())</x:f>
        <x:v>400.3025</x:v>
      </x:c>
      <x:c r="BA155" s="48" t="n">
        <x:f>IF(OR(Inputs!$F$7=TRUE,Inputs!$F$7="TRUE",Inputs!$F$7=1),(Inputs!$H$7+Inputs!$L$7*(((Inputs!$I$7+(((A155)+1)/2)*(Inputs!$J$7-Inputs!$I$7)))/Inputs!$K$7)^2),NA())</x:f>
        <x:v>62.60312499999997</x:v>
      </x:c>
      <x:c r="BB155" s="48" t="n">
        <x:f>IF(OR(Inputs!$F$8=TRUE,Inputs!$F$8="TRUE",Inputs!$F$8=1),(Inputs!$H$8+Inputs!$L$8*(((Inputs!$I$8+(((A155)+1)/2)*(Inputs!$J$8-Inputs!$I$8)))/Inputs!$K$8)^2),NA())</x:f>
        <x:v>107.97812499999992</x:v>
      </x:c>
      <x:c r="BC155" s="48" t="n">
        <x:f>IF(OR(Inputs!$F$9=TRUE,Inputs!$F$9="TRUE",Inputs!$F$9=1),(Inputs!$H$9+Inputs!$L$9*(((Inputs!$I$9+(((A155)+1)/2)*(Inputs!$J$9-Inputs!$I$9)))/Inputs!$K$9)^2),NA())</x:f>
        <x:v>98.73437499999991</x:v>
      </x:c>
      <x:c r="BD155" s="49"/>
      <x:c r="BE155" s="48" t="n">
        <x:f>A155</x:f>
        <x:v>0.275</x:v>
      </x:c>
      <x:c r="BF155" s="48" t="n">
        <x:f>0</x:f>
        <x:v>0</x:v>
      </x:c>
      <x:c r="BG155" s="48"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BH155" s="48"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BI155" s="48"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BJ155" s="48"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row>
    <x:row r="156">
      <x:c r="A156" s="48" t="n">
        <x:f>ROUND(-1+154*2/240,3)</x:f>
        <x:v>0.283</x:v>
      </x:c>
      <x:c r="B156" s="48" t="n">
        <x:f>IF(OR(Inputs!$F$6=TRUE,Inputs!$F$6="TRUE",Inputs!$F$6=1),(Inputs!$H$6+Inputs!$L$6*(((Inputs!$I$6+(((A156)+1)/2)*(Inputs!$J$6-Inputs!$I$6)))/Inputs!$K$6)^2),NA())</x:f>
        <x:v>400.320356</x:v>
      </x:c>
      <x:c r="C156" s="48" t="n">
        <x:f>IF(OR(Inputs!$F$7=TRUE,Inputs!$F$7="TRUE",Inputs!$F$7=1),(Inputs!$H$7+Inputs!$L$7*(((Inputs!$I$7+(((A156)+1)/2)*(Inputs!$J$7-Inputs!$I$7)))/Inputs!$K$7)^2),NA())</x:f>
        <x:v>64.23248499999997</x:v>
      </x:c>
      <x:c r="D156" s="48" t="n">
        <x:f>IF(OR(Inputs!$F$8=TRUE,Inputs!$F$8="TRUE",Inputs!$F$8=1),(Inputs!$H$8+Inputs!$L$8*(((Inputs!$I$8+(((A156)+1)/2)*(Inputs!$J$8-Inputs!$I$8)))/Inputs!$K$8)^2),NA())</x:f>
        <x:v>112.2858849999999</x:v>
      </x:c>
      <x:c r="E156" s="48" t="n">
        <x:f>IF(OR(Inputs!$F$9=TRUE,Inputs!$F$9="TRUE",Inputs!$F$9=1),(Inputs!$H$9+Inputs!$L$9*(((Inputs!$I$9+(((A156)+1)/2)*(Inputs!$J$9-Inputs!$I$9)))/Inputs!$K$9)^2),NA())</x:f>
        <x:v>103.0867749999999</x:v>
      </x:c>
      <x:c r="F156" s="49"/>
      <x:c r="G156" s="48" t="n">
        <x:f>A156</x:f>
        <x:v>0.283</x:v>
      </x:c>
      <x:c r="H156" s="48"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I156" s="48"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J156" s="48"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K156" s="48"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c r="L156" s="49"/>
      <x:c r="M156" s="48" t="n">
        <x:f>A156</x:f>
        <x:v>0.283</x:v>
      </x:c>
      <x:c r="N156" s="48" t="n">
        <x: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x:f>
        <x:v>-145.16542313645522</x:v>
      </x:c>
      <x:c r="O156" s="48" t="n">
        <x: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x:f>
        <x:v>-1820.7472062686484</x:v>
      </x:c>
      <x:c r="P156" s="48" t="n">
        <x: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x:f>
        <x:v>-2021.817231367102</x:v>
      </x:c>
      <x:c r="Q156" s="48" t="n">
        <x: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x:f>
        <x:v>-2014.4506510814804</x:v>
      </x:c>
      <x:c r="R156" s="49"/>
      <x:c r="S156" s="48" t="n">
        <x:f>A156</x:f>
        <x:v>0.283</x:v>
      </x:c>
      <x:c r="T156" s="48" t="n">
        <x:f>(Inputs!$I$6+(((A156)+1)/2)*(Inputs!$J$6-Inputs!$I$6))</x:f>
        <x:v>16.97999999999999</x:v>
      </x:c>
      <x:c r="U156" s="48" t="n">
        <x:f>(Inputs!$I$7+(((A156)+1)/2)*(Inputs!$J$7-Inputs!$I$7))</x:f>
        <x:v>113.19999999999993</x:v>
      </x:c>
      <x:c r="V156" s="48" t="n">
        <x:f>(Inputs!$I$8+(((A156)+1)/2)*(Inputs!$J$8-Inputs!$I$8))</x:f>
        <x:v>226.39999999999986</x:v>
      </x:c>
      <x:c r="W156" s="48" t="n">
        <x:f>(Inputs!$I$9+(((A156)+1)/2)*(Inputs!$J$9-Inputs!$I$9))</x:f>
        <x:v>226.39999999999986</x:v>
      </x:c>
      <x:c r="X156" s="49"/>
      <x:c r="Y156" s="48" t="n">
        <x:f>A156</x:f>
        <x:v>0.283</x:v>
      </x:c>
      <x:c r="Z156" s="48" t="n">
        <x:f>(Inputs!$H$6+Inputs!$L$6*(((Inputs!$I$6+(((A156)+1)/2)*(Inputs!$J$6-Inputs!$I$6)))/Inputs!$K$6)^2)</x:f>
        <x:v>400.320356</x:v>
      </x:c>
      <x:c r="AA156" s="48" t="n">
        <x:f>(Inputs!$H$7+Inputs!$L$7*(((Inputs!$I$7+(((A156)+1)/2)*(Inputs!$J$7-Inputs!$I$7)))/Inputs!$K$7)^2)</x:f>
        <x:v>64.23248499999997</x:v>
      </x:c>
      <x:c r="AB156" s="48" t="n">
        <x:f>(Inputs!$H$8+Inputs!$L$8*(((Inputs!$I$8+(((A156)+1)/2)*(Inputs!$J$8-Inputs!$I$8)))/Inputs!$K$8)^2)</x:f>
        <x:v>112.2858849999999</x:v>
      </x:c>
      <x:c r="AC156" s="48" t="n">
        <x:f>(Inputs!$H$9+Inputs!$L$9*(((Inputs!$I$9+(((A156)+1)/2)*(Inputs!$J$9-Inputs!$I$9)))/Inputs!$K$9)^2)</x:f>
        <x:v>103.0867749999999</x:v>
      </x:c>
      <x:c r="AD156" s="49"/>
      <x:c r="AE156" s="48" t="n">
        <x:f>A156</x:f>
        <x:v>0.283</x:v>
      </x:c>
      <x:c r="AF156" s="48" t="n">
        <x:f>(((SQRT((Inputs!$C$52+((Inputs!$H$6+Inputs!$L$6*(((Inputs!$I$6+(((A156)+1)/2)*(Inputs!$J$6-Inputs!$I$6)))/Inputs!$K$6)^2)))^2+Inputs!$C$52^2-2*(Inputs!$C$52+((Inputs!$H$6+Inputs!$L$6*(((Inputs!$I$6+(((A156)+1)/2)*(Inputs!$J$6-Inputs!$I$6)))/Inputs!$K$6)^2)))*Inputs!$C$52*COS(SQRT(((Inputs!$I$6+(((A156)+1)/2)*(Inputs!$J$6-Inputs!$I$6)))^2+Inputs!$C$6^2)/Inputs!$C$52)))-((Inputs!$H$6+Inputs!$L$6*(((Inputs!$I$6+(((A156)+1)/2)*(Inputs!$J$6-Inputs!$I$6)))/Inputs!$K$6)^2)))*1000/Inputs!$C$12)</x:f>
        <x:v>803.7732203479081</x:v>
      </x:c>
      <x:c r="AG156" s="48" t="n">
        <x:f>(((SQRT((Inputs!$C$52+((Inputs!$H$7+Inputs!$L$7*(((Inputs!$I$7+(((A156)+1)/2)*(Inputs!$J$7-Inputs!$I$7)))/Inputs!$K$7)^2)))^2+Inputs!$C$52^2-2*(Inputs!$C$52+((Inputs!$H$7+Inputs!$L$7*(((Inputs!$I$7+(((A156)+1)/2)*(Inputs!$J$7-Inputs!$I$7)))/Inputs!$K$7)^2)))*Inputs!$C$52*COS(SQRT(((Inputs!$I$7+(((A156)+1)/2)*(Inputs!$J$7-Inputs!$I$7)))^2+Inputs!$C$6^2)/Inputs!$C$52)))-((Inputs!$H$7+Inputs!$L$7*(((Inputs!$I$7+(((A156)+1)/2)*(Inputs!$J$7-Inputs!$I$7)))/Inputs!$K$7)^2)))*1000/Inputs!$C$12)</x:f>
        <x:v>39520.90245073188</x:v>
      </x:c>
      <x:c r="AH156" s="48" t="n">
        <x:f>(((SQRT((Inputs!$C$52+((Inputs!$H$8+Inputs!$L$8*(((Inputs!$I$8+(((A156)+1)/2)*(Inputs!$J$8-Inputs!$I$8)))/Inputs!$K$8)^2)))^2+Inputs!$C$52^2-2*(Inputs!$C$52+((Inputs!$H$8+Inputs!$L$8*(((Inputs!$I$8+(((A156)+1)/2)*(Inputs!$J$8-Inputs!$I$8)))/Inputs!$K$8)^2)))*Inputs!$C$52*COS(SQRT(((Inputs!$I$8+(((A156)+1)/2)*(Inputs!$J$8-Inputs!$I$8)))^2+Inputs!$C$6^2)/Inputs!$C$52)))-((Inputs!$H$8+Inputs!$L$8*(((Inputs!$I$8+(((A156)+1)/2)*(Inputs!$J$8-Inputs!$I$8)))/Inputs!$K$8)^2)))*1000/Inputs!$C$12)</x:f>
        <x:v>83550.37669555009</x:v>
      </x:c>
      <x:c r="AI156" s="48" t="n">
        <x:f>(((SQRT((Inputs!$C$52+((Inputs!$H$9+Inputs!$L$9*(((Inputs!$I$9+(((A156)+1)/2)*(Inputs!$J$9-Inputs!$I$9)))/Inputs!$K$9)^2)))^2+Inputs!$C$52^2-2*(Inputs!$C$52+((Inputs!$H$9+Inputs!$L$9*(((Inputs!$I$9+(((A156)+1)/2)*(Inputs!$J$9-Inputs!$I$9)))/Inputs!$K$9)^2)))*Inputs!$C$52*COS(SQRT(((Inputs!$I$9+(((A156)+1)/2)*(Inputs!$J$9-Inputs!$I$9)))^2+Inputs!$C$6^2)/Inputs!$C$52)))-((Inputs!$H$9+Inputs!$L$9*(((Inputs!$I$9+(((A156)+1)/2)*(Inputs!$J$9-Inputs!$I$9)))/Inputs!$K$9)^2)))*1000/Inputs!$C$12)</x:f>
        <x:v>86236.66478647699</x:v>
      </x:c>
      <x:c r="AJ156" s="49"/>
      <x:c r="AK156" s="48" t="n">
        <x:f>A156</x:f>
        <x:v>0.283</x:v>
      </x:c>
      <x:c r="AL156" s="48" t="n">
        <x: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x:f>
        <x:v>-145.16542313645522</x:v>
      </x:c>
      <x:c r="AM156" s="48" t="n">
        <x: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x:f>
        <x:v>-1820.7472062686484</x:v>
      </x:c>
      <x:c r="AN156" s="48" t="n">
        <x: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x:f>
        <x:v>-2021.817231367102</x:v>
      </x:c>
      <x:c r="AO156" s="48" t="n">
        <x: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x:f>
        <x:v>-2014.4506510814804</x:v>
      </x:c>
      <x:c r="AP156" s="49"/>
      <x:c r="AQ156" s="48" t="n">
        <x:f>A156</x:f>
        <x:v>0.283</x:v>
      </x:c>
      <x:c r="AR156" s="48" t="n">
        <x:f>0</x:f>
        <x:v>0</x:v>
      </x:c>
      <x:c r="AS156" s="48" t="n">
        <x: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(0.45*SIN(2*PI()*((((Inputs!$I$6+(((A156)+1)/2)*(Inputs!$J$6-Inputs!$I$6)))/Inputs!$C$49)+Inputs!$C$47*0.137))+0.35*COS(2*PI()*(((Inputs!$C$6)/Inputs!$C$50)+Inputs!$C$47*0.173))+0.20*SIN(2*PI()*((((Inputs!$I$6+(((A156)+1)/2)*(Inputs!$J$6-Inputs!$I$6)))+(Inputs!$C$6))/(0.5*(Inputs!$C$49+Inputs!$C$50))+Inputs!$C$47*0.097)))+0.30*(2*((SIN((((Inputs!$I$6+(((A156)+1)/2)*(Inputs!$J$6-Inputs!$I$6)))*12.9898+(Inputs!$C$6)*78.233+Inputs!$C$47*37.719))*43758.5453)-INT((SIN((((Inputs!$I$6+(((A156)+1)/2)*(Inputs!$J$6-Inputs!$I$6)))*12.9898+(Inputs!$C$6)*78.233+Inputs!$C$47*37.719))*43758.5453)))-1))),NA())</x:f>
        <x:v>399.73099547465813</x:v>
      </x:c>
      <x:c r="AT156" s="48" t="n">
        <x: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(0.45*SIN(2*PI()*((((Inputs!$I$7+(((A156)+1)/2)*(Inputs!$J$7-Inputs!$I$7)))/Inputs!$C$49)+Inputs!$C$47*0.137))+0.35*COS(2*PI()*(((Inputs!$C$6)/Inputs!$C$50)+Inputs!$C$47*0.173))+0.20*SIN(2*PI()*((((Inputs!$I$7+(((A156)+1)/2)*(Inputs!$J$7-Inputs!$I$7)))+(Inputs!$C$6))/(0.5*(Inputs!$C$49+Inputs!$C$50))+Inputs!$C$47*0.097)))+0.30*(2*((SIN((((Inputs!$I$7+(((A156)+1)/2)*(Inputs!$J$7-Inputs!$I$7)))*12.9898+(Inputs!$C$6)*78.233+Inputs!$C$47*37.719))*43758.5453)-INT((SIN((((Inputs!$I$7+(((A156)+1)/2)*(Inputs!$J$7-Inputs!$I$7)))*12.9898+(Inputs!$C$6)*78.233+Inputs!$C$47*37.719))*43758.5453)))-1))),NA())</x:f>
        <x:v>186.77766507504103</x:v>
      </x:c>
      <x:c r="AU156" s="48" t="n">
        <x: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(0.45*SIN(2*PI()*((((Inputs!$I$8+(((A156)+1)/2)*(Inputs!$J$8-Inputs!$I$8)))/Inputs!$C$49)+Inputs!$C$47*0.137))+0.35*COS(2*PI()*(((Inputs!$C$6)/Inputs!$C$50)+Inputs!$C$47*0.173))+0.20*SIN(2*PI()*((((Inputs!$I$8+(((A156)+1)/2)*(Inputs!$J$8-Inputs!$I$8)))+(Inputs!$C$6))/(0.5*(Inputs!$C$49+Inputs!$C$50))+Inputs!$C$47*0.097)))+0.30*(2*((SIN((((Inputs!$I$8+(((A156)+1)/2)*(Inputs!$J$8-Inputs!$I$8)))*12.9898+(Inputs!$C$6)*78.233+Inputs!$C$47*37.719))*43758.5453)-INT((SIN((((Inputs!$I$8+(((A156)+1)/2)*(Inputs!$J$8-Inputs!$I$8)))*12.9898+(Inputs!$C$6)*78.233+Inputs!$C$47*37.719))*43758.5453)))-1))),NA())</x:f>
        <x:v>109.01586451710135</x:v>
      </x:c>
      <x:c r="AV156" s="48" t="n">
        <x: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(0.45*SIN(2*PI()*((((Inputs!$I$9+(((A156)+1)/2)*(Inputs!$J$9-Inputs!$I$9)))/Inputs!$C$49)+Inputs!$C$47*0.137))+0.35*COS(2*PI()*(((Inputs!$C$6)/Inputs!$C$50)+Inputs!$C$47*0.173))+0.20*SIN(2*PI()*((((Inputs!$I$9+(((A156)+1)/2)*(Inputs!$J$9-Inputs!$I$9)))+(Inputs!$C$6))/(0.5*(Inputs!$C$49+Inputs!$C$50))+Inputs!$C$47*0.097)))+0.30*(2*((SIN((((Inputs!$I$9+(((A156)+1)/2)*(Inputs!$J$9-Inputs!$I$9)))*12.9898+(Inputs!$C$6)*78.233+Inputs!$C$47*37.719))*43758.5453)-INT((SIN((((Inputs!$I$9+(((A156)+1)/2)*(Inputs!$J$9-Inputs!$I$9)))*12.9898+(Inputs!$C$6)*78.233+Inputs!$C$47*37.719))*43758.5453)))-1))),NA())</x:f>
        <x:v>109.01586451710135</x:v>
      </x:c>
      <x:c r="AW156" s="49"/>
      <x:c r="AX156" s="48" t="n">
        <x:f>A156</x:f>
        <x:v>0.283</x:v>
      </x:c>
      <x:c r="AY156" s="48" t="n">
        <x:f>0</x:f>
        <x:v>0</x:v>
      </x:c>
      <x:c r="AZ156" s="48" t="n">
        <x:f>IF(OR(Inputs!$F$6=TRUE,Inputs!$F$6="TRUE",Inputs!$F$6=1),(Inputs!$H$6+Inputs!$L$6*(((Inputs!$I$6+(((A156)+1)/2)*(Inputs!$J$6-Inputs!$I$6)))/Inputs!$K$6)^2),NA())</x:f>
        <x:v>400.320356</x:v>
      </x:c>
      <x:c r="BA156" s="48" t="n">
        <x:f>IF(OR(Inputs!$F$7=TRUE,Inputs!$F$7="TRUE",Inputs!$F$7=1),(Inputs!$H$7+Inputs!$L$7*(((Inputs!$I$7+(((A156)+1)/2)*(Inputs!$J$7-Inputs!$I$7)))/Inputs!$K$7)^2),NA())</x:f>
        <x:v>64.23248499999997</x:v>
      </x:c>
      <x:c r="BB156" s="48" t="n">
        <x:f>IF(OR(Inputs!$F$8=TRUE,Inputs!$F$8="TRUE",Inputs!$F$8=1),(Inputs!$H$8+Inputs!$L$8*(((Inputs!$I$8+(((A156)+1)/2)*(Inputs!$J$8-Inputs!$I$8)))/Inputs!$K$8)^2),NA())</x:f>
        <x:v>112.2858849999999</x:v>
      </x:c>
      <x:c r="BC156" s="48" t="n">
        <x:f>IF(OR(Inputs!$F$9=TRUE,Inputs!$F$9="TRUE",Inputs!$F$9=1),(Inputs!$H$9+Inputs!$L$9*(((Inputs!$I$9+(((A156)+1)/2)*(Inputs!$J$9-Inputs!$I$9)))/Inputs!$K$9)^2),NA())</x:f>
        <x:v>103.0867749999999</x:v>
      </x:c>
      <x:c r="BD156" s="49"/>
      <x:c r="BE156" s="48" t="n">
        <x:f>A156</x:f>
        <x:v>0.283</x:v>
      </x:c>
      <x:c r="BF156" s="48" t="n">
        <x:f>0</x:f>
        <x:v>0</x:v>
      </x:c>
      <x:c r="BG156" s="48"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BH156" s="48"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BI156" s="48"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BJ156" s="48"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row>
    <x:row r="157">
      <x:c r="A157" s="48" t="n">
        <x:f>ROUND(-1+155*2/240,3)</x:f>
        <x:v>0.292</x:v>
      </x:c>
      <x:c r="B157" s="48" t="n">
        <x:f>IF(OR(Inputs!$F$6=TRUE,Inputs!$F$6="TRUE",Inputs!$F$6=1),(Inputs!$H$6+Inputs!$L$6*(((Inputs!$I$6+(((A157)+1)/2)*(Inputs!$J$6-Inputs!$I$6)))/Inputs!$K$6)^2),NA())</x:f>
        <x:v>400.341056</x:v>
      </x:c>
      <x:c r="C157" s="48" t="n">
        <x:f>IF(OR(Inputs!$F$7=TRUE,Inputs!$F$7="TRUE",Inputs!$F$7=1),(Inputs!$H$7+Inputs!$L$7*(((Inputs!$I$7+(((A157)+1)/2)*(Inputs!$J$7-Inputs!$I$7)))/Inputs!$K$7)^2),NA())</x:f>
        <x:v>66.12136000000004</x:v>
      </x:c>
      <x:c r="D157" s="48" t="n">
        <x:f>IF(OR(Inputs!$F$8=TRUE,Inputs!$F$8="TRUE",Inputs!$F$8=1),(Inputs!$H$8+Inputs!$L$8*(((Inputs!$I$8+(((A157)+1)/2)*(Inputs!$J$8-Inputs!$I$8)))/Inputs!$K$8)^2),NA())</x:f>
        <x:v>117.27976000000008</x:v>
      </x:c>
      <x:c r="E157" s="48" t="n">
        <x:f>IF(OR(Inputs!$F$9=TRUE,Inputs!$F$9="TRUE",Inputs!$F$9=1),(Inputs!$H$9+Inputs!$L$9*(((Inputs!$I$9+(((A157)+1)/2)*(Inputs!$J$9-Inputs!$I$9)))/Inputs!$K$9)^2),NA())</x:f>
        <x:v>108.13240000000009</x:v>
      </x:c>
      <x:c r="F157" s="49"/>
      <x:c r="G157" s="48" t="n">
        <x:f>A157</x:f>
        <x:v>0.292</x:v>
      </x:c>
      <x:c r="H157" s="48"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I157" s="48"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J157" s="48"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K157" s="48"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c r="L157" s="49"/>
      <x:c r="M157" s="48" t="n">
        <x:f>A157</x:f>
        <x:v>0.292</x:v>
      </x:c>
      <x:c r="N157" s="48" t="n">
        <x: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x:f>
        <x:v>-149.76838614406955</x:v>
      </x:c>
      <x:c r="O157" s="48" t="n">
        <x: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x:f>
        <x:v>-1837.692779423663</x:v>
      </x:c>
      <x:c r="P157" s="48" t="n">
        <x: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x:f>
        <x:v>-2044.7821149976226</x:v>
      </x:c>
      <x:c r="Q157" s="48" t="n">
        <x: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x:f>
        <x:v>-2037.5440336049628</x:v>
      </x:c>
      <x:c r="R157" s="49"/>
      <x:c r="S157" s="48" t="n">
        <x:f>A157</x:f>
        <x:v>0.292</x:v>
      </x:c>
      <x:c r="T157" s="48" t="n">
        <x:f>(Inputs!$I$6+(((A157)+1)/2)*(Inputs!$J$6-Inputs!$I$6))</x:f>
        <x:v>17.519999999999996</x:v>
      </x:c>
      <x:c r="U157" s="48" t="n">
        <x:f>(Inputs!$I$7+(((A157)+1)/2)*(Inputs!$J$7-Inputs!$I$7))</x:f>
        <x:v>116.80000000000007</x:v>
      </x:c>
      <x:c r="V157" s="48" t="n">
        <x:f>(Inputs!$I$8+(((A157)+1)/2)*(Inputs!$J$8-Inputs!$I$8))</x:f>
        <x:v>233.60000000000014</x:v>
      </x:c>
      <x:c r="W157" s="48" t="n">
        <x:f>(Inputs!$I$9+(((A157)+1)/2)*(Inputs!$J$9-Inputs!$I$9))</x:f>
        <x:v>233.60000000000014</x:v>
      </x:c>
      <x:c r="X157" s="49"/>
      <x:c r="Y157" s="48" t="n">
        <x:f>A157</x:f>
        <x:v>0.292</x:v>
      </x:c>
      <x:c r="Z157" s="48" t="n">
        <x:f>(Inputs!$H$6+Inputs!$L$6*(((Inputs!$I$6+(((A157)+1)/2)*(Inputs!$J$6-Inputs!$I$6)))/Inputs!$K$6)^2)</x:f>
        <x:v>400.341056</x:v>
      </x:c>
      <x:c r="AA157" s="48" t="n">
        <x:f>(Inputs!$H$7+Inputs!$L$7*(((Inputs!$I$7+(((A157)+1)/2)*(Inputs!$J$7-Inputs!$I$7)))/Inputs!$K$7)^2)</x:f>
        <x:v>66.12136000000004</x:v>
      </x:c>
      <x:c r="AB157" s="48" t="n">
        <x:f>(Inputs!$H$8+Inputs!$L$8*(((Inputs!$I$8+(((A157)+1)/2)*(Inputs!$J$8-Inputs!$I$8)))/Inputs!$K$8)^2)</x:f>
        <x:v>117.27976000000008</x:v>
      </x:c>
      <x:c r="AC157" s="48" t="n">
        <x:f>(Inputs!$H$9+Inputs!$L$9*(((Inputs!$I$9+(((A157)+1)/2)*(Inputs!$J$9-Inputs!$I$9)))/Inputs!$K$9)^2)</x:f>
        <x:v>108.13240000000009</x:v>
      </x:c>
      <x:c r="AD157" s="49"/>
      <x:c r="AE157" s="48" t="n">
        <x:f>A157</x:f>
        <x:v>0.292</x:v>
      </x:c>
      <x:c r="AF157" s="48" t="n">
        <x:f>(((SQRT((Inputs!$C$52+((Inputs!$H$6+Inputs!$L$6*(((Inputs!$I$6+(((A157)+1)/2)*(Inputs!$J$6-Inputs!$I$6)))/Inputs!$K$6)^2)))^2+Inputs!$C$52^2-2*(Inputs!$C$52+((Inputs!$H$6+Inputs!$L$6*(((Inputs!$I$6+(((A157)+1)/2)*(Inputs!$J$6-Inputs!$I$6)))/Inputs!$K$6)^2)))*Inputs!$C$52*COS(SQRT(((Inputs!$I$6+(((A157)+1)/2)*(Inputs!$J$6-Inputs!$I$6)))^2+Inputs!$C$6^2)/Inputs!$C$52)))-((Inputs!$H$6+Inputs!$L$6*(((Inputs!$I$6+(((A157)+1)/2)*(Inputs!$J$6-Inputs!$I$6)))/Inputs!$K$6)^2)))*1000/Inputs!$C$12)</x:f>
        <x:v>820.1047459427689</x:v>
      </x:c>
      <x:c r="AG157" s="48" t="n">
        <x:f>(((SQRT((Inputs!$C$52+((Inputs!$H$7+Inputs!$L$7*(((Inputs!$I$7+(((A157)+1)/2)*(Inputs!$J$7-Inputs!$I$7)))/Inputs!$K$7)^2)))^2+Inputs!$C$52^2-2*(Inputs!$C$52+((Inputs!$H$7+Inputs!$L$7*(((Inputs!$I$7+(((A157)+1)/2)*(Inputs!$J$7-Inputs!$I$7)))/Inputs!$K$7)^2)))*Inputs!$C$52*COS(SQRT(((Inputs!$I$7+(((A157)+1)/2)*(Inputs!$J$7-Inputs!$I$7)))^2+Inputs!$C$6^2)/Inputs!$C$52)))-((Inputs!$H$7+Inputs!$L$7*(((Inputs!$I$7+(((A157)+1)/2)*(Inputs!$J$7-Inputs!$I$7)))/Inputs!$K$7)^2)))*1000/Inputs!$C$12)</x:f>
        <x:v>40771.96810224248</x:v>
      </x:c>
      <x:c r="AH157" s="48" t="n">
        <x:f>(((SQRT((Inputs!$C$52+((Inputs!$H$8+Inputs!$L$8*(((Inputs!$I$8+(((A157)+1)/2)*(Inputs!$J$8-Inputs!$I$8)))/Inputs!$K$8)^2)))^2+Inputs!$C$52^2-2*(Inputs!$C$52+((Inputs!$H$8+Inputs!$L$8*(((Inputs!$I$8+(((A157)+1)/2)*(Inputs!$J$8-Inputs!$I$8)))/Inputs!$K$8)^2)))*Inputs!$C$52*COS(SQRT(((Inputs!$I$8+(((A157)+1)/2)*(Inputs!$J$8-Inputs!$I$8)))^2+Inputs!$C$6^2)/Inputs!$C$52)))-((Inputs!$H$8+Inputs!$L$8*(((Inputs!$I$8+(((A157)+1)/2)*(Inputs!$J$8-Inputs!$I$8)))/Inputs!$K$8)^2)))*1000/Inputs!$C$12)</x:f>
        <x:v>85885.11295528796</x:v>
      </x:c>
      <x:c r="AI157" s="48" t="n">
        <x:f>(((SQRT((Inputs!$C$52+((Inputs!$H$9+Inputs!$L$9*(((Inputs!$I$9+(((A157)+1)/2)*(Inputs!$J$9-Inputs!$I$9)))/Inputs!$K$9)^2)))^2+Inputs!$C$52^2-2*(Inputs!$C$52+((Inputs!$H$9+Inputs!$L$9*(((Inputs!$I$9+(((A157)+1)/2)*(Inputs!$J$9-Inputs!$I$9)))/Inputs!$K$9)^2)))*Inputs!$C$52*COS(SQRT(((Inputs!$I$9+(((A157)+1)/2)*(Inputs!$J$9-Inputs!$I$9)))^2+Inputs!$C$6^2)/Inputs!$C$52)))-((Inputs!$H$9+Inputs!$L$9*(((Inputs!$I$9+(((A157)+1)/2)*(Inputs!$J$9-Inputs!$I$9)))/Inputs!$K$9)^2)))*1000/Inputs!$C$12)</x:f>
        <x:v>88523.85608820729</x:v>
      </x:c>
      <x:c r="AJ157" s="49"/>
      <x:c r="AK157" s="48" t="n">
        <x:f>A157</x:f>
        <x:v>0.292</x:v>
      </x:c>
      <x:c r="AL157" s="48" t="n">
        <x: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x:f>
        <x:v>-149.76838614406955</x:v>
      </x:c>
      <x:c r="AM157" s="48" t="n">
        <x: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x:f>
        <x:v>-1837.692779423663</x:v>
      </x:c>
      <x:c r="AN157" s="48" t="n">
        <x: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x:f>
        <x:v>-2044.7821149976226</x:v>
      </x:c>
      <x:c r="AO157" s="48" t="n">
        <x: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x:f>
        <x:v>-2037.5440336049628</x:v>
      </x:c>
      <x:c r="AP157" s="49"/>
      <x:c r="AQ157" s="48" t="n">
        <x:f>A157</x:f>
        <x:v>0.292</x:v>
      </x:c>
      <x:c r="AR157" s="48" t="n">
        <x:f>0</x:f>
        <x:v>0</x:v>
      </x:c>
      <x:c r="AS157" s="48" t="n">
        <x: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(0.45*SIN(2*PI()*((((Inputs!$I$6+(((A157)+1)/2)*(Inputs!$J$6-Inputs!$I$6)))/Inputs!$C$49)+Inputs!$C$47*0.137))+0.35*COS(2*PI()*(((Inputs!$C$6)/Inputs!$C$50)+Inputs!$C$47*0.173))+0.20*SIN(2*PI()*((((Inputs!$I$6+(((A157)+1)/2)*(Inputs!$J$6-Inputs!$I$6)))+(Inputs!$C$6))/(0.5*(Inputs!$C$49+Inputs!$C$50))+Inputs!$C$47*0.097)))+0.30*(2*((SIN((((Inputs!$I$6+(((A157)+1)/2)*(Inputs!$J$6-Inputs!$I$6)))*12.9898+(Inputs!$C$6)*78.233+Inputs!$C$47*37.719))*43758.5453)-INT((SIN((((Inputs!$I$6+(((A157)+1)/2)*(Inputs!$J$6-Inputs!$I$6)))*12.9898+(Inputs!$C$6)*78.233+Inputs!$C$47*37.719))*43758.5453)))-1))),NA())</x:f>
        <x:v>414.8667251252668</x:v>
      </x:c>
      <x:c r="AT157" s="48" t="n">
        <x: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(0.45*SIN(2*PI()*((((Inputs!$I$7+(((A157)+1)/2)*(Inputs!$J$7-Inputs!$I$7)))/Inputs!$C$49)+Inputs!$C$47*0.137))+0.35*COS(2*PI()*(((Inputs!$C$6)/Inputs!$C$50)+Inputs!$C$47*0.173))+0.20*SIN(2*PI()*((((Inputs!$I$7+(((A157)+1)/2)*(Inputs!$J$7-Inputs!$I$7)))+(Inputs!$C$6))/(0.5*(Inputs!$C$49+Inputs!$C$50))+Inputs!$C$47*0.097)))+0.30*(2*((SIN((((Inputs!$I$7+(((A157)+1)/2)*(Inputs!$J$7-Inputs!$I$7)))*12.9898+(Inputs!$C$6)*78.233+Inputs!$C$47*37.719))*43758.5453)-INT((SIN((((Inputs!$I$7+(((A157)+1)/2)*(Inputs!$J$7-Inputs!$I$7)))*12.9898+(Inputs!$C$6)*78.233+Inputs!$C$47*37.719))*43758.5453)))-1))),NA())</x:f>
        <x:v>139.85330279835185</x:v>
      </x:c>
      <x:c r="AU157" s="48" t="n">
        <x: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(0.45*SIN(2*PI()*((((Inputs!$I$8+(((A157)+1)/2)*(Inputs!$J$8-Inputs!$I$8)))/Inputs!$C$49)+Inputs!$C$47*0.137))+0.35*COS(2*PI()*(((Inputs!$C$6)/Inputs!$C$50)+Inputs!$C$47*0.173))+0.20*SIN(2*PI()*((((Inputs!$I$8+(((A157)+1)/2)*(Inputs!$J$8-Inputs!$I$8)))+(Inputs!$C$6))/(0.5*(Inputs!$C$49+Inputs!$C$50))+Inputs!$C$47*0.097)))+0.30*(2*((SIN((((Inputs!$I$8+(((A157)+1)/2)*(Inputs!$J$8-Inputs!$I$8)))*12.9898+(Inputs!$C$6)*78.233+Inputs!$C$47*37.719))*43758.5453)-INT((SIN((((Inputs!$I$8+(((A157)+1)/2)*(Inputs!$J$8-Inputs!$I$8)))*12.9898+(Inputs!$C$6)*78.233+Inputs!$C$47*37.719))*43758.5453)))-1))),NA())</x:f>
        <x:v>168.53655761010128</x:v>
      </x:c>
      <x:c r="AV157" s="48" t="n">
        <x: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(0.45*SIN(2*PI()*((((Inputs!$I$9+(((A157)+1)/2)*(Inputs!$J$9-Inputs!$I$9)))/Inputs!$C$49)+Inputs!$C$47*0.137))+0.35*COS(2*PI()*(((Inputs!$C$6)/Inputs!$C$50)+Inputs!$C$47*0.173))+0.20*SIN(2*PI()*((((Inputs!$I$9+(((A157)+1)/2)*(Inputs!$J$9-Inputs!$I$9)))+(Inputs!$C$6))/(0.5*(Inputs!$C$49+Inputs!$C$50))+Inputs!$C$47*0.097)))+0.30*(2*((SIN((((Inputs!$I$9+(((A157)+1)/2)*(Inputs!$J$9-Inputs!$I$9)))*12.9898+(Inputs!$C$6)*78.233+Inputs!$C$47*37.719))*43758.5453)-INT((SIN((((Inputs!$I$9+(((A157)+1)/2)*(Inputs!$J$9-Inputs!$I$9)))*12.9898+(Inputs!$C$6)*78.233+Inputs!$C$47*37.719))*43758.5453)))-1))),NA())</x:f>
        <x:v>168.53655761010128</x:v>
      </x:c>
      <x:c r="AW157" s="49"/>
      <x:c r="AX157" s="48" t="n">
        <x:f>A157</x:f>
        <x:v>0.292</x:v>
      </x:c>
      <x:c r="AY157" s="48" t="n">
        <x:f>0</x:f>
        <x:v>0</x:v>
      </x:c>
      <x:c r="AZ157" s="48" t="n">
        <x:f>IF(OR(Inputs!$F$6=TRUE,Inputs!$F$6="TRUE",Inputs!$F$6=1),(Inputs!$H$6+Inputs!$L$6*(((Inputs!$I$6+(((A157)+1)/2)*(Inputs!$J$6-Inputs!$I$6)))/Inputs!$K$6)^2),NA())</x:f>
        <x:v>400.341056</x:v>
      </x:c>
      <x:c r="BA157" s="48" t="n">
        <x:f>IF(OR(Inputs!$F$7=TRUE,Inputs!$F$7="TRUE",Inputs!$F$7=1),(Inputs!$H$7+Inputs!$L$7*(((Inputs!$I$7+(((A157)+1)/2)*(Inputs!$J$7-Inputs!$I$7)))/Inputs!$K$7)^2),NA())</x:f>
        <x:v>66.12136000000004</x:v>
      </x:c>
      <x:c r="BB157" s="48" t="n">
        <x:f>IF(OR(Inputs!$F$8=TRUE,Inputs!$F$8="TRUE",Inputs!$F$8=1),(Inputs!$H$8+Inputs!$L$8*(((Inputs!$I$8+(((A157)+1)/2)*(Inputs!$J$8-Inputs!$I$8)))/Inputs!$K$8)^2),NA())</x:f>
        <x:v>117.27976000000008</x:v>
      </x:c>
      <x:c r="BC157" s="48" t="n">
        <x:f>IF(OR(Inputs!$F$9=TRUE,Inputs!$F$9="TRUE",Inputs!$F$9=1),(Inputs!$H$9+Inputs!$L$9*(((Inputs!$I$9+(((A157)+1)/2)*(Inputs!$J$9-Inputs!$I$9)))/Inputs!$K$9)^2),NA())</x:f>
        <x:v>108.13240000000009</x:v>
      </x:c>
      <x:c r="BD157" s="49"/>
      <x:c r="BE157" s="48" t="n">
        <x:f>A157</x:f>
        <x:v>0.292</x:v>
      </x:c>
      <x:c r="BF157" s="48" t="n">
        <x:f>0</x:f>
        <x:v>0</x:v>
      </x:c>
      <x:c r="BG157" s="48"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BH157" s="48"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BI157" s="48"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BJ157" s="48"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row>
    <x:row r="158">
      <x:c r="A158" s="48" t="n">
        <x:f>ROUND(-1+156*2/240,3)</x:f>
        <x:v>0.3</x:v>
      </x:c>
      <x:c r="B158" s="48" t="n">
        <x:f>IF(OR(Inputs!$F$6=TRUE,Inputs!$F$6="TRUE",Inputs!$F$6=1),(Inputs!$H$6+Inputs!$L$6*(((Inputs!$I$6+(((A158)+1)/2)*(Inputs!$J$6-Inputs!$I$6)))/Inputs!$K$6)^2),NA())</x:f>
        <x:v>400.36</x:v>
      </x:c>
      <x:c r="C158" s="48" t="n">
        <x:f>IF(OR(Inputs!$F$7=TRUE,Inputs!$F$7="TRUE",Inputs!$F$7=1),(Inputs!$H$7+Inputs!$L$7*(((Inputs!$I$7+(((A158)+1)/2)*(Inputs!$J$7-Inputs!$I$7)))/Inputs!$K$7)^2),NA())</x:f>
        <x:v>67.85</x:v>
      </x:c>
      <x:c r="D158" s="48" t="n">
        <x:f>IF(OR(Inputs!$F$8=TRUE,Inputs!$F$8="TRUE",Inputs!$F$8=1),(Inputs!$H$8+Inputs!$L$8*(((Inputs!$I$8+(((A158)+1)/2)*(Inputs!$J$8-Inputs!$I$8)))/Inputs!$K$8)^2),NA())</x:f>
        <x:v>121.85</x:v>
      </x:c>
      <x:c r="E158" s="48" t="n">
        <x:f>IF(OR(Inputs!$F$9=TRUE,Inputs!$F$9="TRUE",Inputs!$F$9=1),(Inputs!$H$9+Inputs!$L$9*(((Inputs!$I$9+(((A158)+1)/2)*(Inputs!$J$9-Inputs!$I$9)))/Inputs!$K$9)^2),NA())</x:f>
        <x:v>112.75</x:v>
      </x:c>
      <x:c r="F158" s="49"/>
      <x:c r="G158" s="48" t="n">
        <x:f>A158</x:f>
        <x:v>0.3</x:v>
      </x:c>
      <x:c r="H158" s="48"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I158" s="48"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J158" s="48"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K158" s="48"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c r="L158" s="49"/>
      <x:c r="M158" s="48" t="n">
        <x:f>A158</x:f>
        <x:v>0.3</x:v>
      </x:c>
      <x:c r="N158" s="48" t="n">
        <x: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x:f>
        <x:v>-153.85884194651075</x:v>
      </x:c>
      <x:c r="O158" s="48" t="n">
        <x: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x:f>
        <x:v>-1852.6524141587827</x:v>
      </x:c>
      <x:c r="P158" s="48" t="n">
        <x: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x:f>
        <x:v>-2065.5176137733747</x:v>
      </x:c>
      <x:c r="Q158" s="48" t="n">
        <x: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x:f>
        <x:v>-2058.4353644245243</x:v>
      </x:c>
      <x:c r="R158" s="49"/>
      <x:c r="S158" s="48" t="n">
        <x:f>A158</x:f>
        <x:v>0.3</x:v>
      </x:c>
      <x:c r="T158" s="48" t="n">
        <x:f>(Inputs!$I$6+(((A158)+1)/2)*(Inputs!$J$6-Inputs!$I$6))</x:f>
        <x:v>18</x:v>
      </x:c>
      <x:c r="U158" s="48" t="n">
        <x:f>(Inputs!$I$7+(((A158)+1)/2)*(Inputs!$J$7-Inputs!$I$7))</x:f>
        <x:v>120</x:v>
      </x:c>
      <x:c r="V158" s="48" t="n">
        <x:f>(Inputs!$I$8+(((A158)+1)/2)*(Inputs!$J$8-Inputs!$I$8))</x:f>
        <x:v>240</x:v>
      </x:c>
      <x:c r="W158" s="48" t="n">
        <x:f>(Inputs!$I$9+(((A158)+1)/2)*(Inputs!$J$9-Inputs!$I$9))</x:f>
        <x:v>240</x:v>
      </x:c>
      <x:c r="X158" s="49"/>
      <x:c r="Y158" s="48" t="n">
        <x:f>A158</x:f>
        <x:v>0.3</x:v>
      </x:c>
      <x:c r="Z158" s="48" t="n">
        <x:f>(Inputs!$H$6+Inputs!$L$6*(((Inputs!$I$6+(((A158)+1)/2)*(Inputs!$J$6-Inputs!$I$6)))/Inputs!$K$6)^2)</x:f>
        <x:v>400.36</x:v>
      </x:c>
      <x:c r="AA158" s="48" t="n">
        <x:f>(Inputs!$H$7+Inputs!$L$7*(((Inputs!$I$7+(((A158)+1)/2)*(Inputs!$J$7-Inputs!$I$7)))/Inputs!$K$7)^2)</x:f>
        <x:v>67.85</x:v>
      </x:c>
      <x:c r="AB158" s="48" t="n">
        <x:f>(Inputs!$H$8+Inputs!$L$8*(((Inputs!$I$8+(((A158)+1)/2)*(Inputs!$J$8-Inputs!$I$8)))/Inputs!$K$8)^2)</x:f>
        <x:v>121.85</x:v>
      </x:c>
      <x:c r="AC158" s="48" t="n">
        <x:f>(Inputs!$H$9+Inputs!$L$9*(((Inputs!$I$9+(((A158)+1)/2)*(Inputs!$J$9-Inputs!$I$9)))/Inputs!$K$9)^2)</x:f>
        <x:v>112.75</x:v>
      </x:c>
      <x:c r="AD158" s="49"/>
      <x:c r="AE158" s="48" t="n">
        <x:f>A158</x:f>
        <x:v>0.3</x:v>
      </x:c>
      <x:c r="AF158" s="48" t="n">
        <x:f>(((SQRT((Inputs!$C$52+((Inputs!$H$6+Inputs!$L$6*(((Inputs!$I$6+(((A158)+1)/2)*(Inputs!$J$6-Inputs!$I$6)))/Inputs!$K$6)^2)))^2+Inputs!$C$52^2-2*(Inputs!$C$52+((Inputs!$H$6+Inputs!$L$6*(((Inputs!$I$6+(((A158)+1)/2)*(Inputs!$J$6-Inputs!$I$6)))/Inputs!$K$6)^2)))*Inputs!$C$52*COS(SQRT(((Inputs!$I$6+(((A158)+1)/2)*(Inputs!$J$6-Inputs!$I$6)))^2+Inputs!$C$6^2)/Inputs!$C$52)))-((Inputs!$H$6+Inputs!$L$6*(((Inputs!$I$6+(((A158)+1)/2)*(Inputs!$J$6-Inputs!$I$6)))/Inputs!$K$6)^2)))*1000/Inputs!$C$12)</x:f>
        <x:v>835.0486277864097</x:v>
      </x:c>
      <x:c r="AG158" s="48" t="n">
        <x:f>(((SQRT((Inputs!$C$52+((Inputs!$H$7+Inputs!$L$7*(((Inputs!$I$7+(((A158)+1)/2)*(Inputs!$J$7-Inputs!$I$7)))/Inputs!$K$7)^2)))^2+Inputs!$C$52^2-2*(Inputs!$C$52+((Inputs!$H$7+Inputs!$L$7*(((Inputs!$I$7+(((A158)+1)/2)*(Inputs!$J$7-Inputs!$I$7)))/Inputs!$K$7)^2)))*Inputs!$C$52*COS(SQRT(((Inputs!$I$7+(((A158)+1)/2)*(Inputs!$J$7-Inputs!$I$7)))^2+Inputs!$C$6^2)/Inputs!$C$52)))-((Inputs!$H$7+Inputs!$L$7*(((Inputs!$I$7+(((A158)+1)/2)*(Inputs!$J$7-Inputs!$I$7)))/Inputs!$K$7)^2)))*1000/Inputs!$C$12)</x:f>
        <x:v>41874.05723279586</x:v>
      </x:c>
      <x:c r="AH158" s="48" t="n">
        <x:f>(((SQRT((Inputs!$C$52+((Inputs!$H$8+Inputs!$L$8*(((Inputs!$I$8+(((A158)+1)/2)*(Inputs!$J$8-Inputs!$I$8)))/Inputs!$K$8)^2)))^2+Inputs!$C$52^2-2*(Inputs!$C$52+((Inputs!$H$8+Inputs!$L$8*(((Inputs!$I$8+(((A158)+1)/2)*(Inputs!$J$8-Inputs!$I$8)))/Inputs!$K$8)^2)))*Inputs!$C$52*COS(SQRT(((Inputs!$I$8+(((A158)+1)/2)*(Inputs!$J$8-Inputs!$I$8)))^2+Inputs!$C$6^2)/Inputs!$C$52)))-((Inputs!$H$8+Inputs!$L$8*(((Inputs!$I$8+(((A158)+1)/2)*(Inputs!$J$8-Inputs!$I$8)))/Inputs!$K$8)^2)))*1000/Inputs!$C$12)</x:f>
        <x:v>87935.8195419091</x:v>
      </x:c>
      <x:c r="AI158" s="48" t="n">
        <x:f>(((SQRT((Inputs!$C$52+((Inputs!$H$9+Inputs!$L$9*(((Inputs!$I$9+(((A158)+1)/2)*(Inputs!$J$9-Inputs!$I$9)))/Inputs!$K$9)^2)))^2+Inputs!$C$52^2-2*(Inputs!$C$52+((Inputs!$H$9+Inputs!$L$9*(((Inputs!$I$9+(((A158)+1)/2)*(Inputs!$J$9-Inputs!$I$9)))/Inputs!$K$9)^2)))*Inputs!$C$52*COS(SQRT(((Inputs!$I$9+(((A158)+1)/2)*(Inputs!$J$9-Inputs!$I$9)))^2+Inputs!$C$6^2)/Inputs!$C$52)))-((Inputs!$H$9+Inputs!$L$9*(((Inputs!$I$9+(((A158)+1)/2)*(Inputs!$J$9-Inputs!$I$9)))/Inputs!$K$9)^2)))*1000/Inputs!$C$12)</x:f>
        <x:v>90531.85871731327</x:v>
      </x:c>
      <x:c r="AJ158" s="49"/>
      <x:c r="AK158" s="48" t="n">
        <x:f>A158</x:f>
        <x:v>0.3</x:v>
      </x:c>
      <x:c r="AL158" s="48" t="n">
        <x: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x:f>
        <x:v>-153.85884194651075</x:v>
      </x:c>
      <x:c r="AM158" s="48" t="n">
        <x: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x:f>
        <x:v>-1852.6524141587827</x:v>
      </x:c>
      <x:c r="AN158" s="48" t="n">
        <x: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x:f>
        <x:v>-2065.5176137733747</x:v>
      </x:c>
      <x:c r="AO158" s="48" t="n">
        <x: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x:f>
        <x:v>-2058.4353644245243</x:v>
      </x:c>
      <x:c r="AP158" s="49"/>
      <x:c r="AQ158" s="48" t="n">
        <x:f>A158</x:f>
        <x:v>0.3</x:v>
      </x:c>
      <x:c r="AR158" s="48" t="n">
        <x:f>0</x:f>
        <x:v>0</x:v>
      </x:c>
      <x:c r="AS158" s="48" t="n">
        <x: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(0.45*SIN(2*PI()*((((Inputs!$I$6+(((A158)+1)/2)*(Inputs!$J$6-Inputs!$I$6)))/Inputs!$C$49)+Inputs!$C$47*0.137))+0.35*COS(2*PI()*(((Inputs!$C$6)/Inputs!$C$50)+Inputs!$C$47*0.173))+0.20*SIN(2*PI()*((((Inputs!$I$6+(((A158)+1)/2)*(Inputs!$J$6-Inputs!$I$6)))+(Inputs!$C$6))/(0.5*(Inputs!$C$49+Inputs!$C$50))+Inputs!$C$47*0.097)))+0.30*(2*((SIN((((Inputs!$I$6+(((A158)+1)/2)*(Inputs!$J$6-Inputs!$I$6)))*12.9898+(Inputs!$C$6)*78.233+Inputs!$C$47*37.719))*43758.5453)-INT((SIN((((Inputs!$I$6+(((A158)+1)/2)*(Inputs!$J$6-Inputs!$I$6)))*12.9898+(Inputs!$C$6)*78.233+Inputs!$C$47*37.719))*43758.5453)))-1))),NA())</x:f>
        <x:v>417.3671248555401</x:v>
      </x:c>
      <x:c r="AT158" s="48" t="n">
        <x: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(0.45*SIN(2*PI()*((((Inputs!$I$7+(((A158)+1)/2)*(Inputs!$J$7-Inputs!$I$7)))/Inputs!$C$49)+Inputs!$C$47*0.137))+0.35*COS(2*PI()*(((Inputs!$C$6)/Inputs!$C$50)+Inputs!$C$47*0.173))+0.20*SIN(2*PI()*((((Inputs!$I$7+(((A158)+1)/2)*(Inputs!$J$7-Inputs!$I$7)))+(Inputs!$C$6))/(0.5*(Inputs!$C$49+Inputs!$C$50))+Inputs!$C$47*0.097)))+0.30*(2*((SIN((((Inputs!$I$7+(((A158)+1)/2)*(Inputs!$J$7-Inputs!$I$7)))*12.9898+(Inputs!$C$6)*78.233+Inputs!$C$47*37.719))*43758.5453)-INT((SIN((((Inputs!$I$7+(((A158)+1)/2)*(Inputs!$J$7-Inputs!$I$7)))*12.9898+(Inputs!$C$6)*78.233+Inputs!$C$47*37.719))*43758.5453)))-1))),NA())</x:f>
        <x:v>68.45877121555797</x:v>
      </x:c>
      <x:c r="AU158" s="48" t="n">
        <x: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(0.45*SIN(2*PI()*((((Inputs!$I$8+(((A158)+1)/2)*(Inputs!$J$8-Inputs!$I$8)))/Inputs!$C$49)+Inputs!$C$47*0.137))+0.35*COS(2*PI()*(((Inputs!$C$6)/Inputs!$C$50)+Inputs!$C$47*0.173))+0.20*SIN(2*PI()*((((Inputs!$I$8+(((A158)+1)/2)*(Inputs!$J$8-Inputs!$I$8)))+(Inputs!$C$6))/(0.5*(Inputs!$C$49+Inputs!$C$50))+Inputs!$C$47*0.097)))+0.30*(2*((SIN((((Inputs!$I$8+(((A158)+1)/2)*(Inputs!$J$8-Inputs!$I$8)))*12.9898+(Inputs!$C$6)*78.233+Inputs!$C$47*37.719))*43758.5453)-INT((SIN((((Inputs!$I$8+(((A158)+1)/2)*(Inputs!$J$8-Inputs!$I$8)))*12.9898+(Inputs!$C$6)*78.233+Inputs!$C$47*37.719))*43758.5453)))-1))),NA())</x:f>
        <x:v>170.07540465003</x:v>
      </x:c>
      <x:c r="AV158" s="48" t="n">
        <x: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(0.45*SIN(2*PI()*((((Inputs!$I$9+(((A158)+1)/2)*(Inputs!$J$9-Inputs!$I$9)))/Inputs!$C$49)+Inputs!$C$47*0.137))+0.35*COS(2*PI()*(((Inputs!$C$6)/Inputs!$C$50)+Inputs!$C$47*0.173))+0.20*SIN(2*PI()*((((Inputs!$I$9+(((A158)+1)/2)*(Inputs!$J$9-Inputs!$I$9)))+(Inputs!$C$6))/(0.5*(Inputs!$C$49+Inputs!$C$50))+Inputs!$C$47*0.097)))+0.30*(2*((SIN((((Inputs!$I$9+(((A158)+1)/2)*(Inputs!$J$9-Inputs!$I$9)))*12.9898+(Inputs!$C$6)*78.233+Inputs!$C$47*37.719))*43758.5453)-INT((SIN((((Inputs!$I$9+(((A158)+1)/2)*(Inputs!$J$9-Inputs!$I$9)))*12.9898+(Inputs!$C$6)*78.233+Inputs!$C$47*37.719))*43758.5453)))-1))),NA())</x:f>
        <x:v>170.07540465003</x:v>
      </x:c>
      <x:c r="AW158" s="49"/>
      <x:c r="AX158" s="48" t="n">
        <x:f>A158</x:f>
        <x:v>0.3</x:v>
      </x:c>
      <x:c r="AY158" s="48" t="n">
        <x:f>0</x:f>
        <x:v>0</x:v>
      </x:c>
      <x:c r="AZ158" s="48" t="n">
        <x:f>IF(OR(Inputs!$F$6=TRUE,Inputs!$F$6="TRUE",Inputs!$F$6=1),(Inputs!$H$6+Inputs!$L$6*(((Inputs!$I$6+(((A158)+1)/2)*(Inputs!$J$6-Inputs!$I$6)))/Inputs!$K$6)^2),NA())</x:f>
        <x:v>400.36</x:v>
      </x:c>
      <x:c r="BA158" s="48" t="n">
        <x:f>IF(OR(Inputs!$F$7=TRUE,Inputs!$F$7="TRUE",Inputs!$F$7=1),(Inputs!$H$7+Inputs!$L$7*(((Inputs!$I$7+(((A158)+1)/2)*(Inputs!$J$7-Inputs!$I$7)))/Inputs!$K$7)^2),NA())</x:f>
        <x:v>67.85</x:v>
      </x:c>
      <x:c r="BB158" s="48" t="n">
        <x:f>IF(OR(Inputs!$F$8=TRUE,Inputs!$F$8="TRUE",Inputs!$F$8=1),(Inputs!$H$8+Inputs!$L$8*(((Inputs!$I$8+(((A158)+1)/2)*(Inputs!$J$8-Inputs!$I$8)))/Inputs!$K$8)^2),NA())</x:f>
        <x:v>121.85</x:v>
      </x:c>
      <x:c r="BC158" s="48" t="n">
        <x:f>IF(OR(Inputs!$F$9=TRUE,Inputs!$F$9="TRUE",Inputs!$F$9=1),(Inputs!$H$9+Inputs!$L$9*(((Inputs!$I$9+(((A158)+1)/2)*(Inputs!$J$9-Inputs!$I$9)))/Inputs!$K$9)^2),NA())</x:f>
        <x:v>112.75</x:v>
      </x:c>
      <x:c r="BD158" s="49"/>
      <x:c r="BE158" s="48" t="n">
        <x:f>A158</x:f>
        <x:v>0.3</x:v>
      </x:c>
      <x:c r="BF158" s="48" t="n">
        <x:f>0</x:f>
        <x:v>0</x:v>
      </x:c>
      <x:c r="BG158" s="48"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BH158" s="48"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BI158" s="48"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BJ158" s="48"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row>
    <x:row r="159">
      <x:c r="A159" s="48" t="n">
        <x:f>ROUND(-1+157*2/240,3)</x:f>
        <x:v>0.308</x:v>
      </x:c>
      <x:c r="B159" s="48" t="n">
        <x:f>IF(OR(Inputs!$F$6=TRUE,Inputs!$F$6="TRUE",Inputs!$F$6=1),(Inputs!$H$6+Inputs!$L$6*(((Inputs!$I$6+(((A159)+1)/2)*(Inputs!$J$6-Inputs!$I$6)))/Inputs!$K$6)^2),NA())</x:f>
        <x:v>400.379456</x:v>
      </x:c>
      <x:c r="C159" s="48" t="n">
        <x:f>IF(OR(Inputs!$F$7=TRUE,Inputs!$F$7="TRUE",Inputs!$F$7=1),(Inputs!$H$7+Inputs!$L$7*(((Inputs!$I$7+(((A159)+1)/2)*(Inputs!$J$7-Inputs!$I$7)))/Inputs!$K$7)^2),NA())</x:f>
        <x:v>69.62536000000003</x:v>
      </x:c>
      <x:c r="D159" s="48" t="n">
        <x:f>IF(OR(Inputs!$F$8=TRUE,Inputs!$F$8="TRUE",Inputs!$F$8=1),(Inputs!$H$8+Inputs!$L$8*(((Inputs!$I$8+(((A159)+1)/2)*(Inputs!$J$8-Inputs!$I$8)))/Inputs!$K$8)^2),NA())</x:f>
        <x:v>126.54376000000006</x:v>
      </x:c>
      <x:c r="E159" s="48" t="n">
        <x:f>IF(OR(Inputs!$F$9=TRUE,Inputs!$F$9="TRUE",Inputs!$F$9=1),(Inputs!$H$9+Inputs!$L$9*(((Inputs!$I$9+(((A159)+1)/2)*(Inputs!$J$9-Inputs!$I$9)))/Inputs!$K$9)^2),NA())</x:f>
        <x:v>117.49240000000006</x:v>
      </x:c>
      <x:c r="F159" s="49"/>
      <x:c r="G159" s="48" t="n">
        <x:f>A159</x:f>
        <x:v>0.308</x:v>
      </x:c>
      <x:c r="H159" s="48"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I159" s="48"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J159" s="48"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K159" s="48"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c r="L159" s="49"/>
      <x:c r="M159" s="48" t="n">
        <x:f>A159</x:f>
        <x:v>0.308</x:v>
      </x:c>
      <x:c r="N159" s="48" t="n">
        <x: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x:f>
        <x:v>-157.94826555448978</x:v>
      </x:c>
      <x:c r="O159" s="48" t="n">
        <x: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x:f>
        <x:v>-1867.544946559366</x:v>
      </x:c>
      <x:c r="P159" s="48" t="n">
        <x: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x:f>
        <x:v>-2086.5595222069446</x:v>
      </x:c>
      <x:c r="Q159" s="48" t="n">
        <x: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x:f>
        <x:v>-2079.668546368124</x:v>
      </x:c>
      <x:c r="R159" s="49"/>
      <x:c r="S159" s="48" t="n">
        <x:f>A159</x:f>
        <x:v>0.308</x:v>
      </x:c>
      <x:c r="T159" s="48" t="n">
        <x:f>(Inputs!$I$6+(((A159)+1)/2)*(Inputs!$J$6-Inputs!$I$6))</x:f>
        <x:v>18.480000000000004</x:v>
      </x:c>
      <x:c r="U159" s="48" t="n">
        <x:f>(Inputs!$I$7+(((A159)+1)/2)*(Inputs!$J$7-Inputs!$I$7))</x:f>
        <x:v>123.20000000000005</x:v>
      </x:c>
      <x:c r="V159" s="48" t="n">
        <x:f>(Inputs!$I$8+(((A159)+1)/2)*(Inputs!$J$8-Inputs!$I$8))</x:f>
        <x:v>246.4000000000001</x:v>
      </x:c>
      <x:c r="W159" s="48" t="n">
        <x:f>(Inputs!$I$9+(((A159)+1)/2)*(Inputs!$J$9-Inputs!$I$9))</x:f>
        <x:v>246.4000000000001</x:v>
      </x:c>
      <x:c r="X159" s="49"/>
      <x:c r="Y159" s="48" t="n">
        <x:f>A159</x:f>
        <x:v>0.308</x:v>
      </x:c>
      <x:c r="Z159" s="48" t="n">
        <x:f>(Inputs!$H$6+Inputs!$L$6*(((Inputs!$I$6+(((A159)+1)/2)*(Inputs!$J$6-Inputs!$I$6)))/Inputs!$K$6)^2)</x:f>
        <x:v>400.379456</x:v>
      </x:c>
      <x:c r="AA159" s="48" t="n">
        <x:f>(Inputs!$H$7+Inputs!$L$7*(((Inputs!$I$7+(((A159)+1)/2)*(Inputs!$J$7-Inputs!$I$7)))/Inputs!$K$7)^2)</x:f>
        <x:v>69.62536000000003</x:v>
      </x:c>
      <x:c r="AB159" s="48" t="n">
        <x:f>(Inputs!$H$8+Inputs!$L$8*(((Inputs!$I$8+(((A159)+1)/2)*(Inputs!$J$8-Inputs!$I$8)))/Inputs!$K$8)^2)</x:f>
        <x:v>126.54376000000006</x:v>
      </x:c>
      <x:c r="AC159" s="48" t="n">
        <x:f>(Inputs!$H$9+Inputs!$L$9*(((Inputs!$I$9+(((A159)+1)/2)*(Inputs!$J$9-Inputs!$I$9)))/Inputs!$K$9)^2)</x:f>
        <x:v>117.49240000000006</x:v>
      </x:c>
      <x:c r="AD159" s="49"/>
      <x:c r="AE159" s="48" t="n">
        <x:f>A159</x:f>
        <x:v>0.308</x:v>
      </x:c>
      <x:c r="AF159" s="48" t="n">
        <x:f>(((SQRT((Inputs!$C$52+((Inputs!$H$6+Inputs!$L$6*(((Inputs!$I$6+(((A159)+1)/2)*(Inputs!$J$6-Inputs!$I$6)))/Inputs!$K$6)^2)))^2+Inputs!$C$52^2-2*(Inputs!$C$52+((Inputs!$H$6+Inputs!$L$6*(((Inputs!$I$6+(((A159)+1)/2)*(Inputs!$J$6-Inputs!$I$6)))/Inputs!$K$6)^2)))*Inputs!$C$52*COS(SQRT(((Inputs!$I$6+(((A159)+1)/2)*(Inputs!$J$6-Inputs!$I$6)))^2+Inputs!$C$6^2)/Inputs!$C$52)))-((Inputs!$H$6+Inputs!$L$6*(((Inputs!$I$6+(((A159)+1)/2)*(Inputs!$J$6-Inputs!$I$6)))/Inputs!$K$6)^2)))*1000/Inputs!$C$12)</x:f>
        <x:v>850.3941852388081</x:v>
      </x:c>
      <x:c r="AG159" s="48" t="n">
        <x:f>(((SQRT((Inputs!$C$52+((Inputs!$H$7+Inputs!$L$7*(((Inputs!$I$7+(((A159)+1)/2)*(Inputs!$J$7-Inputs!$I$7)))/Inputs!$K$7)^2)))^2+Inputs!$C$52^2-2*(Inputs!$C$52+((Inputs!$H$7+Inputs!$L$7*(((Inputs!$I$7+(((A159)+1)/2)*(Inputs!$J$7-Inputs!$I$7)))/Inputs!$K$7)^2)))*Inputs!$C$52*COS(SQRT(((Inputs!$I$7+(((A159)+1)/2)*(Inputs!$J$7-Inputs!$I$7)))^2+Inputs!$C$6^2)/Inputs!$C$52)))-((Inputs!$H$7+Inputs!$L$7*(((Inputs!$I$7+(((A159)+1)/2)*(Inputs!$J$7-Inputs!$I$7)))/Inputs!$K$7)^2)))*1000/Inputs!$C$12)</x:f>
        <x:v>42966.66753837581</x:v>
      </x:c>
      <x:c r="AH159" s="48" t="n">
        <x:f>(((SQRT((Inputs!$C$52+((Inputs!$H$8+Inputs!$L$8*(((Inputs!$I$8+(((A159)+1)/2)*(Inputs!$J$8-Inputs!$I$8)))/Inputs!$K$8)^2)))^2+Inputs!$C$52^2-2*(Inputs!$C$52+((Inputs!$H$8+Inputs!$L$8*(((Inputs!$I$8+(((A159)+1)/2)*(Inputs!$J$8-Inputs!$I$8)))/Inputs!$K$8)^2)))*Inputs!$C$52*COS(SQRT(((Inputs!$I$8+(((A159)+1)/2)*(Inputs!$J$8-Inputs!$I$8)))^2+Inputs!$C$6^2)/Inputs!$C$52)))-((Inputs!$H$8+Inputs!$L$8*(((Inputs!$I$8+(((A159)+1)/2)*(Inputs!$J$8-Inputs!$I$8)))/Inputs!$K$8)^2)))*1000/Inputs!$C$12)</x:f>
        <x:v>89964.07335601514</x:v>
      </x:c>
      <x:c r="AI159" s="48" t="n">
        <x:f>(((SQRT((Inputs!$C$52+((Inputs!$H$9+Inputs!$L$9*(((Inputs!$I$9+(((A159)+1)/2)*(Inputs!$J$9-Inputs!$I$9)))/Inputs!$K$9)^2)))^2+Inputs!$C$52^2-2*(Inputs!$C$52+((Inputs!$H$9+Inputs!$L$9*(((Inputs!$I$9+(((A159)+1)/2)*(Inputs!$J$9-Inputs!$I$9)))/Inputs!$K$9)^2)))*Inputs!$C$52*COS(SQRT(((Inputs!$I$9+(((A159)+1)/2)*(Inputs!$J$9-Inputs!$I$9)))^2+Inputs!$C$6^2)/Inputs!$C$52)))-((Inputs!$H$9+Inputs!$L$9*(((Inputs!$I$9+(((A159)+1)/2)*(Inputs!$J$9-Inputs!$I$9)))/Inputs!$K$9)^2)))*1000/Inputs!$C$12)</x:f>
        <x:v>92517.08010921707</x:v>
      </x:c>
      <x:c r="AJ159" s="49"/>
      <x:c r="AK159" s="48" t="n">
        <x:f>A159</x:f>
        <x:v>0.308</x:v>
      </x:c>
      <x:c r="AL159" s="48" t="n">
        <x: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x:f>
        <x:v>-157.94826555448978</x:v>
      </x:c>
      <x:c r="AM159" s="48" t="n">
        <x: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x:f>
        <x:v>-1867.544946559366</x:v>
      </x:c>
      <x:c r="AN159" s="48" t="n">
        <x: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x:f>
        <x:v>-2086.5595222069446</x:v>
      </x:c>
      <x:c r="AO159" s="48" t="n">
        <x: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x:f>
        <x:v>-2079.668546368124</x:v>
      </x:c>
      <x:c r="AP159" s="49"/>
      <x:c r="AQ159" s="48" t="n">
        <x:f>A159</x:f>
        <x:v>0.308</x:v>
      </x:c>
      <x:c r="AR159" s="48" t="n">
        <x:f>0</x:f>
        <x:v>0</x:v>
      </x:c>
      <x:c r="AS159" s="48" t="n">
        <x: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(0.45*SIN(2*PI()*((((Inputs!$I$6+(((A159)+1)/2)*(Inputs!$J$6-Inputs!$I$6)))/Inputs!$C$49)+Inputs!$C$47*0.137))+0.35*COS(2*PI()*(((Inputs!$C$6)/Inputs!$C$50)+Inputs!$C$47*0.173))+0.20*SIN(2*PI()*((((Inputs!$I$6+(((A159)+1)/2)*(Inputs!$J$6-Inputs!$I$6)))+(Inputs!$C$6))/(0.5*(Inputs!$C$49+Inputs!$C$50))+Inputs!$C$47*0.097)))+0.30*(2*((SIN((((Inputs!$I$6+(((A159)+1)/2)*(Inputs!$J$6-Inputs!$I$6)))*12.9898+(Inputs!$C$6)*78.233+Inputs!$C$47*37.719))*43758.5453)-INT((SIN((((Inputs!$I$6+(((A159)+1)/2)*(Inputs!$J$6-Inputs!$I$6)))*12.9898+(Inputs!$C$6)*78.233+Inputs!$C$47*37.719))*43758.5453)))-1))),NA())</x:f>
        <x:v>424.3669185609771</x:v>
      </x:c>
      <x:c r="AT159" s="48" t="n">
        <x: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(0.45*SIN(2*PI()*((((Inputs!$I$7+(((A159)+1)/2)*(Inputs!$J$7-Inputs!$I$7)))/Inputs!$C$49)+Inputs!$C$47*0.137))+0.35*COS(2*PI()*(((Inputs!$C$6)/Inputs!$C$50)+Inputs!$C$47*0.173))+0.20*SIN(2*PI()*((((Inputs!$I$7+(((A159)+1)/2)*(Inputs!$J$7-Inputs!$I$7)))+(Inputs!$C$6))/(0.5*(Inputs!$C$49+Inputs!$C$50))+Inputs!$C$47*0.097)))+0.30*(2*((SIN((((Inputs!$I$7+(((A159)+1)/2)*(Inputs!$J$7-Inputs!$I$7)))*12.9898+(Inputs!$C$6)*78.233+Inputs!$C$47*37.719))*43758.5453)-INT((SIN((((Inputs!$I$7+(((A159)+1)/2)*(Inputs!$J$7-Inputs!$I$7)))*12.9898+(Inputs!$C$6)*78.233+Inputs!$C$47*37.719))*43758.5453)))-1))),NA())</x:f>
        <x:v>77.97686071989834</x:v>
      </x:c>
      <x:c r="AU159" s="48" t="n">
        <x: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(0.45*SIN(2*PI()*((((Inputs!$I$8+(((A159)+1)/2)*(Inputs!$J$8-Inputs!$I$8)))/Inputs!$C$49)+Inputs!$C$47*0.137))+0.35*COS(2*PI()*(((Inputs!$C$6)/Inputs!$C$50)+Inputs!$C$47*0.173))+0.20*SIN(2*PI()*((((Inputs!$I$8+(((A159)+1)/2)*(Inputs!$J$8-Inputs!$I$8)))+(Inputs!$C$6))/(0.5*(Inputs!$C$49+Inputs!$C$50))+Inputs!$C$47*0.097)))+0.30*(2*((SIN((((Inputs!$I$8+(((A159)+1)/2)*(Inputs!$J$8-Inputs!$I$8)))*12.9898+(Inputs!$C$6)*78.233+Inputs!$C$47*37.719))*43758.5453)-INT((SIN((((Inputs!$I$8+(((A159)+1)/2)*(Inputs!$J$8-Inputs!$I$8)))*12.9898+(Inputs!$C$6)*78.233+Inputs!$C$47*37.719))*43758.5453)))-1))),NA())</x:f>
        <x:v>106.90420390302545</x:v>
      </x:c>
      <x:c r="AV159" s="48" t="n">
        <x: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(0.45*SIN(2*PI()*((((Inputs!$I$9+(((A159)+1)/2)*(Inputs!$J$9-Inputs!$I$9)))/Inputs!$C$49)+Inputs!$C$47*0.137))+0.35*COS(2*PI()*(((Inputs!$C$6)/Inputs!$C$50)+Inputs!$C$47*0.173))+0.20*SIN(2*PI()*((((Inputs!$I$9+(((A159)+1)/2)*(Inputs!$J$9-Inputs!$I$9)))+(Inputs!$C$6))/(0.5*(Inputs!$C$49+Inputs!$C$50))+Inputs!$C$47*0.097)))+0.30*(2*((SIN((((Inputs!$I$9+(((A159)+1)/2)*(Inputs!$J$9-Inputs!$I$9)))*12.9898+(Inputs!$C$6)*78.233+Inputs!$C$47*37.719))*43758.5453)-INT((SIN((((Inputs!$I$9+(((A159)+1)/2)*(Inputs!$J$9-Inputs!$I$9)))*12.9898+(Inputs!$C$6)*78.233+Inputs!$C$47*37.719))*43758.5453)))-1))),NA())</x:f>
        <x:v>106.90420390302545</x:v>
      </x:c>
      <x:c r="AW159" s="49"/>
      <x:c r="AX159" s="48" t="n">
        <x:f>A159</x:f>
        <x:v>0.308</x:v>
      </x:c>
      <x:c r="AY159" s="48" t="n">
        <x:f>0</x:f>
        <x:v>0</x:v>
      </x:c>
      <x:c r="AZ159" s="48" t="n">
        <x:f>IF(OR(Inputs!$F$6=TRUE,Inputs!$F$6="TRUE",Inputs!$F$6=1),(Inputs!$H$6+Inputs!$L$6*(((Inputs!$I$6+(((A159)+1)/2)*(Inputs!$J$6-Inputs!$I$6)))/Inputs!$K$6)^2),NA())</x:f>
        <x:v>400.379456</x:v>
      </x:c>
      <x:c r="BA159" s="48" t="n">
        <x:f>IF(OR(Inputs!$F$7=TRUE,Inputs!$F$7="TRUE",Inputs!$F$7=1),(Inputs!$H$7+Inputs!$L$7*(((Inputs!$I$7+(((A159)+1)/2)*(Inputs!$J$7-Inputs!$I$7)))/Inputs!$K$7)^2),NA())</x:f>
        <x:v>69.62536000000003</x:v>
      </x:c>
      <x:c r="BB159" s="48" t="n">
        <x:f>IF(OR(Inputs!$F$8=TRUE,Inputs!$F$8="TRUE",Inputs!$F$8=1),(Inputs!$H$8+Inputs!$L$8*(((Inputs!$I$8+(((A159)+1)/2)*(Inputs!$J$8-Inputs!$I$8)))/Inputs!$K$8)^2),NA())</x:f>
        <x:v>126.54376000000006</x:v>
      </x:c>
      <x:c r="BC159" s="48" t="n">
        <x:f>IF(OR(Inputs!$F$9=TRUE,Inputs!$F$9="TRUE",Inputs!$F$9=1),(Inputs!$H$9+Inputs!$L$9*(((Inputs!$I$9+(((A159)+1)/2)*(Inputs!$J$9-Inputs!$I$9)))/Inputs!$K$9)^2),NA())</x:f>
        <x:v>117.49240000000006</x:v>
      </x:c>
      <x:c r="BD159" s="49"/>
      <x:c r="BE159" s="48" t="n">
        <x:f>A159</x:f>
        <x:v>0.308</x:v>
      </x:c>
      <x:c r="BF159" s="48" t="n">
        <x:f>0</x:f>
        <x:v>0</x:v>
      </x:c>
      <x:c r="BG159" s="48"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BH159" s="48"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BI159" s="48"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BJ159" s="48"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row>
    <x:row r="160">
      <x:c r="A160" s="48" t="n">
        <x:f>ROUND(-1+158*2/240,3)</x:f>
        <x:v>0.317</x:v>
      </x:c>
      <x:c r="B160" s="48" t="n">
        <x:f>IF(OR(Inputs!$F$6=TRUE,Inputs!$F$6="TRUE",Inputs!$F$6=1),(Inputs!$H$6+Inputs!$L$6*(((Inputs!$I$6+(((A160)+1)/2)*(Inputs!$J$6-Inputs!$I$6)))/Inputs!$K$6)^2),NA())</x:f>
        <x:v>400.401956</x:v>
      </x:c>
      <x:c r="C160" s="48" t="n">
        <x:f>IF(OR(Inputs!$F$7=TRUE,Inputs!$F$7="TRUE",Inputs!$F$7=1),(Inputs!$H$7+Inputs!$L$7*(((Inputs!$I$7+(((A160)+1)/2)*(Inputs!$J$7-Inputs!$I$7)))/Inputs!$K$7)^2),NA())</x:f>
        <x:v>71.67848499999997</x:v>
      </x:c>
      <x:c r="D160" s="48" t="n">
        <x:f>IF(OR(Inputs!$F$8=TRUE,Inputs!$F$8="TRUE",Inputs!$F$8=1),(Inputs!$H$8+Inputs!$L$8*(((Inputs!$I$8+(((A160)+1)/2)*(Inputs!$J$8-Inputs!$I$8)))/Inputs!$K$8)^2),NA())</x:f>
        <x:v>131.97188499999993</x:v>
      </x:c>
      <x:c r="E160" s="48" t="n">
        <x:f>IF(OR(Inputs!$F$9=TRUE,Inputs!$F$9="TRUE",Inputs!$F$9=1),(Inputs!$H$9+Inputs!$L$9*(((Inputs!$I$9+(((A160)+1)/2)*(Inputs!$J$9-Inputs!$I$9)))/Inputs!$K$9)^2),NA())</x:f>
        <x:v>122.97677499999993</x:v>
      </x:c>
      <x:c r="F160" s="49"/>
      <x:c r="G160" s="48" t="n">
        <x:f>A160</x:f>
        <x:v>0.317</x:v>
      </x:c>
      <x:c r="H160" s="48"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I160" s="48"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J160" s="48"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K160" s="48"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c r="L160" s="49"/>
      <x:c r="M160" s="48" t="n">
        <x:f>A160</x:f>
        <x:v>0.317</x:v>
      </x:c>
      <x:c r="N160" s="48" t="n">
        <x: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x:f>
        <x:v>-162.54759981556018</x:v>
      </x:c>
      <x:c r="O160" s="48" t="n">
        <x: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x:f>
        <x:v>-1884.2501620063235</x:v>
      </x:c>
      <x:c r="P160" s="48" t="n">
        <x: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x:f>
        <x:v>-2110.5999273700663</x:v>
      </x:c>
      <x:c r="Q160" s="48" t="n">
        <x: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x:f>
        <x:v>-2103.9625390161773</x:v>
      </x:c>
      <x:c r="R160" s="49"/>
      <x:c r="S160" s="48" t="n">
        <x:f>A160</x:f>
        <x:v>0.317</x:v>
      </x:c>
      <x:c r="T160" s="48" t="n">
        <x:f>(Inputs!$I$6+(((A160)+1)/2)*(Inputs!$J$6-Inputs!$I$6))</x:f>
        <x:v>19.019999999999996</x:v>
      </x:c>
      <x:c r="U160" s="48" t="n">
        <x:f>(Inputs!$I$7+(((A160)+1)/2)*(Inputs!$J$7-Inputs!$I$7))</x:f>
        <x:v>126.79999999999995</x:v>
      </x:c>
      <x:c r="V160" s="48" t="n">
        <x:f>(Inputs!$I$8+(((A160)+1)/2)*(Inputs!$J$8-Inputs!$I$8))</x:f>
        <x:v>253.5999999999999</x:v>
      </x:c>
      <x:c r="W160" s="48" t="n">
        <x:f>(Inputs!$I$9+(((A160)+1)/2)*(Inputs!$J$9-Inputs!$I$9))</x:f>
        <x:v>253.5999999999999</x:v>
      </x:c>
      <x:c r="X160" s="49"/>
      <x:c r="Y160" s="48" t="n">
        <x:f>A160</x:f>
        <x:v>0.317</x:v>
      </x:c>
      <x:c r="Z160" s="48" t="n">
        <x:f>(Inputs!$H$6+Inputs!$L$6*(((Inputs!$I$6+(((A160)+1)/2)*(Inputs!$J$6-Inputs!$I$6)))/Inputs!$K$6)^2)</x:f>
        <x:v>400.401956</x:v>
      </x:c>
      <x:c r="AA160" s="48" t="n">
        <x:f>(Inputs!$H$7+Inputs!$L$7*(((Inputs!$I$7+(((A160)+1)/2)*(Inputs!$J$7-Inputs!$I$7)))/Inputs!$K$7)^2)</x:f>
        <x:v>71.67848499999997</x:v>
      </x:c>
      <x:c r="AB160" s="48" t="n">
        <x:f>(Inputs!$H$8+Inputs!$L$8*(((Inputs!$I$8+(((A160)+1)/2)*(Inputs!$J$8-Inputs!$I$8)))/Inputs!$K$8)^2)</x:f>
        <x:v>131.97188499999993</x:v>
      </x:c>
      <x:c r="AC160" s="48" t="n">
        <x:f>(Inputs!$H$9+Inputs!$L$9*(((Inputs!$I$9+(((A160)+1)/2)*(Inputs!$J$9-Inputs!$I$9)))/Inputs!$K$9)^2)</x:f>
        <x:v>122.97677499999993</x:v>
      </x:c>
      <x:c r="AD160" s="49"/>
      <x:c r="AE160" s="48" t="n">
        <x:f>A160</x:f>
        <x:v>0.317</x:v>
      </x:c>
      <x:c r="AF160" s="48" t="n">
        <x:f>(((SQRT((Inputs!$C$52+((Inputs!$H$6+Inputs!$L$6*(((Inputs!$I$6+(((A160)+1)/2)*(Inputs!$J$6-Inputs!$I$6)))/Inputs!$K$6)^2)))^2+Inputs!$C$52^2-2*(Inputs!$C$52+((Inputs!$H$6+Inputs!$L$6*(((Inputs!$I$6+(((A160)+1)/2)*(Inputs!$J$6-Inputs!$I$6)))/Inputs!$K$6)^2)))*Inputs!$C$52*COS(SQRT(((Inputs!$I$6+(((A160)+1)/2)*(Inputs!$J$6-Inputs!$I$6)))^2+Inputs!$C$6^2)/Inputs!$C$52)))-((Inputs!$H$6+Inputs!$L$6*(((Inputs!$I$6+(((A160)+1)/2)*(Inputs!$J$6-Inputs!$I$6)))/Inputs!$K$6)^2)))*1000/Inputs!$C$12)</x:f>
        <x:v>868.1378456424483</x:v>
      </x:c>
      <x:c r="AG160" s="48" t="n">
        <x:f>(((SQRT((Inputs!$C$52+((Inputs!$H$7+Inputs!$L$7*(((Inputs!$I$7+(((A160)+1)/2)*(Inputs!$J$7-Inputs!$I$7)))/Inputs!$K$7)^2)))^2+Inputs!$C$52^2-2*(Inputs!$C$52+((Inputs!$H$7+Inputs!$L$7*(((Inputs!$I$7+(((A160)+1)/2)*(Inputs!$J$7-Inputs!$I$7)))/Inputs!$K$7)^2)))*Inputs!$C$52*COS(SQRT(((Inputs!$I$7+(((A160)+1)/2)*(Inputs!$J$7-Inputs!$I$7)))^2+Inputs!$C$6^2)/Inputs!$C$52)))-((Inputs!$H$7+Inputs!$L$7*(((Inputs!$I$7+(((A160)+1)/2)*(Inputs!$J$7-Inputs!$I$7)))/Inputs!$K$7)^2)))*1000/Inputs!$C$12)</x:f>
        <x:v>44184.44918871235</x:v>
      </x:c>
      <x:c r="AH160" s="48" t="n">
        <x:f>(((SQRT((Inputs!$C$52+((Inputs!$H$8+Inputs!$L$8*(((Inputs!$I$8+(((A160)+1)/2)*(Inputs!$J$8-Inputs!$I$8)))/Inputs!$K$8)^2)))^2+Inputs!$C$52^2-2*(Inputs!$C$52+((Inputs!$H$8+Inputs!$L$8*(((Inputs!$I$8+(((A160)+1)/2)*(Inputs!$J$8-Inputs!$I$8)))/Inputs!$K$8)^2)))*Inputs!$C$52*COS(SQRT(((Inputs!$I$8+(((A160)+1)/2)*(Inputs!$J$8-Inputs!$I$8)))^2+Inputs!$C$6^2)/Inputs!$C$52)))-((Inputs!$H$8+Inputs!$L$8*(((Inputs!$I$8+(((A160)+1)/2)*(Inputs!$J$8-Inputs!$I$8)))/Inputs!$K$8)^2)))*1000/Inputs!$C$12)</x:f>
        <x:v>92219.88084303461</x:v>
      </x:c>
      <x:c r="AI160" s="48" t="n">
        <x:f>(((SQRT((Inputs!$C$52+((Inputs!$H$9+Inputs!$L$9*(((Inputs!$I$9+(((A160)+1)/2)*(Inputs!$J$9-Inputs!$I$9)))/Inputs!$K$9)^2)))^2+Inputs!$C$52^2-2*(Inputs!$C$52+((Inputs!$H$9+Inputs!$L$9*(((Inputs!$I$9+(((A160)+1)/2)*(Inputs!$J$9-Inputs!$I$9)))/Inputs!$K$9)^2)))*Inputs!$C$52*COS(SQRT(((Inputs!$I$9+(((A160)+1)/2)*(Inputs!$J$9-Inputs!$I$9)))^2+Inputs!$C$6^2)/Inputs!$C$52)))-((Inputs!$H$9+Inputs!$L$9*(((Inputs!$I$9+(((A160)+1)/2)*(Inputs!$J$9-Inputs!$I$9)))/Inputs!$K$9)^2)))*1000/Inputs!$C$12)</x:f>
        <x:v>94724.17785692117</x:v>
      </x:c>
      <x:c r="AJ160" s="49"/>
      <x:c r="AK160" s="48" t="n">
        <x:f>A160</x:f>
        <x:v>0.317</x:v>
      </x:c>
      <x:c r="AL160" s="48" t="n">
        <x: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x:f>
        <x:v>-162.54759981556018</x:v>
      </x:c>
      <x:c r="AM160" s="48" t="n">
        <x: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x:f>
        <x:v>-1884.2501620063235</x:v>
      </x:c>
      <x:c r="AN160" s="48" t="n">
        <x: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x:f>
        <x:v>-2110.5999273700663</x:v>
      </x:c>
      <x:c r="AO160" s="48" t="n">
        <x: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x:f>
        <x:v>-2103.9625390161773</x:v>
      </x:c>
      <x:c r="AP160" s="49"/>
      <x:c r="AQ160" s="48" t="n">
        <x:f>A160</x:f>
        <x:v>0.317</x:v>
      </x:c>
      <x:c r="AR160" s="48" t="n">
        <x:f>0</x:f>
        <x:v>0</x:v>
      </x:c>
      <x:c r="AS160" s="48" t="n">
        <x: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(0.45*SIN(2*PI()*((((Inputs!$I$6+(((A160)+1)/2)*(Inputs!$J$6-Inputs!$I$6)))/Inputs!$C$49)+Inputs!$C$47*0.137))+0.35*COS(2*PI()*(((Inputs!$C$6)/Inputs!$C$50)+Inputs!$C$47*0.173))+0.20*SIN(2*PI()*((((Inputs!$I$6+(((A160)+1)/2)*(Inputs!$J$6-Inputs!$I$6)))+(Inputs!$C$6))/(0.5*(Inputs!$C$49+Inputs!$C$50))+Inputs!$C$47*0.097)))+0.30*(2*((SIN((((Inputs!$I$6+(((A160)+1)/2)*(Inputs!$J$6-Inputs!$I$6)))*12.9898+(Inputs!$C$6)*78.233+Inputs!$C$47*37.719))*43758.5453)-INT((SIN((((Inputs!$I$6+(((A160)+1)/2)*(Inputs!$J$6-Inputs!$I$6)))*12.9898+(Inputs!$C$6)*78.233+Inputs!$C$47*37.719))*43758.5453)))-1))),NA())</x:f>
        <x:v>413.16626512166084</x:v>
      </x:c>
      <x:c r="AT160" s="48" t="n">
        <x: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(0.45*SIN(2*PI()*((((Inputs!$I$7+(((A160)+1)/2)*(Inputs!$J$7-Inputs!$I$7)))/Inputs!$C$49)+Inputs!$C$47*0.137))+0.35*COS(2*PI()*(((Inputs!$C$6)/Inputs!$C$50)+Inputs!$C$47*0.173))+0.20*SIN(2*PI()*((((Inputs!$I$7+(((A160)+1)/2)*(Inputs!$J$7-Inputs!$I$7)))+(Inputs!$C$6))/(0.5*(Inputs!$C$49+Inputs!$C$50))+Inputs!$C$47*0.097)))+0.30*(2*((SIN((((Inputs!$I$7+(((A160)+1)/2)*(Inputs!$J$7-Inputs!$I$7)))*12.9898+(Inputs!$C$6)*78.233+Inputs!$C$47*37.719))*43758.5453)-INT((SIN((((Inputs!$I$7+(((A160)+1)/2)*(Inputs!$J$7-Inputs!$I$7)))*12.9898+(Inputs!$C$6)*78.233+Inputs!$C$47*37.719))*43758.5453)))-1))),NA())</x:f>
        <x:v>148.34640520875115</x:v>
      </x:c>
      <x:c r="AU160" s="48" t="n">
        <x: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(0.45*SIN(2*PI()*((((Inputs!$I$8+(((A160)+1)/2)*(Inputs!$J$8-Inputs!$I$8)))/Inputs!$C$49)+Inputs!$C$47*0.137))+0.35*COS(2*PI()*(((Inputs!$C$6)/Inputs!$C$50)+Inputs!$C$47*0.173))+0.20*SIN(2*PI()*((((Inputs!$I$8+(((A160)+1)/2)*(Inputs!$J$8-Inputs!$I$8)))+(Inputs!$C$6))/(0.5*(Inputs!$C$49+Inputs!$C$50))+Inputs!$C$47*0.097)))+0.30*(2*((SIN((((Inputs!$I$8+(((A160)+1)/2)*(Inputs!$J$8-Inputs!$I$8)))*12.9898+(Inputs!$C$6)*78.233+Inputs!$C$47*37.719))*43758.5453)-INT((SIN((((Inputs!$I$8+(((A160)+1)/2)*(Inputs!$J$8-Inputs!$I$8)))*12.9898+(Inputs!$C$6)*78.233+Inputs!$C$47*37.719))*43758.5453)))-1))),NA())</x:f>
        <x:v>170.60025016119593</x:v>
      </x:c>
      <x:c r="AV160" s="48" t="n">
        <x: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(0.45*SIN(2*PI()*((((Inputs!$I$9+(((A160)+1)/2)*(Inputs!$J$9-Inputs!$I$9)))/Inputs!$C$49)+Inputs!$C$47*0.137))+0.35*COS(2*PI()*(((Inputs!$C$6)/Inputs!$C$50)+Inputs!$C$47*0.173))+0.20*SIN(2*PI()*((((Inputs!$I$9+(((A160)+1)/2)*(Inputs!$J$9-Inputs!$I$9)))+(Inputs!$C$6))/(0.5*(Inputs!$C$49+Inputs!$C$50))+Inputs!$C$47*0.097)))+0.30*(2*((SIN((((Inputs!$I$9+(((A160)+1)/2)*(Inputs!$J$9-Inputs!$I$9)))*12.9898+(Inputs!$C$6)*78.233+Inputs!$C$47*37.719))*43758.5453)-INT((SIN((((Inputs!$I$9+(((A160)+1)/2)*(Inputs!$J$9-Inputs!$I$9)))*12.9898+(Inputs!$C$6)*78.233+Inputs!$C$47*37.719))*43758.5453)))-1))),NA())</x:f>
        <x:v>170.60025016119593</x:v>
      </x:c>
      <x:c r="AW160" s="49"/>
      <x:c r="AX160" s="48" t="n">
        <x:f>A160</x:f>
        <x:v>0.317</x:v>
      </x:c>
      <x:c r="AY160" s="48" t="n">
        <x:f>0</x:f>
        <x:v>0</x:v>
      </x:c>
      <x:c r="AZ160" s="48" t="n">
        <x:f>IF(OR(Inputs!$F$6=TRUE,Inputs!$F$6="TRUE",Inputs!$F$6=1),(Inputs!$H$6+Inputs!$L$6*(((Inputs!$I$6+(((A160)+1)/2)*(Inputs!$J$6-Inputs!$I$6)))/Inputs!$K$6)^2),NA())</x:f>
        <x:v>400.401956</x:v>
      </x:c>
      <x:c r="BA160" s="48" t="n">
        <x:f>IF(OR(Inputs!$F$7=TRUE,Inputs!$F$7="TRUE",Inputs!$F$7=1),(Inputs!$H$7+Inputs!$L$7*(((Inputs!$I$7+(((A160)+1)/2)*(Inputs!$J$7-Inputs!$I$7)))/Inputs!$K$7)^2),NA())</x:f>
        <x:v>71.67848499999997</x:v>
      </x:c>
      <x:c r="BB160" s="48" t="n">
        <x:f>IF(OR(Inputs!$F$8=TRUE,Inputs!$F$8="TRUE",Inputs!$F$8=1),(Inputs!$H$8+Inputs!$L$8*(((Inputs!$I$8+(((A160)+1)/2)*(Inputs!$J$8-Inputs!$I$8)))/Inputs!$K$8)^2),NA())</x:f>
        <x:v>131.97188499999993</x:v>
      </x:c>
      <x:c r="BC160" s="48" t="n">
        <x:f>IF(OR(Inputs!$F$9=TRUE,Inputs!$F$9="TRUE",Inputs!$F$9=1),(Inputs!$H$9+Inputs!$L$9*(((Inputs!$I$9+(((A160)+1)/2)*(Inputs!$J$9-Inputs!$I$9)))/Inputs!$K$9)^2),NA())</x:f>
        <x:v>122.97677499999993</x:v>
      </x:c>
      <x:c r="BD160" s="49"/>
      <x:c r="BE160" s="48" t="n">
        <x:f>A160</x:f>
        <x:v>0.317</x:v>
      </x:c>
      <x:c r="BF160" s="48" t="n">
        <x:f>0</x:f>
        <x:v>0</x:v>
      </x:c>
      <x:c r="BG160" s="48"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BH160" s="48"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BI160" s="48"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BJ160" s="48"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row>
    <x:row r="161">
      <x:c r="A161" s="48" t="n">
        <x:f>ROUND(-1+159*2/240,3)</x:f>
        <x:v>0.325</x:v>
      </x:c>
      <x:c r="B161" s="48" t="n">
        <x:f>IF(OR(Inputs!$F$6=TRUE,Inputs!$F$6="TRUE",Inputs!$F$6=1),(Inputs!$H$6+Inputs!$L$6*(((Inputs!$I$6+(((A161)+1)/2)*(Inputs!$J$6-Inputs!$I$6)))/Inputs!$K$6)^2),NA())</x:f>
        <x:v>400.4225</x:v>
      </x:c>
      <x:c r="C161" s="48" t="n">
        <x:f>IF(OR(Inputs!$F$7=TRUE,Inputs!$F$7="TRUE",Inputs!$F$7=1),(Inputs!$H$7+Inputs!$L$7*(((Inputs!$I$7+(((A161)+1)/2)*(Inputs!$J$7-Inputs!$I$7)))/Inputs!$K$7)^2),NA())</x:f>
        <x:v>73.553125</x:v>
      </x:c>
      <x:c r="D161" s="48" t="n">
        <x:f>IF(OR(Inputs!$F$8=TRUE,Inputs!$F$8="TRUE",Inputs!$F$8=1),(Inputs!$H$8+Inputs!$L$8*(((Inputs!$I$8+(((A161)+1)/2)*(Inputs!$J$8-Inputs!$I$8)))/Inputs!$K$8)^2),NA())</x:f>
        <x:v>136.92812500000002</x:v>
      </x:c>
      <x:c r="E161" s="48" t="n">
        <x:f>IF(OR(Inputs!$F$9=TRUE,Inputs!$F$9="TRUE",Inputs!$F$9=1),(Inputs!$H$9+Inputs!$L$9*(((Inputs!$I$9+(((A161)+1)/2)*(Inputs!$J$9-Inputs!$I$9)))/Inputs!$K$9)^2),NA())</x:f>
        <x:v>127.98437500000001</x:v>
      </x:c>
      <x:c r="F161" s="49"/>
      <x:c r="G161" s="48" t="n">
        <x:f>A161</x:f>
        <x:v>0.325</x:v>
      </x:c>
      <x:c r="H161" s="48"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I161" s="48"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J161" s="48"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K161" s="48"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c r="L161" s="49"/>
      <x:c r="M161" s="48" t="n">
        <x:f>A161</x:f>
        <x:v>0.325</x:v>
      </x:c>
      <x:c r="N161" s="48" t="n">
        <x: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x:f>
        <x:v>-166.63474072408775</x:v>
      </x:c>
      <x:c r="O161" s="48" t="n">
        <x: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x:f>
        <x:v>-1899.0802840621604</x:v>
      </x:c>
      <x:c r="P161" s="48" t="n">
        <x: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x:f>
        <x:v>-2132.297055696048</x:v>
      </x:c>
      <x:c r="Q161" s="48" t="n">
        <x: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x:f>
        <x:v>-2125.916062148711</x:v>
      </x:c>
      <x:c r="R161" s="49"/>
      <x:c r="S161" s="48" t="n">
        <x:f>A161</x:f>
        <x:v>0.325</x:v>
      </x:c>
      <x:c r="T161" s="48" t="n">
        <x:f>(Inputs!$I$6+(((A161)+1)/2)*(Inputs!$J$6-Inputs!$I$6))</x:f>
        <x:v>19.5</x:v>
      </x:c>
      <x:c r="U161" s="48" t="n">
        <x:f>(Inputs!$I$7+(((A161)+1)/2)*(Inputs!$J$7-Inputs!$I$7))</x:f>
        <x:v>130</x:v>
      </x:c>
      <x:c r="V161" s="48" t="n">
        <x:f>(Inputs!$I$8+(((A161)+1)/2)*(Inputs!$J$8-Inputs!$I$8))</x:f>
        <x:v>260</x:v>
      </x:c>
      <x:c r="W161" s="48" t="n">
        <x:f>(Inputs!$I$9+(((A161)+1)/2)*(Inputs!$J$9-Inputs!$I$9))</x:f>
        <x:v>260</x:v>
      </x:c>
      <x:c r="X161" s="49"/>
      <x:c r="Y161" s="48" t="n">
        <x:f>A161</x:f>
        <x:v>0.325</x:v>
      </x:c>
      <x:c r="Z161" s="48" t="n">
        <x:f>(Inputs!$H$6+Inputs!$L$6*(((Inputs!$I$6+(((A161)+1)/2)*(Inputs!$J$6-Inputs!$I$6)))/Inputs!$K$6)^2)</x:f>
        <x:v>400.4225</x:v>
      </x:c>
      <x:c r="AA161" s="48" t="n">
        <x:f>(Inputs!$H$7+Inputs!$L$7*(((Inputs!$I$7+(((A161)+1)/2)*(Inputs!$J$7-Inputs!$I$7)))/Inputs!$K$7)^2)</x:f>
        <x:v>73.553125</x:v>
      </x:c>
      <x:c r="AB161" s="48" t="n">
        <x:f>(Inputs!$H$8+Inputs!$L$8*(((Inputs!$I$8+(((A161)+1)/2)*(Inputs!$J$8-Inputs!$I$8)))/Inputs!$K$8)^2)</x:f>
        <x:v>136.92812500000002</x:v>
      </x:c>
      <x:c r="AC161" s="48" t="n">
        <x:f>(Inputs!$H$9+Inputs!$L$9*(((Inputs!$I$9+(((A161)+1)/2)*(Inputs!$J$9-Inputs!$I$9)))/Inputs!$K$9)^2)</x:f>
        <x:v>127.98437500000001</x:v>
      </x:c>
      <x:c r="AD161" s="49"/>
      <x:c r="AE161" s="48" t="n">
        <x:f>A161</x:f>
        <x:v>0.325</x:v>
      </x:c>
      <x:c r="AF161" s="48" t="n">
        <x:f>(((SQRT((Inputs!$C$52+((Inputs!$H$6+Inputs!$L$6*(((Inputs!$I$6+(((A161)+1)/2)*(Inputs!$J$6-Inputs!$I$6)))/Inputs!$K$6)^2)))^2+Inputs!$C$52^2-2*(Inputs!$C$52+((Inputs!$H$6+Inputs!$L$6*(((Inputs!$I$6+(((A161)+1)/2)*(Inputs!$J$6-Inputs!$I$6)))/Inputs!$K$6)^2)))*Inputs!$C$52*COS(SQRT(((Inputs!$I$6+(((A161)+1)/2)*(Inputs!$J$6-Inputs!$I$6)))^2+Inputs!$C$6^2)/Inputs!$C$52)))-((Inputs!$H$6+Inputs!$L$6*(((Inputs!$I$6+(((A161)+1)/2)*(Inputs!$J$6-Inputs!$I$6)))/Inputs!$K$6)^2)))*1000/Inputs!$C$12)</x:f>
        <x:v>884.3363729737207</x:v>
      </x:c>
      <x:c r="AG161" s="48" t="n">
        <x:f>(((SQRT((Inputs!$C$52+((Inputs!$H$7+Inputs!$L$7*(((Inputs!$I$7+(((A161)+1)/2)*(Inputs!$J$7-Inputs!$I$7)))/Inputs!$K$7)^2)))^2+Inputs!$C$52^2-2*(Inputs!$C$52+((Inputs!$H$7+Inputs!$L$7*(((Inputs!$I$7+(((A161)+1)/2)*(Inputs!$J$7-Inputs!$I$7)))/Inputs!$K$7)^2)))*Inputs!$C$52*COS(SQRT(((Inputs!$I$7+(((A161)+1)/2)*(Inputs!$J$7-Inputs!$I$7)))^2+Inputs!$C$6^2)/Inputs!$C$52)))-((Inputs!$H$7+Inputs!$L$7*(((Inputs!$I$7+(((A161)+1)/2)*(Inputs!$J$7-Inputs!$I$7)))/Inputs!$K$7)^2)))*1000/Inputs!$C$12)</x:f>
        <x:v>45256.74783027276</x:v>
      </x:c>
      <x:c r="AH161" s="48" t="n">
        <x:f>(((SQRT((Inputs!$C$52+((Inputs!$H$8+Inputs!$L$8*(((Inputs!$I$8+(((A161)+1)/2)*(Inputs!$J$8-Inputs!$I$8)))/Inputs!$K$8)^2)))^2+Inputs!$C$52^2-2*(Inputs!$C$52+((Inputs!$H$8+Inputs!$L$8*(((Inputs!$I$8+(((A161)+1)/2)*(Inputs!$J$8-Inputs!$I$8)))/Inputs!$K$8)^2)))*Inputs!$C$52*COS(SQRT(((Inputs!$I$8+(((A161)+1)/2)*(Inputs!$J$8-Inputs!$I$8)))^2+Inputs!$C$6^2)/Inputs!$C$52)))-((Inputs!$H$8+Inputs!$L$8*(((Inputs!$I$8+(((A161)+1)/2)*(Inputs!$J$8-Inputs!$I$8)))/Inputs!$K$8)^2)))*1000/Inputs!$C$12)</x:f>
        <x:v>94202.71855658964</x:v>
      </x:c>
      <x:c r="AI161" s="48" t="n">
        <x:f>(((SQRT((Inputs!$C$52+((Inputs!$H$9+Inputs!$L$9*(((Inputs!$I$9+(((A161)+1)/2)*(Inputs!$J$9-Inputs!$I$9)))/Inputs!$K$9)^2)))^2+Inputs!$C$52^2-2*(Inputs!$C$52+((Inputs!$H$9+Inputs!$L$9*(((Inputs!$I$9+(((A161)+1)/2)*(Inputs!$J$9-Inputs!$I$9)))/Inputs!$K$9)^2)))*Inputs!$C$52*COS(SQRT(((Inputs!$I$9+(((A161)+1)/2)*(Inputs!$J$9-Inputs!$I$9)))^2+Inputs!$C$6^2)/Inputs!$C$52)))-((Inputs!$H$9+Inputs!$L$9*(((Inputs!$I$9+(((A161)+1)/2)*(Inputs!$J$9-Inputs!$I$9)))/Inputs!$K$9)^2)))*1000/Inputs!$C$12)</x:f>
        <x:v>96663.52905119289</x:v>
      </x:c>
      <x:c r="AJ161" s="49"/>
      <x:c r="AK161" s="48" t="n">
        <x:f>A161</x:f>
        <x:v>0.325</x:v>
      </x:c>
      <x:c r="AL161" s="48" t="n">
        <x: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x:f>
        <x:v>-166.63474072408775</x:v>
      </x:c>
      <x:c r="AM161" s="48" t="n">
        <x: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x:f>
        <x:v>-1899.0802840621604</x:v>
      </x:c>
      <x:c r="AN161" s="48" t="n">
        <x: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x:f>
        <x:v>-2132.297055696048</x:v>
      </x:c>
      <x:c r="AO161" s="48" t="n">
        <x: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x:f>
        <x:v>-2125.916062148711</x:v>
      </x:c>
      <x:c r="AP161" s="49"/>
      <x:c r="AQ161" s="48" t="n">
        <x:f>A161</x:f>
        <x:v>0.325</x:v>
      </x:c>
      <x:c r="AR161" s="48" t="n">
        <x:f>0</x:f>
        <x:v>0</x:v>
      </x:c>
      <x:c r="AS161" s="48" t="n">
        <x: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(0.45*SIN(2*PI()*((((Inputs!$I$6+(((A161)+1)/2)*(Inputs!$J$6-Inputs!$I$6)))/Inputs!$C$49)+Inputs!$C$47*0.137))+0.35*COS(2*PI()*(((Inputs!$C$6)/Inputs!$C$50)+Inputs!$C$47*0.173))+0.20*SIN(2*PI()*((((Inputs!$I$6+(((A161)+1)/2)*(Inputs!$J$6-Inputs!$I$6)))+(Inputs!$C$6))/(0.5*(Inputs!$C$49+Inputs!$C$50))+Inputs!$C$47*0.097)))+0.30*(2*((SIN((((Inputs!$I$6+(((A161)+1)/2)*(Inputs!$J$6-Inputs!$I$6)))*12.9898+(Inputs!$C$6)*78.233+Inputs!$C$47*37.719))*43758.5453)-INT((SIN((((Inputs!$I$6+(((A161)+1)/2)*(Inputs!$J$6-Inputs!$I$6)))*12.9898+(Inputs!$C$6)*78.233+Inputs!$C$47*37.719))*43758.5453)))-1))),NA())</x:f>
        <x:v>436.66425250955575</x:v>
      </x:c>
      <x:c r="AT161" s="48" t="n">
        <x: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(0.45*SIN(2*PI()*((((Inputs!$I$7+(((A161)+1)/2)*(Inputs!$J$7-Inputs!$I$7)))/Inputs!$C$49)+Inputs!$C$47*0.137))+0.35*COS(2*PI()*(((Inputs!$C$6)/Inputs!$C$50)+Inputs!$C$47*0.173))+0.20*SIN(2*PI()*((((Inputs!$I$7+(((A161)+1)/2)*(Inputs!$J$7-Inputs!$I$7)))+(Inputs!$C$6))/(0.5*(Inputs!$C$49+Inputs!$C$50))+Inputs!$C$47*0.097)))+0.30*(2*((SIN((((Inputs!$I$7+(((A161)+1)/2)*(Inputs!$J$7-Inputs!$I$7)))*12.9898+(Inputs!$C$6)*78.233+Inputs!$C$47*37.719))*43758.5453)-INT((SIN((((Inputs!$I$7+(((A161)+1)/2)*(Inputs!$J$7-Inputs!$I$7)))*12.9898+(Inputs!$C$6)*78.233+Inputs!$C$47*37.719))*43758.5453)))-1))),NA())</x:f>
        <x:v>179.42575827267754</x:v>
      </x:c>
      <x:c r="AU161" s="48" t="n">
        <x: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(0.45*SIN(2*PI()*((((Inputs!$I$8+(((A161)+1)/2)*(Inputs!$J$8-Inputs!$I$8)))/Inputs!$C$49)+Inputs!$C$47*0.137))+0.35*COS(2*PI()*(((Inputs!$C$6)/Inputs!$C$50)+Inputs!$C$47*0.173))+0.20*SIN(2*PI()*((((Inputs!$I$8+(((A161)+1)/2)*(Inputs!$J$8-Inputs!$I$8)))+(Inputs!$C$6))/(0.5*(Inputs!$C$49+Inputs!$C$50))+Inputs!$C$47*0.097)))+0.30*(2*((SIN((((Inputs!$I$8+(((A161)+1)/2)*(Inputs!$J$8-Inputs!$I$8)))*12.9898+(Inputs!$C$6)*78.233+Inputs!$C$47*37.719))*43758.5453)-INT((SIN((((Inputs!$I$8+(((A161)+1)/2)*(Inputs!$J$8-Inputs!$I$8)))*12.9898+(Inputs!$C$6)*78.233+Inputs!$C$47*37.719))*43758.5453)))-1))),NA())</x:f>
        <x:v>134.66164099948801</x:v>
      </x:c>
      <x:c r="AV161" s="48" t="n">
        <x: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(0.45*SIN(2*PI()*((((Inputs!$I$9+(((A161)+1)/2)*(Inputs!$J$9-Inputs!$I$9)))/Inputs!$C$49)+Inputs!$C$47*0.137))+0.35*COS(2*PI()*(((Inputs!$C$6)/Inputs!$C$50)+Inputs!$C$47*0.173))+0.20*SIN(2*PI()*((((Inputs!$I$9+(((A161)+1)/2)*(Inputs!$J$9-Inputs!$I$9)))+(Inputs!$C$6))/(0.5*(Inputs!$C$49+Inputs!$C$50))+Inputs!$C$47*0.097)))+0.30*(2*((SIN((((Inputs!$I$9+(((A161)+1)/2)*(Inputs!$J$9-Inputs!$I$9)))*12.9898+(Inputs!$C$6)*78.233+Inputs!$C$47*37.719))*43758.5453)-INT((SIN((((Inputs!$I$9+(((A161)+1)/2)*(Inputs!$J$9-Inputs!$I$9)))*12.9898+(Inputs!$C$6)*78.233+Inputs!$C$47*37.719))*43758.5453)))-1))),NA())</x:f>
        <x:v>134.66164099948801</x:v>
      </x:c>
      <x:c r="AW161" s="49"/>
      <x:c r="AX161" s="48" t="n">
        <x:f>A161</x:f>
        <x:v>0.325</x:v>
      </x:c>
      <x:c r="AY161" s="48" t="n">
        <x:f>0</x:f>
        <x:v>0</x:v>
      </x:c>
      <x:c r="AZ161" s="48" t="n">
        <x:f>IF(OR(Inputs!$F$6=TRUE,Inputs!$F$6="TRUE",Inputs!$F$6=1),(Inputs!$H$6+Inputs!$L$6*(((Inputs!$I$6+(((A161)+1)/2)*(Inputs!$J$6-Inputs!$I$6)))/Inputs!$K$6)^2),NA())</x:f>
        <x:v>400.4225</x:v>
      </x:c>
      <x:c r="BA161" s="48" t="n">
        <x:f>IF(OR(Inputs!$F$7=TRUE,Inputs!$F$7="TRUE",Inputs!$F$7=1),(Inputs!$H$7+Inputs!$L$7*(((Inputs!$I$7+(((A161)+1)/2)*(Inputs!$J$7-Inputs!$I$7)))/Inputs!$K$7)^2),NA())</x:f>
        <x:v>73.553125</x:v>
      </x:c>
      <x:c r="BB161" s="48" t="n">
        <x:f>IF(OR(Inputs!$F$8=TRUE,Inputs!$F$8="TRUE",Inputs!$F$8=1),(Inputs!$H$8+Inputs!$L$8*(((Inputs!$I$8+(((A161)+1)/2)*(Inputs!$J$8-Inputs!$I$8)))/Inputs!$K$8)^2),NA())</x:f>
        <x:v>136.92812500000002</x:v>
      </x:c>
      <x:c r="BC161" s="48" t="n">
        <x:f>IF(OR(Inputs!$F$9=TRUE,Inputs!$F$9="TRUE",Inputs!$F$9=1),(Inputs!$H$9+Inputs!$L$9*(((Inputs!$I$9+(((A161)+1)/2)*(Inputs!$J$9-Inputs!$I$9)))/Inputs!$K$9)^2),NA())</x:f>
        <x:v>127.98437500000001</x:v>
      </x:c>
      <x:c r="BD161" s="49"/>
      <x:c r="BE161" s="48" t="n">
        <x:f>A161</x:f>
        <x:v>0.325</x:v>
      </x:c>
      <x:c r="BF161" s="48" t="n">
        <x:f>0</x:f>
        <x:v>0</x:v>
      </x:c>
      <x:c r="BG161" s="48"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BH161" s="48"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BI161" s="48"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BJ161" s="48"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row>
    <x:row r="162">
      <x:c r="A162" s="48" t="n">
        <x:f>ROUND(-1+160*2/240,3)</x:f>
        <x:v>0.333</x:v>
      </x:c>
      <x:c r="B162" s="48" t="n">
        <x:f>IF(OR(Inputs!$F$6=TRUE,Inputs!$F$6="TRUE",Inputs!$F$6=1),(Inputs!$H$6+Inputs!$L$6*(((Inputs!$I$6+(((A162)+1)/2)*(Inputs!$J$6-Inputs!$I$6)))/Inputs!$K$6)^2),NA())</x:f>
        <x:v>400.443556</x:v>
      </x:c>
      <x:c r="C162" s="48" t="n">
        <x:f>IF(OR(Inputs!$F$7=TRUE,Inputs!$F$7="TRUE",Inputs!$F$7=1),(Inputs!$H$7+Inputs!$L$7*(((Inputs!$I$7+(((A162)+1)/2)*(Inputs!$J$7-Inputs!$I$7)))/Inputs!$K$7)^2),NA())</x:f>
        <x:v>75.47448499999996</x:v>
      </x:c>
      <x:c r="D162" s="48" t="n">
        <x:f>IF(OR(Inputs!$F$8=TRUE,Inputs!$F$8="TRUE",Inputs!$F$8=1),(Inputs!$H$8+Inputs!$L$8*(((Inputs!$I$8+(((A162)+1)/2)*(Inputs!$J$8-Inputs!$I$8)))/Inputs!$K$8)^2),NA())</x:f>
        <x:v>142.0078849999999</x:v>
      </x:c>
      <x:c r="E162" s="48" t="n">
        <x:f>IF(OR(Inputs!$F$9=TRUE,Inputs!$F$9="TRUE",Inputs!$F$9=1),(Inputs!$H$9+Inputs!$L$9*(((Inputs!$I$9+(((A162)+1)/2)*(Inputs!$J$9-Inputs!$I$9)))/Inputs!$K$9)^2),NA())</x:f>
        <x:v>133.1167749999999</x:v>
      </x:c>
      <x:c r="F162" s="49"/>
      <x:c r="G162" s="48" t="n">
        <x:f>A162</x:f>
        <x:v>0.333</x:v>
      </x:c>
      <x:c r="H162" s="48"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I162" s="48"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J162" s="48"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K162" s="48"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c r="L162" s="49"/>
      <x:c r="M162" s="48" t="n">
        <x:f>A162</x:f>
        <x:v>0.333</x:v>
      </x:c>
      <x:c r="N162" s="48" t="n">
        <x: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x:f>
        <x:v>-170.72076550892695</x:v>
      </x:c>
      <x:c r="O162" s="48" t="n">
        <x: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x:f>
        <x:v>-1913.9128492305058</x:v>
      </x:c>
      <x:c r="P162" s="48" t="n">
        <x: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x:f>
        <x:v>-2154.3022886046483</x:v>
      </x:c>
      <x:c r="Q162" s="48" t="n">
        <x: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x:f>
        <x:v>-2148.204181874316</x:v>
      </x:c>
      <x:c r="R162" s="49"/>
      <x:c r="S162" s="48" t="n">
        <x:f>A162</x:f>
        <x:v>0.333</x:v>
      </x:c>
      <x:c r="T162" s="48" t="n">
        <x:f>(Inputs!$I$6+(((A162)+1)/2)*(Inputs!$J$6-Inputs!$I$6))</x:f>
        <x:v>19.980000000000004</x:v>
      </x:c>
      <x:c r="U162" s="48" t="n">
        <x:f>(Inputs!$I$7+(((A162)+1)/2)*(Inputs!$J$7-Inputs!$I$7))</x:f>
        <x:v>133.19999999999993</x:v>
      </x:c>
      <x:c r="V162" s="48" t="n">
        <x:f>(Inputs!$I$8+(((A162)+1)/2)*(Inputs!$J$8-Inputs!$I$8))</x:f>
        <x:v>266.39999999999986</x:v>
      </x:c>
      <x:c r="W162" s="48" t="n">
        <x:f>(Inputs!$I$9+(((A162)+1)/2)*(Inputs!$J$9-Inputs!$I$9))</x:f>
        <x:v>266.39999999999986</x:v>
      </x:c>
      <x:c r="X162" s="49"/>
      <x:c r="Y162" s="48" t="n">
        <x:f>A162</x:f>
        <x:v>0.333</x:v>
      </x:c>
      <x:c r="Z162" s="48" t="n">
        <x:f>(Inputs!$H$6+Inputs!$L$6*(((Inputs!$I$6+(((A162)+1)/2)*(Inputs!$J$6-Inputs!$I$6)))/Inputs!$K$6)^2)</x:f>
        <x:v>400.443556</x:v>
      </x:c>
      <x:c r="AA162" s="48" t="n">
        <x:f>(Inputs!$H$7+Inputs!$L$7*(((Inputs!$I$7+(((A162)+1)/2)*(Inputs!$J$7-Inputs!$I$7)))/Inputs!$K$7)^2)</x:f>
        <x:v>75.47448499999996</x:v>
      </x:c>
      <x:c r="AB162" s="48" t="n">
        <x:f>(Inputs!$H$8+Inputs!$L$8*(((Inputs!$I$8+(((A162)+1)/2)*(Inputs!$J$8-Inputs!$I$8)))/Inputs!$K$8)^2)</x:f>
        <x:v>142.0078849999999</x:v>
      </x:c>
      <x:c r="AC162" s="48" t="n">
        <x:f>(Inputs!$H$9+Inputs!$L$9*(((Inputs!$I$9+(((A162)+1)/2)*(Inputs!$J$9-Inputs!$I$9)))/Inputs!$K$9)^2)</x:f>
        <x:v>133.1167749999999</x:v>
      </x:c>
      <x:c r="AD162" s="49"/>
      <x:c r="AE162" s="48" t="n">
        <x:f>A162</x:f>
        <x:v>0.333</x:v>
      </x:c>
      <x:c r="AF162" s="48" t="n">
        <x:f>(((SQRT((Inputs!$C$52+((Inputs!$H$6+Inputs!$L$6*(((Inputs!$I$6+(((A162)+1)/2)*(Inputs!$J$6-Inputs!$I$6)))/Inputs!$K$6)^2)))^2+Inputs!$C$52^2-2*(Inputs!$C$52+((Inputs!$H$6+Inputs!$L$6*(((Inputs!$I$6+(((A162)+1)/2)*(Inputs!$J$6-Inputs!$I$6)))/Inputs!$K$6)^2)))*Inputs!$C$52*COS(SQRT(((Inputs!$I$6+(((A162)+1)/2)*(Inputs!$J$6-Inputs!$I$6)))^2+Inputs!$C$6^2)/Inputs!$C$52)))-((Inputs!$H$6+Inputs!$L$6*(((Inputs!$I$6+(((A162)+1)/2)*(Inputs!$J$6-Inputs!$I$6)))/Inputs!$K$6)^2)))*1000/Inputs!$C$12)</x:f>
        <x:v>900.9360101490312</x:v>
      </x:c>
      <x:c r="AG162" s="48" t="n">
        <x:f>(((SQRT((Inputs!$C$52+((Inputs!$H$7+Inputs!$L$7*(((Inputs!$I$7+(((A162)+1)/2)*(Inputs!$J$7-Inputs!$I$7)))/Inputs!$K$7)^2)))^2+Inputs!$C$52^2-2*(Inputs!$C$52+((Inputs!$H$7+Inputs!$L$7*(((Inputs!$I$7+(((A162)+1)/2)*(Inputs!$J$7-Inputs!$I$7)))/Inputs!$K$7)^2)))*Inputs!$C$52*COS(SQRT(((Inputs!$I$7+(((A162)+1)/2)*(Inputs!$J$7-Inputs!$I$7)))^2+Inputs!$C$6^2)/Inputs!$C$52)))-((Inputs!$H$7+Inputs!$L$7*(((Inputs!$I$7+(((A162)+1)/2)*(Inputs!$J$7-Inputs!$I$7)))/Inputs!$K$7)^2)))*1000/Inputs!$C$12)</x:f>
        <x:v>46319.46200614896</x:v>
      </x:c>
      <x:c r="AH162" s="48" t="n">
        <x:f>(((SQRT((Inputs!$C$52+((Inputs!$H$8+Inputs!$L$8*(((Inputs!$I$8+(((A162)+1)/2)*(Inputs!$J$8-Inputs!$I$8)))/Inputs!$K$8)^2)))^2+Inputs!$C$52^2-2*(Inputs!$C$52+((Inputs!$H$8+Inputs!$L$8*(((Inputs!$I$8+(((A162)+1)/2)*(Inputs!$J$8-Inputs!$I$8)))/Inputs!$K$8)^2)))*Inputs!$C$52*COS(SQRT(((Inputs!$I$8+(((A162)+1)/2)*(Inputs!$J$8-Inputs!$I$8)))^2+Inputs!$C$6^2)/Inputs!$C$52)))-((Inputs!$H$8+Inputs!$L$8*(((Inputs!$I$8+(((A162)+1)/2)*(Inputs!$J$8-Inputs!$I$8)))/Inputs!$K$8)^2)))*1000/Inputs!$C$12)</x:f>
        <x:v>96165.26695903482</x:v>
      </x:c>
      <x:c r="AI162" s="48" t="n">
        <x:f>(((SQRT((Inputs!$C$52+((Inputs!$H$9+Inputs!$L$9*(((Inputs!$I$9+(((A162)+1)/2)*(Inputs!$J$9-Inputs!$I$9)))/Inputs!$K$9)^2)))^2+Inputs!$C$52^2-2*(Inputs!$C$52+((Inputs!$H$9+Inputs!$L$9*(((Inputs!$I$9+(((A162)+1)/2)*(Inputs!$J$9-Inputs!$I$9)))/Inputs!$K$9)^2)))*Inputs!$C$52*COS(SQRT(((Inputs!$I$9+(((A162)+1)/2)*(Inputs!$J$9-Inputs!$I$9)))^2+Inputs!$C$6^2)/Inputs!$C$52)))-((Inputs!$H$9+Inputs!$L$9*(((Inputs!$I$9+(((A162)+1)/2)*(Inputs!$J$9-Inputs!$I$9)))/Inputs!$K$9)^2)))*1000/Inputs!$C$12)</x:f>
        <x:v>98582.4782221034</x:v>
      </x:c>
      <x:c r="AJ162" s="49"/>
      <x:c r="AK162" s="48" t="n">
        <x:f>A162</x:f>
        <x:v>0.333</x:v>
      </x:c>
      <x:c r="AL162" s="48" t="n">
        <x: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x:f>
        <x:v>-170.72076550892695</x:v>
      </x:c>
      <x:c r="AM162" s="48" t="n">
        <x: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x:f>
        <x:v>-1913.9128492305058</x:v>
      </x:c>
      <x:c r="AN162" s="48" t="n">
        <x: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x:f>
        <x:v>-2154.3022886046483</x:v>
      </x:c>
      <x:c r="AO162" s="48" t="n">
        <x: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x:f>
        <x:v>-2148.204181874316</x:v>
      </x:c>
      <x:c r="AP162" s="49"/>
      <x:c r="AQ162" s="48" t="n">
        <x:f>A162</x:f>
        <x:v>0.333</x:v>
      </x:c>
      <x:c r="AR162" s="48" t="n">
        <x:f>0</x:f>
        <x:v>0</x:v>
      </x:c>
      <x:c r="AS162" s="48" t="n">
        <x: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(0.45*SIN(2*PI()*((((Inputs!$I$6+(((A162)+1)/2)*(Inputs!$J$6-Inputs!$I$6)))/Inputs!$C$49)+Inputs!$C$47*0.137))+0.35*COS(2*PI()*(((Inputs!$C$6)/Inputs!$C$50)+Inputs!$C$47*0.173))+0.20*SIN(2*PI()*((((Inputs!$I$6+(((A162)+1)/2)*(Inputs!$J$6-Inputs!$I$6)))+(Inputs!$C$6))/(0.5*(Inputs!$C$49+Inputs!$C$50))+Inputs!$C$47*0.097)))+0.30*(2*((SIN((((Inputs!$I$6+(((A162)+1)/2)*(Inputs!$J$6-Inputs!$I$6)))*12.9898+(Inputs!$C$6)*78.233+Inputs!$C$47*37.719))*43758.5453)-INT((SIN((((Inputs!$I$6+(((A162)+1)/2)*(Inputs!$J$6-Inputs!$I$6)))*12.9898+(Inputs!$C$6)*78.233+Inputs!$C$47*37.719))*43758.5453)))-1))),NA())</x:f>
        <x:v>436.47109711249175</x:v>
      </x:c>
      <x:c r="AT162" s="48" t="n">
        <x: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(0.45*SIN(2*PI()*((((Inputs!$I$7+(((A162)+1)/2)*(Inputs!$J$7-Inputs!$I$7)))/Inputs!$C$49)+Inputs!$C$47*0.137))+0.35*COS(2*PI()*(((Inputs!$C$6)/Inputs!$C$50)+Inputs!$C$47*0.173))+0.20*SIN(2*PI()*((((Inputs!$I$7+(((A162)+1)/2)*(Inputs!$J$7-Inputs!$I$7)))+(Inputs!$C$6))/(0.5*(Inputs!$C$49+Inputs!$C$50))+Inputs!$C$47*0.097)))+0.30*(2*((SIN((((Inputs!$I$7+(((A162)+1)/2)*(Inputs!$J$7-Inputs!$I$7)))*12.9898+(Inputs!$C$6)*78.233+Inputs!$C$47*37.719))*43758.5453)-INT((SIN((((Inputs!$I$7+(((A162)+1)/2)*(Inputs!$J$7-Inputs!$I$7)))*12.9898+(Inputs!$C$6)*78.233+Inputs!$C$47*37.719))*43758.5453)))-1))),NA())</x:f>
        <x:v>166.7327955160667</x:v>
      </x:c>
      <x:c r="AU162" s="48" t="n">
        <x: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(0.45*SIN(2*PI()*((((Inputs!$I$8+(((A162)+1)/2)*(Inputs!$J$8-Inputs!$I$8)))/Inputs!$C$49)+Inputs!$C$47*0.137))+0.35*COS(2*PI()*(((Inputs!$C$6)/Inputs!$C$50)+Inputs!$C$47*0.173))+0.20*SIN(2*PI()*((((Inputs!$I$8+(((A162)+1)/2)*(Inputs!$J$8-Inputs!$I$8)))+(Inputs!$C$6))/(0.5*(Inputs!$C$49+Inputs!$C$50))+Inputs!$C$47*0.097)))+0.30*(2*((SIN((((Inputs!$I$8+(((A162)+1)/2)*(Inputs!$J$8-Inputs!$I$8)))*12.9898+(Inputs!$C$6)*78.233+Inputs!$C$47*37.719))*43758.5453)-INT((SIN((((Inputs!$I$8+(((A162)+1)/2)*(Inputs!$J$8-Inputs!$I$8)))*12.9898+(Inputs!$C$6)*78.233+Inputs!$C$47*37.719))*43758.5453)))-1))),NA())</x:f>
        <x:v>101.23201096259784</x:v>
      </x:c>
      <x:c r="AV162" s="48" t="n">
        <x: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(0.45*SIN(2*PI()*((((Inputs!$I$9+(((A162)+1)/2)*(Inputs!$J$9-Inputs!$I$9)))/Inputs!$C$49)+Inputs!$C$47*0.137))+0.35*COS(2*PI()*(((Inputs!$C$6)/Inputs!$C$50)+Inputs!$C$47*0.173))+0.20*SIN(2*PI()*((((Inputs!$I$9+(((A162)+1)/2)*(Inputs!$J$9-Inputs!$I$9)))+(Inputs!$C$6))/(0.5*(Inputs!$C$49+Inputs!$C$50))+Inputs!$C$47*0.097)))+0.30*(2*((SIN((((Inputs!$I$9+(((A162)+1)/2)*(Inputs!$J$9-Inputs!$I$9)))*12.9898+(Inputs!$C$6)*78.233+Inputs!$C$47*37.719))*43758.5453)-INT((SIN((((Inputs!$I$9+(((A162)+1)/2)*(Inputs!$J$9-Inputs!$I$9)))*12.9898+(Inputs!$C$6)*78.233+Inputs!$C$47*37.719))*43758.5453)))-1))),NA())</x:f>
        <x:v>101.23201096259784</x:v>
      </x:c>
      <x:c r="AW162" s="49"/>
      <x:c r="AX162" s="48" t="n">
        <x:f>A162</x:f>
        <x:v>0.333</x:v>
      </x:c>
      <x:c r="AY162" s="48" t="n">
        <x:f>0</x:f>
        <x:v>0</x:v>
      </x:c>
      <x:c r="AZ162" s="48" t="n">
        <x:f>IF(OR(Inputs!$F$6=TRUE,Inputs!$F$6="TRUE",Inputs!$F$6=1),(Inputs!$H$6+Inputs!$L$6*(((Inputs!$I$6+(((A162)+1)/2)*(Inputs!$J$6-Inputs!$I$6)))/Inputs!$K$6)^2),NA())</x:f>
        <x:v>400.443556</x:v>
      </x:c>
      <x:c r="BA162" s="48" t="n">
        <x:f>IF(OR(Inputs!$F$7=TRUE,Inputs!$F$7="TRUE",Inputs!$F$7=1),(Inputs!$H$7+Inputs!$L$7*(((Inputs!$I$7+(((A162)+1)/2)*(Inputs!$J$7-Inputs!$I$7)))/Inputs!$K$7)^2),NA())</x:f>
        <x:v>75.47448499999996</x:v>
      </x:c>
      <x:c r="BB162" s="48" t="n">
        <x:f>IF(OR(Inputs!$F$8=TRUE,Inputs!$F$8="TRUE",Inputs!$F$8=1),(Inputs!$H$8+Inputs!$L$8*(((Inputs!$I$8+(((A162)+1)/2)*(Inputs!$J$8-Inputs!$I$8)))/Inputs!$K$8)^2),NA())</x:f>
        <x:v>142.0078849999999</x:v>
      </x:c>
      <x:c r="BC162" s="48" t="n">
        <x:f>IF(OR(Inputs!$F$9=TRUE,Inputs!$F$9="TRUE",Inputs!$F$9=1),(Inputs!$H$9+Inputs!$L$9*(((Inputs!$I$9+(((A162)+1)/2)*(Inputs!$J$9-Inputs!$I$9)))/Inputs!$K$9)^2),NA())</x:f>
        <x:v>133.1167749999999</x:v>
      </x:c>
      <x:c r="BD162" s="49"/>
      <x:c r="BE162" s="48" t="n">
        <x:f>A162</x:f>
        <x:v>0.333</x:v>
      </x:c>
      <x:c r="BF162" s="48" t="n">
        <x:f>0</x:f>
        <x:v>0</x:v>
      </x:c>
      <x:c r="BG162" s="48"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BH162" s="48"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BI162" s="48"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BJ162" s="48"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row>
    <x:row r="163">
      <x:c r="A163" s="48" t="n">
        <x:f>ROUND(-1+161*2/240,3)</x:f>
        <x:v>0.342</x:v>
      </x:c>
      <x:c r="B163" s="48" t="n">
        <x:f>IF(OR(Inputs!$F$6=TRUE,Inputs!$F$6="TRUE",Inputs!$F$6=1),(Inputs!$H$6+Inputs!$L$6*(((Inputs!$I$6+(((A163)+1)/2)*(Inputs!$J$6-Inputs!$I$6)))/Inputs!$K$6)^2),NA())</x:f>
        <x:v>400.467856</x:v>
      </x:c>
      <x:c r="C163" s="48" t="n">
        <x:f>IF(OR(Inputs!$F$7=TRUE,Inputs!$F$7="TRUE",Inputs!$F$7=1),(Inputs!$H$7+Inputs!$L$7*(((Inputs!$I$7+(((A163)+1)/2)*(Inputs!$J$7-Inputs!$I$7)))/Inputs!$K$7)^2),NA())</x:f>
        <x:v>77.69186000000005</x:v>
      </x:c>
      <x:c r="D163" s="48" t="n">
        <x:f>IF(OR(Inputs!$F$8=TRUE,Inputs!$F$8="TRUE",Inputs!$F$8=1),(Inputs!$H$8+Inputs!$L$8*(((Inputs!$I$8+(((A163)+1)/2)*(Inputs!$J$8-Inputs!$I$8)))/Inputs!$K$8)^2),NA())</x:f>
        <x:v>147.87026000000014</x:v>
      </x:c>
      <x:c r="E163" s="48" t="n">
        <x:f>IF(OR(Inputs!$F$9=TRUE,Inputs!$F$9="TRUE",Inputs!$F$9=1),(Inputs!$H$9+Inputs!$L$9*(((Inputs!$I$9+(((A163)+1)/2)*(Inputs!$J$9-Inputs!$I$9)))/Inputs!$K$9)^2),NA())</x:f>
        <x:v>139.03990000000013</x:v>
      </x:c>
      <x:c r="F163" s="49"/>
      <x:c r="G163" s="48" t="n">
        <x:f>A163</x:f>
        <x:v>0.342</x:v>
      </x:c>
      <x:c r="H163" s="48"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I163" s="48"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J163" s="48"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K163" s="48"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c r="L163" s="49"/>
      <x:c r="M163" s="48" t="n">
        <x:f>A163</x:f>
        <x:v>0.342</x:v>
      </x:c>
      <x:c r="N163" s="48" t="n">
        <x: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x:f>
        <x:v>-175.31617596466532</x:v>
      </x:c>
      <x:c r="O163" s="48" t="n">
        <x: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x:f>
        <x:v>-1930.6236674148909</x:v>
      </x:c>
      <x:c r="P163" s="48" t="n">
        <x: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x:f>
        <x:v>-2179.424834500607</x:v>
      </x:c>
      <x:c r="Q163" s="48" t="n">
        <x: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x:f>
        <x:v>-2173.6737724055292</x:v>
      </x:c>
      <x:c r="R163" s="49"/>
      <x:c r="S163" s="48" t="n">
        <x:f>A163</x:f>
        <x:v>0.342</x:v>
      </x:c>
      <x:c r="T163" s="48" t="n">
        <x:f>(Inputs!$I$6+(((A163)+1)/2)*(Inputs!$J$6-Inputs!$I$6))</x:f>
        <x:v>20.52000000000001</x:v>
      </x:c>
      <x:c r="U163" s="48" t="n">
        <x:f>(Inputs!$I$7+(((A163)+1)/2)*(Inputs!$J$7-Inputs!$I$7))</x:f>
        <x:v>136.80000000000007</x:v>
      </x:c>
      <x:c r="V163" s="48" t="n">
        <x:f>(Inputs!$I$8+(((A163)+1)/2)*(Inputs!$J$8-Inputs!$I$8))</x:f>
        <x:v>273.60000000000014</x:v>
      </x:c>
      <x:c r="W163" s="48" t="n">
        <x:f>(Inputs!$I$9+(((A163)+1)/2)*(Inputs!$J$9-Inputs!$I$9))</x:f>
        <x:v>273.60000000000014</x:v>
      </x:c>
      <x:c r="X163" s="49"/>
      <x:c r="Y163" s="48" t="n">
        <x:f>A163</x:f>
        <x:v>0.342</x:v>
      </x:c>
      <x:c r="Z163" s="48" t="n">
        <x:f>(Inputs!$H$6+Inputs!$L$6*(((Inputs!$I$6+(((A163)+1)/2)*(Inputs!$J$6-Inputs!$I$6)))/Inputs!$K$6)^2)</x:f>
        <x:v>400.467856</x:v>
      </x:c>
      <x:c r="AA163" s="48" t="n">
        <x:f>(Inputs!$H$7+Inputs!$L$7*(((Inputs!$I$7+(((A163)+1)/2)*(Inputs!$J$7-Inputs!$I$7)))/Inputs!$K$7)^2)</x:f>
        <x:v>77.69186000000005</x:v>
      </x:c>
      <x:c r="AB163" s="48" t="n">
        <x:f>(Inputs!$H$8+Inputs!$L$8*(((Inputs!$I$8+(((A163)+1)/2)*(Inputs!$J$8-Inputs!$I$8)))/Inputs!$K$8)^2)</x:f>
        <x:v>147.87026000000014</x:v>
      </x:c>
      <x:c r="AC163" s="48" t="n">
        <x:f>(Inputs!$H$9+Inputs!$L$9*(((Inputs!$I$9+(((A163)+1)/2)*(Inputs!$J$9-Inputs!$I$9)))/Inputs!$K$9)^2)</x:f>
        <x:v>139.03990000000013</x:v>
      </x:c>
      <x:c r="AD163" s="49"/>
      <x:c r="AE163" s="48" t="n">
        <x:f>A163</x:f>
        <x:v>0.342</x:v>
      </x:c>
      <x:c r="AF163" s="48" t="n">
        <x:f>(((SQRT((Inputs!$C$52+((Inputs!$H$6+Inputs!$L$6*(((Inputs!$I$6+(((A163)+1)/2)*(Inputs!$J$6-Inputs!$I$6)))/Inputs!$K$6)^2)))^2+Inputs!$C$52^2-2*(Inputs!$C$52+((Inputs!$H$6+Inputs!$L$6*(((Inputs!$I$6+(((A163)+1)/2)*(Inputs!$J$6-Inputs!$I$6)))/Inputs!$K$6)^2)))*Inputs!$C$52*COS(SQRT(((Inputs!$I$6+(((A163)+1)/2)*(Inputs!$J$6-Inputs!$I$6)))^2+Inputs!$C$6^2)/Inputs!$C$52)))-((Inputs!$H$6+Inputs!$L$6*(((Inputs!$I$6+(((A163)+1)/2)*(Inputs!$J$6-Inputs!$I$6)))/Inputs!$K$6)^2)))*1000/Inputs!$C$12)</x:f>
        <x:v>920.0898163795357</x:v>
      </x:c>
      <x:c r="AG163" s="48" t="n">
        <x:f>(((SQRT((Inputs!$C$52+((Inputs!$H$7+Inputs!$L$7*(((Inputs!$I$7+(((A163)+1)/2)*(Inputs!$J$7-Inputs!$I$7)))/Inputs!$K$7)^2)))^2+Inputs!$C$52^2-2*(Inputs!$C$52+((Inputs!$H$7+Inputs!$L$7*(((Inputs!$I$7+(((A163)+1)/2)*(Inputs!$J$7-Inputs!$I$7)))/Inputs!$K$7)^2)))*Inputs!$C$52*COS(SQRT(((Inputs!$I$7+(((A163)+1)/2)*(Inputs!$J$7-Inputs!$I$7)))^2+Inputs!$C$6^2)/Inputs!$C$52)))-((Inputs!$H$7+Inputs!$L$7*(((Inputs!$I$7+(((A163)+1)/2)*(Inputs!$J$7-Inputs!$I$7)))/Inputs!$K$7)^2)))*1000/Inputs!$C$12)</x:f>
        <x:v>47503.575396581895</x:v>
      </x:c>
      <x:c r="AH163" s="48" t="n">
        <x:f>(((SQRT((Inputs!$C$52+((Inputs!$H$8+Inputs!$L$8*(((Inputs!$I$8+(((A163)+1)/2)*(Inputs!$J$8-Inputs!$I$8)))/Inputs!$K$8)^2)))^2+Inputs!$C$52^2-2*(Inputs!$C$52+((Inputs!$H$8+Inputs!$L$8*(((Inputs!$I$8+(((A163)+1)/2)*(Inputs!$J$8-Inputs!$I$8)))/Inputs!$K$8)^2)))*Inputs!$C$52*COS(SQRT(((Inputs!$I$8+(((A163)+1)/2)*(Inputs!$J$8-Inputs!$I$8)))^2+Inputs!$C$6^2)/Inputs!$C$52)))-((Inputs!$H$8+Inputs!$L$8*(((Inputs!$I$8+(((A163)+1)/2)*(Inputs!$J$8-Inputs!$I$8)))/Inputs!$K$8)^2)))*1000/Inputs!$C$12)</x:f>
        <x:v>98349.74217034031</x:v>
      </x:c>
      <x:c r="AI163" s="48" t="n">
        <x:f>(((SQRT((Inputs!$C$52+((Inputs!$H$9+Inputs!$L$9*(((Inputs!$I$9+(((A163)+1)/2)*(Inputs!$J$9-Inputs!$I$9)))/Inputs!$K$9)^2)))^2+Inputs!$C$52^2-2*(Inputs!$C$52+((Inputs!$H$9+Inputs!$L$9*(((Inputs!$I$9+(((A163)+1)/2)*(Inputs!$J$9-Inputs!$I$9)))/Inputs!$K$9)^2)))*Inputs!$C$52*COS(SQRT(((Inputs!$I$9+(((A163)+1)/2)*(Inputs!$J$9-Inputs!$I$9)))^2+Inputs!$C$6^2)/Inputs!$C$52)))-((Inputs!$H$9+Inputs!$L$9*(((Inputs!$I$9+(((A163)+1)/2)*(Inputs!$J$9-Inputs!$I$9)))/Inputs!$K$9)^2)))*1000/Inputs!$C$12)</x:f>
        <x:v>100717.8402144492</x:v>
      </x:c>
      <x:c r="AJ163" s="49"/>
      <x:c r="AK163" s="48" t="n">
        <x:f>A163</x:f>
        <x:v>0.342</x:v>
      </x:c>
      <x:c r="AL163" s="48" t="n">
        <x: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x:f>
        <x:v>-175.31617596466532</x:v>
      </x:c>
      <x:c r="AM163" s="48" t="n">
        <x: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x:f>
        <x:v>-1930.6236674148909</x:v>
      </x:c>
      <x:c r="AN163" s="48" t="n">
        <x: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x:f>
        <x:v>-2179.424834500607</x:v>
      </x:c>
      <x:c r="AO163" s="48" t="n">
        <x: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x:f>
        <x:v>-2173.6737724055292</x:v>
      </x:c>
      <x:c r="AP163" s="49"/>
      <x:c r="AQ163" s="48" t="n">
        <x:f>A163</x:f>
        <x:v>0.342</x:v>
      </x:c>
      <x:c r="AR163" s="48" t="n">
        <x:f>0</x:f>
        <x:v>0</x:v>
      </x:c>
      <x:c r="AS163" s="48" t="n">
        <x: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(0.45*SIN(2*PI()*((((Inputs!$I$6+(((A163)+1)/2)*(Inputs!$J$6-Inputs!$I$6)))/Inputs!$C$49)+Inputs!$C$47*0.137))+0.35*COS(2*PI()*(((Inputs!$C$6)/Inputs!$C$50)+Inputs!$C$47*0.173))+0.20*SIN(2*PI()*((((Inputs!$I$6+(((A163)+1)/2)*(Inputs!$J$6-Inputs!$I$6)))+(Inputs!$C$6))/(0.5*(Inputs!$C$49+Inputs!$C$50))+Inputs!$C$47*0.097)))+0.30*(2*((SIN((((Inputs!$I$6+(((A163)+1)/2)*(Inputs!$J$6-Inputs!$I$6)))*12.9898+(Inputs!$C$6)*78.233+Inputs!$C$47*37.719))*43758.5453)-INT((SIN((((Inputs!$I$6+(((A163)+1)/2)*(Inputs!$J$6-Inputs!$I$6)))*12.9898+(Inputs!$C$6)*78.233+Inputs!$C$47*37.719))*43758.5453)))-1))),NA())</x:f>
        <x:v>440.1680837209169</x:v>
      </x:c>
      <x:c r="AT163" s="48" t="n">
        <x: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(0.45*SIN(2*PI()*((((Inputs!$I$7+(((A163)+1)/2)*(Inputs!$J$7-Inputs!$I$7)))/Inputs!$C$49)+Inputs!$C$47*0.137))+0.35*COS(2*PI()*(((Inputs!$C$6)/Inputs!$C$50)+Inputs!$C$47*0.173))+0.20*SIN(2*PI()*((((Inputs!$I$7+(((A163)+1)/2)*(Inputs!$J$7-Inputs!$I$7)))+(Inputs!$C$6))/(0.5*(Inputs!$C$49+Inputs!$C$50))+Inputs!$C$47*0.097)))+0.30*(2*((SIN((((Inputs!$I$7+(((A163)+1)/2)*(Inputs!$J$7-Inputs!$I$7)))*12.9898+(Inputs!$C$6)*78.233+Inputs!$C$47*37.719))*43758.5453)-INT((SIN((((Inputs!$I$7+(((A163)+1)/2)*(Inputs!$J$7-Inputs!$I$7)))*12.9898+(Inputs!$C$6)*78.233+Inputs!$C$47*37.719))*43758.5453)))-1))),NA())</x:f>
        <x:v>98.78215108442748</x:v>
      </x:c>
      <x:c r="AU163" s="48" t="n">
        <x: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(0.45*SIN(2*PI()*((((Inputs!$I$8+(((A163)+1)/2)*(Inputs!$J$8-Inputs!$I$8)))/Inputs!$C$49)+Inputs!$C$47*0.137))+0.35*COS(2*PI()*(((Inputs!$C$6)/Inputs!$C$50)+Inputs!$C$47*0.173))+0.20*SIN(2*PI()*((((Inputs!$I$8+(((A163)+1)/2)*(Inputs!$J$8-Inputs!$I$8)))+(Inputs!$C$6))/(0.5*(Inputs!$C$49+Inputs!$C$50))+Inputs!$C$47*0.097)))+0.30*(2*((SIN((((Inputs!$I$8+(((A163)+1)/2)*(Inputs!$J$8-Inputs!$I$8)))*12.9898+(Inputs!$C$6)*78.233+Inputs!$C$47*37.719))*43758.5453)-INT((SIN((((Inputs!$I$8+(((A163)+1)/2)*(Inputs!$J$8-Inputs!$I$8)))*12.9898+(Inputs!$C$6)*78.233+Inputs!$C$47*37.719))*43758.5453)))-1))),NA())</x:f>
        <x:v>169.112597760329</x:v>
      </x:c>
      <x:c r="AV163" s="48" t="n">
        <x: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(0.45*SIN(2*PI()*((((Inputs!$I$9+(((A163)+1)/2)*(Inputs!$J$9-Inputs!$I$9)))/Inputs!$C$49)+Inputs!$C$47*0.137))+0.35*COS(2*PI()*(((Inputs!$C$6)/Inputs!$C$50)+Inputs!$C$47*0.173))+0.20*SIN(2*PI()*((((Inputs!$I$9+(((A163)+1)/2)*(Inputs!$J$9-Inputs!$I$9)))+(Inputs!$C$6))/(0.5*(Inputs!$C$49+Inputs!$C$50))+Inputs!$C$47*0.097)))+0.30*(2*((SIN((((Inputs!$I$9+(((A163)+1)/2)*(Inputs!$J$9-Inputs!$I$9)))*12.9898+(Inputs!$C$6)*78.233+Inputs!$C$47*37.719))*43758.5453)-INT((SIN((((Inputs!$I$9+(((A163)+1)/2)*(Inputs!$J$9-Inputs!$I$9)))*12.9898+(Inputs!$C$6)*78.233+Inputs!$C$47*37.719))*43758.5453)))-1))),NA())</x:f>
        <x:v>169.112597760329</x:v>
      </x:c>
      <x:c r="AW163" s="49"/>
      <x:c r="AX163" s="48" t="n">
        <x:f>A163</x:f>
        <x:v>0.342</x:v>
      </x:c>
      <x:c r="AY163" s="48" t="n">
        <x:f>0</x:f>
        <x:v>0</x:v>
      </x:c>
      <x:c r="AZ163" s="48" t="n">
        <x:f>IF(OR(Inputs!$F$6=TRUE,Inputs!$F$6="TRUE",Inputs!$F$6=1),(Inputs!$H$6+Inputs!$L$6*(((Inputs!$I$6+(((A163)+1)/2)*(Inputs!$J$6-Inputs!$I$6)))/Inputs!$K$6)^2),NA())</x:f>
        <x:v>400.467856</x:v>
      </x:c>
      <x:c r="BA163" s="48" t="n">
        <x:f>IF(OR(Inputs!$F$7=TRUE,Inputs!$F$7="TRUE",Inputs!$F$7=1),(Inputs!$H$7+Inputs!$L$7*(((Inputs!$I$7+(((A163)+1)/2)*(Inputs!$J$7-Inputs!$I$7)))/Inputs!$K$7)^2),NA())</x:f>
        <x:v>77.69186000000005</x:v>
      </x:c>
      <x:c r="BB163" s="48" t="n">
        <x:f>IF(OR(Inputs!$F$8=TRUE,Inputs!$F$8="TRUE",Inputs!$F$8=1),(Inputs!$H$8+Inputs!$L$8*(((Inputs!$I$8+(((A163)+1)/2)*(Inputs!$J$8-Inputs!$I$8)))/Inputs!$K$8)^2),NA())</x:f>
        <x:v>147.87026000000014</x:v>
      </x:c>
      <x:c r="BC163" s="48" t="n">
        <x:f>IF(OR(Inputs!$F$9=TRUE,Inputs!$F$9="TRUE",Inputs!$F$9=1),(Inputs!$H$9+Inputs!$L$9*(((Inputs!$I$9+(((A163)+1)/2)*(Inputs!$J$9-Inputs!$I$9)))/Inputs!$K$9)^2),NA())</x:f>
        <x:v>139.03990000000013</x:v>
      </x:c>
      <x:c r="BD163" s="49"/>
      <x:c r="BE163" s="48" t="n">
        <x:f>A163</x:f>
        <x:v>0.342</x:v>
      </x:c>
      <x:c r="BF163" s="48" t="n">
        <x:f>0</x:f>
        <x:v>0</x:v>
      </x:c>
      <x:c r="BG163" s="48"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BH163" s="48"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BI163" s="48"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BJ163" s="48"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row>
    <x:row r="164">
      <x:c r="A164" s="48" t="n">
        <x:f>ROUND(-1+162*2/240,3)</x:f>
        <x:v>0.35</x:v>
      </x:c>
      <x:c r="B164" s="48" t="n">
        <x:f>IF(OR(Inputs!$F$6=TRUE,Inputs!$F$6="TRUE",Inputs!$F$6=1),(Inputs!$H$6+Inputs!$L$6*(((Inputs!$I$6+(((A164)+1)/2)*(Inputs!$J$6-Inputs!$I$6)))/Inputs!$K$6)^2),NA())</x:f>
        <x:v>400.49</x:v>
      </x:c>
      <x:c r="C164" s="48" t="n">
        <x:f>IF(OR(Inputs!$F$7=TRUE,Inputs!$F$7="TRUE",Inputs!$F$7=1),(Inputs!$H$7+Inputs!$L$7*(((Inputs!$I$7+(((A164)+1)/2)*(Inputs!$J$7-Inputs!$I$7)))/Inputs!$K$7)^2),NA())</x:f>
        <x:v>79.71249999999999</x:v>
      </x:c>
      <x:c r="D164" s="48" t="n">
        <x:f>IF(OR(Inputs!$F$8=TRUE,Inputs!$F$8="TRUE",Inputs!$F$8=1),(Inputs!$H$8+Inputs!$L$8*(((Inputs!$I$8+(((A164)+1)/2)*(Inputs!$J$8-Inputs!$I$8)))/Inputs!$K$8)^2),NA())</x:f>
        <x:v>153.21249999999998</x:v>
      </x:c>
      <x:c r="E164" s="48" t="n">
        <x:f>IF(OR(Inputs!$F$9=TRUE,Inputs!$F$9="TRUE",Inputs!$F$9=1),(Inputs!$H$9+Inputs!$L$9*(((Inputs!$I$9+(((A164)+1)/2)*(Inputs!$J$9-Inputs!$I$9)))/Inputs!$K$9)^2),NA())</x:f>
        <x:v>144.4375</x:v>
      </x:c>
      <x:c r="F164" s="49"/>
      <x:c r="G164" s="48" t="n">
        <x:f>A164</x:f>
        <x:v>0.35</x:v>
      </x:c>
      <x:c r="H164" s="48"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I164" s="48"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J164" s="48"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K164" s="48"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c r="L164" s="49"/>
      <x:c r="M164" s="48" t="n">
        <x:f>A164</x:f>
        <x:v>0.35</x:v>
      </x:c>
      <x:c r="N164" s="48" t="n">
        <x: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x:f>
        <x:v>-179.39974021759684</x:v>
      </x:c>
      <x:c r="O164" s="48" t="n">
        <x: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x:f>
        <x:v>-1945.5158603718908</x:v>
      </x:c>
      <x:c r="P164" s="48" t="n">
        <x: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x:f>
        <x:v>-2202.079702494456</x:v>
      </x:c>
      <x:c r="Q164" s="48" t="n">
        <x: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x:f>
        <x:v>-2196.6604138172584</x:v>
      </x:c>
      <x:c r="R164" s="49"/>
      <x:c r="S164" s="48" t="n">
        <x:f>A164</x:f>
        <x:v>0.35</x:v>
      </x:c>
      <x:c r="T164" s="48" t="n">
        <x:f>(Inputs!$I$6+(((A164)+1)/2)*(Inputs!$J$6-Inputs!$I$6))</x:f>
        <x:v>21</x:v>
      </x:c>
      <x:c r="U164" s="48" t="n">
        <x:f>(Inputs!$I$7+(((A164)+1)/2)*(Inputs!$J$7-Inputs!$I$7))</x:f>
        <x:v>140</x:v>
      </x:c>
      <x:c r="V164" s="48" t="n">
        <x:f>(Inputs!$I$8+(((A164)+1)/2)*(Inputs!$J$8-Inputs!$I$8))</x:f>
        <x:v>280</x:v>
      </x:c>
      <x:c r="W164" s="48" t="n">
        <x:f>(Inputs!$I$9+(((A164)+1)/2)*(Inputs!$J$9-Inputs!$I$9))</x:f>
        <x:v>280</x:v>
      </x:c>
      <x:c r="X164" s="49"/>
      <x:c r="Y164" s="48" t="n">
        <x:f>A164</x:f>
        <x:v>0.35</x:v>
      </x:c>
      <x:c r="Z164" s="48" t="n">
        <x:f>(Inputs!$H$6+Inputs!$L$6*(((Inputs!$I$6+(((A164)+1)/2)*(Inputs!$J$6-Inputs!$I$6)))/Inputs!$K$6)^2)</x:f>
        <x:v>400.49</x:v>
      </x:c>
      <x:c r="AA164" s="48" t="n">
        <x:f>(Inputs!$H$7+Inputs!$L$7*(((Inputs!$I$7+(((A164)+1)/2)*(Inputs!$J$7-Inputs!$I$7)))/Inputs!$K$7)^2)</x:f>
        <x:v>79.71249999999999</x:v>
      </x:c>
      <x:c r="AB164" s="48" t="n">
        <x:f>(Inputs!$H$8+Inputs!$L$8*(((Inputs!$I$8+(((A164)+1)/2)*(Inputs!$J$8-Inputs!$I$8)))/Inputs!$K$8)^2)</x:f>
        <x:v>153.21249999999998</x:v>
      </x:c>
      <x:c r="AC164" s="48" t="n">
        <x:f>(Inputs!$H$9+Inputs!$L$9*(((Inputs!$I$9+(((A164)+1)/2)*(Inputs!$J$9-Inputs!$I$9)))/Inputs!$K$9)^2)</x:f>
        <x:v>144.4375</x:v>
      </x:c>
      <x:c r="AD164" s="49"/>
      <x:c r="AE164" s="48" t="n">
        <x:f>A164</x:f>
        <x:v>0.35</x:v>
      </x:c>
      <x:c r="AF164" s="48" t="n">
        <x:f>(((SQRT((Inputs!$C$52+((Inputs!$H$6+Inputs!$L$6*(((Inputs!$I$6+(((A164)+1)/2)*(Inputs!$J$6-Inputs!$I$6)))/Inputs!$K$6)^2)))^2+Inputs!$C$52^2-2*(Inputs!$C$52+((Inputs!$H$6+Inputs!$L$6*(((Inputs!$I$6+(((A164)+1)/2)*(Inputs!$J$6-Inputs!$I$6)))/Inputs!$K$6)^2)))*Inputs!$C$52*COS(SQRT(((Inputs!$I$6+(((A164)+1)/2)*(Inputs!$J$6-Inputs!$I$6)))^2+Inputs!$C$6^2)/Inputs!$C$52)))-((Inputs!$H$6+Inputs!$L$6*(((Inputs!$I$6+(((A164)+1)/2)*(Inputs!$J$6-Inputs!$I$6)))/Inputs!$K$6)^2)))*1000/Inputs!$C$12)</x:f>
        <x:v>937.5411742925972</x:v>
      </x:c>
      <x:c r="AG164" s="48" t="n">
        <x:f>(((SQRT((Inputs!$C$52+((Inputs!$H$7+Inputs!$L$7*(((Inputs!$I$7+(((A164)+1)/2)*(Inputs!$J$7-Inputs!$I$7)))/Inputs!$K$7)^2)))^2+Inputs!$C$52^2-2*(Inputs!$C$52+((Inputs!$H$7+Inputs!$L$7*(((Inputs!$I$7+(((A164)+1)/2)*(Inputs!$J$7-Inputs!$I$7)))/Inputs!$K$7)^2)))*Inputs!$C$52*COS(SQRT(((Inputs!$I$7+(((A164)+1)/2)*(Inputs!$J$7-Inputs!$I$7)))^2+Inputs!$C$6^2)/Inputs!$C$52)))-((Inputs!$H$7+Inputs!$L$7*(((Inputs!$I$7+(((A164)+1)/2)*(Inputs!$J$7-Inputs!$I$7)))/Inputs!$K$7)^2)))*1000/Inputs!$C$12)</x:f>
        <x:v>48545.9867997927</x:v>
      </x:c>
      <x:c r="AH164" s="48" t="n">
        <x:f>(((SQRT((Inputs!$C$52+((Inputs!$H$8+Inputs!$L$8*(((Inputs!$I$8+(((A164)+1)/2)*(Inputs!$J$8-Inputs!$I$8)))/Inputs!$K$8)^2)))^2+Inputs!$C$52^2-2*(Inputs!$C$52+((Inputs!$H$8+Inputs!$L$8*(((Inputs!$I$8+(((A164)+1)/2)*(Inputs!$J$8-Inputs!$I$8)))/Inputs!$K$8)^2)))*Inputs!$C$52*COS(SQRT(((Inputs!$I$8+(((A164)+1)/2)*(Inputs!$J$8-Inputs!$I$8)))^2+Inputs!$C$6^2)/Inputs!$C$52)))-((Inputs!$H$8+Inputs!$L$8*(((Inputs!$I$8+(((A164)+1)/2)*(Inputs!$J$8-Inputs!$I$8)))/Inputs!$K$8)^2)))*1000/Inputs!$C$12)</x:f>
        <x:v>100271.4657357698</x:v>
      </x:c>
      <x:c r="AI164" s="48" t="n">
        <x:f>(((SQRT((Inputs!$C$52+((Inputs!$H$9+Inputs!$L$9*(((Inputs!$I$9+(((A164)+1)/2)*(Inputs!$J$9-Inputs!$I$9)))/Inputs!$K$9)^2)))^2+Inputs!$C$52^2-2*(Inputs!$C$52+((Inputs!$H$9+Inputs!$L$9*(((Inputs!$I$9+(((A164)+1)/2)*(Inputs!$J$9-Inputs!$I$9)))/Inputs!$K$9)^2)))*Inputs!$C$52*COS(SQRT(((Inputs!$I$9+(((A164)+1)/2)*(Inputs!$J$9-Inputs!$I$9)))^2+Inputs!$C$6^2)/Inputs!$C$52)))-((Inputs!$H$9+Inputs!$L$9*(((Inputs!$I$9+(((A164)+1)/2)*(Inputs!$J$9-Inputs!$I$9)))/Inputs!$K$9)^2)))*1000/Inputs!$C$12)</x:f>
        <x:v>102595.90779409655</x:v>
      </x:c>
      <x:c r="AJ164" s="49"/>
      <x:c r="AK164" s="48" t="n">
        <x:f>A164</x:f>
        <x:v>0.35</x:v>
      </x:c>
      <x:c r="AL164" s="48" t="n">
        <x: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x:f>
        <x:v>-179.39974021759684</x:v>
      </x:c>
      <x:c r="AM164" s="48" t="n">
        <x: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x:f>
        <x:v>-1945.5158603718908</x:v>
      </x:c>
      <x:c r="AN164" s="48" t="n">
        <x: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x:f>
        <x:v>-2202.079702494456</x:v>
      </x:c>
      <x:c r="AO164" s="48" t="n">
        <x: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x:f>
        <x:v>-2196.6604138172584</x:v>
      </x:c>
      <x:c r="AP164" s="49"/>
      <x:c r="AQ164" s="48" t="n">
        <x:f>A164</x:f>
        <x:v>0.35</x:v>
      </x:c>
      <x:c r="AR164" s="48" t="n">
        <x:f>0</x:f>
        <x:v>0</x:v>
      </x:c>
      <x:c r="AS164" s="48" t="n">
        <x: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(0.45*SIN(2*PI()*((((Inputs!$I$6+(((A164)+1)/2)*(Inputs!$J$6-Inputs!$I$6)))/Inputs!$C$49)+Inputs!$C$47*0.137))+0.35*COS(2*PI()*(((Inputs!$C$6)/Inputs!$C$50)+Inputs!$C$47*0.173))+0.20*SIN(2*PI()*((((Inputs!$I$6+(((A164)+1)/2)*(Inputs!$J$6-Inputs!$I$6)))+(Inputs!$C$6))/(0.5*(Inputs!$C$49+Inputs!$C$50))+Inputs!$C$47*0.097)))+0.30*(2*((SIN((((Inputs!$I$6+(((A164)+1)/2)*(Inputs!$J$6-Inputs!$I$6)))*12.9898+(Inputs!$C$6)*78.233+Inputs!$C$47*37.719))*43758.5453)-INT((SIN((((Inputs!$I$6+(((A164)+1)/2)*(Inputs!$J$6-Inputs!$I$6)))*12.9898+(Inputs!$C$6)*78.233+Inputs!$C$47*37.719))*43758.5453)))-1))),NA())</x:f>
        <x:v>441.2537143317768</x:v>
      </x:c>
      <x:c r="AT164" s="48" t="n">
        <x: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(0.45*SIN(2*PI()*((((Inputs!$I$7+(((A164)+1)/2)*(Inputs!$J$7-Inputs!$I$7)))/Inputs!$C$49)+Inputs!$C$47*0.137))+0.35*COS(2*PI()*(((Inputs!$C$6)/Inputs!$C$50)+Inputs!$C$47*0.173))+0.20*SIN(2*PI()*((((Inputs!$I$7+(((A164)+1)/2)*(Inputs!$J$7-Inputs!$I$7)))+(Inputs!$C$6))/(0.5*(Inputs!$C$49+Inputs!$C$50))+Inputs!$C$47*0.097)))+0.30*(2*((SIN((((Inputs!$I$7+(((A164)+1)/2)*(Inputs!$J$7-Inputs!$I$7)))*12.9898+(Inputs!$C$6)*78.233+Inputs!$C$47*37.719))*43758.5453)-INT((SIN((((Inputs!$I$7+(((A164)+1)/2)*(Inputs!$J$7-Inputs!$I$7)))*12.9898+(Inputs!$C$6)*78.233+Inputs!$C$47*37.719))*43758.5453)))-1))),NA())</x:f>
        <x:v>82.3871567913042</x:v>
      </x:c>
      <x:c r="AU164" s="48" t="n">
        <x: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(0.45*SIN(2*PI()*((((Inputs!$I$8+(((A164)+1)/2)*(Inputs!$J$8-Inputs!$I$8)))/Inputs!$C$49)+Inputs!$C$47*0.137))+0.35*COS(2*PI()*(((Inputs!$C$6)/Inputs!$C$50)+Inputs!$C$47*0.173))+0.20*SIN(2*PI()*((((Inputs!$I$8+(((A164)+1)/2)*(Inputs!$J$8-Inputs!$I$8)))+(Inputs!$C$6))/(0.5*(Inputs!$C$49+Inputs!$C$50))+Inputs!$C$47*0.097)))+0.30*(2*((SIN((((Inputs!$I$8+(((A164)+1)/2)*(Inputs!$J$8-Inputs!$I$8)))*12.9898+(Inputs!$C$6)*78.233+Inputs!$C$47*37.719))*43758.5453)-INT((SIN((((Inputs!$I$8+(((A164)+1)/2)*(Inputs!$J$8-Inputs!$I$8)))*12.9898+(Inputs!$C$6)*78.233+Inputs!$C$47*37.719))*43758.5453)))-1))),NA())</x:f>
        <x:v>136.6689269288142</x:v>
      </x:c>
      <x:c r="AV164" s="48" t="n">
        <x: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(0.45*SIN(2*PI()*((((Inputs!$I$9+(((A164)+1)/2)*(Inputs!$J$9-Inputs!$I$9)))/Inputs!$C$49)+Inputs!$C$47*0.137))+0.35*COS(2*PI()*(((Inputs!$C$6)/Inputs!$C$50)+Inputs!$C$47*0.173))+0.20*SIN(2*PI()*((((Inputs!$I$9+(((A164)+1)/2)*(Inputs!$J$9-Inputs!$I$9)))+(Inputs!$C$6))/(0.5*(Inputs!$C$49+Inputs!$C$50))+Inputs!$C$47*0.097)))+0.30*(2*((SIN((((Inputs!$I$9+(((A164)+1)/2)*(Inputs!$J$9-Inputs!$I$9)))*12.9898+(Inputs!$C$6)*78.233+Inputs!$C$47*37.719))*43758.5453)-INT((SIN((((Inputs!$I$9+(((A164)+1)/2)*(Inputs!$J$9-Inputs!$I$9)))*12.9898+(Inputs!$C$6)*78.233+Inputs!$C$47*37.719))*43758.5453)))-1))),NA())</x:f>
        <x:v>136.6689269288142</x:v>
      </x:c>
      <x:c r="AW164" s="49"/>
      <x:c r="AX164" s="48" t="n">
        <x:f>A164</x:f>
        <x:v>0.35</x:v>
      </x:c>
      <x:c r="AY164" s="48" t="n">
        <x:f>0</x:f>
        <x:v>0</x:v>
      </x:c>
      <x:c r="AZ164" s="48" t="n">
        <x:f>IF(OR(Inputs!$F$6=TRUE,Inputs!$F$6="TRUE",Inputs!$F$6=1),(Inputs!$H$6+Inputs!$L$6*(((Inputs!$I$6+(((A164)+1)/2)*(Inputs!$J$6-Inputs!$I$6)))/Inputs!$K$6)^2),NA())</x:f>
        <x:v>400.49</x:v>
      </x:c>
      <x:c r="BA164" s="48" t="n">
        <x:f>IF(OR(Inputs!$F$7=TRUE,Inputs!$F$7="TRUE",Inputs!$F$7=1),(Inputs!$H$7+Inputs!$L$7*(((Inputs!$I$7+(((A164)+1)/2)*(Inputs!$J$7-Inputs!$I$7)))/Inputs!$K$7)^2),NA())</x:f>
        <x:v>79.71249999999999</x:v>
      </x:c>
      <x:c r="BB164" s="48" t="n">
        <x:f>IF(OR(Inputs!$F$8=TRUE,Inputs!$F$8="TRUE",Inputs!$F$8=1),(Inputs!$H$8+Inputs!$L$8*(((Inputs!$I$8+(((A164)+1)/2)*(Inputs!$J$8-Inputs!$I$8)))/Inputs!$K$8)^2),NA())</x:f>
        <x:v>153.21249999999998</x:v>
      </x:c>
      <x:c r="BC164" s="48" t="n">
        <x:f>IF(OR(Inputs!$F$9=TRUE,Inputs!$F$9="TRUE",Inputs!$F$9=1),(Inputs!$H$9+Inputs!$L$9*(((Inputs!$I$9+(((A164)+1)/2)*(Inputs!$J$9-Inputs!$I$9)))/Inputs!$K$9)^2),NA())</x:f>
        <x:v>144.4375</x:v>
      </x:c>
      <x:c r="BD164" s="49"/>
      <x:c r="BE164" s="48" t="n">
        <x:f>A164</x:f>
        <x:v>0.35</x:v>
      </x:c>
      <x:c r="BF164" s="48" t="n">
        <x:f>0</x:f>
        <x:v>0</x:v>
      </x:c>
      <x:c r="BG164" s="48"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BH164" s="48"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BI164" s="48"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BJ164" s="48"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row>
    <x:row r="165">
      <x:c r="A165" s="48" t="n">
        <x:f>ROUND(-1+163*2/240,3)</x:f>
        <x:v>0.358</x:v>
      </x:c>
      <x:c r="B165" s="48" t="n">
        <x:f>IF(OR(Inputs!$F$6=TRUE,Inputs!$F$6="TRUE",Inputs!$F$6=1),(Inputs!$H$6+Inputs!$L$6*(((Inputs!$I$6+(((A165)+1)/2)*(Inputs!$J$6-Inputs!$I$6)))/Inputs!$K$6)^2),NA())</x:f>
        <x:v>400.512656</x:v>
      </x:c>
      <x:c r="C165" s="48" t="n">
        <x:f>IF(OR(Inputs!$F$7=TRUE,Inputs!$F$7="TRUE",Inputs!$F$7=1),(Inputs!$H$7+Inputs!$L$7*(((Inputs!$I$7+(((A165)+1)/2)*(Inputs!$J$7-Inputs!$I$7)))/Inputs!$K$7)^2),NA())</x:f>
        <x:v>81.77986000000001</x:v>
      </x:c>
      <x:c r="D165" s="48" t="n">
        <x:f>IF(OR(Inputs!$F$8=TRUE,Inputs!$F$8="TRUE",Inputs!$F$8=1),(Inputs!$H$8+Inputs!$L$8*(((Inputs!$I$8+(((A165)+1)/2)*(Inputs!$J$8-Inputs!$I$8)))/Inputs!$K$8)^2),NA())</x:f>
        <x:v>158.67826000000005</x:v>
      </x:c>
      <x:c r="E165" s="48" t="n">
        <x:f>IF(OR(Inputs!$F$9=TRUE,Inputs!$F$9="TRUE",Inputs!$F$9=1),(Inputs!$H$9+Inputs!$L$9*(((Inputs!$I$9+(((A165)+1)/2)*(Inputs!$J$9-Inputs!$I$9)))/Inputs!$K$9)^2),NA())</x:f>
        <x:v>149.95990000000006</x:v>
      </x:c>
      <x:c r="F165" s="49"/>
      <x:c r="G165" s="48" t="n">
        <x:f>A165</x:f>
        <x:v>0.358</x:v>
      </x:c>
      <x:c r="H165" s="48"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I165" s="48"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J165" s="48"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K165" s="48"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c r="L165" s="49"/>
      <x:c r="M165" s="48" t="n">
        <x:f>A165</x:f>
        <x:v>0.358</x:v>
      </x:c>
      <x:c r="N165" s="48" t="n">
        <x: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x:f>
        <x:v>-183.48210491224648</x:v>
      </x:c>
      <x:c r="O165" s="48" t="n">
        <x: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x:f>
        <x:v>-1960.4577208252522</x:v>
      </x:c>
      <x:c r="P165" s="48" t="n">
        <x: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x:f>
        <x:v>-2225.0365616310296</x:v>
      </x:c>
      <x:c r="Q165" s="48" t="n">
        <x: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x:f>
        <x:v>-2219.968994570122</x:v>
      </x:c>
      <x:c r="R165" s="49"/>
      <x:c r="S165" s="48" t="n">
        <x:f>A165</x:f>
        <x:v>0.358</x:v>
      </x:c>
      <x:c r="T165" s="48" t="n">
        <x:f>(Inputs!$I$6+(((A165)+1)/2)*(Inputs!$J$6-Inputs!$I$6))</x:f>
        <x:v>21.480000000000004</x:v>
      </x:c>
      <x:c r="U165" s="48" t="n">
        <x:f>(Inputs!$I$7+(((A165)+1)/2)*(Inputs!$J$7-Inputs!$I$7))</x:f>
        <x:v>143.20000000000005</x:v>
      </x:c>
      <x:c r="V165" s="48" t="n">
        <x:f>(Inputs!$I$8+(((A165)+1)/2)*(Inputs!$J$8-Inputs!$I$8))</x:f>
        <x:v>286.4000000000001</x:v>
      </x:c>
      <x:c r="W165" s="48" t="n">
        <x:f>(Inputs!$I$9+(((A165)+1)/2)*(Inputs!$J$9-Inputs!$I$9))</x:f>
        <x:v>286.4000000000001</x:v>
      </x:c>
      <x:c r="X165" s="49"/>
      <x:c r="Y165" s="48" t="n">
        <x:f>A165</x:f>
        <x:v>0.358</x:v>
      </x:c>
      <x:c r="Z165" s="48" t="n">
        <x:f>(Inputs!$H$6+Inputs!$L$6*(((Inputs!$I$6+(((A165)+1)/2)*(Inputs!$J$6-Inputs!$I$6)))/Inputs!$K$6)^2)</x:f>
        <x:v>400.512656</x:v>
      </x:c>
      <x:c r="AA165" s="48" t="n">
        <x:f>(Inputs!$H$7+Inputs!$L$7*(((Inputs!$I$7+(((A165)+1)/2)*(Inputs!$J$7-Inputs!$I$7)))/Inputs!$K$7)^2)</x:f>
        <x:v>81.77986000000001</x:v>
      </x:c>
      <x:c r="AB165" s="48" t="n">
        <x:f>(Inputs!$H$8+Inputs!$L$8*(((Inputs!$I$8+(((A165)+1)/2)*(Inputs!$J$8-Inputs!$I$8)))/Inputs!$K$8)^2)</x:f>
        <x:v>158.67826000000005</x:v>
      </x:c>
      <x:c r="AC165" s="48" t="n">
        <x:f>(Inputs!$H$9+Inputs!$L$9*(((Inputs!$I$9+(((A165)+1)/2)*(Inputs!$J$9-Inputs!$I$9)))/Inputs!$K$9)^2)</x:f>
        <x:v>149.95990000000006</x:v>
      </x:c>
      <x:c r="AD165" s="49"/>
      <x:c r="AE165" s="48" t="n">
        <x:f>A165</x:f>
        <x:v>0.358</x:v>
      </x:c>
      <x:c r="AF165" s="48" t="n">
        <x:f>(((SQRT((Inputs!$C$52+((Inputs!$H$6+Inputs!$L$6*(((Inputs!$I$6+(((A165)+1)/2)*(Inputs!$J$6-Inputs!$I$6)))/Inputs!$K$6)^2)))^2+Inputs!$C$52^2-2*(Inputs!$C$52+((Inputs!$H$6+Inputs!$L$6*(((Inputs!$I$6+(((A165)+1)/2)*(Inputs!$J$6-Inputs!$I$6)))/Inputs!$K$6)^2)))*Inputs!$C$52*COS(SQRT(((Inputs!$I$6+(((A165)+1)/2)*(Inputs!$J$6-Inputs!$I$6)))^2+Inputs!$C$6^2)/Inputs!$C$52)))-((Inputs!$H$6+Inputs!$L$6*(((Inputs!$I$6+(((A165)+1)/2)*(Inputs!$J$6-Inputs!$I$6)))/Inputs!$K$6)^2)))*1000/Inputs!$C$12)</x:f>
        <x:v>955.3930322083667</x:v>
      </x:c>
      <x:c r="AG165" s="48" t="n">
        <x:f>(((SQRT((Inputs!$C$52+((Inputs!$H$7+Inputs!$L$7*(((Inputs!$I$7+(((A165)+1)/2)*(Inputs!$J$7-Inputs!$I$7)))/Inputs!$K$7)^2)))^2+Inputs!$C$52^2-2*(Inputs!$C$52+((Inputs!$H$7+Inputs!$L$7*(((Inputs!$I$7+(((A165)+1)/2)*(Inputs!$J$7-Inputs!$I$7)))/Inputs!$K$7)^2)))*Inputs!$C$52*COS(SQRT(((Inputs!$I$7+(((A165)+1)/2)*(Inputs!$J$7-Inputs!$I$7)))^2+Inputs!$C$6^2)/Inputs!$C$52)))-((Inputs!$H$7+Inputs!$L$7*(((Inputs!$I$7+(((A165)+1)/2)*(Inputs!$J$7-Inputs!$I$7)))/Inputs!$K$7)^2)))*1000/Inputs!$C$12)</x:f>
        <x:v>49578.91055803042</x:v>
      </x:c>
      <x:c r="AH165" s="48" t="n">
        <x:f>(((SQRT((Inputs!$C$52+((Inputs!$H$8+Inputs!$L$8*(((Inputs!$I$8+(((A165)+1)/2)*(Inputs!$J$8-Inputs!$I$8)))/Inputs!$K$8)^2)))^2+Inputs!$C$52^2-2*(Inputs!$C$52+((Inputs!$H$8+Inputs!$L$8*(((Inputs!$I$8+(((A165)+1)/2)*(Inputs!$J$8-Inputs!$I$8)))/Inputs!$K$8)^2)))*Inputs!$C$52*COS(SQRT(((Inputs!$I$8+(((A165)+1)/2)*(Inputs!$J$8-Inputs!$I$8)))^2+Inputs!$C$6^2)/Inputs!$C$52)))-((Inputs!$H$8+Inputs!$L$8*(((Inputs!$I$8+(((A165)+1)/2)*(Inputs!$J$8-Inputs!$I$8)))/Inputs!$K$8)^2)))*1000/Inputs!$C$12)</x:f>
        <x:v>102175.04570747219</x:v>
      </x:c>
      <x:c r="AI165" s="48" t="n">
        <x:f>(((SQRT((Inputs!$C$52+((Inputs!$H$9+Inputs!$L$9*(((Inputs!$I$9+(((A165)+1)/2)*(Inputs!$J$9-Inputs!$I$9)))/Inputs!$K$9)^2)))^2+Inputs!$C$52^2-2*(Inputs!$C$52+((Inputs!$H$9+Inputs!$L$9*(((Inputs!$I$9+(((A165)+1)/2)*(Inputs!$J$9-Inputs!$I$9)))/Inputs!$K$9)^2)))*Inputs!$C$52*COS(SQRT(((Inputs!$I$9+(((A165)+1)/2)*(Inputs!$J$9-Inputs!$I$9)))^2+Inputs!$C$6^2)/Inputs!$C$52)))-((Inputs!$H$9+Inputs!$L$9*(((Inputs!$I$9+(((A165)+1)/2)*(Inputs!$J$9-Inputs!$I$9)))/Inputs!$K$9)^2)))*1000/Inputs!$C$12)</x:f>
        <x:v>104455.88098801921</x:v>
      </x:c>
      <x:c r="AJ165" s="49"/>
      <x:c r="AK165" s="48" t="n">
        <x:f>A165</x:f>
        <x:v>0.358</x:v>
      </x:c>
      <x:c r="AL165" s="48" t="n">
        <x: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x:f>
        <x:v>-183.48210491224648</x:v>
      </x:c>
      <x:c r="AM165" s="48" t="n">
        <x: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x:f>
        <x:v>-1960.4577208252522</x:v>
      </x:c>
      <x:c r="AN165" s="48" t="n">
        <x: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x:f>
        <x:v>-2225.0365616310296</x:v>
      </x:c>
      <x:c r="AO165" s="48" t="n">
        <x: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x:f>
        <x:v>-2219.968994570122</x:v>
      </x:c>
      <x:c r="AP165" s="49"/>
      <x:c r="AQ165" s="48" t="n">
        <x:f>A165</x:f>
        <x:v>0.358</x:v>
      </x:c>
      <x:c r="AR165" s="48" t="n">
        <x:f>0</x:f>
        <x:v>0</x:v>
      </x:c>
      <x:c r="AS165" s="48" t="n">
        <x: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(0.45*SIN(2*PI()*((((Inputs!$I$6+(((A165)+1)/2)*(Inputs!$J$6-Inputs!$I$6)))/Inputs!$C$49)+Inputs!$C$47*0.137))+0.35*COS(2*PI()*(((Inputs!$C$6)/Inputs!$C$50)+Inputs!$C$47*0.173))+0.20*SIN(2*PI()*((((Inputs!$I$6+(((A165)+1)/2)*(Inputs!$J$6-Inputs!$I$6)))+(Inputs!$C$6))/(0.5*(Inputs!$C$49+Inputs!$C$50))+Inputs!$C$47*0.097)))+0.30*(2*((SIN((((Inputs!$I$6+(((A165)+1)/2)*(Inputs!$J$6-Inputs!$I$6)))*12.9898+(Inputs!$C$6)*78.233+Inputs!$C$47*37.719))*43758.5453)-INT((SIN((((Inputs!$I$6+(((A165)+1)/2)*(Inputs!$J$6-Inputs!$I$6)))*12.9898+(Inputs!$C$6)*78.233+Inputs!$C$47*37.719))*43758.5453)))-1))),NA())</x:f>
        <x:v>439.31057826208274</x:v>
      </x:c>
      <x:c r="AT165" s="48" t="n">
        <x: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(0.45*SIN(2*PI()*((((Inputs!$I$7+(((A165)+1)/2)*(Inputs!$J$7-Inputs!$I$7)))/Inputs!$C$49)+Inputs!$C$47*0.137))+0.35*COS(2*PI()*(((Inputs!$C$6)/Inputs!$C$50)+Inputs!$C$47*0.173))+0.20*SIN(2*PI()*((((Inputs!$I$7+(((A165)+1)/2)*(Inputs!$J$7-Inputs!$I$7)))+(Inputs!$C$6))/(0.5*(Inputs!$C$49+Inputs!$C$50))+Inputs!$C$47*0.097)))+0.30*(2*((SIN((((Inputs!$I$7+(((A165)+1)/2)*(Inputs!$J$7-Inputs!$I$7)))*12.9898+(Inputs!$C$6)*78.233+Inputs!$C$47*37.719))*43758.5453)-INT((SIN((((Inputs!$I$7+(((A165)+1)/2)*(Inputs!$J$7-Inputs!$I$7)))*12.9898+(Inputs!$C$6)*78.233+Inputs!$C$47*37.719))*43758.5453)))-1))),NA())</x:f>
        <x:v>144.28524191413874</x:v>
      </x:c>
      <x:c r="AU165" s="48" t="n">
        <x: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(0.45*SIN(2*PI()*((((Inputs!$I$8+(((A165)+1)/2)*(Inputs!$J$8-Inputs!$I$8)))/Inputs!$C$49)+Inputs!$C$47*0.137))+0.35*COS(2*PI()*(((Inputs!$C$6)/Inputs!$C$50)+Inputs!$C$47*0.173))+0.20*SIN(2*PI()*((((Inputs!$I$8+(((A165)+1)/2)*(Inputs!$J$8-Inputs!$I$8)))+(Inputs!$C$6))/(0.5*(Inputs!$C$49+Inputs!$C$50))+Inputs!$C$47*0.097)))+0.30*(2*((SIN((((Inputs!$I$8+(((A165)+1)/2)*(Inputs!$J$8-Inputs!$I$8)))*12.9898+(Inputs!$C$6)*78.233+Inputs!$C$47*37.719))*43758.5453)-INT((SIN((((Inputs!$I$8+(((A165)+1)/2)*(Inputs!$J$8-Inputs!$I$8)))*12.9898+(Inputs!$C$6)*78.233+Inputs!$C$47*37.719))*43758.5453)))-1))),NA())</x:f>
        <x:v>108.791639999444</x:v>
      </x:c>
      <x:c r="AV165" s="48" t="n">
        <x: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(0.45*SIN(2*PI()*((((Inputs!$I$9+(((A165)+1)/2)*(Inputs!$J$9-Inputs!$I$9)))/Inputs!$C$49)+Inputs!$C$47*0.137))+0.35*COS(2*PI()*(((Inputs!$C$6)/Inputs!$C$50)+Inputs!$C$47*0.173))+0.20*SIN(2*PI()*((((Inputs!$I$9+(((A165)+1)/2)*(Inputs!$J$9-Inputs!$I$9)))+(Inputs!$C$6))/(0.5*(Inputs!$C$49+Inputs!$C$50))+Inputs!$C$47*0.097)))+0.30*(2*((SIN((((Inputs!$I$9+(((A165)+1)/2)*(Inputs!$J$9-Inputs!$I$9)))*12.9898+(Inputs!$C$6)*78.233+Inputs!$C$47*37.719))*43758.5453)-INT((SIN((((Inputs!$I$9+(((A165)+1)/2)*(Inputs!$J$9-Inputs!$I$9)))*12.9898+(Inputs!$C$6)*78.233+Inputs!$C$47*37.719))*43758.5453)))-1))),NA())</x:f>
        <x:v>108.791639999444</x:v>
      </x:c>
      <x:c r="AW165" s="49"/>
      <x:c r="AX165" s="48" t="n">
        <x:f>A165</x:f>
        <x:v>0.358</x:v>
      </x:c>
      <x:c r="AY165" s="48" t="n">
        <x:f>0</x:f>
        <x:v>0</x:v>
      </x:c>
      <x:c r="AZ165" s="48" t="n">
        <x:f>IF(OR(Inputs!$F$6=TRUE,Inputs!$F$6="TRUE",Inputs!$F$6=1),(Inputs!$H$6+Inputs!$L$6*(((Inputs!$I$6+(((A165)+1)/2)*(Inputs!$J$6-Inputs!$I$6)))/Inputs!$K$6)^2),NA())</x:f>
        <x:v>400.512656</x:v>
      </x:c>
      <x:c r="BA165" s="48" t="n">
        <x:f>IF(OR(Inputs!$F$7=TRUE,Inputs!$F$7="TRUE",Inputs!$F$7=1),(Inputs!$H$7+Inputs!$L$7*(((Inputs!$I$7+(((A165)+1)/2)*(Inputs!$J$7-Inputs!$I$7)))/Inputs!$K$7)^2),NA())</x:f>
        <x:v>81.77986000000001</x:v>
      </x:c>
      <x:c r="BB165" s="48" t="n">
        <x:f>IF(OR(Inputs!$F$8=TRUE,Inputs!$F$8="TRUE",Inputs!$F$8=1),(Inputs!$H$8+Inputs!$L$8*(((Inputs!$I$8+(((A165)+1)/2)*(Inputs!$J$8-Inputs!$I$8)))/Inputs!$K$8)^2),NA())</x:f>
        <x:v>158.67826000000005</x:v>
      </x:c>
      <x:c r="BC165" s="48" t="n">
        <x:f>IF(OR(Inputs!$F$9=TRUE,Inputs!$F$9="TRUE",Inputs!$F$9=1),(Inputs!$H$9+Inputs!$L$9*(((Inputs!$I$9+(((A165)+1)/2)*(Inputs!$J$9-Inputs!$I$9)))/Inputs!$K$9)^2),NA())</x:f>
        <x:v>149.95990000000006</x:v>
      </x:c>
      <x:c r="BD165" s="49"/>
      <x:c r="BE165" s="48" t="n">
        <x:f>A165</x:f>
        <x:v>0.358</x:v>
      </x:c>
      <x:c r="BF165" s="48" t="n">
        <x:f>0</x:f>
        <x:v>0</x:v>
      </x:c>
      <x:c r="BG165" s="48"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BH165" s="48"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BI165" s="48"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BJ165" s="48"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row>
    <x:row r="166">
      <x:c r="A166" s="48" t="n">
        <x:f>ROUND(-1+164*2/240,3)</x:f>
        <x:v>0.367</x:v>
      </x:c>
      <x:c r="B166" s="48" t="n">
        <x:f>IF(OR(Inputs!$F$6=TRUE,Inputs!$F$6="TRUE",Inputs!$F$6=1),(Inputs!$H$6+Inputs!$L$6*(((Inputs!$I$6+(((A166)+1)/2)*(Inputs!$J$6-Inputs!$I$6)))/Inputs!$K$6)^2),NA())</x:f>
        <x:v>400.538756</x:v>
      </x:c>
      <x:c r="C166" s="48" t="n">
        <x:f>IF(OR(Inputs!$F$7=TRUE,Inputs!$F$7="TRUE",Inputs!$F$7=1),(Inputs!$H$7+Inputs!$L$7*(((Inputs!$I$7+(((A166)+1)/2)*(Inputs!$J$7-Inputs!$I$7)))/Inputs!$K$7)^2),NA())</x:f>
        <x:v>84.16148499999997</x:v>
      </x:c>
      <x:c r="D166" s="48" t="n">
        <x:f>IF(OR(Inputs!$F$8=TRUE,Inputs!$F$8="TRUE",Inputs!$F$8=1),(Inputs!$H$8+Inputs!$L$8*(((Inputs!$I$8+(((A166)+1)/2)*(Inputs!$J$8-Inputs!$I$8)))/Inputs!$K$8)^2),NA())</x:f>
        <x:v>164.97488499999992</x:v>
      </x:c>
      <x:c r="E166" s="48" t="n">
        <x:f>IF(OR(Inputs!$F$9=TRUE,Inputs!$F$9="TRUE",Inputs!$F$9=1),(Inputs!$H$9+Inputs!$L$9*(((Inputs!$I$9+(((A166)+1)/2)*(Inputs!$J$9-Inputs!$I$9)))/Inputs!$K$9)^2),NA())</x:f>
        <x:v>156.32177499999992</x:v>
      </x:c>
      <x:c r="F166" s="49"/>
      <x:c r="G166" s="48" t="n">
        <x:f>A166</x:f>
        <x:v>0.367</x:v>
      </x:c>
      <x:c r="H166" s="48"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I166" s="48"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J166" s="48"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K166" s="48"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c r="L166" s="49"/>
      <x:c r="M166" s="48" t="n">
        <x:f>A166</x:f>
        <x:v>0.367</x:v>
      </x:c>
      <x:c r="N166" s="48" t="n">
        <x: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x:f>
        <x:v>-188.07329824273955</x:v>
      </x:c>
      <x:c r="O166" s="48" t="n">
        <x: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x:f>
        <x:v>-1977.3411093049588</x:v>
      </x:c>
      <x:c r="P166" s="48" t="n">
        <x: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x:f>
        <x:v>-2251.2201596622417</x:v>
      </x:c>
      <x:c r="Q166" s="48" t="n">
        <x: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x:f>
        <x:v>-2246.569986078833</x:v>
      </x:c>
      <x:c r="R166" s="49"/>
      <x:c r="S166" s="48" t="n">
        <x:f>A166</x:f>
        <x:v>0.367</x:v>
      </x:c>
      <x:c r="T166" s="48" t="n">
        <x:f>(Inputs!$I$6+(((A166)+1)/2)*(Inputs!$J$6-Inputs!$I$6))</x:f>
        <x:v>22.019999999999996</x:v>
      </x:c>
      <x:c r="U166" s="48" t="n">
        <x:f>(Inputs!$I$7+(((A166)+1)/2)*(Inputs!$J$7-Inputs!$I$7))</x:f>
        <x:v>146.79999999999995</x:v>
      </x:c>
      <x:c r="V166" s="48" t="n">
        <x:f>(Inputs!$I$8+(((A166)+1)/2)*(Inputs!$J$8-Inputs!$I$8))</x:f>
        <x:v>293.5999999999999</x:v>
      </x:c>
      <x:c r="W166" s="48" t="n">
        <x:f>(Inputs!$I$9+(((A166)+1)/2)*(Inputs!$J$9-Inputs!$I$9))</x:f>
        <x:v>293.5999999999999</x:v>
      </x:c>
      <x:c r="X166" s="49"/>
      <x:c r="Y166" s="48" t="n">
        <x:f>A166</x:f>
        <x:v>0.367</x:v>
      </x:c>
      <x:c r="Z166" s="48" t="n">
        <x:f>(Inputs!$H$6+Inputs!$L$6*(((Inputs!$I$6+(((A166)+1)/2)*(Inputs!$J$6-Inputs!$I$6)))/Inputs!$K$6)^2)</x:f>
        <x:v>400.538756</x:v>
      </x:c>
      <x:c r="AA166" s="48" t="n">
        <x:f>(Inputs!$H$7+Inputs!$L$7*(((Inputs!$I$7+(((A166)+1)/2)*(Inputs!$J$7-Inputs!$I$7)))/Inputs!$K$7)^2)</x:f>
        <x:v>84.16148499999997</x:v>
      </x:c>
      <x:c r="AB166" s="48" t="n">
        <x:f>(Inputs!$H$8+Inputs!$L$8*(((Inputs!$I$8+(((A166)+1)/2)*(Inputs!$J$8-Inputs!$I$8)))/Inputs!$K$8)^2)</x:f>
        <x:v>164.97488499999992</x:v>
      </x:c>
      <x:c r="AC166" s="48" t="n">
        <x:f>(Inputs!$H$9+Inputs!$L$9*(((Inputs!$I$9+(((A166)+1)/2)*(Inputs!$J$9-Inputs!$I$9)))/Inputs!$K$9)^2)</x:f>
        <x:v>156.32177499999992</x:v>
      </x:c>
      <x:c r="AD166" s="49"/>
      <x:c r="AE166" s="48" t="n">
        <x:f>A166</x:f>
        <x:v>0.367</x:v>
      </x:c>
      <x:c r="AF166" s="48" t="n">
        <x:f>(((SQRT((Inputs!$C$52+((Inputs!$H$6+Inputs!$L$6*(((Inputs!$I$6+(((A166)+1)/2)*(Inputs!$J$6-Inputs!$I$6)))/Inputs!$K$6)^2)))^2+Inputs!$C$52^2-2*(Inputs!$C$52+((Inputs!$H$6+Inputs!$L$6*(((Inputs!$I$6+(((A166)+1)/2)*(Inputs!$J$6-Inputs!$I$6)))/Inputs!$K$6)^2)))*Inputs!$C$52*COS(SQRT(((Inputs!$I$6+(((A166)+1)/2)*(Inputs!$J$6-Inputs!$I$6)))^2+Inputs!$C$6^2)/Inputs!$C$52)))-((Inputs!$H$6+Inputs!$L$6*(((Inputs!$I$6+(((A166)+1)/2)*(Inputs!$J$6-Inputs!$I$6)))/Inputs!$K$6)^2)))*1000/Inputs!$C$12)</x:f>
        <x:v>975.9548403323652</x:v>
      </x:c>
      <x:c r="AG166" s="48" t="n">
        <x:f>(((SQRT((Inputs!$C$52+((Inputs!$H$7+Inputs!$L$7*(((Inputs!$I$7+(((A166)+1)/2)*(Inputs!$J$7-Inputs!$I$7)))/Inputs!$K$7)^2)))^2+Inputs!$C$52^2-2*(Inputs!$C$52+((Inputs!$H$7+Inputs!$L$7*(((Inputs!$I$7+(((A166)+1)/2)*(Inputs!$J$7-Inputs!$I$7)))/Inputs!$K$7)^2)))*Inputs!$C$52*COS(SQRT(((Inputs!$I$7+(((A166)+1)/2)*(Inputs!$J$7-Inputs!$I$7)))^2+Inputs!$C$6^2)/Inputs!$C$52)))-((Inputs!$H$7+Inputs!$L$7*(((Inputs!$I$7+(((A166)+1)/2)*(Inputs!$J$7-Inputs!$I$7)))/Inputs!$K$7)^2)))*1000/Inputs!$C$12)</x:f>
        <x:v>50729.6873640359</x:v>
      </x:c>
      <x:c r="AH166" s="48" t="n">
        <x:f>(((SQRT((Inputs!$C$52+((Inputs!$H$8+Inputs!$L$8*(((Inputs!$I$8+(((A166)+1)/2)*(Inputs!$J$8-Inputs!$I$8)))/Inputs!$K$8)^2)))^2+Inputs!$C$52^2-2*(Inputs!$C$52+((Inputs!$H$8+Inputs!$L$8*(((Inputs!$I$8+(((A166)+1)/2)*(Inputs!$J$8-Inputs!$I$8)))/Inputs!$K$8)^2)))*Inputs!$C$52*COS(SQRT(((Inputs!$I$8+(((A166)+1)/2)*(Inputs!$J$8-Inputs!$I$8)))^2+Inputs!$C$6^2)/Inputs!$C$52)))-((Inputs!$H$8+Inputs!$L$8*(((Inputs!$I$8+(((A166)+1)/2)*(Inputs!$J$8-Inputs!$I$8)))/Inputs!$K$8)^2)))*1000/Inputs!$C$12)</x:f>
        <x:v>104295.7264107725</x:v>
      </x:c>
      <x:c r="AI166" s="48" t="n">
        <x:f>(((SQRT((Inputs!$C$52+((Inputs!$H$9+Inputs!$L$9*(((Inputs!$I$9+(((A166)+1)/2)*(Inputs!$J$9-Inputs!$I$9)))/Inputs!$K$9)^2)))^2+Inputs!$C$52^2-2*(Inputs!$C$52+((Inputs!$H$9+Inputs!$L$9*(((Inputs!$I$9+(((A166)+1)/2)*(Inputs!$J$9-Inputs!$I$9)))/Inputs!$K$9)^2)))*Inputs!$C$52*COS(SQRT(((Inputs!$I$9+(((A166)+1)/2)*(Inputs!$J$9-Inputs!$I$9)))^2+Inputs!$C$6^2)/Inputs!$C$52)))-((Inputs!$H$9+Inputs!$L$9*(((Inputs!$I$9+(((A166)+1)/2)*(Inputs!$J$9-Inputs!$I$9)))/Inputs!$K$9)^2)))*1000/Inputs!$C$12)</x:f>
        <x:v>106527.61610975167</x:v>
      </x:c>
      <x:c r="AJ166" s="49"/>
      <x:c r="AK166" s="48" t="n">
        <x:f>A166</x:f>
        <x:v>0.367</x:v>
      </x:c>
      <x:c r="AL166" s="48" t="n">
        <x: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x:f>
        <x:v>-188.07329824273955</x:v>
      </x:c>
      <x:c r="AM166" s="48" t="n">
        <x: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x:f>
        <x:v>-1977.3411093049588</x:v>
      </x:c>
      <x:c r="AN166" s="48" t="n">
        <x: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x:f>
        <x:v>-2251.2201596622417</x:v>
      </x:c>
      <x:c r="AO166" s="48" t="n">
        <x: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x:f>
        <x:v>-2246.569986078833</x:v>
      </x:c>
      <x:c r="AP166" s="49"/>
      <x:c r="AQ166" s="48" t="n">
        <x:f>A166</x:f>
        <x:v>0.367</x:v>
      </x:c>
      <x:c r="AR166" s="48" t="n">
        <x:f>0</x:f>
        <x:v>0</x:v>
      </x:c>
      <x:c r="AS166" s="48" t="n">
        <x: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(0.45*SIN(2*PI()*((((Inputs!$I$6+(((A166)+1)/2)*(Inputs!$J$6-Inputs!$I$6)))/Inputs!$C$49)+Inputs!$C$47*0.137))+0.35*COS(2*PI()*(((Inputs!$C$6)/Inputs!$C$50)+Inputs!$C$47*0.173))+0.20*SIN(2*PI()*((((Inputs!$I$6+(((A166)+1)/2)*(Inputs!$J$6-Inputs!$I$6)))+(Inputs!$C$6))/(0.5*(Inputs!$C$49+Inputs!$C$50))+Inputs!$C$47*0.097)))+0.30*(2*((SIN((((Inputs!$I$6+(((A166)+1)/2)*(Inputs!$J$6-Inputs!$I$6)))*12.9898+(Inputs!$C$6)*78.233+Inputs!$C$47*37.719))*43758.5453)-INT((SIN((((Inputs!$I$6+(((A166)+1)/2)*(Inputs!$J$6-Inputs!$I$6)))*12.9898+(Inputs!$C$6)*78.233+Inputs!$C$47*37.719))*43758.5453)))-1))),NA())</x:f>
        <x:v>458.0886996143176</x:v>
      </x:c>
      <x:c r="AT166" s="48" t="n">
        <x: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(0.45*SIN(2*PI()*((((Inputs!$I$7+(((A166)+1)/2)*(Inputs!$J$7-Inputs!$I$7)))/Inputs!$C$49)+Inputs!$C$47*0.137))+0.35*COS(2*PI()*(((Inputs!$C$6)/Inputs!$C$50)+Inputs!$C$47*0.173))+0.20*SIN(2*PI()*((((Inputs!$I$7+(((A166)+1)/2)*(Inputs!$J$7-Inputs!$I$7)))+(Inputs!$C$6))/(0.5*(Inputs!$C$49+Inputs!$C$50))+Inputs!$C$47*0.097)))+0.30*(2*((SIN((((Inputs!$I$7+(((A166)+1)/2)*(Inputs!$J$7-Inputs!$I$7)))*12.9898+(Inputs!$C$6)*78.233+Inputs!$C$47*37.719))*43758.5453)-INT((SIN((((Inputs!$I$7+(((A166)+1)/2)*(Inputs!$J$7-Inputs!$I$7)))*12.9898+(Inputs!$C$6)*78.233+Inputs!$C$47*37.719))*43758.5453)))-1))),NA())</x:f>
        <x:v>228.60392437287734</x:v>
      </x:c>
      <x:c r="AU166" s="48" t="n">
        <x: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(0.45*SIN(2*PI()*((((Inputs!$I$8+(((A166)+1)/2)*(Inputs!$J$8-Inputs!$I$8)))/Inputs!$C$49)+Inputs!$C$47*0.137))+0.35*COS(2*PI()*(((Inputs!$C$6)/Inputs!$C$50)+Inputs!$C$47*0.173))+0.20*SIN(2*PI()*((((Inputs!$I$8+(((A166)+1)/2)*(Inputs!$J$8-Inputs!$I$8)))+(Inputs!$C$6))/(0.5*(Inputs!$C$49+Inputs!$C$50))+Inputs!$C$47*0.097)))+0.30*(2*((SIN((((Inputs!$I$8+(((A166)+1)/2)*(Inputs!$J$8-Inputs!$I$8)))*12.9898+(Inputs!$C$6)*78.233+Inputs!$C$47*37.719))*43758.5453)-INT((SIN((((Inputs!$I$8+(((A166)+1)/2)*(Inputs!$J$8-Inputs!$I$8)))*12.9898+(Inputs!$C$6)*78.233+Inputs!$C$47*37.719))*43758.5453)))-1))),NA())</x:f>
        <x:v>248.3394682718388</x:v>
      </x:c>
      <x:c r="AV166" s="48" t="n">
        <x: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(0.45*SIN(2*PI()*((((Inputs!$I$9+(((A166)+1)/2)*(Inputs!$J$9-Inputs!$I$9)))/Inputs!$C$49)+Inputs!$C$47*0.137))+0.35*COS(2*PI()*(((Inputs!$C$6)/Inputs!$C$50)+Inputs!$C$47*0.173))+0.20*SIN(2*PI()*((((Inputs!$I$9+(((A166)+1)/2)*(Inputs!$J$9-Inputs!$I$9)))+(Inputs!$C$6))/(0.5*(Inputs!$C$49+Inputs!$C$50))+Inputs!$C$47*0.097)))+0.30*(2*((SIN((((Inputs!$I$9+(((A166)+1)/2)*(Inputs!$J$9-Inputs!$I$9)))*12.9898+(Inputs!$C$6)*78.233+Inputs!$C$47*37.719))*43758.5453)-INT((SIN((((Inputs!$I$9+(((A166)+1)/2)*(Inputs!$J$9-Inputs!$I$9)))*12.9898+(Inputs!$C$6)*78.233+Inputs!$C$47*37.719))*43758.5453)))-1))),NA())</x:f>
        <x:v>248.3394682718388</x:v>
      </x:c>
      <x:c r="AW166" s="49"/>
      <x:c r="AX166" s="48" t="n">
        <x:f>A166</x:f>
        <x:v>0.367</x:v>
      </x:c>
      <x:c r="AY166" s="48" t="n">
        <x:f>0</x:f>
        <x:v>0</x:v>
      </x:c>
      <x:c r="AZ166" s="48" t="n">
        <x:f>IF(OR(Inputs!$F$6=TRUE,Inputs!$F$6="TRUE",Inputs!$F$6=1),(Inputs!$H$6+Inputs!$L$6*(((Inputs!$I$6+(((A166)+1)/2)*(Inputs!$J$6-Inputs!$I$6)))/Inputs!$K$6)^2),NA())</x:f>
        <x:v>400.538756</x:v>
      </x:c>
      <x:c r="BA166" s="48" t="n">
        <x:f>IF(OR(Inputs!$F$7=TRUE,Inputs!$F$7="TRUE",Inputs!$F$7=1),(Inputs!$H$7+Inputs!$L$7*(((Inputs!$I$7+(((A166)+1)/2)*(Inputs!$J$7-Inputs!$I$7)))/Inputs!$K$7)^2),NA())</x:f>
        <x:v>84.16148499999997</x:v>
      </x:c>
      <x:c r="BB166" s="48" t="n">
        <x:f>IF(OR(Inputs!$F$8=TRUE,Inputs!$F$8="TRUE",Inputs!$F$8=1),(Inputs!$H$8+Inputs!$L$8*(((Inputs!$I$8+(((A166)+1)/2)*(Inputs!$J$8-Inputs!$I$8)))/Inputs!$K$8)^2),NA())</x:f>
        <x:v>164.97488499999992</x:v>
      </x:c>
      <x:c r="BC166" s="48" t="n">
        <x:f>IF(OR(Inputs!$F$9=TRUE,Inputs!$F$9="TRUE",Inputs!$F$9=1),(Inputs!$H$9+Inputs!$L$9*(((Inputs!$I$9+(((A166)+1)/2)*(Inputs!$J$9-Inputs!$I$9)))/Inputs!$K$9)^2),NA())</x:f>
        <x:v>156.32177499999992</x:v>
      </x:c>
      <x:c r="BD166" s="49"/>
      <x:c r="BE166" s="48" t="n">
        <x:f>A166</x:f>
        <x:v>0.367</x:v>
      </x:c>
      <x:c r="BF166" s="48" t="n">
        <x:f>0</x:f>
        <x:v>0</x:v>
      </x:c>
      <x:c r="BG166" s="48"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BH166" s="48"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BI166" s="48"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BJ166" s="48"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row>
    <x:row r="167">
      <x:c r="A167" s="48" t="n">
        <x:f>ROUND(-1+165*2/240,3)</x:f>
        <x:v>0.375</x:v>
      </x:c>
      <x:c r="B167" s="48" t="n">
        <x:f>IF(OR(Inputs!$F$6=TRUE,Inputs!$F$6="TRUE",Inputs!$F$6=1),(Inputs!$H$6+Inputs!$L$6*(((Inputs!$I$6+(((A167)+1)/2)*(Inputs!$J$6-Inputs!$I$6)))/Inputs!$K$6)^2),NA())</x:f>
        <x:v>400.5625</x:v>
      </x:c>
      <x:c r="C167" s="48" t="n">
        <x:f>IF(OR(Inputs!$F$7=TRUE,Inputs!$F$7="TRUE",Inputs!$F$7=1),(Inputs!$H$7+Inputs!$L$7*(((Inputs!$I$7+(((A167)+1)/2)*(Inputs!$J$7-Inputs!$I$7)))/Inputs!$K$7)^2),NA())</x:f>
        <x:v>86.328125</x:v>
      </x:c>
      <x:c r="D167" s="48" t="n">
        <x:f>IF(OR(Inputs!$F$8=TRUE,Inputs!$F$8="TRUE",Inputs!$F$8=1),(Inputs!$H$8+Inputs!$L$8*(((Inputs!$I$8+(((A167)+1)/2)*(Inputs!$J$8-Inputs!$I$8)))/Inputs!$K$8)^2),NA())</x:f>
        <x:v>170.703125</x:v>
      </x:c>
      <x:c r="E167" s="48" t="n">
        <x:f>IF(OR(Inputs!$F$9=TRUE,Inputs!$F$9="TRUE",Inputs!$F$9=1),(Inputs!$H$9+Inputs!$L$9*(((Inputs!$I$9+(((A167)+1)/2)*(Inputs!$J$9-Inputs!$I$9)))/Inputs!$K$9)^2),NA())</x:f>
        <x:v>162.109375</x:v>
      </x:c>
      <x:c r="F167" s="49"/>
      <x:c r="G167" s="48" t="n">
        <x:f>A167</x:f>
        <x:v>0.375</x:v>
      </x:c>
      <x:c r="H167" s="48"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I167" s="48"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J167" s="48"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K167" s="48"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c r="L167" s="49"/>
      <x:c r="M167" s="48" t="n">
        <x:f>A167</x:f>
        <x:v>0.375</x:v>
      </x:c>
      <x:c r="N167" s="48" t="n">
        <x: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x:f>
        <x:v>-192.15302566213933</x:v>
      </x:c>
      <x:c r="O167" s="48" t="n">
        <x: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x:f>
        <x:v>-1992.425429394599</x:v>
      </x:c>
      <x:c r="P167" s="48" t="n">
        <x: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x:f>
        <x:v>-2274.808041014935</x:v>
      </x:c>
      <x:c r="Q167" s="48" t="n">
        <x: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x:f>
        <x:v>-2270.5464453803947</x:v>
      </x:c>
      <x:c r="R167" s="49"/>
      <x:c r="S167" s="48" t="n">
        <x:f>A167</x:f>
        <x:v>0.375</x:v>
      </x:c>
      <x:c r="T167" s="48" t="n">
        <x:f>(Inputs!$I$6+(((A167)+1)/2)*(Inputs!$J$6-Inputs!$I$6))</x:f>
        <x:v>22.5</x:v>
      </x:c>
      <x:c r="U167" s="48" t="n">
        <x:f>(Inputs!$I$7+(((A167)+1)/2)*(Inputs!$J$7-Inputs!$I$7))</x:f>
        <x:v>150</x:v>
      </x:c>
      <x:c r="V167" s="48" t="n">
        <x:f>(Inputs!$I$8+(((A167)+1)/2)*(Inputs!$J$8-Inputs!$I$8))</x:f>
        <x:v>300</x:v>
      </x:c>
      <x:c r="W167" s="48" t="n">
        <x:f>(Inputs!$I$9+(((A167)+1)/2)*(Inputs!$J$9-Inputs!$I$9))</x:f>
        <x:v>300</x:v>
      </x:c>
      <x:c r="X167" s="49"/>
      <x:c r="Y167" s="48" t="n">
        <x:f>A167</x:f>
        <x:v>0.375</x:v>
      </x:c>
      <x:c r="Z167" s="48" t="n">
        <x:f>(Inputs!$H$6+Inputs!$L$6*(((Inputs!$I$6+(((A167)+1)/2)*(Inputs!$J$6-Inputs!$I$6)))/Inputs!$K$6)^2)</x:f>
        <x:v>400.5625</x:v>
      </x:c>
      <x:c r="AA167" s="48" t="n">
        <x:f>(Inputs!$H$7+Inputs!$L$7*(((Inputs!$I$7+(((A167)+1)/2)*(Inputs!$J$7-Inputs!$I$7)))/Inputs!$K$7)^2)</x:f>
        <x:v>86.328125</x:v>
      </x:c>
      <x:c r="AB167" s="48" t="n">
        <x:f>(Inputs!$H$8+Inputs!$L$8*(((Inputs!$I$8+(((A167)+1)/2)*(Inputs!$J$8-Inputs!$I$8)))/Inputs!$K$8)^2)</x:f>
        <x:v>170.703125</x:v>
      </x:c>
      <x:c r="AC167" s="48" t="n">
        <x:f>(Inputs!$H$9+Inputs!$L$9*(((Inputs!$I$9+(((A167)+1)/2)*(Inputs!$J$9-Inputs!$I$9)))/Inputs!$K$9)^2)</x:f>
        <x:v>162.109375</x:v>
      </x:c>
      <x:c r="AD167" s="49"/>
      <x:c r="AE167" s="48" t="n">
        <x:f>A167</x:f>
        <x:v>0.375</x:v>
      </x:c>
      <x:c r="AF167" s="48" t="n">
        <x:f>(((SQRT((Inputs!$C$52+((Inputs!$H$6+Inputs!$L$6*(((Inputs!$I$6+(((A167)+1)/2)*(Inputs!$J$6-Inputs!$I$6)))/Inputs!$K$6)^2)))^2+Inputs!$C$52^2-2*(Inputs!$C$52+((Inputs!$H$6+Inputs!$L$6*(((Inputs!$I$6+(((A167)+1)/2)*(Inputs!$J$6-Inputs!$I$6)))/Inputs!$K$6)^2)))*Inputs!$C$52*COS(SQRT(((Inputs!$I$6+(((A167)+1)/2)*(Inputs!$J$6-Inputs!$I$6)))^2+Inputs!$C$6^2)/Inputs!$C$52)))-((Inputs!$H$6+Inputs!$L$6*(((Inputs!$I$6+(((A167)+1)/2)*(Inputs!$J$6-Inputs!$I$6)))/Inputs!$K$6)^2)))*1000/Inputs!$C$12)</x:f>
        <x:v>994.6570764645656</x:v>
      </x:c>
      <x:c r="AG167" s="48" t="n">
        <x:f>(((SQRT((Inputs!$C$52+((Inputs!$H$7+Inputs!$L$7*(((Inputs!$I$7+(((A167)+1)/2)*(Inputs!$J$7-Inputs!$I$7)))/Inputs!$K$7)^2)))^2+Inputs!$C$52^2-2*(Inputs!$C$52+((Inputs!$H$7+Inputs!$L$7*(((Inputs!$I$7+(((A167)+1)/2)*(Inputs!$J$7-Inputs!$I$7)))/Inputs!$K$7)^2)))*Inputs!$C$52*COS(SQRT(((Inputs!$I$7+(((A167)+1)/2)*(Inputs!$J$7-Inputs!$I$7)))^2+Inputs!$C$6^2)/Inputs!$C$52)))-((Inputs!$H$7+Inputs!$L$7*(((Inputs!$I$7+(((A167)+1)/2)*(Inputs!$J$7-Inputs!$I$7)))/Inputs!$K$7)^2)))*1000/Inputs!$C$12)</x:f>
        <x:v>51742.672553663324</x:v>
      </x:c>
      <x:c r="AH167" s="48" t="n">
        <x:f>(((SQRT((Inputs!$C$52+((Inputs!$H$8+Inputs!$L$8*(((Inputs!$I$8+(((A167)+1)/2)*(Inputs!$J$8-Inputs!$I$8)))/Inputs!$K$8)^2)))^2+Inputs!$C$52^2-2*(Inputs!$C$52+((Inputs!$H$8+Inputs!$L$8*(((Inputs!$I$8+(((A167)+1)/2)*(Inputs!$J$8-Inputs!$I$8)))/Inputs!$K$8)^2)))*Inputs!$C$52*COS(SQRT(((Inputs!$I$8+(((A167)+1)/2)*(Inputs!$J$8-Inputs!$I$8)))^2+Inputs!$C$6^2)/Inputs!$C$52)))-((Inputs!$H$8+Inputs!$L$8*(((Inputs!$I$8+(((A167)+1)/2)*(Inputs!$J$8-Inputs!$I$8)))/Inputs!$K$8)^2)))*1000/Inputs!$C$12)</x:f>
        <x:v>106162.98410826577</x:v>
      </x:c>
      <x:c r="AI167" s="48" t="n">
        <x:f>(((SQRT((Inputs!$C$52+((Inputs!$H$9+Inputs!$L$9*(((Inputs!$I$9+(((A167)+1)/2)*(Inputs!$J$9-Inputs!$I$9)))/Inputs!$K$9)^2)))^2+Inputs!$C$52^2-2*(Inputs!$C$52+((Inputs!$H$9+Inputs!$L$9*(((Inputs!$I$9+(((A167)+1)/2)*(Inputs!$J$9-Inputs!$I$9)))/Inputs!$K$9)^2)))*Inputs!$C$52*COS(SQRT(((Inputs!$I$9+(((A167)+1)/2)*(Inputs!$J$9-Inputs!$I$9)))^2+Inputs!$C$6^2)/Inputs!$C$52)))-((Inputs!$H$9+Inputs!$L$9*(((Inputs!$I$9+(((A167)+1)/2)*(Inputs!$J$9-Inputs!$I$9)))/Inputs!$K$9)^2)))*1000/Inputs!$C$12)</x:f>
        <x:v>108351.50932337677</x:v>
      </x:c>
      <x:c r="AJ167" s="49"/>
      <x:c r="AK167" s="48" t="n">
        <x:f>A167</x:f>
        <x:v>0.375</x:v>
      </x:c>
      <x:c r="AL167" s="48" t="n">
        <x: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x:f>
        <x:v>-192.15302566213933</x:v>
      </x:c>
      <x:c r="AM167" s="48" t="n">
        <x: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x:f>
        <x:v>-1992.425429394599</x:v>
      </x:c>
      <x:c r="AN167" s="48" t="n">
        <x: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x:f>
        <x:v>-2274.808041014935</x:v>
      </x:c>
      <x:c r="AO167" s="48" t="n">
        <x: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x:f>
        <x:v>-2270.5464453803947</x:v>
      </x:c>
      <x:c r="AP167" s="49"/>
      <x:c r="AQ167" s="48" t="n">
        <x:f>A167</x:f>
        <x:v>0.375</x:v>
      </x:c>
      <x:c r="AR167" s="48" t="n">
        <x:f>0</x:f>
        <x:v>0</x:v>
      </x:c>
      <x:c r="AS167" s="48" t="n">
        <x: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(0.45*SIN(2*PI()*((((Inputs!$I$6+(((A167)+1)/2)*(Inputs!$J$6-Inputs!$I$6)))/Inputs!$C$49)+Inputs!$C$47*0.137))+0.35*COS(2*PI()*(((Inputs!$C$6)/Inputs!$C$50)+Inputs!$C$47*0.173))+0.20*SIN(2*PI()*((((Inputs!$I$6+(((A167)+1)/2)*(Inputs!$J$6-Inputs!$I$6)))+(Inputs!$C$6))/(0.5*(Inputs!$C$49+Inputs!$C$50))+Inputs!$C$47*0.097)))+0.30*(2*((SIN((((Inputs!$I$6+(((A167)+1)/2)*(Inputs!$J$6-Inputs!$I$6)))*12.9898+(Inputs!$C$6)*78.233+Inputs!$C$47*37.719))*43758.5453)-INT((SIN((((Inputs!$I$6+(((A167)+1)/2)*(Inputs!$J$6-Inputs!$I$6)))*12.9898+(Inputs!$C$6)*78.233+Inputs!$C$47*37.719))*43758.5453)))-1))),NA())</x:f>
        <x:v>442.50927153418206</x:v>
      </x:c>
      <x:c r="AT167" s="48" t="n">
        <x: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(0.45*SIN(2*PI()*((((Inputs!$I$7+(((A167)+1)/2)*(Inputs!$J$7-Inputs!$I$7)))/Inputs!$C$49)+Inputs!$C$47*0.137))+0.35*COS(2*PI()*(((Inputs!$C$6)/Inputs!$C$50)+Inputs!$C$47*0.173))+0.20*SIN(2*PI()*((((Inputs!$I$7+(((A167)+1)/2)*(Inputs!$J$7-Inputs!$I$7)))+(Inputs!$C$6))/(0.5*(Inputs!$C$49+Inputs!$C$50))+Inputs!$C$47*0.097)))+0.30*(2*((SIN((((Inputs!$I$7+(((A167)+1)/2)*(Inputs!$J$7-Inputs!$I$7)))*12.9898+(Inputs!$C$6)*78.233+Inputs!$C$47*37.719))*43758.5453)-INT((SIN((((Inputs!$I$7+(((A167)+1)/2)*(Inputs!$J$7-Inputs!$I$7)))*12.9898+(Inputs!$C$6)*78.233+Inputs!$C$47*37.719))*43758.5453)))-1))),NA())</x:f>
        <x:v>210.9621930105584</x:v>
      </x:c>
      <x:c r="AU167" s="48" t="n">
        <x: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(0.45*SIN(2*PI()*((((Inputs!$I$8+(((A167)+1)/2)*(Inputs!$J$8-Inputs!$I$8)))/Inputs!$C$49)+Inputs!$C$47*0.137))+0.35*COS(2*PI()*(((Inputs!$C$6)/Inputs!$C$50)+Inputs!$C$47*0.173))+0.20*SIN(2*PI()*((((Inputs!$I$8+(((A167)+1)/2)*(Inputs!$J$8-Inputs!$I$8)))+(Inputs!$C$6))/(0.5*(Inputs!$C$49+Inputs!$C$50))+Inputs!$C$47*0.097)))+0.30*(2*((SIN((((Inputs!$I$8+(((A167)+1)/2)*(Inputs!$J$8-Inputs!$I$8)))*12.9898+(Inputs!$C$6)*78.233+Inputs!$C$47*37.719))*43758.5453)-INT((SIN((((Inputs!$I$8+(((A167)+1)/2)*(Inputs!$J$8-Inputs!$I$8)))*12.9898+(Inputs!$C$6)*78.233+Inputs!$C$47*37.719))*43758.5453)))-1))),NA())</x:f>
        <x:v>97.23537790937075</x:v>
      </x:c>
      <x:c r="AV167" s="48" t="n">
        <x: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(0.45*SIN(2*PI()*((((Inputs!$I$9+(((A167)+1)/2)*(Inputs!$J$9-Inputs!$I$9)))/Inputs!$C$49)+Inputs!$C$47*0.137))+0.35*COS(2*PI()*(((Inputs!$C$6)/Inputs!$C$50)+Inputs!$C$47*0.173))+0.20*SIN(2*PI()*((((Inputs!$I$9+(((A167)+1)/2)*(Inputs!$J$9-Inputs!$I$9)))+(Inputs!$C$6))/(0.5*(Inputs!$C$49+Inputs!$C$50))+Inputs!$C$47*0.097)))+0.30*(2*((SIN((((Inputs!$I$9+(((A167)+1)/2)*(Inputs!$J$9-Inputs!$I$9)))*12.9898+(Inputs!$C$6)*78.233+Inputs!$C$47*37.719))*43758.5453)-INT((SIN((((Inputs!$I$9+(((A167)+1)/2)*(Inputs!$J$9-Inputs!$I$9)))*12.9898+(Inputs!$C$6)*78.233+Inputs!$C$47*37.719))*43758.5453)))-1))),NA())</x:f>
        <x:v>97.23537790937075</x:v>
      </x:c>
      <x:c r="AW167" s="49"/>
      <x:c r="AX167" s="48" t="n">
        <x:f>A167</x:f>
        <x:v>0.375</x:v>
      </x:c>
      <x:c r="AY167" s="48" t="n">
        <x:f>0</x:f>
        <x:v>0</x:v>
      </x:c>
      <x:c r="AZ167" s="48" t="n">
        <x:f>IF(OR(Inputs!$F$6=TRUE,Inputs!$F$6="TRUE",Inputs!$F$6=1),(Inputs!$H$6+Inputs!$L$6*(((Inputs!$I$6+(((A167)+1)/2)*(Inputs!$J$6-Inputs!$I$6)))/Inputs!$K$6)^2),NA())</x:f>
        <x:v>400.5625</x:v>
      </x:c>
      <x:c r="BA167" s="48" t="n">
        <x:f>IF(OR(Inputs!$F$7=TRUE,Inputs!$F$7="TRUE",Inputs!$F$7=1),(Inputs!$H$7+Inputs!$L$7*(((Inputs!$I$7+(((A167)+1)/2)*(Inputs!$J$7-Inputs!$I$7)))/Inputs!$K$7)^2),NA())</x:f>
        <x:v>86.328125</x:v>
      </x:c>
      <x:c r="BB167" s="48" t="n">
        <x:f>IF(OR(Inputs!$F$8=TRUE,Inputs!$F$8="TRUE",Inputs!$F$8=1),(Inputs!$H$8+Inputs!$L$8*(((Inputs!$I$8+(((A167)+1)/2)*(Inputs!$J$8-Inputs!$I$8)))/Inputs!$K$8)^2),NA())</x:f>
        <x:v>170.703125</x:v>
      </x:c>
      <x:c r="BC167" s="48" t="n">
        <x:f>IF(OR(Inputs!$F$9=TRUE,Inputs!$F$9="TRUE",Inputs!$F$9=1),(Inputs!$H$9+Inputs!$L$9*(((Inputs!$I$9+(((A167)+1)/2)*(Inputs!$J$9-Inputs!$I$9)))/Inputs!$K$9)^2),NA())</x:f>
        <x:v>162.109375</x:v>
      </x:c>
      <x:c r="BD167" s="49"/>
      <x:c r="BE167" s="48" t="n">
        <x:f>A167</x:f>
        <x:v>0.375</x:v>
      </x:c>
      <x:c r="BF167" s="48" t="n">
        <x:f>0</x:f>
        <x:v>0</x:v>
      </x:c>
      <x:c r="BG167" s="48"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BH167" s="48"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BI167" s="48"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BJ167" s="48"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row>
    <x:row r="168">
      <x:c r="A168" s="48" t="n">
        <x:f>ROUND(-1+166*2/240,3)</x:f>
        <x:v>0.383</x:v>
      </x:c>
      <x:c r="B168" s="48" t="n">
        <x:f>IF(OR(Inputs!$F$6=TRUE,Inputs!$F$6="TRUE",Inputs!$F$6=1),(Inputs!$H$6+Inputs!$L$6*(((Inputs!$I$6+(((A168)+1)/2)*(Inputs!$J$6-Inputs!$I$6)))/Inputs!$K$6)^2),NA())</x:f>
        <x:v>400.586756</x:v>
      </x:c>
      <x:c r="C168" s="48" t="n">
        <x:f>IF(OR(Inputs!$F$7=TRUE,Inputs!$F$7="TRUE",Inputs!$F$7=1),(Inputs!$H$7+Inputs!$L$7*(((Inputs!$I$7+(((A168)+1)/2)*(Inputs!$J$7-Inputs!$I$7)))/Inputs!$K$7)^2),NA())</x:f>
        <x:v>88.54148500000004</x:v>
      </x:c>
      <x:c r="D168" s="48" t="n">
        <x:f>IF(OR(Inputs!$F$8=TRUE,Inputs!$F$8="TRUE",Inputs!$F$8=1),(Inputs!$H$8+Inputs!$L$8*(((Inputs!$I$8+(((A168)+1)/2)*(Inputs!$J$8-Inputs!$I$8)))/Inputs!$K$8)^2),NA())</x:f>
        <x:v>176.5548850000001</x:v>
      </x:c>
      <x:c r="E168" s="48" t="n">
        <x:f>IF(OR(Inputs!$F$9=TRUE,Inputs!$F$9="TRUE",Inputs!$F$9=1),(Inputs!$H$9+Inputs!$L$9*(((Inputs!$I$9+(((A168)+1)/2)*(Inputs!$J$9-Inputs!$I$9)))/Inputs!$K$9)^2),NA())</x:f>
        <x:v>168.0217750000001</x:v>
      </x:c>
      <x:c r="F168" s="49"/>
      <x:c r="G168" s="48" t="n">
        <x:f>A168</x:f>
        <x:v>0.383</x:v>
      </x:c>
      <x:c r="H168" s="48"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I168" s="48"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J168" s="48"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K168" s="48"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c r="L168" s="49"/>
      <x:c r="M168" s="48" t="n">
        <x:f>A168</x:f>
        <x:v>0.383</x:v>
      </x:c>
      <x:c r="N168" s="48" t="n">
        <x: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x:f>
        <x:v>-196.23147061896577</x:v>
      </x:c>
      <x:c r="O168" s="48" t="n">
        <x: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x:f>
        <x:v>-2007.591395965681</x:v>
      </x:c>
      <x:c r="P168" s="48" t="n">
        <x: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x:f>
        <x:v>-2298.6870308669577</x:v>
      </x:c>
      <x:c r="Q168" s="48" t="n">
        <x: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x:f>
        <x:v>-2294.829050325522</x:v>
      </x:c>
      <x:c r="R168" s="49"/>
      <x:c r="S168" s="48" t="n">
        <x:f>A168</x:f>
        <x:v>0.383</x:v>
      </x:c>
      <x:c r="T168" s="48" t="n">
        <x:f>(Inputs!$I$6+(((A168)+1)/2)*(Inputs!$J$6-Inputs!$I$6))</x:f>
        <x:v>22.980000000000004</x:v>
      </x:c>
      <x:c r="U168" s="48" t="n">
        <x:f>(Inputs!$I$7+(((A168)+1)/2)*(Inputs!$J$7-Inputs!$I$7))</x:f>
        <x:v>153.20000000000005</x:v>
      </x:c>
      <x:c r="V168" s="48" t="n">
        <x:f>(Inputs!$I$8+(((A168)+1)/2)*(Inputs!$J$8-Inputs!$I$8))</x:f>
        <x:v>306.4000000000001</x:v>
      </x:c>
      <x:c r="W168" s="48" t="n">
        <x:f>(Inputs!$I$9+(((A168)+1)/2)*(Inputs!$J$9-Inputs!$I$9))</x:f>
        <x:v>306.4000000000001</x:v>
      </x:c>
      <x:c r="X168" s="49"/>
      <x:c r="Y168" s="48" t="n">
        <x:f>A168</x:f>
        <x:v>0.383</x:v>
      </x:c>
      <x:c r="Z168" s="48" t="n">
        <x:f>(Inputs!$H$6+Inputs!$L$6*(((Inputs!$I$6+(((A168)+1)/2)*(Inputs!$J$6-Inputs!$I$6)))/Inputs!$K$6)^2)</x:f>
        <x:v>400.586756</x:v>
      </x:c>
      <x:c r="AA168" s="48" t="n">
        <x:f>(Inputs!$H$7+Inputs!$L$7*(((Inputs!$I$7+(((A168)+1)/2)*(Inputs!$J$7-Inputs!$I$7)))/Inputs!$K$7)^2)</x:f>
        <x:v>88.54148500000004</x:v>
      </x:c>
      <x:c r="AB168" s="48" t="n">
        <x:f>(Inputs!$H$8+Inputs!$L$8*(((Inputs!$I$8+(((A168)+1)/2)*(Inputs!$J$8-Inputs!$I$8)))/Inputs!$K$8)^2)</x:f>
        <x:v>176.5548850000001</x:v>
      </x:c>
      <x:c r="AC168" s="48" t="n">
        <x:f>(Inputs!$H$9+Inputs!$L$9*(((Inputs!$I$9+(((A168)+1)/2)*(Inputs!$J$9-Inputs!$I$9)))/Inputs!$K$9)^2)</x:f>
        <x:v>168.0217750000001</x:v>
      </x:c>
      <x:c r="AD168" s="49"/>
      <x:c r="AE168" s="48" t="n">
        <x:f>A168</x:f>
        <x:v>0.383</x:v>
      </x:c>
      <x:c r="AF168" s="48" t="n">
        <x:f>(((SQRT((Inputs!$C$52+((Inputs!$H$6+Inputs!$L$6*(((Inputs!$I$6+(((A168)+1)/2)*(Inputs!$J$6-Inputs!$I$6)))/Inputs!$K$6)^2)))^2+Inputs!$C$52^2-2*(Inputs!$C$52+((Inputs!$H$6+Inputs!$L$6*(((Inputs!$I$6+(((A168)+1)/2)*(Inputs!$J$6-Inputs!$I$6)))/Inputs!$K$6)^2)))*Inputs!$C$52*COS(SQRT(((Inputs!$I$6+(((A168)+1)/2)*(Inputs!$J$6-Inputs!$I$6)))^2+Inputs!$C$6^2)/Inputs!$C$52)))-((Inputs!$H$6+Inputs!$L$6*(((Inputs!$I$6+(((A168)+1)/2)*(Inputs!$J$6-Inputs!$I$6)))/Inputs!$K$6)^2)))*1000/Inputs!$C$12)</x:f>
        <x:v>1013.7591589562022</x:v>
      </x:c>
      <x:c r="AG168" s="48" t="n">
        <x:f>(((SQRT((Inputs!$C$52+((Inputs!$H$7+Inputs!$L$7*(((Inputs!$I$7+(((A168)+1)/2)*(Inputs!$J$7-Inputs!$I$7)))/Inputs!$K$7)^2)))^2+Inputs!$C$52^2-2*(Inputs!$C$52+((Inputs!$H$7+Inputs!$L$7*(((Inputs!$I$7+(((A168)+1)/2)*(Inputs!$J$7-Inputs!$I$7)))/Inputs!$K$7)^2)))*Inputs!$C$52*COS(SQRT(((Inputs!$I$7+(((A168)+1)/2)*(Inputs!$J$7-Inputs!$I$7)))^2+Inputs!$C$6^2)/Inputs!$C$52)))-((Inputs!$H$7+Inputs!$L$7*(((Inputs!$I$7+(((A168)+1)/2)*(Inputs!$J$7-Inputs!$I$7)))/Inputs!$K$7)^2)))*1000/Inputs!$C$12)</x:f>
        <x:v>52746.40431481314</x:v>
      </x:c>
      <x:c r="AH168" s="48" t="n">
        <x:f>(((SQRT((Inputs!$C$52+((Inputs!$H$8+Inputs!$L$8*(((Inputs!$I$8+(((A168)+1)/2)*(Inputs!$J$8-Inputs!$I$8)))/Inputs!$K$8)^2)))^2+Inputs!$C$52^2-2*(Inputs!$C$52+((Inputs!$H$8+Inputs!$L$8*(((Inputs!$I$8+(((A168)+1)/2)*(Inputs!$J$8-Inputs!$I$8)))/Inputs!$K$8)^2)))*Inputs!$C$52*COS(SQRT(((Inputs!$I$8+(((A168)+1)/2)*(Inputs!$J$8-Inputs!$I$8)))^2+Inputs!$C$6^2)/Inputs!$C$52)))-((Inputs!$H$8+Inputs!$L$8*(((Inputs!$I$8+(((A168)+1)/2)*(Inputs!$J$8-Inputs!$I$8)))/Inputs!$K$8)^2)))*1000/Inputs!$C$12)</x:f>
        <x:v>108014.18286329438</x:v>
      </x:c>
      <x:c r="AI168" s="48" t="n">
        <x:f>(((SQRT((Inputs!$C$52+((Inputs!$H$9+Inputs!$L$9*(((Inputs!$I$9+(((A168)+1)/2)*(Inputs!$J$9-Inputs!$I$9)))/Inputs!$K$9)^2)))^2+Inputs!$C$52^2-2*(Inputs!$C$52+((Inputs!$H$9+Inputs!$L$9*(((Inputs!$I$9+(((A168)+1)/2)*(Inputs!$J$9-Inputs!$I$9)))/Inputs!$K$9)^2)))*Inputs!$C$52*COS(SQRT(((Inputs!$I$9+(((A168)+1)/2)*(Inputs!$J$9-Inputs!$I$9)))^2+Inputs!$C$6^2)/Inputs!$C$52)))-((Inputs!$H$9+Inputs!$L$9*(((Inputs!$I$9+(((A168)+1)/2)*(Inputs!$J$9-Inputs!$I$9)))/Inputs!$K$9)^2)))*1000/Inputs!$C$12)</x:f>
        <x:v>110159.51485401066</x:v>
      </x:c>
      <x:c r="AJ168" s="49"/>
      <x:c r="AK168" s="48" t="n">
        <x:f>A168</x:f>
        <x:v>0.383</x:v>
      </x:c>
      <x:c r="AL168" s="48" t="n">
        <x: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x:f>
        <x:v>-196.23147061896577</x:v>
      </x:c>
      <x:c r="AM168" s="48" t="n">
        <x: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x:f>
        <x:v>-2007.591395965681</x:v>
      </x:c>
      <x:c r="AN168" s="48" t="n">
        <x: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x:f>
        <x:v>-2298.6870308669577</x:v>
      </x:c>
      <x:c r="AO168" s="48" t="n">
        <x: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x:f>
        <x:v>-2294.829050325522</x:v>
      </x:c>
      <x:c r="AP168" s="49"/>
      <x:c r="AQ168" s="48" t="n">
        <x:f>A168</x:f>
        <x:v>0.383</x:v>
      </x:c>
      <x:c r="AR168" s="48" t="n">
        <x:f>0</x:f>
        <x:v>0</x:v>
      </x:c>
      <x:c r="AS168" s="48" t="n">
        <x: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(0.45*SIN(2*PI()*((((Inputs!$I$6+(((A168)+1)/2)*(Inputs!$J$6-Inputs!$I$6)))/Inputs!$C$49)+Inputs!$C$47*0.137))+0.35*COS(2*PI()*(((Inputs!$C$6)/Inputs!$C$50)+Inputs!$C$47*0.173))+0.20*SIN(2*PI()*((((Inputs!$I$6+(((A168)+1)/2)*(Inputs!$J$6-Inputs!$I$6)))+(Inputs!$C$6))/(0.5*(Inputs!$C$49+Inputs!$C$50))+Inputs!$C$47*0.097)))+0.30*(2*((SIN((((Inputs!$I$6+(((A168)+1)/2)*(Inputs!$J$6-Inputs!$I$6)))*12.9898+(Inputs!$C$6)*78.233+Inputs!$C$47*37.719))*43758.5453)-INT((SIN((((Inputs!$I$6+(((A168)+1)/2)*(Inputs!$J$6-Inputs!$I$6)))*12.9898+(Inputs!$C$6)*78.233+Inputs!$C$47*37.719))*43758.5453)))-1))),NA())</x:f>
        <x:v>455.92133718618885</x:v>
      </x:c>
      <x:c r="AT168" s="48" t="n">
        <x: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(0.45*SIN(2*PI()*((((Inputs!$I$7+(((A168)+1)/2)*(Inputs!$J$7-Inputs!$I$7)))/Inputs!$C$49)+Inputs!$C$47*0.137))+0.35*COS(2*PI()*(((Inputs!$C$6)/Inputs!$C$50)+Inputs!$C$47*0.173))+0.20*SIN(2*PI()*((((Inputs!$I$7+(((A168)+1)/2)*(Inputs!$J$7-Inputs!$I$7)))+(Inputs!$C$6))/(0.5*(Inputs!$C$49+Inputs!$C$50))+Inputs!$C$47*0.097)))+0.30*(2*((SIN((((Inputs!$I$7+(((A168)+1)/2)*(Inputs!$J$7-Inputs!$I$7)))*12.9898+(Inputs!$C$6)*78.233+Inputs!$C$47*37.719))*43758.5453)-INT((SIN((((Inputs!$I$7+(((A168)+1)/2)*(Inputs!$J$7-Inputs!$I$7)))*12.9898+(Inputs!$C$6)*78.233+Inputs!$C$47*37.719))*43758.5453)))-1))),NA())</x:f>
        <x:v>134.71597497995268</x:v>
      </x:c>
      <x:c r="AU168" s="48" t="n">
        <x: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(0.45*SIN(2*PI()*((((Inputs!$I$8+(((A168)+1)/2)*(Inputs!$J$8-Inputs!$I$8)))/Inputs!$C$49)+Inputs!$C$47*0.137))+0.35*COS(2*PI()*(((Inputs!$C$6)/Inputs!$C$50)+Inputs!$C$47*0.173))+0.20*SIN(2*PI()*((((Inputs!$I$8+(((A168)+1)/2)*(Inputs!$J$8-Inputs!$I$8)))+(Inputs!$C$6))/(0.5*(Inputs!$C$49+Inputs!$C$50))+Inputs!$C$47*0.097)))+0.30*(2*((SIN((((Inputs!$I$8+(((A168)+1)/2)*(Inputs!$J$8-Inputs!$I$8)))*12.9898+(Inputs!$C$6)*78.233+Inputs!$C$47*37.719))*43758.5453)-INT((SIN((((Inputs!$I$8+(((A168)+1)/2)*(Inputs!$J$8-Inputs!$I$8)))*12.9898+(Inputs!$C$6)*78.233+Inputs!$C$47*37.719))*43758.5453)))-1))),NA())</x:f>
        <x:v>179.0016503669011</x:v>
      </x:c>
      <x:c r="AV168" s="48" t="n">
        <x: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(0.45*SIN(2*PI()*((((Inputs!$I$9+(((A168)+1)/2)*(Inputs!$J$9-Inputs!$I$9)))/Inputs!$C$49)+Inputs!$C$47*0.137))+0.35*COS(2*PI()*(((Inputs!$C$6)/Inputs!$C$50)+Inputs!$C$47*0.173))+0.20*SIN(2*PI()*((((Inputs!$I$9+(((A168)+1)/2)*(Inputs!$J$9-Inputs!$I$9)))+(Inputs!$C$6))/(0.5*(Inputs!$C$49+Inputs!$C$50))+Inputs!$C$47*0.097)))+0.30*(2*((SIN((((Inputs!$I$9+(((A168)+1)/2)*(Inputs!$J$9-Inputs!$I$9)))*12.9898+(Inputs!$C$6)*78.233+Inputs!$C$47*37.719))*43758.5453)-INT((SIN((((Inputs!$I$9+(((A168)+1)/2)*(Inputs!$J$9-Inputs!$I$9)))*12.9898+(Inputs!$C$6)*78.233+Inputs!$C$47*37.719))*43758.5453)))-1))),NA())</x:f>
        <x:v>179.0016503669011</x:v>
      </x:c>
      <x:c r="AW168" s="49"/>
      <x:c r="AX168" s="48" t="n">
        <x:f>A168</x:f>
        <x:v>0.383</x:v>
      </x:c>
      <x:c r="AY168" s="48" t="n">
        <x:f>0</x:f>
        <x:v>0</x:v>
      </x:c>
      <x:c r="AZ168" s="48" t="n">
        <x:f>IF(OR(Inputs!$F$6=TRUE,Inputs!$F$6="TRUE",Inputs!$F$6=1),(Inputs!$H$6+Inputs!$L$6*(((Inputs!$I$6+(((A168)+1)/2)*(Inputs!$J$6-Inputs!$I$6)))/Inputs!$K$6)^2),NA())</x:f>
        <x:v>400.586756</x:v>
      </x:c>
      <x:c r="BA168" s="48" t="n">
        <x:f>IF(OR(Inputs!$F$7=TRUE,Inputs!$F$7="TRUE",Inputs!$F$7=1),(Inputs!$H$7+Inputs!$L$7*(((Inputs!$I$7+(((A168)+1)/2)*(Inputs!$J$7-Inputs!$I$7)))/Inputs!$K$7)^2),NA())</x:f>
        <x:v>88.54148500000004</x:v>
      </x:c>
      <x:c r="BB168" s="48" t="n">
        <x:f>IF(OR(Inputs!$F$8=TRUE,Inputs!$F$8="TRUE",Inputs!$F$8=1),(Inputs!$H$8+Inputs!$L$8*(((Inputs!$I$8+(((A168)+1)/2)*(Inputs!$J$8-Inputs!$I$8)))/Inputs!$K$8)^2),NA())</x:f>
        <x:v>176.5548850000001</x:v>
      </x:c>
      <x:c r="BC168" s="48" t="n">
        <x:f>IF(OR(Inputs!$F$9=TRUE,Inputs!$F$9="TRUE",Inputs!$F$9=1),(Inputs!$H$9+Inputs!$L$9*(((Inputs!$I$9+(((A168)+1)/2)*(Inputs!$J$9-Inputs!$I$9)))/Inputs!$K$9)^2),NA())</x:f>
        <x:v>168.0217750000001</x:v>
      </x:c>
      <x:c r="BD168" s="49"/>
      <x:c r="BE168" s="48" t="n">
        <x:f>A168</x:f>
        <x:v>0.383</x:v>
      </x:c>
      <x:c r="BF168" s="48" t="n">
        <x:f>0</x:f>
        <x:v>0</x:v>
      </x:c>
      <x:c r="BG168" s="48"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BH168" s="48"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BI168" s="48"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BJ168" s="48"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row>
    <x:row r="169">
      <x:c r="A169" s="48" t="n">
        <x:f>ROUND(-1+167*2/240,3)</x:f>
        <x:v>0.392</x:v>
      </x:c>
      <x:c r="B169" s="48" t="n">
        <x:f>IF(OR(Inputs!$F$6=TRUE,Inputs!$F$6="TRUE",Inputs!$F$6=1),(Inputs!$H$6+Inputs!$L$6*(((Inputs!$I$6+(((A169)+1)/2)*(Inputs!$J$6-Inputs!$I$6)))/Inputs!$K$6)^2),NA())</x:f>
        <x:v>400.614656</x:v>
      </x:c>
      <x:c r="C169" s="48" t="n">
        <x:f>IF(OR(Inputs!$F$7=TRUE,Inputs!$F$7="TRUE",Inputs!$F$7=1),(Inputs!$H$7+Inputs!$L$7*(((Inputs!$I$7+(((A169)+1)/2)*(Inputs!$J$7-Inputs!$I$7)))/Inputs!$K$7)^2),NA())</x:f>
        <x:v>91.08735999999996</x:v>
      </x:c>
      <x:c r="D169" s="48" t="n">
        <x:f>IF(OR(Inputs!$F$8=TRUE,Inputs!$F$8="TRUE",Inputs!$F$8=1),(Inputs!$H$8+Inputs!$L$8*(((Inputs!$I$8+(((A169)+1)/2)*(Inputs!$J$8-Inputs!$I$8)))/Inputs!$K$8)^2),NA())</x:f>
        <x:v>183.28575999999993</x:v>
      </x:c>
      <x:c r="E169" s="48" t="n">
        <x:f>IF(OR(Inputs!$F$9=TRUE,Inputs!$F$9="TRUE",Inputs!$F$9=1),(Inputs!$H$9+Inputs!$L$9*(((Inputs!$I$9+(((A169)+1)/2)*(Inputs!$J$9-Inputs!$I$9)))/Inputs!$K$9)^2),NA())</x:f>
        <x:v>174.8223999999999</x:v>
      </x:c>
      <x:c r="F169" s="49"/>
      <x:c r="G169" s="48" t="n">
        <x:f>A169</x:f>
        <x:v>0.392</x:v>
      </x:c>
      <x:c r="H169" s="48"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I169" s="48"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J169" s="48"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K169" s="48"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c r="L169" s="49"/>
      <x:c r="M169" s="48" t="n">
        <x:f>A169</x:f>
        <x:v>0.392</x:v>
      </x:c>
      <x:c r="N169" s="48" t="n">
        <x: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x:f>
        <x:v>-200.81815536858807</x:v>
      </x:c>
      <x:c r="O169" s="48" t="n">
        <x: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x:f>
        <x:v>-2024.7604022220578</x:v>
      </x:c>
      <x:c r="P169" s="48" t="n">
        <x: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x:f>
        <x:v>-2325.893677916631</x:v>
      </x:c>
      <x:c r="Q169" s="48" t="n">
        <x: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x:f>
        <x:v>-2322.506109592962</x:v>
      </x:c>
      <x:c r="R169" s="49"/>
      <x:c r="S169" s="48" t="n">
        <x:f>A169</x:f>
        <x:v>0.392</x:v>
      </x:c>
      <x:c r="T169" s="48" t="n">
        <x:f>(Inputs!$I$6+(((A169)+1)/2)*(Inputs!$J$6-Inputs!$I$6))</x:f>
        <x:v>23.519999999999996</x:v>
      </x:c>
      <x:c r="U169" s="48" t="n">
        <x:f>(Inputs!$I$7+(((A169)+1)/2)*(Inputs!$J$7-Inputs!$I$7))</x:f>
        <x:v>156.79999999999995</x:v>
      </x:c>
      <x:c r="V169" s="48" t="n">
        <x:f>(Inputs!$I$8+(((A169)+1)/2)*(Inputs!$J$8-Inputs!$I$8))</x:f>
        <x:v>313.5999999999999</x:v>
      </x:c>
      <x:c r="W169" s="48" t="n">
        <x:f>(Inputs!$I$9+(((A169)+1)/2)*(Inputs!$J$9-Inputs!$I$9))</x:f>
        <x:v>313.5999999999999</x:v>
      </x:c>
      <x:c r="X169" s="49"/>
      <x:c r="Y169" s="48" t="n">
        <x:f>A169</x:f>
        <x:v>0.392</x:v>
      </x:c>
      <x:c r="Z169" s="48" t="n">
        <x:f>(Inputs!$H$6+Inputs!$L$6*(((Inputs!$I$6+(((A169)+1)/2)*(Inputs!$J$6-Inputs!$I$6)))/Inputs!$K$6)^2)</x:f>
        <x:v>400.614656</x:v>
      </x:c>
      <x:c r="AA169" s="48" t="n">
        <x:f>(Inputs!$H$7+Inputs!$L$7*(((Inputs!$I$7+(((A169)+1)/2)*(Inputs!$J$7-Inputs!$I$7)))/Inputs!$K$7)^2)</x:f>
        <x:v>91.08735999999996</x:v>
      </x:c>
      <x:c r="AB169" s="48" t="n">
        <x:f>(Inputs!$H$8+Inputs!$L$8*(((Inputs!$I$8+(((A169)+1)/2)*(Inputs!$J$8-Inputs!$I$8)))/Inputs!$K$8)^2)</x:f>
        <x:v>183.28575999999993</x:v>
      </x:c>
      <x:c r="AC169" s="48" t="n">
        <x:f>(Inputs!$H$9+Inputs!$L$9*(((Inputs!$I$9+(((A169)+1)/2)*(Inputs!$J$9-Inputs!$I$9)))/Inputs!$K$9)^2)</x:f>
        <x:v>174.8223999999999</x:v>
      </x:c>
      <x:c r="AD169" s="49"/>
      <x:c r="AE169" s="48" t="n">
        <x:f>A169</x:f>
        <x:v>0.392</x:v>
      </x:c>
      <x:c r="AF169" s="48" t="n">
        <x:f>(((SQRT((Inputs!$C$52+((Inputs!$H$6+Inputs!$L$6*(((Inputs!$I$6+(((A169)+1)/2)*(Inputs!$J$6-Inputs!$I$6)))/Inputs!$K$6)^2)))^2+Inputs!$C$52^2-2*(Inputs!$C$52+((Inputs!$H$6+Inputs!$L$6*(((Inputs!$I$6+(((A169)+1)/2)*(Inputs!$J$6-Inputs!$I$6)))/Inputs!$K$6)^2)))*Inputs!$C$52*COS(SQRT(((Inputs!$I$6+(((A169)+1)/2)*(Inputs!$J$6-Inputs!$I$6)))^2+Inputs!$C$6^2)/Inputs!$C$52)))-((Inputs!$H$6+Inputs!$L$6*(((Inputs!$I$6+(((A169)+1)/2)*(Inputs!$J$6-Inputs!$I$6)))/Inputs!$K$6)^2)))*1000/Inputs!$C$12)</x:f>
        <x:v>1035.7266710358547</x:v>
      </x:c>
      <x:c r="AG169" s="48" t="n">
        <x:f>(((SQRT((Inputs!$C$52+((Inputs!$H$7+Inputs!$L$7*(((Inputs!$I$7+(((A169)+1)/2)*(Inputs!$J$7-Inputs!$I$7)))/Inputs!$K$7)^2)))^2+Inputs!$C$52^2-2*(Inputs!$C$52+((Inputs!$H$7+Inputs!$L$7*(((Inputs!$I$7+(((A169)+1)/2)*(Inputs!$J$7-Inputs!$I$7)))/Inputs!$K$7)^2)))*Inputs!$C$52*COS(SQRT(((Inputs!$I$7+(((A169)+1)/2)*(Inputs!$J$7-Inputs!$I$7)))^2+Inputs!$C$6^2)/Inputs!$C$52)))-((Inputs!$H$7+Inputs!$L$7*(((Inputs!$I$7+(((A169)+1)/2)*(Inputs!$J$7-Inputs!$I$7)))/Inputs!$K$7)^2)))*1000/Inputs!$C$12)</x:f>
        <x:v>53864.661948684465</x:v>
      </x:c>
      <x:c r="AH169" s="48" t="n">
        <x:f>(((SQRT((Inputs!$C$52+((Inputs!$H$8+Inputs!$L$8*(((Inputs!$I$8+(((A169)+1)/2)*(Inputs!$J$8-Inputs!$I$8)))/Inputs!$K$8)^2)))^2+Inputs!$C$52^2-2*(Inputs!$C$52+((Inputs!$H$8+Inputs!$L$8*(((Inputs!$I$8+(((A169)+1)/2)*(Inputs!$J$8-Inputs!$I$8)))/Inputs!$K$8)^2)))*Inputs!$C$52*COS(SQRT(((Inputs!$I$8+(((A169)+1)/2)*(Inputs!$J$8-Inputs!$I$8)))^2+Inputs!$C$6^2)/Inputs!$C$52)))-((Inputs!$H$8+Inputs!$L$8*(((Inputs!$I$8+(((A169)+1)/2)*(Inputs!$J$8-Inputs!$I$8)))/Inputs!$K$8)^2)))*1000/Inputs!$C$12)</x:f>
        <x:v>110078.3944131492</x:v>
      </x:c>
      <x:c r="AI169" s="48" t="n">
        <x:f>(((SQRT((Inputs!$C$52+((Inputs!$H$9+Inputs!$L$9*(((Inputs!$I$9+(((A169)+1)/2)*(Inputs!$J$9-Inputs!$I$9)))/Inputs!$K$9)^2)))^2+Inputs!$C$52^2-2*(Inputs!$C$52+((Inputs!$H$9+Inputs!$L$9*(((Inputs!$I$9+(((A169)+1)/2)*(Inputs!$J$9-Inputs!$I$9)))/Inputs!$K$9)^2)))*Inputs!$C$52*COS(SQRT(((Inputs!$I$9+(((A169)+1)/2)*(Inputs!$J$9-Inputs!$I$9)))^2+Inputs!$C$6^2)/Inputs!$C$52)))-((Inputs!$H$9+Inputs!$L$9*(((Inputs!$I$9+(((A169)+1)/2)*(Inputs!$J$9-Inputs!$I$9)))/Inputs!$K$9)^2)))*1000/Inputs!$C$12)</x:f>
        <x:v>112175.37883709907</x:v>
      </x:c>
      <x:c r="AJ169" s="49"/>
      <x:c r="AK169" s="48" t="n">
        <x:f>A169</x:f>
        <x:v>0.392</x:v>
      </x:c>
      <x:c r="AL169" s="48" t="n">
        <x: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x:f>
        <x:v>-200.81815536858807</x:v>
      </x:c>
      <x:c r="AM169" s="48" t="n">
        <x: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x:f>
        <x:v>-2024.7604022220578</x:v>
      </x:c>
      <x:c r="AN169" s="48" t="n">
        <x: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x:f>
        <x:v>-2325.893677916631</x:v>
      </x:c>
      <x:c r="AO169" s="48" t="n">
        <x: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x:f>
        <x:v>-2322.506109592962</x:v>
      </x:c>
      <x:c r="AP169" s="49"/>
      <x:c r="AQ169" s="48" t="n">
        <x:f>A169</x:f>
        <x:v>0.392</x:v>
      </x:c>
      <x:c r="AR169" s="48" t="n">
        <x:f>0</x:f>
        <x:v>0</x:v>
      </x:c>
      <x:c r="AS169" s="48" t="n">
        <x: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(0.45*SIN(2*PI()*((((Inputs!$I$6+(((A169)+1)/2)*(Inputs!$J$6-Inputs!$I$6)))/Inputs!$C$49)+Inputs!$C$47*0.137))+0.35*COS(2*PI()*(((Inputs!$C$6)/Inputs!$C$50)+Inputs!$C$47*0.173))+0.20*SIN(2*PI()*((((Inputs!$I$6+(((A169)+1)/2)*(Inputs!$J$6-Inputs!$I$6)))+(Inputs!$C$6))/(0.5*(Inputs!$C$49+Inputs!$C$50))+Inputs!$C$47*0.097)))+0.30*(2*((SIN((((Inputs!$I$6+(((A169)+1)/2)*(Inputs!$J$6-Inputs!$I$6)))*12.9898+(Inputs!$C$6)*78.233+Inputs!$C$47*37.719))*43758.5453)-INT((SIN((((Inputs!$I$6+(((A169)+1)/2)*(Inputs!$J$6-Inputs!$I$6)))*12.9898+(Inputs!$C$6)*78.233+Inputs!$C$47*37.719))*43758.5453)))-1))),NA())</x:f>
        <x:v>440.0027154227627</x:v>
      </x:c>
      <x:c r="AT169" s="48" t="n">
        <x: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(0.45*SIN(2*PI()*((((Inputs!$I$7+(((A169)+1)/2)*(Inputs!$J$7-Inputs!$I$7)))/Inputs!$C$49)+Inputs!$C$47*0.137))+0.35*COS(2*PI()*(((Inputs!$C$6)/Inputs!$C$50)+Inputs!$C$47*0.173))+0.20*SIN(2*PI()*((((Inputs!$I$7+(((A169)+1)/2)*(Inputs!$J$7-Inputs!$I$7)))+(Inputs!$C$6))/(0.5*(Inputs!$C$49+Inputs!$C$50))+Inputs!$C$47*0.097)))+0.30*(2*((SIN((((Inputs!$I$7+(((A169)+1)/2)*(Inputs!$J$7-Inputs!$I$7)))*12.9898+(Inputs!$C$6)*78.233+Inputs!$C$47*37.719))*43758.5453)-INT((SIN((((Inputs!$I$7+(((A169)+1)/2)*(Inputs!$J$7-Inputs!$I$7)))*12.9898+(Inputs!$C$6)*78.233+Inputs!$C$47*37.719))*43758.5453)))-1))),NA())</x:f>
        <x:v>139.29932347579913</x:v>
      </x:c>
      <x:c r="AU169" s="48" t="n">
        <x: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(0.45*SIN(2*PI()*((((Inputs!$I$8+(((A169)+1)/2)*(Inputs!$J$8-Inputs!$I$8)))/Inputs!$C$49)+Inputs!$C$47*0.137))+0.35*COS(2*PI()*(((Inputs!$C$6)/Inputs!$C$50)+Inputs!$C$47*0.173))+0.20*SIN(2*PI()*((((Inputs!$I$8+(((A169)+1)/2)*(Inputs!$J$8-Inputs!$I$8)))+(Inputs!$C$6))/(0.5*(Inputs!$C$49+Inputs!$C$50))+Inputs!$C$47*0.097)))+0.30*(2*((SIN((((Inputs!$I$8+(((A169)+1)/2)*(Inputs!$J$8-Inputs!$I$8)))*12.9898+(Inputs!$C$6)*78.233+Inputs!$C$47*37.719))*43758.5453)-INT((SIN((((Inputs!$I$8+(((A169)+1)/2)*(Inputs!$J$8-Inputs!$I$8)))*12.9898+(Inputs!$C$6)*78.233+Inputs!$C$47*37.719))*43758.5453)))-1))),NA())</x:f>
        <x:v>166.25858720093478</x:v>
      </x:c>
      <x:c r="AV169" s="48" t="n">
        <x: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(0.45*SIN(2*PI()*((((Inputs!$I$9+(((A169)+1)/2)*(Inputs!$J$9-Inputs!$I$9)))/Inputs!$C$49)+Inputs!$C$47*0.137))+0.35*COS(2*PI()*(((Inputs!$C$6)/Inputs!$C$50)+Inputs!$C$47*0.173))+0.20*SIN(2*PI()*((((Inputs!$I$9+(((A169)+1)/2)*(Inputs!$J$9-Inputs!$I$9)))+(Inputs!$C$6))/(0.5*(Inputs!$C$49+Inputs!$C$50))+Inputs!$C$47*0.097)))+0.30*(2*((SIN((((Inputs!$I$9+(((A169)+1)/2)*(Inputs!$J$9-Inputs!$I$9)))*12.9898+(Inputs!$C$6)*78.233+Inputs!$C$47*37.719))*43758.5453)-INT((SIN((((Inputs!$I$9+(((A169)+1)/2)*(Inputs!$J$9-Inputs!$I$9)))*12.9898+(Inputs!$C$6)*78.233+Inputs!$C$47*37.719))*43758.5453)))-1))),NA())</x:f>
        <x:v>166.25858720093478</x:v>
      </x:c>
      <x:c r="AW169" s="49"/>
      <x:c r="AX169" s="48" t="n">
        <x:f>A169</x:f>
        <x:v>0.392</x:v>
      </x:c>
      <x:c r="AY169" s="48" t="n">
        <x:f>0</x:f>
        <x:v>0</x:v>
      </x:c>
      <x:c r="AZ169" s="48" t="n">
        <x:f>IF(OR(Inputs!$F$6=TRUE,Inputs!$F$6="TRUE",Inputs!$F$6=1),(Inputs!$H$6+Inputs!$L$6*(((Inputs!$I$6+(((A169)+1)/2)*(Inputs!$J$6-Inputs!$I$6)))/Inputs!$K$6)^2),NA())</x:f>
        <x:v>400.614656</x:v>
      </x:c>
      <x:c r="BA169" s="48" t="n">
        <x:f>IF(OR(Inputs!$F$7=TRUE,Inputs!$F$7="TRUE",Inputs!$F$7=1),(Inputs!$H$7+Inputs!$L$7*(((Inputs!$I$7+(((A169)+1)/2)*(Inputs!$J$7-Inputs!$I$7)))/Inputs!$K$7)^2),NA())</x:f>
        <x:v>91.08735999999996</x:v>
      </x:c>
      <x:c r="BB169" s="48" t="n">
        <x:f>IF(OR(Inputs!$F$8=TRUE,Inputs!$F$8="TRUE",Inputs!$F$8=1),(Inputs!$H$8+Inputs!$L$8*(((Inputs!$I$8+(((A169)+1)/2)*(Inputs!$J$8-Inputs!$I$8)))/Inputs!$K$8)^2),NA())</x:f>
        <x:v>183.28575999999993</x:v>
      </x:c>
      <x:c r="BC169" s="48" t="n">
        <x:f>IF(OR(Inputs!$F$9=TRUE,Inputs!$F$9="TRUE",Inputs!$F$9=1),(Inputs!$H$9+Inputs!$L$9*(((Inputs!$I$9+(((A169)+1)/2)*(Inputs!$J$9-Inputs!$I$9)))/Inputs!$K$9)^2),NA())</x:f>
        <x:v>174.8223999999999</x:v>
      </x:c>
      <x:c r="BD169" s="49"/>
      <x:c r="BE169" s="48" t="n">
        <x:f>A169</x:f>
        <x:v>0.392</x:v>
      </x:c>
      <x:c r="BF169" s="48" t="n">
        <x:f>0</x:f>
        <x:v>0</x:v>
      </x:c>
      <x:c r="BG169" s="48"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BH169" s="48"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BI169" s="48"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BJ169" s="48"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row>
    <x:row r="170">
      <x:c r="A170" s="48" t="n">
        <x:f>ROUND(-1+168*2/240,3)</x:f>
        <x:v>0.4</x:v>
      </x:c>
      <x:c r="B170" s="48" t="n">
        <x:f>IF(OR(Inputs!$F$6=TRUE,Inputs!$F$6="TRUE",Inputs!$F$6=1),(Inputs!$H$6+Inputs!$L$6*(((Inputs!$I$6+(((A170)+1)/2)*(Inputs!$J$6-Inputs!$I$6)))/Inputs!$K$6)^2),NA())</x:f>
        <x:v>400.64</x:v>
      </x:c>
      <x:c r="C170" s="48" t="n">
        <x:f>IF(OR(Inputs!$F$7=TRUE,Inputs!$F$7="TRUE",Inputs!$F$7=1),(Inputs!$H$7+Inputs!$L$7*(((Inputs!$I$7+(((A170)+1)/2)*(Inputs!$J$7-Inputs!$I$7)))/Inputs!$K$7)^2),NA())</x:f>
        <x:v>93.4</x:v>
      </x:c>
      <x:c r="D170" s="48" t="n">
        <x:f>IF(OR(Inputs!$F$8=TRUE,Inputs!$F$8="TRUE",Inputs!$F$8=1),(Inputs!$H$8+Inputs!$L$8*(((Inputs!$I$8+(((A170)+1)/2)*(Inputs!$J$8-Inputs!$I$8)))/Inputs!$K$8)^2),NA())</x:f>
        <x:v>189.40000000000003</x:v>
      </x:c>
      <x:c r="E170" s="48" t="n">
        <x:f>IF(OR(Inputs!$F$9=TRUE,Inputs!$F$9="TRUE",Inputs!$F$9=1),(Inputs!$H$9+Inputs!$L$9*(((Inputs!$I$9+(((A170)+1)/2)*(Inputs!$J$9-Inputs!$I$9)))/Inputs!$K$9)^2),NA())</x:f>
        <x:v>181.00000000000003</x:v>
      </x:c>
      <x:c r="F170" s="49"/>
      <x:c r="G170" s="48" t="n">
        <x:f>A170</x:f>
        <x:v>0.4</x:v>
      </x:c>
      <x:c r="H170" s="48"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I170" s="48"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J170" s="48"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K170" s="48"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c r="L170" s="49"/>
      <x:c r="M170" s="48" t="n">
        <x:f>A170</x:f>
        <x:v>0.4</x:v>
      </x:c>
      <x:c r="N170" s="48" t="n">
        <x: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x:f>
        <x:v>-204.8937874712013</x:v>
      </x:c>
      <x:c r="O170" s="48" t="n">
        <x: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x:f>
        <x:v>-2040.124647642961</x:v>
      </x:c>
      <x:c r="P170" s="48" t="n">
        <x: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x:f>
        <x:v>-2350.3771823153534</x:v>
      </x:c>
      <x:c r="Q170" s="48" t="n">
        <x: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x:f>
        <x:v>-2347.4209581836103</x:v>
      </x:c>
      <x:c r="R170" s="49"/>
      <x:c r="S170" s="48" t="n">
        <x:f>A170</x:f>
        <x:v>0.4</x:v>
      </x:c>
      <x:c r="T170" s="48" t="n">
        <x:f>(Inputs!$I$6+(((A170)+1)/2)*(Inputs!$J$6-Inputs!$I$6))</x:f>
        <x:v>24</x:v>
      </x:c>
      <x:c r="U170" s="48" t="n">
        <x:f>(Inputs!$I$7+(((A170)+1)/2)*(Inputs!$J$7-Inputs!$I$7))</x:f>
        <x:v>160</x:v>
      </x:c>
      <x:c r="V170" s="48" t="n">
        <x:f>(Inputs!$I$8+(((A170)+1)/2)*(Inputs!$J$8-Inputs!$I$8))</x:f>
        <x:v>320</x:v>
      </x:c>
      <x:c r="W170" s="48" t="n">
        <x:f>(Inputs!$I$9+(((A170)+1)/2)*(Inputs!$J$9-Inputs!$I$9))</x:f>
        <x:v>320</x:v>
      </x:c>
      <x:c r="X170" s="49"/>
      <x:c r="Y170" s="48" t="n">
        <x:f>A170</x:f>
        <x:v>0.4</x:v>
      </x:c>
      <x:c r="Z170" s="48" t="n">
        <x:f>(Inputs!$H$6+Inputs!$L$6*(((Inputs!$I$6+(((A170)+1)/2)*(Inputs!$J$6-Inputs!$I$6)))/Inputs!$K$6)^2)</x:f>
        <x:v>400.64</x:v>
      </x:c>
      <x:c r="AA170" s="48" t="n">
        <x:f>(Inputs!$H$7+Inputs!$L$7*(((Inputs!$I$7+(((A170)+1)/2)*(Inputs!$J$7-Inputs!$I$7)))/Inputs!$K$7)^2)</x:f>
        <x:v>93.4</x:v>
      </x:c>
      <x:c r="AB170" s="48" t="n">
        <x:f>(Inputs!$H$8+Inputs!$L$8*(((Inputs!$I$8+(((A170)+1)/2)*(Inputs!$J$8-Inputs!$I$8)))/Inputs!$K$8)^2)</x:f>
        <x:v>189.40000000000003</x:v>
      </x:c>
      <x:c r="AC170" s="48" t="n">
        <x:f>(Inputs!$H$9+Inputs!$L$9*(((Inputs!$I$9+(((A170)+1)/2)*(Inputs!$J$9-Inputs!$I$9)))/Inputs!$K$9)^2)</x:f>
        <x:v>181.00000000000003</x:v>
      </x:c>
      <x:c r="AD170" s="49"/>
      <x:c r="AE170" s="48" t="n">
        <x:f>A170</x:f>
        <x:v>0.4</x:v>
      </x:c>
      <x:c r="AF170" s="48" t="n">
        <x:f>(((SQRT((Inputs!$C$52+((Inputs!$H$6+Inputs!$L$6*(((Inputs!$I$6+(((A170)+1)/2)*(Inputs!$J$6-Inputs!$I$6)))/Inputs!$K$6)^2)))^2+Inputs!$C$52^2-2*(Inputs!$C$52+((Inputs!$H$6+Inputs!$L$6*(((Inputs!$I$6+(((A170)+1)/2)*(Inputs!$J$6-Inputs!$I$6)))/Inputs!$K$6)^2)))*Inputs!$C$52*COS(SQRT(((Inputs!$I$6+(((A170)+1)/2)*(Inputs!$J$6-Inputs!$I$6)))^2+Inputs!$C$6^2)/Inputs!$C$52)))-((Inputs!$H$6+Inputs!$L$6*(((Inputs!$I$6+(((A170)+1)/2)*(Inputs!$J$6-Inputs!$I$6)))/Inputs!$K$6)^2)))*1000/Inputs!$C$12)</x:f>
        <x:v>1055.6776964389417</x:v>
      </x:c>
      <x:c r="AG170" s="48" t="n">
        <x:f>(((SQRT((Inputs!$C$52+((Inputs!$H$7+Inputs!$L$7*(((Inputs!$I$7+(((A170)+1)/2)*(Inputs!$J$7-Inputs!$I$7)))/Inputs!$K$7)^2)))^2+Inputs!$C$52^2-2*(Inputs!$C$52+((Inputs!$H$7+Inputs!$L$7*(((Inputs!$I$7+(((A170)+1)/2)*(Inputs!$J$7-Inputs!$I$7)))/Inputs!$K$7)^2)))*Inputs!$C$52*COS(SQRT(((Inputs!$I$7+(((A170)+1)/2)*(Inputs!$J$7-Inputs!$I$7)))^2+Inputs!$C$6^2)/Inputs!$C$52)))-((Inputs!$H$7+Inputs!$L$7*(((Inputs!$I$7+(((A170)+1)/2)*(Inputs!$J$7-Inputs!$I$7)))/Inputs!$K$7)^2)))*1000/Inputs!$C$12)</x:f>
        <x:v>54849.05989572963</x:v>
      </x:c>
      <x:c r="AH170" s="48" t="n">
        <x:f>(((SQRT((Inputs!$C$52+((Inputs!$H$8+Inputs!$L$8*(((Inputs!$I$8+(((A170)+1)/2)*(Inputs!$J$8-Inputs!$I$8)))/Inputs!$K$8)^2)))^2+Inputs!$C$52^2-2*(Inputs!$C$52+((Inputs!$H$8+Inputs!$L$8*(((Inputs!$I$8+(((A170)+1)/2)*(Inputs!$J$8-Inputs!$I$8)))/Inputs!$K$8)^2)))*Inputs!$C$52*COS(SQRT(((Inputs!$I$8+(((A170)+1)/2)*(Inputs!$J$8-Inputs!$I$8)))^2+Inputs!$C$6^2)/Inputs!$C$52)))-((Inputs!$H$8+Inputs!$L$8*(((Inputs!$I$8+(((A170)+1)/2)*(Inputs!$J$8-Inputs!$I$8)))/Inputs!$K$8)^2)))*1000/Inputs!$C$12)</x:f>
        <x:v>111897.61266068535</x:v>
      </x:c>
      <x:c r="AI170" s="48" t="n">
        <x:f>(((SQRT((Inputs!$C$52+((Inputs!$H$9+Inputs!$L$9*(((Inputs!$I$9+(((A170)+1)/2)*(Inputs!$J$9-Inputs!$I$9)))/Inputs!$K$9)^2)))^2+Inputs!$C$52^2-2*(Inputs!$C$52+((Inputs!$H$9+Inputs!$L$9*(((Inputs!$I$9+(((A170)+1)/2)*(Inputs!$J$9-Inputs!$I$9)))/Inputs!$K$9)^2)))*Inputs!$C$52*COS(SQRT(((Inputs!$I$9+(((A170)+1)/2)*(Inputs!$J$9-Inputs!$I$9)))^2+Inputs!$C$6^2)/Inputs!$C$52)))-((Inputs!$H$9+Inputs!$L$9*(((Inputs!$I$9+(((A170)+1)/2)*(Inputs!$J$9-Inputs!$I$9)))/Inputs!$K$9)^2)))*1000/Inputs!$C$12)</x:f>
        <x:v>113951.87151114203</x:v>
      </x:c>
      <x:c r="AJ170" s="49"/>
      <x:c r="AK170" s="48" t="n">
        <x:f>A170</x:f>
        <x:v>0.4</x:v>
      </x:c>
      <x:c r="AL170" s="48" t="n">
        <x: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x:f>
        <x:v>-204.8937874712013</x:v>
      </x:c>
      <x:c r="AM170" s="48" t="n">
        <x: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x:f>
        <x:v>-2040.124647642961</x:v>
      </x:c>
      <x:c r="AN170" s="48" t="n">
        <x: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x:f>
        <x:v>-2350.3771823153534</x:v>
      </x:c>
      <x:c r="AO170" s="48" t="n">
        <x: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x:f>
        <x:v>-2347.4209581836103</x:v>
      </x:c>
      <x:c r="AP170" s="49"/>
      <x:c r="AQ170" s="48" t="n">
        <x:f>A170</x:f>
        <x:v>0.4</x:v>
      </x:c>
      <x:c r="AR170" s="48" t="n">
        <x:f>0</x:f>
        <x:v>0</x:v>
      </x:c>
      <x:c r="AS170" s="48" t="n">
        <x: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(0.45*SIN(2*PI()*((((Inputs!$I$6+(((A170)+1)/2)*(Inputs!$J$6-Inputs!$I$6)))/Inputs!$C$49)+Inputs!$C$47*0.137))+0.35*COS(2*PI()*(((Inputs!$C$6)/Inputs!$C$50)+Inputs!$C$47*0.173))+0.20*SIN(2*PI()*((((Inputs!$I$6+(((A170)+1)/2)*(Inputs!$J$6-Inputs!$I$6)))+(Inputs!$C$6))/(0.5*(Inputs!$C$49+Inputs!$C$50))+Inputs!$C$47*0.097)))+0.30*(2*((SIN((((Inputs!$I$6+(((A170)+1)/2)*(Inputs!$J$6-Inputs!$I$6)))*12.9898+(Inputs!$C$6)*78.233+Inputs!$C$47*37.719))*43758.5453)-INT((SIN((((Inputs!$I$6+(((A170)+1)/2)*(Inputs!$J$6-Inputs!$I$6)))*12.9898+(Inputs!$C$6)*78.233+Inputs!$C$47*37.719))*43758.5453)))-1))),NA())</x:f>
        <x:v>441.2625072507224</x:v>
      </x:c>
      <x:c r="AT170" s="48" t="n">
        <x: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(0.45*SIN(2*PI()*((((Inputs!$I$7+(((A170)+1)/2)*(Inputs!$J$7-Inputs!$I$7)))/Inputs!$C$49)+Inputs!$C$47*0.137))+0.35*COS(2*PI()*(((Inputs!$C$6)/Inputs!$C$50)+Inputs!$C$47*0.173))+0.20*SIN(2*PI()*((((Inputs!$I$7+(((A170)+1)/2)*(Inputs!$J$7-Inputs!$I$7)))+(Inputs!$C$6))/(0.5*(Inputs!$C$49+Inputs!$C$50))+Inputs!$C$47*0.097)))+0.30*(2*((SIN((((Inputs!$I$7+(((A170)+1)/2)*(Inputs!$J$7-Inputs!$I$7)))*12.9898+(Inputs!$C$6)*78.233+Inputs!$C$47*37.719))*43758.5453)-INT((SIN((((Inputs!$I$7+(((A170)+1)/2)*(Inputs!$J$7-Inputs!$I$7)))*12.9898+(Inputs!$C$6)*78.233+Inputs!$C$47*37.719))*43758.5453)))-1))),NA())</x:f>
        <x:v>163.1736055869338</x:v>
      </x:c>
      <x:c r="AU170" s="48" t="n">
        <x: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(0.45*SIN(2*PI()*((((Inputs!$I$8+(((A170)+1)/2)*(Inputs!$J$8-Inputs!$I$8)))/Inputs!$C$49)+Inputs!$C$47*0.137))+0.35*COS(2*PI()*(((Inputs!$C$6)/Inputs!$C$50)+Inputs!$C$47*0.173))+0.20*SIN(2*PI()*((((Inputs!$I$8+(((A170)+1)/2)*(Inputs!$J$8-Inputs!$I$8)))+(Inputs!$C$6))/(0.5*(Inputs!$C$49+Inputs!$C$50))+Inputs!$C$47*0.097)))+0.30*(2*((SIN((((Inputs!$I$8+(((A170)+1)/2)*(Inputs!$J$8-Inputs!$I$8)))*12.9898+(Inputs!$C$6)*78.233+Inputs!$C$47*37.719))*43758.5453)-INT((SIN((((Inputs!$I$8+(((A170)+1)/2)*(Inputs!$J$8-Inputs!$I$8)))*12.9898+(Inputs!$C$6)*78.233+Inputs!$C$47*37.719))*43758.5453)))-1))),NA())</x:f>
        <x:v>63.16298590057942</x:v>
      </x:c>
      <x:c r="AV170" s="48" t="n">
        <x: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(0.45*SIN(2*PI()*((((Inputs!$I$9+(((A170)+1)/2)*(Inputs!$J$9-Inputs!$I$9)))/Inputs!$C$49)+Inputs!$C$47*0.137))+0.35*COS(2*PI()*(((Inputs!$C$6)/Inputs!$C$50)+Inputs!$C$47*0.173))+0.20*SIN(2*PI()*((((Inputs!$I$9+(((A170)+1)/2)*(Inputs!$J$9-Inputs!$I$9)))+(Inputs!$C$6))/(0.5*(Inputs!$C$49+Inputs!$C$50))+Inputs!$C$47*0.097)))+0.30*(2*((SIN((((Inputs!$I$9+(((A170)+1)/2)*(Inputs!$J$9-Inputs!$I$9)))*12.9898+(Inputs!$C$6)*78.233+Inputs!$C$47*37.719))*43758.5453)-INT((SIN((((Inputs!$I$9+(((A170)+1)/2)*(Inputs!$J$9-Inputs!$I$9)))*12.9898+(Inputs!$C$6)*78.233+Inputs!$C$47*37.719))*43758.5453)))-1))),NA())</x:f>
        <x:v>63.16298590057942</x:v>
      </x:c>
      <x:c r="AW170" s="49"/>
      <x:c r="AX170" s="48" t="n">
        <x:f>A170</x:f>
        <x:v>0.4</x:v>
      </x:c>
      <x:c r="AY170" s="48" t="n">
        <x:f>0</x:f>
        <x:v>0</x:v>
      </x:c>
      <x:c r="AZ170" s="48" t="n">
        <x:f>IF(OR(Inputs!$F$6=TRUE,Inputs!$F$6="TRUE",Inputs!$F$6=1),(Inputs!$H$6+Inputs!$L$6*(((Inputs!$I$6+(((A170)+1)/2)*(Inputs!$J$6-Inputs!$I$6)))/Inputs!$K$6)^2),NA())</x:f>
        <x:v>400.64</x:v>
      </x:c>
      <x:c r="BA170" s="48" t="n">
        <x:f>IF(OR(Inputs!$F$7=TRUE,Inputs!$F$7="TRUE",Inputs!$F$7=1),(Inputs!$H$7+Inputs!$L$7*(((Inputs!$I$7+(((A170)+1)/2)*(Inputs!$J$7-Inputs!$I$7)))/Inputs!$K$7)^2),NA())</x:f>
        <x:v>93.4</x:v>
      </x:c>
      <x:c r="BB170" s="48" t="n">
        <x:f>IF(OR(Inputs!$F$8=TRUE,Inputs!$F$8="TRUE",Inputs!$F$8=1),(Inputs!$H$8+Inputs!$L$8*(((Inputs!$I$8+(((A170)+1)/2)*(Inputs!$J$8-Inputs!$I$8)))/Inputs!$K$8)^2),NA())</x:f>
        <x:v>189.40000000000003</x:v>
      </x:c>
      <x:c r="BC170" s="48" t="n">
        <x:f>IF(OR(Inputs!$F$9=TRUE,Inputs!$F$9="TRUE",Inputs!$F$9=1),(Inputs!$H$9+Inputs!$L$9*(((Inputs!$I$9+(((A170)+1)/2)*(Inputs!$J$9-Inputs!$I$9)))/Inputs!$K$9)^2),NA())</x:f>
        <x:v>181.00000000000003</x:v>
      </x:c>
      <x:c r="BD170" s="49"/>
      <x:c r="BE170" s="48" t="n">
        <x:f>A170</x:f>
        <x:v>0.4</x:v>
      </x:c>
      <x:c r="BF170" s="48" t="n">
        <x:f>0</x:f>
        <x:v>0</x:v>
      </x:c>
      <x:c r="BG170" s="48"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BH170" s="48"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BI170" s="48"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BJ170" s="48"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row>
    <x:row r="171">
      <x:c r="A171" s="48" t="n">
        <x:f>ROUND(-1+169*2/240,3)</x:f>
        <x:v>0.408</x:v>
      </x:c>
      <x:c r="B171" s="48" t="n">
        <x:f>IF(OR(Inputs!$F$6=TRUE,Inputs!$F$6="TRUE",Inputs!$F$6=1),(Inputs!$H$6+Inputs!$L$6*(((Inputs!$I$6+(((A171)+1)/2)*(Inputs!$J$6-Inputs!$I$6)))/Inputs!$K$6)^2),NA())</x:f>
        <x:v>400.665856</x:v>
      </x:c>
      <x:c r="C171" s="48" t="n">
        <x:f>IF(OR(Inputs!$F$7=TRUE,Inputs!$F$7="TRUE",Inputs!$F$7=1),(Inputs!$H$7+Inputs!$L$7*(((Inputs!$I$7+(((A171)+1)/2)*(Inputs!$J$7-Inputs!$I$7)))/Inputs!$K$7)^2),NA())</x:f>
        <x:v>95.75935999999993</x:v>
      </x:c>
      <x:c r="D171" s="48" t="n">
        <x:f>IF(OR(Inputs!$F$8=TRUE,Inputs!$F$8="TRUE",Inputs!$F$8=1),(Inputs!$H$8+Inputs!$L$8*(((Inputs!$I$8+(((A171)+1)/2)*(Inputs!$J$8-Inputs!$I$8)))/Inputs!$K$8)^2),NA())</x:f>
        <x:v>195.63775999999984</x:v>
      </x:c>
      <x:c r="E171" s="48" t="n">
        <x:f>IF(OR(Inputs!$F$9=TRUE,Inputs!$F$9="TRUE",Inputs!$F$9=1),(Inputs!$H$9+Inputs!$L$9*(((Inputs!$I$9+(((A171)+1)/2)*(Inputs!$J$9-Inputs!$I$9)))/Inputs!$K$9)^2),NA())</x:f>
        <x:v>187.30239999999984</x:v>
      </x:c>
      <x:c r="F171" s="49"/>
      <x:c r="G171" s="48" t="n">
        <x:f>A171</x:f>
        <x:v>0.408</x:v>
      </x:c>
      <x:c r="H171" s="48"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I171" s="48"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J171" s="48"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K171" s="48"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c r="L171" s="49"/>
      <x:c r="M171" s="48" t="n">
        <x:f>A171</x:f>
        <x:v>0.408</x:v>
      </x:c>
      <x:c r="N171" s="48" t="n">
        <x: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x:f>
        <x:v>-208.9680547724176</x:v>
      </x:c>
      <x:c r="O171" s="48" t="n">
        <x: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x:f>
        <x:v>-2055.591922988702</x:v>
      </x:c>
      <x:c r="P171" s="48" t="n">
        <x: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x:f>
        <x:v>-2375.138065470669</x:v>
      </x:c>
      <x:c r="Q171" s="48" t="n">
        <x: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x:f>
        <x:v>-2372.6244588040818</x:v>
      </x:c>
      <x:c r="R171" s="49"/>
      <x:c r="S171" s="48" t="n">
        <x:f>A171</x:f>
        <x:v>0.408</x:v>
      </x:c>
      <x:c r="T171" s="48" t="n">
        <x:f>(Inputs!$I$6+(((A171)+1)/2)*(Inputs!$J$6-Inputs!$I$6))</x:f>
        <x:v>24.47999999999999</x:v>
      </x:c>
      <x:c r="U171" s="48" t="n">
        <x:f>(Inputs!$I$7+(((A171)+1)/2)*(Inputs!$J$7-Inputs!$I$7))</x:f>
        <x:v>163.19999999999993</x:v>
      </x:c>
      <x:c r="V171" s="48" t="n">
        <x:f>(Inputs!$I$8+(((A171)+1)/2)*(Inputs!$J$8-Inputs!$I$8))</x:f>
        <x:v>326.39999999999986</x:v>
      </x:c>
      <x:c r="W171" s="48" t="n">
        <x:f>(Inputs!$I$9+(((A171)+1)/2)*(Inputs!$J$9-Inputs!$I$9))</x:f>
        <x:v>326.39999999999986</x:v>
      </x:c>
      <x:c r="X171" s="49"/>
      <x:c r="Y171" s="48" t="n">
        <x:f>A171</x:f>
        <x:v>0.408</x:v>
      </x:c>
      <x:c r="Z171" s="48" t="n">
        <x:f>(Inputs!$H$6+Inputs!$L$6*(((Inputs!$I$6+(((A171)+1)/2)*(Inputs!$J$6-Inputs!$I$6)))/Inputs!$K$6)^2)</x:f>
        <x:v>400.665856</x:v>
      </x:c>
      <x:c r="AA171" s="48" t="n">
        <x:f>(Inputs!$H$7+Inputs!$L$7*(((Inputs!$I$7+(((A171)+1)/2)*(Inputs!$J$7-Inputs!$I$7)))/Inputs!$K$7)^2)</x:f>
        <x:v>95.75935999999993</x:v>
      </x:c>
      <x:c r="AB171" s="48" t="n">
        <x:f>(Inputs!$H$8+Inputs!$L$8*(((Inputs!$I$8+(((A171)+1)/2)*(Inputs!$J$8-Inputs!$I$8)))/Inputs!$K$8)^2)</x:f>
        <x:v>195.63775999999984</x:v>
      </x:c>
      <x:c r="AC171" s="48" t="n">
        <x:f>(Inputs!$H$9+Inputs!$L$9*(((Inputs!$I$9+(((A171)+1)/2)*(Inputs!$J$9-Inputs!$I$9)))/Inputs!$K$9)^2)</x:f>
        <x:v>187.30239999999984</x:v>
      </x:c>
      <x:c r="AD171" s="49"/>
      <x:c r="AE171" s="48" t="n">
        <x:f>A171</x:f>
        <x:v>0.408</x:v>
      </x:c>
      <x:c r="AF171" s="48" t="n">
        <x:f>(((SQRT((Inputs!$C$52+((Inputs!$H$6+Inputs!$L$6*(((Inputs!$I$6+(((A171)+1)/2)*(Inputs!$J$6-Inputs!$I$6)))/Inputs!$K$6)^2)))^2+Inputs!$C$52^2-2*(Inputs!$C$52+((Inputs!$H$6+Inputs!$L$6*(((Inputs!$I$6+(((A171)+1)/2)*(Inputs!$J$6-Inputs!$I$6)))/Inputs!$K$6)^2)))*Inputs!$C$52*COS(SQRT(((Inputs!$I$6+(((A171)+1)/2)*(Inputs!$J$6-Inputs!$I$6)))^2+Inputs!$C$6^2)/Inputs!$C$52)))-((Inputs!$H$6+Inputs!$L$6*(((Inputs!$I$6+(((A171)+1)/2)*(Inputs!$J$6-Inputs!$I$6)))/Inputs!$K$6)^2)))*1000/Inputs!$C$12)</x:f>
        <x:v>1076.027871037179</x:v>
      </x:c>
      <x:c r="AG171" s="48" t="n">
        <x:f>(((SQRT((Inputs!$C$52+((Inputs!$H$7+Inputs!$L$7*(((Inputs!$I$7+(((A171)+1)/2)*(Inputs!$J$7-Inputs!$I$7)))/Inputs!$K$7)^2)))^2+Inputs!$C$52^2-2*(Inputs!$C$52+((Inputs!$H$7+Inputs!$L$7*(((Inputs!$I$7+(((A171)+1)/2)*(Inputs!$J$7-Inputs!$I$7)))/Inputs!$K$7)^2)))*Inputs!$C$52*COS(SQRT(((Inputs!$I$7+(((A171)+1)/2)*(Inputs!$J$7-Inputs!$I$7)))^2+Inputs!$C$6^2)/Inputs!$C$52)))-((Inputs!$H$7+Inputs!$L$7*(((Inputs!$I$7+(((A171)+1)/2)*(Inputs!$J$7-Inputs!$I$7)))/Inputs!$K$7)^2)))*1000/Inputs!$C$12)</x:f>
        <x:v>55824.531214984396</x:v>
      </x:c>
      <x:c r="AH171" s="48" t="n">
        <x:f>(((SQRT((Inputs!$C$52+((Inputs!$H$8+Inputs!$L$8*(((Inputs!$I$8+(((A171)+1)/2)*(Inputs!$J$8-Inputs!$I$8)))/Inputs!$K$8)^2)))^2+Inputs!$C$52^2-2*(Inputs!$C$52+((Inputs!$H$8+Inputs!$L$8*(((Inputs!$I$8+(((A171)+1)/2)*(Inputs!$J$8-Inputs!$I$8)))/Inputs!$K$8)^2)))*Inputs!$C$52*COS(SQRT(((Inputs!$I$8+(((A171)+1)/2)*(Inputs!$J$8-Inputs!$I$8)))^2+Inputs!$C$6^2)/Inputs!$C$52)))-((Inputs!$H$8+Inputs!$L$8*(((Inputs!$I$8+(((A171)+1)/2)*(Inputs!$J$8-Inputs!$I$8)))/Inputs!$K$8)^2)))*1000/Inputs!$C$12)</x:f>
        <x:v>113702.76930301565</x:v>
      </x:c>
      <x:c r="AI171" s="48" t="n">
        <x:f>(((SQRT((Inputs!$C$52+((Inputs!$H$9+Inputs!$L$9*(((Inputs!$I$9+(((A171)+1)/2)*(Inputs!$J$9-Inputs!$I$9)))/Inputs!$K$9)^2)))^2+Inputs!$C$52^2-2*(Inputs!$C$52+((Inputs!$H$9+Inputs!$L$9*(((Inputs!$I$9+(((A171)+1)/2)*(Inputs!$J$9-Inputs!$I$9)))/Inputs!$K$9)^2)))*Inputs!$C$52*COS(SQRT(((Inputs!$I$9+(((A171)+1)/2)*(Inputs!$J$9-Inputs!$I$9)))^2+Inputs!$C$6^2)/Inputs!$C$52)))-((Inputs!$H$9+Inputs!$L$9*(((Inputs!$I$9+(((A171)+1)/2)*(Inputs!$J$9-Inputs!$I$9)))/Inputs!$K$9)^2)))*1000/Inputs!$C$12)</x:f>
        <x:v>115714.56565630784</x:v>
      </x:c>
      <x:c r="AJ171" s="49"/>
      <x:c r="AK171" s="48" t="n">
        <x:f>A171</x:f>
        <x:v>0.408</x:v>
      </x:c>
      <x:c r="AL171" s="48" t="n">
        <x: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x:f>
        <x:v>-208.9680547724176</x:v>
      </x:c>
      <x:c r="AM171" s="48" t="n">
        <x: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x:f>
        <x:v>-2055.591922988702</x:v>
      </x:c>
      <x:c r="AN171" s="48" t="n">
        <x: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x:f>
        <x:v>-2375.138065470669</x:v>
      </x:c>
      <x:c r="AO171" s="48" t="n">
        <x: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x:f>
        <x:v>-2372.6244588040818</x:v>
      </x:c>
      <x:c r="AP171" s="49"/>
      <x:c r="AQ171" s="48" t="n">
        <x:f>A171</x:f>
        <x:v>0.408</x:v>
      </x:c>
      <x:c r="AR171" s="48" t="n">
        <x:f>0</x:f>
        <x:v>0</x:v>
      </x:c>
      <x:c r="AS171" s="48" t="n">
        <x: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(0.45*SIN(2*PI()*((((Inputs!$I$6+(((A171)+1)/2)*(Inputs!$J$6-Inputs!$I$6)))/Inputs!$C$49)+Inputs!$C$47*0.137))+0.35*COS(2*PI()*(((Inputs!$C$6)/Inputs!$C$50)+Inputs!$C$47*0.173))+0.20*SIN(2*PI()*((((Inputs!$I$6+(((A171)+1)/2)*(Inputs!$J$6-Inputs!$I$6)))+(Inputs!$C$6))/(0.5*(Inputs!$C$49+Inputs!$C$50))+Inputs!$C$47*0.097)))+0.30*(2*((SIN((((Inputs!$I$6+(((A171)+1)/2)*(Inputs!$J$6-Inputs!$I$6)))*12.9898+(Inputs!$C$6)*78.233+Inputs!$C$47*37.719))*43758.5453)-INT((SIN((((Inputs!$I$6+(((A171)+1)/2)*(Inputs!$J$6-Inputs!$I$6)))*12.9898+(Inputs!$C$6)*78.233+Inputs!$C$47*37.719))*43758.5453)))-1))),NA())</x:f>
        <x:v>424.7558770549224</x:v>
      </x:c>
      <x:c r="AT171" s="48" t="n">
        <x: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(0.45*SIN(2*PI()*((((Inputs!$I$7+(((A171)+1)/2)*(Inputs!$J$7-Inputs!$I$7)))/Inputs!$C$49)+Inputs!$C$47*0.137))+0.35*COS(2*PI()*(((Inputs!$C$6)/Inputs!$C$50)+Inputs!$C$47*0.173))+0.20*SIN(2*PI()*((((Inputs!$I$7+(((A171)+1)/2)*(Inputs!$J$7-Inputs!$I$7)))+(Inputs!$C$6))/(0.5*(Inputs!$C$49+Inputs!$C$50))+Inputs!$C$47*0.097)))+0.30*(2*((SIN((((Inputs!$I$7+(((A171)+1)/2)*(Inputs!$J$7-Inputs!$I$7)))*12.9898+(Inputs!$C$6)*78.233+Inputs!$C$47*37.719))*43758.5453)-INT((SIN((((Inputs!$I$7+(((A171)+1)/2)*(Inputs!$J$7-Inputs!$I$7)))*12.9898+(Inputs!$C$6)*78.233+Inputs!$C$47*37.719))*43758.5453)))-1))),NA())</x:f>
        <x:v>167.1199143370708</x:v>
      </x:c>
      <x:c r="AU171" s="48" t="n">
        <x: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(0.45*SIN(2*PI()*((((Inputs!$I$8+(((A171)+1)/2)*(Inputs!$J$8-Inputs!$I$8)))/Inputs!$C$49)+Inputs!$C$47*0.137))+0.35*COS(2*PI()*(((Inputs!$C$6)/Inputs!$C$50)+Inputs!$C$47*0.173))+0.20*SIN(2*PI()*((((Inputs!$I$8+(((A171)+1)/2)*(Inputs!$J$8-Inputs!$I$8)))+(Inputs!$C$6))/(0.5*(Inputs!$C$49+Inputs!$C$50))+Inputs!$C$47*0.097)))+0.30*(2*((SIN((((Inputs!$I$8+(((A171)+1)/2)*(Inputs!$J$8-Inputs!$I$8)))*12.9898+(Inputs!$C$6)*78.233+Inputs!$C$47*37.719))*43758.5453)-INT((SIN((((Inputs!$I$8+(((A171)+1)/2)*(Inputs!$J$8-Inputs!$I$8)))*12.9898+(Inputs!$C$6)*78.233+Inputs!$C$47*37.719))*43758.5453)))-1))),NA())</x:f>
        <x:v>179.43259642725053</x:v>
      </x:c>
      <x:c r="AV171" s="48" t="n">
        <x: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(0.45*SIN(2*PI()*((((Inputs!$I$9+(((A171)+1)/2)*(Inputs!$J$9-Inputs!$I$9)))/Inputs!$C$49)+Inputs!$C$47*0.137))+0.35*COS(2*PI()*(((Inputs!$C$6)/Inputs!$C$50)+Inputs!$C$47*0.173))+0.20*SIN(2*PI()*((((Inputs!$I$9+(((A171)+1)/2)*(Inputs!$J$9-Inputs!$I$9)))+(Inputs!$C$6))/(0.5*(Inputs!$C$49+Inputs!$C$50))+Inputs!$C$47*0.097)))+0.30*(2*((SIN((((Inputs!$I$9+(((A171)+1)/2)*(Inputs!$J$9-Inputs!$I$9)))*12.9898+(Inputs!$C$6)*78.233+Inputs!$C$47*37.719))*43758.5453)-INT((SIN((((Inputs!$I$9+(((A171)+1)/2)*(Inputs!$J$9-Inputs!$I$9)))*12.9898+(Inputs!$C$6)*78.233+Inputs!$C$47*37.719))*43758.5453)))-1))),NA())</x:f>
        <x:v>179.43259642725053</x:v>
      </x:c>
      <x:c r="AW171" s="49"/>
      <x:c r="AX171" s="48" t="n">
        <x:f>A171</x:f>
        <x:v>0.408</x:v>
      </x:c>
      <x:c r="AY171" s="48" t="n">
        <x:f>0</x:f>
        <x:v>0</x:v>
      </x:c>
      <x:c r="AZ171" s="48" t="n">
        <x:f>IF(OR(Inputs!$F$6=TRUE,Inputs!$F$6="TRUE",Inputs!$F$6=1),(Inputs!$H$6+Inputs!$L$6*(((Inputs!$I$6+(((A171)+1)/2)*(Inputs!$J$6-Inputs!$I$6)))/Inputs!$K$6)^2),NA())</x:f>
        <x:v>400.665856</x:v>
      </x:c>
      <x:c r="BA171" s="48" t="n">
        <x:f>IF(OR(Inputs!$F$7=TRUE,Inputs!$F$7="TRUE",Inputs!$F$7=1),(Inputs!$H$7+Inputs!$L$7*(((Inputs!$I$7+(((A171)+1)/2)*(Inputs!$J$7-Inputs!$I$7)))/Inputs!$K$7)^2),NA())</x:f>
        <x:v>95.75935999999993</x:v>
      </x:c>
      <x:c r="BB171" s="48" t="n">
        <x:f>IF(OR(Inputs!$F$8=TRUE,Inputs!$F$8="TRUE",Inputs!$F$8=1),(Inputs!$H$8+Inputs!$L$8*(((Inputs!$I$8+(((A171)+1)/2)*(Inputs!$J$8-Inputs!$I$8)))/Inputs!$K$8)^2),NA())</x:f>
        <x:v>195.63775999999984</x:v>
      </x:c>
      <x:c r="BC171" s="48" t="n">
        <x:f>IF(OR(Inputs!$F$9=TRUE,Inputs!$F$9="TRUE",Inputs!$F$9=1),(Inputs!$H$9+Inputs!$L$9*(((Inputs!$I$9+(((A171)+1)/2)*(Inputs!$J$9-Inputs!$I$9)))/Inputs!$K$9)^2),NA())</x:f>
        <x:v>187.30239999999984</x:v>
      </x:c>
      <x:c r="BD171" s="49"/>
      <x:c r="BE171" s="48" t="n">
        <x:f>A171</x:f>
        <x:v>0.408</x:v>
      </x:c>
      <x:c r="BF171" s="48" t="n">
        <x:f>0</x:f>
        <x:v>0</x:v>
      </x:c>
      <x:c r="BG171" s="48"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BH171" s="48"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BI171" s="48"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BJ171" s="48"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row>
    <x:row r="172">
      <x:c r="A172" s="48" t="n">
        <x:f>ROUND(-1+170*2/240,3)</x:f>
        <x:v>0.417</x:v>
      </x:c>
      <x:c r="B172" s="48" t="n">
        <x:f>IF(OR(Inputs!$F$6=TRUE,Inputs!$F$6="TRUE",Inputs!$F$6=1),(Inputs!$H$6+Inputs!$L$6*(((Inputs!$I$6+(((A172)+1)/2)*(Inputs!$J$6-Inputs!$I$6)))/Inputs!$K$6)^2),NA())</x:f>
        <x:v>400.695556</x:v>
      </x:c>
      <x:c r="C172" s="48" t="n">
        <x:f>IF(OR(Inputs!$F$7=TRUE,Inputs!$F$7="TRUE",Inputs!$F$7=1),(Inputs!$H$7+Inputs!$L$7*(((Inputs!$I$7+(((A172)+1)/2)*(Inputs!$J$7-Inputs!$I$7)))/Inputs!$K$7)^2),NA())</x:f>
        <x:v>98.46948500000005</x:v>
      </x:c>
      <x:c r="D172" s="48" t="n">
        <x:f>IF(OR(Inputs!$F$8=TRUE,Inputs!$F$8="TRUE",Inputs!$F$8=1),(Inputs!$H$8+Inputs!$L$8*(((Inputs!$I$8+(((A172)+1)/2)*(Inputs!$J$8-Inputs!$I$8)))/Inputs!$K$8)^2),NA())</x:f>
        <x:v>202.80288500000012</x:v>
      </x:c>
      <x:c r="E172" s="48" t="n">
        <x:f>IF(OR(Inputs!$F$9=TRUE,Inputs!$F$9="TRUE",Inputs!$F$9=1),(Inputs!$H$9+Inputs!$L$9*(((Inputs!$I$9+(((A172)+1)/2)*(Inputs!$J$9-Inputs!$I$9)))/Inputs!$K$9)^2),NA())</x:f>
        <x:v>194.54177500000011</x:v>
      </x:c>
      <x:c r="F172" s="49"/>
      <x:c r="G172" s="48" t="n">
        <x:f>A172</x:f>
        <x:v>0.417</x:v>
      </x:c>
      <x:c r="H172" s="48"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I172" s="48"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J172" s="48"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K172" s="48"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c r="L172" s="49"/>
      <x:c r="M172" s="48" t="n">
        <x:f>A172</x:f>
        <x:v>0.417</x:v>
      </x:c>
      <x:c r="N172" s="48" t="n">
        <x: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x:f>
        <x:v>-213.54994147342623</x:v>
      </x:c>
      <x:c r="O172" s="48" t="n">
        <x: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x:f>
        <x:v>-2073.1221403730688</x:v>
      </x:c>
      <x:c r="P172" s="48" t="n">
        <x: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x:f>
        <x:v>-2403.319660190118</x:v>
      </x:c>
      <x:c r="Q172" s="48" t="n">
        <x: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x:f>
        <x:v>-2401.3162100798245</x:v>
      </x:c>
      <x:c r="R172" s="49"/>
      <x:c r="S172" s="48" t="n">
        <x:f>A172</x:f>
        <x:v>0.417</x:v>
      </x:c>
      <x:c r="T172" s="48" t="n">
        <x:f>(Inputs!$I$6+(((A172)+1)/2)*(Inputs!$J$6-Inputs!$I$6))</x:f>
        <x:v>25.019999999999996</x:v>
      </x:c>
      <x:c r="U172" s="48" t="n">
        <x:f>(Inputs!$I$7+(((A172)+1)/2)*(Inputs!$J$7-Inputs!$I$7))</x:f>
        <x:v>166.80000000000007</x:v>
      </x:c>
      <x:c r="V172" s="48" t="n">
        <x:f>(Inputs!$I$8+(((A172)+1)/2)*(Inputs!$J$8-Inputs!$I$8))</x:f>
        <x:v>333.60000000000014</x:v>
      </x:c>
      <x:c r="W172" s="48" t="n">
        <x:f>(Inputs!$I$9+(((A172)+1)/2)*(Inputs!$J$9-Inputs!$I$9))</x:f>
        <x:v>333.60000000000014</x:v>
      </x:c>
      <x:c r="X172" s="49"/>
      <x:c r="Y172" s="48" t="n">
        <x:f>A172</x:f>
        <x:v>0.417</x:v>
      </x:c>
      <x:c r="Z172" s="48" t="n">
        <x:f>(Inputs!$H$6+Inputs!$L$6*(((Inputs!$I$6+(((A172)+1)/2)*(Inputs!$J$6-Inputs!$I$6)))/Inputs!$K$6)^2)</x:f>
        <x:v>400.695556</x:v>
      </x:c>
      <x:c r="AA172" s="48" t="n">
        <x:f>(Inputs!$H$7+Inputs!$L$7*(((Inputs!$I$7+(((A172)+1)/2)*(Inputs!$J$7-Inputs!$I$7)))/Inputs!$K$7)^2)</x:f>
        <x:v>98.46948500000005</x:v>
      </x:c>
      <x:c r="AB172" s="48" t="n">
        <x:f>(Inputs!$H$8+Inputs!$L$8*(((Inputs!$I$8+(((A172)+1)/2)*(Inputs!$J$8-Inputs!$I$8)))/Inputs!$K$8)^2)</x:f>
        <x:v>202.80288500000012</x:v>
      </x:c>
      <x:c r="AC172" s="48" t="n">
        <x:f>(Inputs!$H$9+Inputs!$L$9*(((Inputs!$I$9+(((A172)+1)/2)*(Inputs!$J$9-Inputs!$I$9)))/Inputs!$K$9)^2)</x:f>
        <x:v>194.54177500000011</x:v>
      </x:c>
      <x:c r="AD172" s="49"/>
      <x:c r="AE172" s="48" t="n">
        <x:f>A172</x:f>
        <x:v>0.417</x:v>
      </x:c>
      <x:c r="AF172" s="48" t="n">
        <x:f>(((SQRT((Inputs!$C$52+((Inputs!$H$6+Inputs!$L$6*(((Inputs!$I$6+(((A172)+1)/2)*(Inputs!$J$6-Inputs!$I$6)))/Inputs!$K$6)^2)))^2+Inputs!$C$52^2-2*(Inputs!$C$52+((Inputs!$H$6+Inputs!$L$6*(((Inputs!$I$6+(((A172)+1)/2)*(Inputs!$J$6-Inputs!$I$6)))/Inputs!$K$6)^2)))*Inputs!$C$52*COS(SQRT(((Inputs!$I$6+(((A172)+1)/2)*(Inputs!$J$6-Inputs!$I$6)))^2+Inputs!$C$6^2)/Inputs!$C$52)))-((Inputs!$H$6+Inputs!$L$6*(((Inputs!$I$6+(((A172)+1)/2)*(Inputs!$J$6-Inputs!$I$6)))/Inputs!$K$6)^2)))*1000/Inputs!$C$12)</x:f>
        <x:v>1099.3986361532616</x:v>
      </x:c>
      <x:c r="AG172" s="48" t="n">
        <x:f>(((SQRT((Inputs!$C$52+((Inputs!$H$7+Inputs!$L$7*(((Inputs!$I$7+(((A172)+1)/2)*(Inputs!$J$7-Inputs!$I$7)))/Inputs!$K$7)^2)))^2+Inputs!$C$52^2-2*(Inputs!$C$52+((Inputs!$H$7+Inputs!$L$7*(((Inputs!$I$7+(((A172)+1)/2)*(Inputs!$J$7-Inputs!$I$7)))/Inputs!$K$7)^2)))*Inputs!$C$52*COS(SQRT(((Inputs!$I$7+(((A172)+1)/2)*(Inputs!$J$7-Inputs!$I$7)))^2+Inputs!$C$6^2)/Inputs!$C$52)))-((Inputs!$H$7+Inputs!$L$7*(((Inputs!$I$7+(((A172)+1)/2)*(Inputs!$J$7-Inputs!$I$7)))/Inputs!$K$7)^2)))*1000/Inputs!$C$12)</x:f>
        <x:v>56911.414376867055</x:v>
      </x:c>
      <x:c r="AH172" s="48" t="n">
        <x:f>(((SQRT((Inputs!$C$52+((Inputs!$H$8+Inputs!$L$8*(((Inputs!$I$8+(((A172)+1)/2)*(Inputs!$J$8-Inputs!$I$8)))/Inputs!$K$8)^2)))^2+Inputs!$C$52^2-2*(Inputs!$C$52+((Inputs!$H$8+Inputs!$L$8*(((Inputs!$I$8+(((A172)+1)/2)*(Inputs!$J$8-Inputs!$I$8)))/Inputs!$K$8)^2)))*Inputs!$C$52*COS(SQRT(((Inputs!$I$8+(((A172)+1)/2)*(Inputs!$J$8-Inputs!$I$8)))^2+Inputs!$C$6^2)/Inputs!$C$52)))-((Inputs!$H$8+Inputs!$L$8*(((Inputs!$I$8+(((A172)+1)/2)*(Inputs!$J$8-Inputs!$I$8)))/Inputs!$K$8)^2)))*1000/Inputs!$C$12)</x:f>
        <x:v>115717.53155231771</x:v>
      </x:c>
      <x:c r="AI172" s="48" t="n">
        <x:f>(((SQRT((Inputs!$C$52+((Inputs!$H$9+Inputs!$L$9*(((Inputs!$I$9+(((A172)+1)/2)*(Inputs!$J$9-Inputs!$I$9)))/Inputs!$K$9)^2)))^2+Inputs!$C$52^2-2*(Inputs!$C$52+((Inputs!$H$9+Inputs!$L$9*(((Inputs!$I$9+(((A172)+1)/2)*(Inputs!$J$9-Inputs!$I$9)))/Inputs!$K$9)^2)))*Inputs!$C$52*COS(SQRT(((Inputs!$I$9+(((A172)+1)/2)*(Inputs!$J$9-Inputs!$I$9)))^2+Inputs!$C$6^2)/Inputs!$C$52)))-((Inputs!$H$9+Inputs!$L$9*(((Inputs!$I$9+(((A172)+1)/2)*(Inputs!$J$9-Inputs!$I$9)))/Inputs!$K$9)^2)))*1000/Inputs!$C$12)</x:f>
        <x:v>117681.90206940593</x:v>
      </x:c>
      <x:c r="AJ172" s="49"/>
      <x:c r="AK172" s="48" t="n">
        <x:f>A172</x:f>
        <x:v>0.417</x:v>
      </x:c>
      <x:c r="AL172" s="48" t="n">
        <x: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x:f>
        <x:v>-213.54994147342623</x:v>
      </x:c>
      <x:c r="AM172" s="48" t="n">
        <x: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x:f>
        <x:v>-2073.1221403730688</x:v>
      </x:c>
      <x:c r="AN172" s="48" t="n">
        <x: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x:f>
        <x:v>-2403.319660190118</x:v>
      </x:c>
      <x:c r="AO172" s="48" t="n">
        <x: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x:f>
        <x:v>-2401.3162100798245</x:v>
      </x:c>
      <x:c r="AP172" s="49"/>
      <x:c r="AQ172" s="48" t="n">
        <x:f>A172</x:f>
        <x:v>0.417</x:v>
      </x:c>
      <x:c r="AR172" s="48" t="n">
        <x:f>0</x:f>
        <x:v>0</x:v>
      </x:c>
      <x:c r="AS172" s="48" t="n">
        <x: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(0.45*SIN(2*PI()*((((Inputs!$I$6+(((A172)+1)/2)*(Inputs!$J$6-Inputs!$I$6)))/Inputs!$C$49)+Inputs!$C$47*0.137))+0.35*COS(2*PI()*(((Inputs!$C$6)/Inputs!$C$50)+Inputs!$C$47*0.173))+0.20*SIN(2*PI()*((((Inputs!$I$6+(((A172)+1)/2)*(Inputs!$J$6-Inputs!$I$6)))+(Inputs!$C$6))/(0.5*(Inputs!$C$49+Inputs!$C$50))+Inputs!$C$47*0.097)))+0.30*(2*((SIN((((Inputs!$I$6+(((A172)+1)/2)*(Inputs!$J$6-Inputs!$I$6)))*12.9898+(Inputs!$C$6)*78.233+Inputs!$C$47*37.719))*43758.5453)-INT((SIN((((Inputs!$I$6+(((A172)+1)/2)*(Inputs!$J$6-Inputs!$I$6)))*12.9898+(Inputs!$C$6)*78.233+Inputs!$C$47*37.719))*43758.5453)))-1))),NA())</x:f>
        <x:v>416.922716817259</x:v>
      </x:c>
      <x:c r="AT172" s="48" t="n">
        <x: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(0.45*SIN(2*PI()*((((Inputs!$I$7+(((A172)+1)/2)*(Inputs!$J$7-Inputs!$I$7)))/Inputs!$C$49)+Inputs!$C$47*0.137))+0.35*COS(2*PI()*(((Inputs!$C$6)/Inputs!$C$50)+Inputs!$C$47*0.173))+0.20*SIN(2*PI()*((((Inputs!$I$7+(((A172)+1)/2)*(Inputs!$J$7-Inputs!$I$7)))+(Inputs!$C$6))/(0.5*(Inputs!$C$49+Inputs!$C$50))+Inputs!$C$47*0.097)))+0.30*(2*((SIN((((Inputs!$I$7+(((A172)+1)/2)*(Inputs!$J$7-Inputs!$I$7)))*12.9898+(Inputs!$C$6)*78.233+Inputs!$C$47*37.719))*43758.5453)-INT((SIN((((Inputs!$I$7+(((A172)+1)/2)*(Inputs!$J$7-Inputs!$I$7)))*12.9898+(Inputs!$C$6)*78.233+Inputs!$C$47*37.719))*43758.5453)))-1))),NA())</x:f>
        <x:v>178.2610751125142</x:v>
      </x:c>
      <x:c r="AU172" s="48" t="n">
        <x: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(0.45*SIN(2*PI()*((((Inputs!$I$8+(((A172)+1)/2)*(Inputs!$J$8-Inputs!$I$8)))/Inputs!$C$49)+Inputs!$C$47*0.137))+0.35*COS(2*PI()*(((Inputs!$C$6)/Inputs!$C$50)+Inputs!$C$47*0.173))+0.20*SIN(2*PI()*((((Inputs!$I$8+(((A172)+1)/2)*(Inputs!$J$8-Inputs!$I$8)))+(Inputs!$C$6))/(0.5*(Inputs!$C$49+Inputs!$C$50))+Inputs!$C$47*0.097)))+0.30*(2*((SIN((((Inputs!$I$8+(((A172)+1)/2)*(Inputs!$J$8-Inputs!$I$8)))*12.9898+(Inputs!$C$6)*78.233+Inputs!$C$47*37.719))*43758.5453)-INT((SIN((((Inputs!$I$8+(((A172)+1)/2)*(Inputs!$J$8-Inputs!$I$8)))*12.9898+(Inputs!$C$6)*78.233+Inputs!$C$47*37.719))*43758.5453)))-1))),NA())</x:f>
        <x:v>98.744383539129</x:v>
      </x:c>
      <x:c r="AV172" s="48" t="n">
        <x: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(0.45*SIN(2*PI()*((((Inputs!$I$9+(((A172)+1)/2)*(Inputs!$J$9-Inputs!$I$9)))/Inputs!$C$49)+Inputs!$C$47*0.137))+0.35*COS(2*PI()*(((Inputs!$C$6)/Inputs!$C$50)+Inputs!$C$47*0.173))+0.20*SIN(2*PI()*((((Inputs!$I$9+(((A172)+1)/2)*(Inputs!$J$9-Inputs!$I$9)))+(Inputs!$C$6))/(0.5*(Inputs!$C$49+Inputs!$C$50))+Inputs!$C$47*0.097)))+0.30*(2*((SIN((((Inputs!$I$9+(((A172)+1)/2)*(Inputs!$J$9-Inputs!$I$9)))*12.9898+(Inputs!$C$6)*78.233+Inputs!$C$47*37.719))*43758.5453)-INT((SIN((((Inputs!$I$9+(((A172)+1)/2)*(Inputs!$J$9-Inputs!$I$9)))*12.9898+(Inputs!$C$6)*78.233+Inputs!$C$47*37.719))*43758.5453)))-1))),NA())</x:f>
        <x:v>98.744383539129</x:v>
      </x:c>
      <x:c r="AW172" s="49"/>
      <x:c r="AX172" s="48" t="n">
        <x:f>A172</x:f>
        <x:v>0.417</x:v>
      </x:c>
      <x:c r="AY172" s="48" t="n">
        <x:f>0</x:f>
        <x:v>0</x:v>
      </x:c>
      <x:c r="AZ172" s="48" t="n">
        <x:f>IF(OR(Inputs!$F$6=TRUE,Inputs!$F$6="TRUE",Inputs!$F$6=1),(Inputs!$H$6+Inputs!$L$6*(((Inputs!$I$6+(((A172)+1)/2)*(Inputs!$J$6-Inputs!$I$6)))/Inputs!$K$6)^2),NA())</x:f>
        <x:v>400.695556</x:v>
      </x:c>
      <x:c r="BA172" s="48" t="n">
        <x:f>IF(OR(Inputs!$F$7=TRUE,Inputs!$F$7="TRUE",Inputs!$F$7=1),(Inputs!$H$7+Inputs!$L$7*(((Inputs!$I$7+(((A172)+1)/2)*(Inputs!$J$7-Inputs!$I$7)))/Inputs!$K$7)^2),NA())</x:f>
        <x:v>98.46948500000005</x:v>
      </x:c>
      <x:c r="BB172" s="48" t="n">
        <x:f>IF(OR(Inputs!$F$8=TRUE,Inputs!$F$8="TRUE",Inputs!$F$8=1),(Inputs!$H$8+Inputs!$L$8*(((Inputs!$I$8+(((A172)+1)/2)*(Inputs!$J$8-Inputs!$I$8)))/Inputs!$K$8)^2),NA())</x:f>
        <x:v>202.80288500000012</x:v>
      </x:c>
      <x:c r="BC172" s="48" t="n">
        <x:f>IF(OR(Inputs!$F$9=TRUE,Inputs!$F$9="TRUE",Inputs!$F$9=1),(Inputs!$H$9+Inputs!$L$9*(((Inputs!$I$9+(((A172)+1)/2)*(Inputs!$J$9-Inputs!$I$9)))/Inputs!$K$9)^2),NA())</x:f>
        <x:v>194.54177500000011</x:v>
      </x:c>
      <x:c r="BD172" s="49"/>
      <x:c r="BE172" s="48" t="n">
        <x:f>A172</x:f>
        <x:v>0.417</x:v>
      </x:c>
      <x:c r="BF172" s="48" t="n">
        <x:f>0</x:f>
        <x:v>0</x:v>
      </x:c>
      <x:c r="BG172" s="48"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BH172" s="48"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BI172" s="48"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BJ172" s="48"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row>
    <x:row r="173">
      <x:c r="A173" s="48" t="n">
        <x:f>ROUND(-1+171*2/240,3)</x:f>
        <x:v>0.425</x:v>
      </x:c>
      <x:c r="B173" s="48" t="n">
        <x:f>IF(OR(Inputs!$F$6=TRUE,Inputs!$F$6="TRUE",Inputs!$F$6=1),(Inputs!$H$6+Inputs!$L$6*(((Inputs!$I$6+(((A173)+1)/2)*(Inputs!$J$6-Inputs!$I$6)))/Inputs!$K$6)^2),NA())</x:f>
        <x:v>400.7225</x:v>
      </x:c>
      <x:c r="C173" s="48" t="n">
        <x:f>IF(OR(Inputs!$F$7=TRUE,Inputs!$F$7="TRUE",Inputs!$F$7=1),(Inputs!$H$7+Inputs!$L$7*(((Inputs!$I$7+(((A173)+1)/2)*(Inputs!$J$7-Inputs!$I$7)))/Inputs!$K$7)^2),NA())</x:f>
        <x:v>100.928125</x:v>
      </x:c>
      <x:c r="D173" s="48" t="n">
        <x:f>IF(OR(Inputs!$F$8=TRUE,Inputs!$F$8="TRUE",Inputs!$F$8=1),(Inputs!$H$8+Inputs!$L$8*(((Inputs!$I$8+(((A173)+1)/2)*(Inputs!$J$8-Inputs!$I$8)))/Inputs!$K$8)^2),NA())</x:f>
        <x:v>209.303125</x:v>
      </x:c>
      <x:c r="E173" s="48" t="n">
        <x:f>IF(OR(Inputs!$F$9=TRUE,Inputs!$F$9="TRUE",Inputs!$F$9=1),(Inputs!$H$9+Inputs!$L$9*(((Inputs!$I$9+(((A173)+1)/2)*(Inputs!$J$9-Inputs!$I$9)))/Inputs!$K$9)^2),NA())</x:f>
        <x:v>201.10937499999997</x:v>
      </x:c>
      <x:c r="F173" s="49"/>
      <x:c r="G173" s="48" t="n">
        <x:f>A173</x:f>
        <x:v>0.425</x:v>
      </x:c>
      <x:c r="H173" s="48"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I173" s="48"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J173" s="48"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K173" s="48"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c r="L173" s="49"/>
      <x:c r="M173" s="48" t="n">
        <x:f>A173</x:f>
        <x:v>0.425</x:v>
      </x:c>
      <x:c r="N173" s="48" t="n">
        <x: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x:f>
        <x:v>-217.62122157998533</x:v>
      </x:c>
      <x:c r="O173" s="48" t="n">
        <x: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x:f>
        <x:v>-2088.8245942087233</x:v>
      </x:c>
      <x:c r="P173" s="48" t="n">
        <x: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x:f>
        <x:v>-2428.653951998976</x:v>
      </x:c>
      <x:c r="Q173" s="48" t="n">
        <x: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x:f>
        <x:v>-2427.113793745916</x:v>
      </x:c>
      <x:c r="R173" s="49"/>
      <x:c r="S173" s="48" t="n">
        <x:f>A173</x:f>
        <x:v>0.425</x:v>
      </x:c>
      <x:c r="T173" s="48" t="n">
        <x:f>(Inputs!$I$6+(((A173)+1)/2)*(Inputs!$J$6-Inputs!$I$6))</x:f>
        <x:v>25.5</x:v>
      </x:c>
      <x:c r="U173" s="48" t="n">
        <x:f>(Inputs!$I$7+(((A173)+1)/2)*(Inputs!$J$7-Inputs!$I$7))</x:f>
        <x:v>170</x:v>
      </x:c>
      <x:c r="V173" s="48" t="n">
        <x:f>(Inputs!$I$8+(((A173)+1)/2)*(Inputs!$J$8-Inputs!$I$8))</x:f>
        <x:v>340</x:v>
      </x:c>
      <x:c r="W173" s="48" t="n">
        <x:f>(Inputs!$I$9+(((A173)+1)/2)*(Inputs!$J$9-Inputs!$I$9))</x:f>
        <x:v>340</x:v>
      </x:c>
      <x:c r="X173" s="49"/>
      <x:c r="Y173" s="48" t="n">
        <x:f>A173</x:f>
        <x:v>0.425</x:v>
      </x:c>
      <x:c r="Z173" s="48" t="n">
        <x:f>(Inputs!$H$6+Inputs!$L$6*(((Inputs!$I$6+(((A173)+1)/2)*(Inputs!$J$6-Inputs!$I$6)))/Inputs!$K$6)^2)</x:f>
        <x:v>400.7225</x:v>
      </x:c>
      <x:c r="AA173" s="48" t="n">
        <x:f>(Inputs!$H$7+Inputs!$L$7*(((Inputs!$I$7+(((A173)+1)/2)*(Inputs!$J$7-Inputs!$I$7)))/Inputs!$K$7)^2)</x:f>
        <x:v>100.928125</x:v>
      </x:c>
      <x:c r="AB173" s="48" t="n">
        <x:f>(Inputs!$H$8+Inputs!$L$8*(((Inputs!$I$8+(((A173)+1)/2)*(Inputs!$J$8-Inputs!$I$8)))/Inputs!$K$8)^2)</x:f>
        <x:v>209.303125</x:v>
      </x:c>
      <x:c r="AC173" s="48" t="n">
        <x:f>(Inputs!$H$9+Inputs!$L$9*(((Inputs!$I$9+(((A173)+1)/2)*(Inputs!$J$9-Inputs!$I$9)))/Inputs!$K$9)^2)</x:f>
        <x:v>201.10937499999997</x:v>
      </x:c>
      <x:c r="AD173" s="49"/>
      <x:c r="AE173" s="48" t="n">
        <x:f>A173</x:f>
        <x:v>0.425</x:v>
      </x:c>
      <x:c r="AF173" s="48" t="n">
        <x:f>(((SQRT((Inputs!$C$52+((Inputs!$H$6+Inputs!$L$6*(((Inputs!$I$6+(((A173)+1)/2)*(Inputs!$J$6-Inputs!$I$6)))/Inputs!$K$6)^2)))^2+Inputs!$C$52^2-2*(Inputs!$C$52+((Inputs!$H$6+Inputs!$L$6*(((Inputs!$I$6+(((A173)+1)/2)*(Inputs!$J$6-Inputs!$I$6)))/Inputs!$K$6)^2)))*Inputs!$C$52*COS(SQRT(((Inputs!$I$6+(((A173)+1)/2)*(Inputs!$J$6-Inputs!$I$6)))^2+Inputs!$C$6^2)/Inputs!$C$52)))-((Inputs!$H$6+Inputs!$L$6*(((Inputs!$I$6+(((A173)+1)/2)*(Inputs!$J$6-Inputs!$I$6)))/Inputs!$K$6)^2)))*1000/Inputs!$C$12)</x:f>
        <x:v>1120.5962262068354</x:v>
      </x:c>
      <x:c r="AG173" s="48" t="n">
        <x:f>(((SQRT((Inputs!$C$52+((Inputs!$H$7+Inputs!$L$7*(((Inputs!$I$7+(((A173)+1)/2)*(Inputs!$J$7-Inputs!$I$7)))/Inputs!$K$7)^2)))^2+Inputs!$C$52^2-2*(Inputs!$C$52+((Inputs!$H$7+Inputs!$L$7*(((Inputs!$I$7+(((A173)+1)/2)*(Inputs!$J$7-Inputs!$I$7)))/Inputs!$K$7)^2)))*Inputs!$C$52*COS(SQRT(((Inputs!$I$7+(((A173)+1)/2)*(Inputs!$J$7-Inputs!$I$7)))^2+Inputs!$C$6^2)/Inputs!$C$52)))-((Inputs!$H$7+Inputs!$L$7*(((Inputs!$I$7+(((A173)+1)/2)*(Inputs!$J$7-Inputs!$I$7)))/Inputs!$K$7)^2)))*1000/Inputs!$C$12)</x:f>
        <x:v>57868.317490881214</x:v>
      </x:c>
      <x:c r="AH173" s="48" t="n">
        <x:f>(((SQRT((Inputs!$C$52+((Inputs!$H$8+Inputs!$L$8*(((Inputs!$I$8+(((A173)+1)/2)*(Inputs!$J$8-Inputs!$I$8)))/Inputs!$K$8)^2)))^2+Inputs!$C$52^2-2*(Inputs!$C$52+((Inputs!$H$8+Inputs!$L$8*(((Inputs!$I$8+(((A173)+1)/2)*(Inputs!$J$8-Inputs!$I$8)))/Inputs!$K$8)^2)))*Inputs!$C$52*COS(SQRT(((Inputs!$I$8+(((A173)+1)/2)*(Inputs!$J$8-Inputs!$I$8)))^2+Inputs!$C$6^2)/Inputs!$C$52)))-((Inputs!$H$8+Inputs!$L$8*(((Inputs!$I$8+(((A173)+1)/2)*(Inputs!$J$8-Inputs!$I$8)))/Inputs!$K$8)^2)))*1000/Inputs!$C$12)</x:f>
        <x:v>117494.84561465749</x:v>
      </x:c>
      <x:c r="AI173" s="48" t="n">
        <x:f>(((SQRT((Inputs!$C$52+((Inputs!$H$9+Inputs!$L$9*(((Inputs!$I$9+(((A173)+1)/2)*(Inputs!$J$9-Inputs!$I$9)))/Inputs!$K$9)^2)))^2+Inputs!$C$52^2-2*(Inputs!$C$52+((Inputs!$H$9+Inputs!$L$9*(((Inputs!$I$9+(((A173)+1)/2)*(Inputs!$J$9-Inputs!$I$9)))/Inputs!$K$9)^2)))*Inputs!$C$52*COS(SQRT(((Inputs!$I$9+(((A173)+1)/2)*(Inputs!$J$9-Inputs!$I$9)))^2+Inputs!$C$6^2)/Inputs!$C$52)))-((Inputs!$H$9+Inputs!$L$9*(((Inputs!$I$9+(((A173)+1)/2)*(Inputs!$J$9-Inputs!$I$9)))/Inputs!$K$9)^2)))*1000/Inputs!$C$12)</x:f>
        <x:v>119417.3902121415</x:v>
      </x:c>
      <x:c r="AJ173" s="49"/>
      <x:c r="AK173" s="48" t="n">
        <x:f>A173</x:f>
        <x:v>0.425</x:v>
      </x:c>
      <x:c r="AL173" s="48" t="n">
        <x: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x:f>
        <x:v>-217.62122157998533</x:v>
      </x:c>
      <x:c r="AM173" s="48" t="n">
        <x: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x:f>
        <x:v>-2088.8245942087233</x:v>
      </x:c>
      <x:c r="AN173" s="48" t="n">
        <x: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x:f>
        <x:v>-2428.653951998976</x:v>
      </x:c>
      <x:c r="AO173" s="48" t="n">
        <x: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x:f>
        <x:v>-2427.113793745916</x:v>
      </x:c>
      <x:c r="AP173" s="49"/>
      <x:c r="AQ173" s="48" t="n">
        <x:f>A173</x:f>
        <x:v>0.425</x:v>
      </x:c>
      <x:c r="AR173" s="48" t="n">
        <x:f>0</x:f>
        <x:v>0</x:v>
      </x:c>
      <x:c r="AS173" s="48" t="n">
        <x: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(0.45*SIN(2*PI()*((((Inputs!$I$6+(((A173)+1)/2)*(Inputs!$J$6-Inputs!$I$6)))/Inputs!$C$49)+Inputs!$C$47*0.137))+0.35*COS(2*PI()*(((Inputs!$C$6)/Inputs!$C$50)+Inputs!$C$47*0.173))+0.20*SIN(2*PI()*((((Inputs!$I$6+(((A173)+1)/2)*(Inputs!$J$6-Inputs!$I$6)))+(Inputs!$C$6))/(0.5*(Inputs!$C$49+Inputs!$C$50))+Inputs!$C$47*0.097)))+0.30*(2*((SIN((((Inputs!$I$6+(((A173)+1)/2)*(Inputs!$J$6-Inputs!$I$6)))*12.9898+(Inputs!$C$6)*78.233+Inputs!$C$47*37.719))*43758.5453)-INT((SIN((((Inputs!$I$6+(((A173)+1)/2)*(Inputs!$J$6-Inputs!$I$6)))*12.9898+(Inputs!$C$6)*78.233+Inputs!$C$47*37.719))*43758.5453)))-1))),NA())</x:f>
        <x:v>390.15691093629596</x:v>
      </x:c>
      <x:c r="AT173" s="48" t="n">
        <x: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(0.45*SIN(2*PI()*((((Inputs!$I$7+(((A173)+1)/2)*(Inputs!$J$7-Inputs!$I$7)))/Inputs!$C$49)+Inputs!$C$47*0.137))+0.35*COS(2*PI()*(((Inputs!$C$6)/Inputs!$C$50)+Inputs!$C$47*0.173))+0.20*SIN(2*PI()*((((Inputs!$I$7+(((A173)+1)/2)*(Inputs!$J$7-Inputs!$I$7)))+(Inputs!$C$6))/(0.5*(Inputs!$C$49+Inputs!$C$50))+Inputs!$C$47*0.097)))+0.30*(2*((SIN((((Inputs!$I$7+(((A173)+1)/2)*(Inputs!$J$7-Inputs!$I$7)))*12.9898+(Inputs!$C$6)*78.233+Inputs!$C$47*37.719))*43758.5453)-INT((SIN((((Inputs!$I$7+(((A173)+1)/2)*(Inputs!$J$7-Inputs!$I$7)))*12.9898+(Inputs!$C$6)*78.233+Inputs!$C$47*37.719))*43758.5453)))-1))),NA())</x:f>
        <x:v>186.5860449204655</x:v>
      </x:c>
      <x:c r="AU173" s="48" t="n">
        <x: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(0.45*SIN(2*PI()*((((Inputs!$I$8+(((A173)+1)/2)*(Inputs!$J$8-Inputs!$I$8)))/Inputs!$C$49)+Inputs!$C$47*0.137))+0.35*COS(2*PI()*(((Inputs!$C$6)/Inputs!$C$50)+Inputs!$C$47*0.173))+0.20*SIN(2*PI()*((((Inputs!$I$8+(((A173)+1)/2)*(Inputs!$J$8-Inputs!$I$8)))+(Inputs!$C$6))/(0.5*(Inputs!$C$49+Inputs!$C$50))+Inputs!$C$47*0.097)))+0.30*(2*((SIN((((Inputs!$I$8+(((A173)+1)/2)*(Inputs!$J$8-Inputs!$I$8)))*12.9898+(Inputs!$C$6)*78.233+Inputs!$C$47*37.719))*43758.5453)-INT((SIN((((Inputs!$I$8+(((A173)+1)/2)*(Inputs!$J$8-Inputs!$I$8)))*12.9898+(Inputs!$C$6)*78.233+Inputs!$C$47*37.719))*43758.5453)))-1))),NA())</x:f>
        <x:v>124.64043868220405</x:v>
      </x:c>
      <x:c r="AV173" s="48" t="n">
        <x: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(0.45*SIN(2*PI()*((((Inputs!$I$9+(((A173)+1)/2)*(Inputs!$J$9-Inputs!$I$9)))/Inputs!$C$49)+Inputs!$C$47*0.137))+0.35*COS(2*PI()*(((Inputs!$C$6)/Inputs!$C$50)+Inputs!$C$47*0.173))+0.20*SIN(2*PI()*((((Inputs!$I$9+(((A173)+1)/2)*(Inputs!$J$9-Inputs!$I$9)))+(Inputs!$C$6))/(0.5*(Inputs!$C$49+Inputs!$C$50))+Inputs!$C$47*0.097)))+0.30*(2*((SIN((((Inputs!$I$9+(((A173)+1)/2)*(Inputs!$J$9-Inputs!$I$9)))*12.9898+(Inputs!$C$6)*78.233+Inputs!$C$47*37.719))*43758.5453)-INT((SIN((((Inputs!$I$9+(((A173)+1)/2)*(Inputs!$J$9-Inputs!$I$9)))*12.9898+(Inputs!$C$6)*78.233+Inputs!$C$47*37.719))*43758.5453)))-1))),NA())</x:f>
        <x:v>124.64043868220405</x:v>
      </x:c>
      <x:c r="AW173" s="49"/>
      <x:c r="AX173" s="48" t="n">
        <x:f>A173</x:f>
        <x:v>0.425</x:v>
      </x:c>
      <x:c r="AY173" s="48" t="n">
        <x:f>0</x:f>
        <x:v>0</x:v>
      </x:c>
      <x:c r="AZ173" s="48" t="n">
        <x:f>IF(OR(Inputs!$F$6=TRUE,Inputs!$F$6="TRUE",Inputs!$F$6=1),(Inputs!$H$6+Inputs!$L$6*(((Inputs!$I$6+(((A173)+1)/2)*(Inputs!$J$6-Inputs!$I$6)))/Inputs!$K$6)^2),NA())</x:f>
        <x:v>400.7225</x:v>
      </x:c>
      <x:c r="BA173" s="48" t="n">
        <x:f>IF(OR(Inputs!$F$7=TRUE,Inputs!$F$7="TRUE",Inputs!$F$7=1),(Inputs!$H$7+Inputs!$L$7*(((Inputs!$I$7+(((A173)+1)/2)*(Inputs!$J$7-Inputs!$I$7)))/Inputs!$K$7)^2),NA())</x:f>
        <x:v>100.928125</x:v>
      </x:c>
      <x:c r="BB173" s="48" t="n">
        <x:f>IF(OR(Inputs!$F$8=TRUE,Inputs!$F$8="TRUE",Inputs!$F$8=1),(Inputs!$H$8+Inputs!$L$8*(((Inputs!$I$8+(((A173)+1)/2)*(Inputs!$J$8-Inputs!$I$8)))/Inputs!$K$8)^2),NA())</x:f>
        <x:v>209.303125</x:v>
      </x:c>
      <x:c r="BC173" s="48" t="n">
        <x:f>IF(OR(Inputs!$F$9=TRUE,Inputs!$F$9="TRUE",Inputs!$F$9=1),(Inputs!$H$9+Inputs!$L$9*(((Inputs!$I$9+(((A173)+1)/2)*(Inputs!$J$9-Inputs!$I$9)))/Inputs!$K$9)^2),NA())</x:f>
        <x:v>201.10937499999997</x:v>
      </x:c>
      <x:c r="BD173" s="49"/>
      <x:c r="BE173" s="48" t="n">
        <x:f>A173</x:f>
        <x:v>0.425</x:v>
      </x:c>
      <x:c r="BF173" s="48" t="n">
        <x:f>0</x:f>
        <x:v>0</x:v>
      </x:c>
      <x:c r="BG173" s="48"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BH173" s="48"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BI173" s="48"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BJ173" s="48"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row>
    <x:row r="174">
      <x:c r="A174" s="48" t="n">
        <x:f>ROUND(-1+172*2/240,3)</x:f>
        <x:v>0.433</x:v>
      </x:c>
      <x:c r="B174" s="48" t="n">
        <x:f>IF(OR(Inputs!$F$6=TRUE,Inputs!$F$6="TRUE",Inputs!$F$6=1),(Inputs!$H$6+Inputs!$L$6*(((Inputs!$I$6+(((A174)+1)/2)*(Inputs!$J$6-Inputs!$I$6)))/Inputs!$K$6)^2),NA())</x:f>
        <x:v>400.749956</x:v>
      </x:c>
      <x:c r="C174" s="48" t="n">
        <x:f>IF(OR(Inputs!$F$7=TRUE,Inputs!$F$7="TRUE",Inputs!$F$7=1),(Inputs!$H$7+Inputs!$L$7*(((Inputs!$I$7+(((A174)+1)/2)*(Inputs!$J$7-Inputs!$I$7)))/Inputs!$K$7)^2),NA())</x:f>
        <x:v>103.43348500000003</x:v>
      </x:c>
      <x:c r="D174" s="48" t="n">
        <x:f>IF(OR(Inputs!$F$8=TRUE,Inputs!$F$8="TRUE",Inputs!$F$8=1),(Inputs!$H$8+Inputs!$L$8*(((Inputs!$I$8+(((A174)+1)/2)*(Inputs!$J$8-Inputs!$I$8)))/Inputs!$K$8)^2),NA())</x:f>
        <x:v>215.92688500000008</x:v>
      </x:c>
      <x:c r="E174" s="48" t="n">
        <x:f>IF(OR(Inputs!$F$9=TRUE,Inputs!$F$9="TRUE",Inputs!$F$9=1),(Inputs!$H$9+Inputs!$L$9*(((Inputs!$I$9+(((A174)+1)/2)*(Inputs!$J$9-Inputs!$I$9)))/Inputs!$K$9)^2),NA())</x:f>
        <x:v>207.8017750000001</x:v>
      </x:c>
      <x:c r="F174" s="49"/>
      <x:c r="G174" s="48" t="n">
        <x:f>A174</x:f>
        <x:v>0.433</x:v>
      </x:c>
      <x:c r="H174" s="48"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I174" s="48"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J174" s="48"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K174" s="48"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c r="L174" s="49"/>
      <x:c r="M174" s="48" t="n">
        <x:f>A174</x:f>
        <x:v>0.433</x:v>
      </x:c>
      <x:c r="N174" s="48" t="n">
        <x: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x:f>
        <x:v>-221.6910551464016</x:v>
      </x:c>
      <x:c r="O174" s="48" t="n">
        <x: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x:f>
        <x:v>-2104.6439840188036</x:v>
      </x:c>
      <x:c r="P174" s="48" t="n">
        <x: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x:f>
        <x:v>-2454.250298117244</x:v>
      </x:c>
      <x:c r="Q174" s="48" t="n">
        <x: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x:f>
        <x:v>-2453.181773296761</x:v>
      </x:c>
      <x:c r="R174" s="49"/>
      <x:c r="S174" s="48" t="n">
        <x:f>A174</x:f>
        <x:v>0.433</x:v>
      </x:c>
      <x:c r="T174" s="48" t="n">
        <x:f>(Inputs!$I$6+(((A174)+1)/2)*(Inputs!$J$6-Inputs!$I$6))</x:f>
        <x:v>25.980000000000004</x:v>
      </x:c>
      <x:c r="U174" s="48" t="n">
        <x:f>(Inputs!$I$7+(((A174)+1)/2)*(Inputs!$J$7-Inputs!$I$7))</x:f>
        <x:v>173.20000000000005</x:v>
      </x:c>
      <x:c r="V174" s="48" t="n">
        <x:f>(Inputs!$I$8+(((A174)+1)/2)*(Inputs!$J$8-Inputs!$I$8))</x:f>
        <x:v>346.4000000000001</x:v>
      </x:c>
      <x:c r="W174" s="48" t="n">
        <x:f>(Inputs!$I$9+(((A174)+1)/2)*(Inputs!$J$9-Inputs!$I$9))</x:f>
        <x:v>346.4000000000001</x:v>
      </x:c>
      <x:c r="X174" s="49"/>
      <x:c r="Y174" s="48" t="n">
        <x:f>A174</x:f>
        <x:v>0.433</x:v>
      </x:c>
      <x:c r="Z174" s="48" t="n">
        <x:f>(Inputs!$H$6+Inputs!$L$6*(((Inputs!$I$6+(((A174)+1)/2)*(Inputs!$J$6-Inputs!$I$6)))/Inputs!$K$6)^2)</x:f>
        <x:v>400.749956</x:v>
      </x:c>
      <x:c r="AA174" s="48" t="n">
        <x:f>(Inputs!$H$7+Inputs!$L$7*(((Inputs!$I$7+(((A174)+1)/2)*(Inputs!$J$7-Inputs!$I$7)))/Inputs!$K$7)^2)</x:f>
        <x:v>103.43348500000003</x:v>
      </x:c>
      <x:c r="AB174" s="48" t="n">
        <x:f>(Inputs!$H$8+Inputs!$L$8*(((Inputs!$I$8+(((A174)+1)/2)*(Inputs!$J$8-Inputs!$I$8)))/Inputs!$K$8)^2)</x:f>
        <x:v>215.92688500000008</x:v>
      </x:c>
      <x:c r="AC174" s="48" t="n">
        <x:f>(Inputs!$H$9+Inputs!$L$9*(((Inputs!$I$9+(((A174)+1)/2)*(Inputs!$J$9-Inputs!$I$9)))/Inputs!$K$9)^2)</x:f>
        <x:v>207.8017750000001</x:v>
      </x:c>
      <x:c r="AD174" s="49"/>
      <x:c r="AE174" s="48" t="n">
        <x:f>A174</x:f>
        <x:v>0.433</x:v>
      </x:c>
      <x:c r="AF174" s="48" t="n">
        <x:f>(((SQRT((Inputs!$C$52+((Inputs!$H$6+Inputs!$L$6*(((Inputs!$I$6+(((A174)+1)/2)*(Inputs!$J$6-Inputs!$I$6)))/Inputs!$K$6)^2)))^2+Inputs!$C$52^2-2*(Inputs!$C$52+((Inputs!$H$6+Inputs!$L$6*(((Inputs!$I$6+(((A174)+1)/2)*(Inputs!$J$6-Inputs!$I$6)))/Inputs!$K$6)^2)))*Inputs!$C$52*COS(SQRT(((Inputs!$I$6+(((A174)+1)/2)*(Inputs!$J$6-Inputs!$I$6)))^2+Inputs!$C$6^2)/Inputs!$C$52)))-((Inputs!$H$6+Inputs!$L$6*(((Inputs!$I$6+(((A174)+1)/2)*(Inputs!$J$6-Inputs!$I$6)))/Inputs!$K$6)^2)))*1000/Inputs!$C$12)</x:f>
        <x:v>1142.192225081589</x:v>
      </x:c>
      <x:c r="AG174" s="48" t="n">
        <x:f>(((SQRT((Inputs!$C$52+((Inputs!$H$7+Inputs!$L$7*(((Inputs!$I$7+(((A174)+1)/2)*(Inputs!$J$7-Inputs!$I$7)))/Inputs!$K$7)^2)))^2+Inputs!$C$52^2-2*(Inputs!$C$52+((Inputs!$H$7+Inputs!$L$7*(((Inputs!$I$7+(((A174)+1)/2)*(Inputs!$J$7-Inputs!$I$7)))/Inputs!$K$7)^2)))*Inputs!$C$52*COS(SQRT(((Inputs!$I$7+(((A174)+1)/2)*(Inputs!$J$7-Inputs!$I$7)))^2+Inputs!$C$6^2)/Inputs!$C$52)))-((Inputs!$H$7+Inputs!$L$7*(((Inputs!$I$7+(((A174)+1)/2)*(Inputs!$J$7-Inputs!$I$7)))/Inputs!$K$7)^2)))*1000/Inputs!$C$12)</x:f>
        <x:v>58816.68198708372</x:v>
      </x:c>
      <x:c r="AH174" s="48" t="n">
        <x:f>(((SQRT((Inputs!$C$52+((Inputs!$H$8+Inputs!$L$8*(((Inputs!$I$8+(((A174)+1)/2)*(Inputs!$J$8-Inputs!$I$8)))/Inputs!$K$8)^2)))^2+Inputs!$C$52^2-2*(Inputs!$C$52+((Inputs!$H$8+Inputs!$L$8*(((Inputs!$I$8+(((A174)+1)/2)*(Inputs!$J$8-Inputs!$I$8)))/Inputs!$K$8)^2)))*Inputs!$C$52*COS(SQRT(((Inputs!$I$8+(((A174)+1)/2)*(Inputs!$J$8-Inputs!$I$8)))^2+Inputs!$C$6^2)/Inputs!$C$52)))-((Inputs!$H$8+Inputs!$L$8*(((Inputs!$I$8+(((A174)+1)/2)*(Inputs!$J$8-Inputs!$I$8)))/Inputs!$K$8)^2)))*1000/Inputs!$C$12)</x:f>
        <x:v>119259.99280237065</x:v>
      </x:c>
      <x:c r="AI174" s="48" t="n">
        <x:f>(((SQRT((Inputs!$C$52+((Inputs!$H$9+Inputs!$L$9*(((Inputs!$I$9+(((A174)+1)/2)*(Inputs!$J$9-Inputs!$I$9)))/Inputs!$K$9)^2)))^2+Inputs!$C$52^2-2*(Inputs!$C$52+((Inputs!$H$9+Inputs!$L$9*(((Inputs!$I$9+(((A174)+1)/2)*(Inputs!$J$9-Inputs!$I$9)))/Inputs!$K$9)^2)))*Inputs!$C$52*COS(SQRT(((Inputs!$I$9+(((A174)+1)/2)*(Inputs!$J$9-Inputs!$I$9)))^2+Inputs!$C$6^2)/Inputs!$C$52)))-((Inputs!$H$9+Inputs!$L$9*(((Inputs!$I$9+(((A174)+1)/2)*(Inputs!$J$9-Inputs!$I$9)))/Inputs!$K$9)^2)))*1000/Inputs!$C$12)</x:f>
        <x:v>121141.04301230967</x:v>
      </x:c>
      <x:c r="AJ174" s="49"/>
      <x:c r="AK174" s="48" t="n">
        <x:f>A174</x:f>
        <x:v>0.433</x:v>
      </x:c>
      <x:c r="AL174" s="48" t="n">
        <x: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x:f>
        <x:v>-221.6910551464016</x:v>
      </x:c>
      <x:c r="AM174" s="48" t="n">
        <x: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x:f>
        <x:v>-2104.6439840188036</x:v>
      </x:c>
      <x:c r="AN174" s="48" t="n">
        <x: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x:f>
        <x:v>-2454.250298117244</x:v>
      </x:c>
      <x:c r="AO174" s="48" t="n">
        <x: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x:f>
        <x:v>-2453.181773296761</x:v>
      </x:c>
      <x:c r="AP174" s="49"/>
      <x:c r="AQ174" s="48" t="n">
        <x:f>A174</x:f>
        <x:v>0.433</x:v>
      </x:c>
      <x:c r="AR174" s="48" t="n">
        <x:f>0</x:f>
        <x:v>0</x:v>
      </x:c>
      <x:c r="AS174" s="48" t="n">
        <x: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(0.45*SIN(2*PI()*((((Inputs!$I$6+(((A174)+1)/2)*(Inputs!$J$6-Inputs!$I$6)))/Inputs!$C$49)+Inputs!$C$47*0.137))+0.35*COS(2*PI()*(((Inputs!$C$6)/Inputs!$C$50)+Inputs!$C$47*0.173))+0.20*SIN(2*PI()*((((Inputs!$I$6+(((A174)+1)/2)*(Inputs!$J$6-Inputs!$I$6)))+(Inputs!$C$6))/(0.5*(Inputs!$C$49+Inputs!$C$50))+Inputs!$C$47*0.097)))+0.30*(2*((SIN((((Inputs!$I$6+(((A174)+1)/2)*(Inputs!$J$6-Inputs!$I$6)))*12.9898+(Inputs!$C$6)*78.233+Inputs!$C$47*37.719))*43758.5453)-INT((SIN((((Inputs!$I$6+(((A174)+1)/2)*(Inputs!$J$6-Inputs!$I$6)))*12.9898+(Inputs!$C$6)*78.233+Inputs!$C$47*37.719))*43758.5453)))-1))),NA())</x:f>
        <x:v>400.1962290662413</x:v>
      </x:c>
      <x:c r="AT174" s="48" t="n">
        <x: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(0.45*SIN(2*PI()*((((Inputs!$I$7+(((A174)+1)/2)*(Inputs!$J$7-Inputs!$I$7)))/Inputs!$C$49)+Inputs!$C$47*0.137))+0.35*COS(2*PI()*(((Inputs!$C$6)/Inputs!$C$50)+Inputs!$C$47*0.173))+0.20*SIN(2*PI()*((((Inputs!$I$7+(((A174)+1)/2)*(Inputs!$J$7-Inputs!$I$7)))+(Inputs!$C$6))/(0.5*(Inputs!$C$49+Inputs!$C$50))+Inputs!$C$47*0.097)))+0.30*(2*((SIN((((Inputs!$I$7+(((A174)+1)/2)*(Inputs!$J$7-Inputs!$I$7)))*12.9898+(Inputs!$C$6)*78.233+Inputs!$C$47*37.719))*43758.5453)-INT((SIN((((Inputs!$I$7+(((A174)+1)/2)*(Inputs!$J$7-Inputs!$I$7)))*12.9898+(Inputs!$C$6)*78.233+Inputs!$C$47*37.719))*43758.5453)))-1))),NA())</x:f>
        <x:v>126.5299055931917</x:v>
      </x:c>
      <x:c r="AU174" s="48" t="n">
        <x: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(0.45*SIN(2*PI()*((((Inputs!$I$8+(((A174)+1)/2)*(Inputs!$J$8-Inputs!$I$8)))/Inputs!$C$49)+Inputs!$C$47*0.137))+0.35*COS(2*PI()*(((Inputs!$C$6)/Inputs!$C$50)+Inputs!$C$47*0.173))+0.20*SIN(2*PI()*((((Inputs!$I$8+(((A174)+1)/2)*(Inputs!$J$8-Inputs!$I$8)))+(Inputs!$C$6))/(0.5*(Inputs!$C$49+Inputs!$C$50))+Inputs!$C$47*0.097)))+0.30*(2*((SIN((((Inputs!$I$8+(((A174)+1)/2)*(Inputs!$J$8-Inputs!$I$8)))*12.9898+(Inputs!$C$6)*78.233+Inputs!$C$47*37.719))*43758.5453)-INT((SIN((((Inputs!$I$8+(((A174)+1)/2)*(Inputs!$J$8-Inputs!$I$8)))*12.9898+(Inputs!$C$6)*78.233+Inputs!$C$47*37.719))*43758.5453)))-1))),NA())</x:f>
        <x:v>179.6007998283073</x:v>
      </x:c>
      <x:c r="AV174" s="48" t="n">
        <x: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(0.45*SIN(2*PI()*((((Inputs!$I$9+(((A174)+1)/2)*(Inputs!$J$9-Inputs!$I$9)))/Inputs!$C$49)+Inputs!$C$47*0.137))+0.35*COS(2*PI()*(((Inputs!$C$6)/Inputs!$C$50)+Inputs!$C$47*0.173))+0.20*SIN(2*PI()*((((Inputs!$I$9+(((A174)+1)/2)*(Inputs!$J$9-Inputs!$I$9)))+(Inputs!$C$6))/(0.5*(Inputs!$C$49+Inputs!$C$50))+Inputs!$C$47*0.097)))+0.30*(2*((SIN((((Inputs!$I$9+(((A174)+1)/2)*(Inputs!$J$9-Inputs!$I$9)))*12.9898+(Inputs!$C$6)*78.233+Inputs!$C$47*37.719))*43758.5453)-INT((SIN((((Inputs!$I$9+(((A174)+1)/2)*(Inputs!$J$9-Inputs!$I$9)))*12.9898+(Inputs!$C$6)*78.233+Inputs!$C$47*37.719))*43758.5453)))-1))),NA())</x:f>
        <x:v>179.6007998283073</x:v>
      </x:c>
      <x:c r="AW174" s="49"/>
      <x:c r="AX174" s="48" t="n">
        <x:f>A174</x:f>
        <x:v>0.433</x:v>
      </x:c>
      <x:c r="AY174" s="48" t="n">
        <x:f>0</x:f>
        <x:v>0</x:v>
      </x:c>
      <x:c r="AZ174" s="48" t="n">
        <x:f>IF(OR(Inputs!$F$6=TRUE,Inputs!$F$6="TRUE",Inputs!$F$6=1),(Inputs!$H$6+Inputs!$L$6*(((Inputs!$I$6+(((A174)+1)/2)*(Inputs!$J$6-Inputs!$I$6)))/Inputs!$K$6)^2),NA())</x:f>
        <x:v>400.749956</x:v>
      </x:c>
      <x:c r="BA174" s="48" t="n">
        <x:f>IF(OR(Inputs!$F$7=TRUE,Inputs!$F$7="TRUE",Inputs!$F$7=1),(Inputs!$H$7+Inputs!$L$7*(((Inputs!$I$7+(((A174)+1)/2)*(Inputs!$J$7-Inputs!$I$7)))/Inputs!$K$7)^2),NA())</x:f>
        <x:v>103.43348500000003</x:v>
      </x:c>
      <x:c r="BB174" s="48" t="n">
        <x:f>IF(OR(Inputs!$F$8=TRUE,Inputs!$F$8="TRUE",Inputs!$F$8=1),(Inputs!$H$8+Inputs!$L$8*(((Inputs!$I$8+(((A174)+1)/2)*(Inputs!$J$8-Inputs!$I$8)))/Inputs!$K$8)^2),NA())</x:f>
        <x:v>215.92688500000008</x:v>
      </x:c>
      <x:c r="BC174" s="48" t="n">
        <x:f>IF(OR(Inputs!$F$9=TRUE,Inputs!$F$9="TRUE",Inputs!$F$9=1),(Inputs!$H$9+Inputs!$L$9*(((Inputs!$I$9+(((A174)+1)/2)*(Inputs!$J$9-Inputs!$I$9)))/Inputs!$K$9)^2),NA())</x:f>
        <x:v>207.8017750000001</x:v>
      </x:c>
      <x:c r="BD174" s="49"/>
      <x:c r="BE174" s="48" t="n">
        <x:f>A174</x:f>
        <x:v>0.433</x:v>
      </x:c>
      <x:c r="BF174" s="48" t="n">
        <x:f>0</x:f>
        <x:v>0</x:v>
      </x:c>
      <x:c r="BG174" s="48"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BH174" s="48"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BI174" s="48"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BJ174" s="48"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row>
    <x:row r="175">
      <x:c r="A175" s="48" t="n">
        <x:f>ROUND(-1+173*2/240,3)</x:f>
        <x:v>0.442</x:v>
      </x:c>
      <x:c r="B175" s="48" t="n">
        <x:f>IF(OR(Inputs!$F$6=TRUE,Inputs!$F$6="TRUE",Inputs!$F$6=1),(Inputs!$H$6+Inputs!$L$6*(((Inputs!$I$6+(((A175)+1)/2)*(Inputs!$J$6-Inputs!$I$6)))/Inputs!$K$6)^2),NA())</x:f>
        <x:v>400.781456</x:v>
      </x:c>
      <x:c r="C175" s="48" t="n">
        <x:f>IF(OR(Inputs!$F$7=TRUE,Inputs!$F$7="TRUE",Inputs!$F$7=1),(Inputs!$H$7+Inputs!$L$7*(((Inputs!$I$7+(((A175)+1)/2)*(Inputs!$J$7-Inputs!$I$7)))/Inputs!$K$7)^2),NA())</x:f>
        <x:v>106.30785999999996</x:v>
      </x:c>
      <x:c r="D175" s="48" t="n">
        <x:f>IF(OR(Inputs!$F$8=TRUE,Inputs!$F$8="TRUE",Inputs!$F$8=1),(Inputs!$H$8+Inputs!$L$8*(((Inputs!$I$8+(((A175)+1)/2)*(Inputs!$J$8-Inputs!$I$8)))/Inputs!$K$8)^2),NA())</x:f>
        <x:v>223.5262599999999</x:v>
      </x:c>
      <x:c r="E175" s="48" t="n">
        <x:f>IF(OR(Inputs!$F$9=TRUE,Inputs!$F$9="TRUE",Inputs!$F$9=1),(Inputs!$H$9+Inputs!$L$9*(((Inputs!$I$9+(((A175)+1)/2)*(Inputs!$J$9-Inputs!$I$9)))/Inputs!$K$9)^2),NA())</x:f>
        <x:v>215.4798999999999</x:v>
      </x:c>
      <x:c r="F175" s="49"/>
      <x:c r="G175" s="48" t="n">
        <x:f>A175</x:f>
        <x:v>0.442</x:v>
      </x:c>
      <x:c r="H175" s="48"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I175" s="48"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J175" s="48"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K175" s="48"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c r="L175" s="49"/>
      <x:c r="M175" s="48" t="n">
        <x:f>A175</x:f>
        <x:v>0.442</x:v>
      </x:c>
      <x:c r="N175" s="48" t="n">
        <x: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x:f>
        <x:v>-226.26785644062778</x:v>
      </x:c>
      <x:c r="O175" s="48" t="n">
        <x: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x:f>
        <x:v>-2122.5845865903166</x:v>
      </x:c>
      <x:c r="P175" s="48" t="n">
        <x: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x:f>
        <x:v>-2483.3530771221585</x:v>
      </x:c>
      <x:c r="Q175" s="48" t="n">
        <x: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x:f>
        <x:v>-2482.8241182372158</x:v>
      </x:c>
      <x:c r="R175" s="49"/>
      <x:c r="S175" s="48" t="n">
        <x:f>A175</x:f>
        <x:v>0.442</x:v>
      </x:c>
      <x:c r="T175" s="48" t="n">
        <x:f>(Inputs!$I$6+(((A175)+1)/2)*(Inputs!$J$6-Inputs!$I$6))</x:f>
        <x:v>26.519999999999996</x:v>
      </x:c>
      <x:c r="U175" s="48" t="n">
        <x:f>(Inputs!$I$7+(((A175)+1)/2)*(Inputs!$J$7-Inputs!$I$7))</x:f>
        <x:v>176.79999999999995</x:v>
      </x:c>
      <x:c r="V175" s="48" t="n">
        <x:f>(Inputs!$I$8+(((A175)+1)/2)*(Inputs!$J$8-Inputs!$I$8))</x:f>
        <x:v>353.5999999999999</x:v>
      </x:c>
      <x:c r="W175" s="48" t="n">
        <x:f>(Inputs!$I$9+(((A175)+1)/2)*(Inputs!$J$9-Inputs!$I$9))</x:f>
        <x:v>353.5999999999999</x:v>
      </x:c>
      <x:c r="X175" s="49"/>
      <x:c r="Y175" s="48" t="n">
        <x:f>A175</x:f>
        <x:v>0.442</x:v>
      </x:c>
      <x:c r="Z175" s="48" t="n">
        <x:f>(Inputs!$H$6+Inputs!$L$6*(((Inputs!$I$6+(((A175)+1)/2)*(Inputs!$J$6-Inputs!$I$6)))/Inputs!$K$6)^2)</x:f>
        <x:v>400.781456</x:v>
      </x:c>
      <x:c r="AA175" s="48" t="n">
        <x:f>(Inputs!$H$7+Inputs!$L$7*(((Inputs!$I$7+(((A175)+1)/2)*(Inputs!$J$7-Inputs!$I$7)))/Inputs!$K$7)^2)</x:f>
        <x:v>106.30785999999996</x:v>
      </x:c>
      <x:c r="AB175" s="48" t="n">
        <x:f>(Inputs!$H$8+Inputs!$L$8*(((Inputs!$I$8+(((A175)+1)/2)*(Inputs!$J$8-Inputs!$I$8)))/Inputs!$K$8)^2)</x:f>
        <x:v>223.5262599999999</x:v>
      </x:c>
      <x:c r="AC175" s="48" t="n">
        <x:f>(Inputs!$H$9+Inputs!$L$9*(((Inputs!$I$9+(((A175)+1)/2)*(Inputs!$J$9-Inputs!$I$9)))/Inputs!$K$9)^2)</x:f>
        <x:v>215.4798999999999</x:v>
      </x:c>
      <x:c r="AD175" s="49"/>
      <x:c r="AE175" s="48" t="n">
        <x:f>A175</x:f>
        <x:v>0.442</x:v>
      </x:c>
      <x:c r="AF175" s="48" t="n">
        <x:f>(((SQRT((Inputs!$C$52+((Inputs!$H$6+Inputs!$L$6*(((Inputs!$I$6+(((A175)+1)/2)*(Inputs!$J$6-Inputs!$I$6)))/Inputs!$K$6)^2)))^2+Inputs!$C$52^2-2*(Inputs!$C$52+((Inputs!$H$6+Inputs!$L$6*(((Inputs!$I$6+(((A175)+1)/2)*(Inputs!$J$6-Inputs!$I$6)))/Inputs!$K$6)^2)))*Inputs!$C$52*COS(SQRT(((Inputs!$I$6+(((A175)+1)/2)*(Inputs!$J$6-Inputs!$I$6)))^2+Inputs!$C$6^2)/Inputs!$C$52)))-((Inputs!$H$6+Inputs!$L$6*(((Inputs!$I$6+(((A175)+1)/2)*(Inputs!$J$6-Inputs!$I$6)))/Inputs!$K$6)^2)))*1000/Inputs!$C$12)</x:f>
        <x:v>1166.9636404009684</x:v>
      </x:c>
      <x:c r="AG175" s="48" t="n">
        <x:f>(((SQRT((Inputs!$C$52+((Inputs!$H$7+Inputs!$L$7*(((Inputs!$I$7+(((A175)+1)/2)*(Inputs!$J$7-Inputs!$I$7)))/Inputs!$K$7)^2)))^2+Inputs!$C$52^2-2*(Inputs!$C$52+((Inputs!$H$7+Inputs!$L$7*(((Inputs!$I$7+(((A175)+1)/2)*(Inputs!$J$7-Inputs!$I$7)))/Inputs!$K$7)^2)))*Inputs!$C$52*COS(SQRT(((Inputs!$I$7+(((A175)+1)/2)*(Inputs!$J$7-Inputs!$I$7)))^2+Inputs!$C$6^2)/Inputs!$C$52)))-((Inputs!$H$7+Inputs!$L$7*(((Inputs!$I$7+(((A175)+1)/2)*(Inputs!$J$7-Inputs!$I$7)))/Inputs!$K$7)^2)))*1000/Inputs!$C$12)</x:f>
        <x:v>59873.55178339642</x:v>
      </x:c>
      <x:c r="AH175" s="48" t="n">
        <x:f>(((SQRT((Inputs!$C$52+((Inputs!$H$8+Inputs!$L$8*(((Inputs!$I$8+(((A175)+1)/2)*(Inputs!$J$8-Inputs!$I$8)))/Inputs!$K$8)^2)))^2+Inputs!$C$52^2-2*(Inputs!$C$52+((Inputs!$H$8+Inputs!$L$8*(((Inputs!$I$8+(((A175)+1)/2)*(Inputs!$J$8-Inputs!$I$8)))/Inputs!$K$8)^2)))*Inputs!$C$52*COS(SQRT(((Inputs!$I$8+(((A175)+1)/2)*(Inputs!$J$8-Inputs!$I$8)))^2+Inputs!$C$6^2)/Inputs!$C$52)))-((Inputs!$H$8+Inputs!$L$8*(((Inputs!$I$8+(((A175)+1)/2)*(Inputs!$J$8-Inputs!$I$8)))/Inputs!$K$8)^2)))*1000/Inputs!$C$12)</x:f>
        <x:v>121231.96584214331</x:v>
      </x:c>
      <x:c r="AI175" s="48" t="n">
        <x:f>(((SQRT((Inputs!$C$52+((Inputs!$H$9+Inputs!$L$9*(((Inputs!$I$9+(((A175)+1)/2)*(Inputs!$J$9-Inputs!$I$9)))/Inputs!$K$9)^2)))^2+Inputs!$C$52^2-2*(Inputs!$C$52+((Inputs!$H$9+Inputs!$L$9*(((Inputs!$I$9+(((A175)+1)/2)*(Inputs!$J$9-Inputs!$I$9)))/Inputs!$K$9)^2)))*Inputs!$C$52*COS(SQRT(((Inputs!$I$9+(((A175)+1)/2)*(Inputs!$J$9-Inputs!$I$9)))^2+Inputs!$C$6^2)/Inputs!$C$52)))-((Inputs!$H$9+Inputs!$L$9*(((Inputs!$I$9+(((A175)+1)/2)*(Inputs!$J$9-Inputs!$I$9)))/Inputs!$K$9)^2)))*1000/Inputs!$C$12)</x:f>
        <x:v>123066.75329043757</x:v>
      </x:c>
      <x:c r="AJ175" s="49"/>
      <x:c r="AK175" s="48" t="n">
        <x:f>A175</x:f>
        <x:v>0.442</x:v>
      </x:c>
      <x:c r="AL175" s="48" t="n">
        <x: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x:f>
        <x:v>-226.26785644062778</x:v>
      </x:c>
      <x:c r="AM175" s="48" t="n">
        <x: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x:f>
        <x:v>-2122.5845865903166</x:v>
      </x:c>
      <x:c r="AN175" s="48" t="n">
        <x: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x:f>
        <x:v>-2483.3530771221585</x:v>
      </x:c>
      <x:c r="AO175" s="48" t="n">
        <x: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x:f>
        <x:v>-2482.8241182372158</x:v>
      </x:c>
      <x:c r="AP175" s="49"/>
      <x:c r="AQ175" s="48" t="n">
        <x:f>A175</x:f>
        <x:v>0.442</x:v>
      </x:c>
      <x:c r="AR175" s="48" t="n">
        <x:f>0</x:f>
        <x:v>0</x:v>
      </x:c>
      <x:c r="AS175" s="48" t="n">
        <x: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(0.45*SIN(2*PI()*((((Inputs!$I$6+(((A175)+1)/2)*(Inputs!$J$6-Inputs!$I$6)))/Inputs!$C$49)+Inputs!$C$47*0.137))+0.35*COS(2*PI()*(((Inputs!$C$6)/Inputs!$C$50)+Inputs!$C$47*0.173))+0.20*SIN(2*PI()*((((Inputs!$I$6+(((A175)+1)/2)*(Inputs!$J$6-Inputs!$I$6)))+(Inputs!$C$6))/(0.5*(Inputs!$C$49+Inputs!$C$50))+Inputs!$C$47*0.097)))+0.30*(2*((SIN((((Inputs!$I$6+(((A175)+1)/2)*(Inputs!$J$6-Inputs!$I$6)))*12.9898+(Inputs!$C$6)*78.233+Inputs!$C$47*37.719))*43758.5453)-INT((SIN((((Inputs!$I$6+(((A175)+1)/2)*(Inputs!$J$6-Inputs!$I$6)))*12.9898+(Inputs!$C$6)*78.233+Inputs!$C$47*37.719))*43758.5453)))-1))),NA())</x:f>
        <x:v>359.3068515071834</x:v>
      </x:c>
      <x:c r="AT175" s="48" t="n">
        <x: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(0.45*SIN(2*PI()*((((Inputs!$I$7+(((A175)+1)/2)*(Inputs!$J$7-Inputs!$I$7)))/Inputs!$C$49)+Inputs!$C$47*0.137))+0.35*COS(2*PI()*(((Inputs!$C$6)/Inputs!$C$50)+Inputs!$C$47*0.173))+0.20*SIN(2*PI()*((((Inputs!$I$7+(((A175)+1)/2)*(Inputs!$J$7-Inputs!$I$7)))+(Inputs!$C$6))/(0.5*(Inputs!$C$49+Inputs!$C$50))+Inputs!$C$47*0.097)))+0.30*(2*((SIN((((Inputs!$I$7+(((A175)+1)/2)*(Inputs!$J$7-Inputs!$I$7)))*12.9898+(Inputs!$C$6)*78.233+Inputs!$C$47*37.719))*43758.5453)-INT((SIN((((Inputs!$I$7+(((A175)+1)/2)*(Inputs!$J$7-Inputs!$I$7)))*12.9898+(Inputs!$C$6)*78.233+Inputs!$C$47*37.719))*43758.5453)))-1))),NA())</x:f>
        <x:v>81.54704752981823</x:v>
      </x:c>
      <x:c r="AU175" s="48" t="n">
        <x: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(0.45*SIN(2*PI()*((((Inputs!$I$8+(((A175)+1)/2)*(Inputs!$J$8-Inputs!$I$8)))/Inputs!$C$49)+Inputs!$C$47*0.137))+0.35*COS(2*PI()*(((Inputs!$C$6)/Inputs!$C$50)+Inputs!$C$47*0.173))+0.20*SIN(2*PI()*((((Inputs!$I$8+(((A175)+1)/2)*(Inputs!$J$8-Inputs!$I$8)))+(Inputs!$C$6))/(0.5*(Inputs!$C$49+Inputs!$C$50))+Inputs!$C$47*0.097)))+0.30*(2*((SIN((((Inputs!$I$8+(((A175)+1)/2)*(Inputs!$J$8-Inputs!$I$8)))*12.9898+(Inputs!$C$6)*78.233+Inputs!$C$47*37.719))*43758.5453)-INT((SIN((((Inputs!$I$8+(((A175)+1)/2)*(Inputs!$J$8-Inputs!$I$8)))*12.9898+(Inputs!$C$6)*78.233+Inputs!$C$47*37.719))*43758.5453)))-1))),NA())</x:f>
        <x:v>132.87376517573304</x:v>
      </x:c>
      <x:c r="AV175" s="48" t="n">
        <x: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(0.45*SIN(2*PI()*((((Inputs!$I$9+(((A175)+1)/2)*(Inputs!$J$9-Inputs!$I$9)))/Inputs!$C$49)+Inputs!$C$47*0.137))+0.35*COS(2*PI()*(((Inputs!$C$6)/Inputs!$C$50)+Inputs!$C$47*0.173))+0.20*SIN(2*PI()*((((Inputs!$I$9+(((A175)+1)/2)*(Inputs!$J$9-Inputs!$I$9)))+(Inputs!$C$6))/(0.5*(Inputs!$C$49+Inputs!$C$50))+Inputs!$C$47*0.097)))+0.30*(2*((SIN((((Inputs!$I$9+(((A175)+1)/2)*(Inputs!$J$9-Inputs!$I$9)))*12.9898+(Inputs!$C$6)*78.233+Inputs!$C$47*37.719))*43758.5453)-INT((SIN((((Inputs!$I$9+(((A175)+1)/2)*(Inputs!$J$9-Inputs!$I$9)))*12.9898+(Inputs!$C$6)*78.233+Inputs!$C$47*37.719))*43758.5453)))-1))),NA())</x:f>
        <x:v>132.87376517573304</x:v>
      </x:c>
      <x:c r="AW175" s="49"/>
      <x:c r="AX175" s="48" t="n">
        <x:f>A175</x:f>
        <x:v>0.442</x:v>
      </x:c>
      <x:c r="AY175" s="48" t="n">
        <x:f>0</x:f>
        <x:v>0</x:v>
      </x:c>
      <x:c r="AZ175" s="48" t="n">
        <x:f>IF(OR(Inputs!$F$6=TRUE,Inputs!$F$6="TRUE",Inputs!$F$6=1),(Inputs!$H$6+Inputs!$L$6*(((Inputs!$I$6+(((A175)+1)/2)*(Inputs!$J$6-Inputs!$I$6)))/Inputs!$K$6)^2),NA())</x:f>
        <x:v>400.781456</x:v>
      </x:c>
      <x:c r="BA175" s="48" t="n">
        <x:f>IF(OR(Inputs!$F$7=TRUE,Inputs!$F$7="TRUE",Inputs!$F$7=1),(Inputs!$H$7+Inputs!$L$7*(((Inputs!$I$7+(((A175)+1)/2)*(Inputs!$J$7-Inputs!$I$7)))/Inputs!$K$7)^2),NA())</x:f>
        <x:v>106.30785999999996</x:v>
      </x:c>
      <x:c r="BB175" s="48" t="n">
        <x:f>IF(OR(Inputs!$F$8=TRUE,Inputs!$F$8="TRUE",Inputs!$F$8=1),(Inputs!$H$8+Inputs!$L$8*(((Inputs!$I$8+(((A175)+1)/2)*(Inputs!$J$8-Inputs!$I$8)))/Inputs!$K$8)^2),NA())</x:f>
        <x:v>223.5262599999999</x:v>
      </x:c>
      <x:c r="BC175" s="48" t="n">
        <x:f>IF(OR(Inputs!$F$9=TRUE,Inputs!$F$9="TRUE",Inputs!$F$9=1),(Inputs!$H$9+Inputs!$L$9*(((Inputs!$I$9+(((A175)+1)/2)*(Inputs!$J$9-Inputs!$I$9)))/Inputs!$K$9)^2),NA())</x:f>
        <x:v>215.4798999999999</x:v>
      </x:c>
      <x:c r="BD175" s="49"/>
      <x:c r="BE175" s="48" t="n">
        <x:f>A175</x:f>
        <x:v>0.442</x:v>
      </x:c>
      <x:c r="BF175" s="48" t="n">
        <x:f>0</x:f>
        <x:v>0</x:v>
      </x:c>
      <x:c r="BG175" s="48"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BH175" s="48"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BI175" s="48"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BJ175" s="48"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row>
    <x:row r="176">
      <x:c r="A176" s="48" t="n">
        <x:f>ROUND(-1+174*2/240,3)</x:f>
        <x:v>0.45</x:v>
      </x:c>
      <x:c r="B176" s="48" t="n">
        <x:f>IF(OR(Inputs!$F$6=TRUE,Inputs!$F$6="TRUE",Inputs!$F$6=1),(Inputs!$H$6+Inputs!$L$6*(((Inputs!$I$6+(((A176)+1)/2)*(Inputs!$J$6-Inputs!$I$6)))/Inputs!$K$6)^2),NA())</x:f>
        <x:v>400.81</x:v>
      </x:c>
      <x:c r="C176" s="48" t="n">
        <x:f>IF(OR(Inputs!$F$7=TRUE,Inputs!$F$7="TRUE",Inputs!$F$7=1),(Inputs!$H$7+Inputs!$L$7*(((Inputs!$I$7+(((A176)+1)/2)*(Inputs!$J$7-Inputs!$I$7)))/Inputs!$K$7)^2),NA())</x:f>
        <x:v>108.91250000000001</x:v>
      </x:c>
      <x:c r="D176" s="48" t="n">
        <x:f>IF(OR(Inputs!$F$8=TRUE,Inputs!$F$8="TRUE",Inputs!$F$8=1),(Inputs!$H$8+Inputs!$L$8*(((Inputs!$I$8+(((A176)+1)/2)*(Inputs!$J$8-Inputs!$I$8)))/Inputs!$K$8)^2),NA())</x:f>
        <x:v>230.41250000000002</x:v>
      </x:c>
      <x:c r="E176" s="48" t="n">
        <x:f>IF(OR(Inputs!$F$9=TRUE,Inputs!$F$9="TRUE",Inputs!$F$9=1),(Inputs!$H$9+Inputs!$L$9*(((Inputs!$I$9+(((A176)+1)/2)*(Inputs!$J$9-Inputs!$I$9)))/Inputs!$K$9)^2),NA())</x:f>
        <x:v>222.4375</x:v>
      </x:c>
      <x:c r="F176" s="49"/>
      <x:c r="G176" s="48" t="n">
        <x:f>A176</x:f>
        <x:v>0.45</x:v>
      </x:c>
      <x:c r="H176" s="48"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I176" s="48"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J176" s="48"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K176" s="48"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c r="L176" s="49"/>
      <x:c r="M176" s="48" t="n">
        <x:f>A176</x:f>
        <x:v>0.45</x:v>
      </x:c>
      <x:c r="N176" s="48" t="n">
        <x: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x:f>
        <x:v>-230.33452978340816</x:v>
      </x:c>
      <x:c r="O176" s="48" t="n">
        <x: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x:f>
        <x:v>-2138.6626146641393</x:v>
      </x:c>
      <x:c r="P176" s="48" t="n">
        <x: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x:f>
        <x:v>-2509.489301007653</x:v>
      </x:c>
      <x:c r="Q176" s="48" t="n">
        <x: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x:f>
        <x:v>-2509.44712055247</x:v>
      </x:c>
      <x:c r="R176" s="49"/>
      <x:c r="S176" s="48" t="n">
        <x:f>A176</x:f>
        <x:v>0.45</x:v>
      </x:c>
      <x:c r="T176" s="48" t="n">
        <x:f>(Inputs!$I$6+(((A176)+1)/2)*(Inputs!$J$6-Inputs!$I$6))</x:f>
        <x:v>27</x:v>
      </x:c>
      <x:c r="U176" s="48" t="n">
        <x:f>(Inputs!$I$7+(((A176)+1)/2)*(Inputs!$J$7-Inputs!$I$7))</x:f>
        <x:v>180</x:v>
      </x:c>
      <x:c r="V176" s="48" t="n">
        <x:f>(Inputs!$I$8+(((A176)+1)/2)*(Inputs!$J$8-Inputs!$I$8))</x:f>
        <x:v>360</x:v>
      </x:c>
      <x:c r="W176" s="48" t="n">
        <x:f>(Inputs!$I$9+(((A176)+1)/2)*(Inputs!$J$9-Inputs!$I$9))</x:f>
        <x:v>360</x:v>
      </x:c>
      <x:c r="X176" s="49"/>
      <x:c r="Y176" s="48" t="n">
        <x:f>A176</x:f>
        <x:v>0.45</x:v>
      </x:c>
      <x:c r="Z176" s="48" t="n">
        <x:f>(Inputs!$H$6+Inputs!$L$6*(((Inputs!$I$6+(((A176)+1)/2)*(Inputs!$J$6-Inputs!$I$6)))/Inputs!$K$6)^2)</x:f>
        <x:v>400.81</x:v>
      </x:c>
      <x:c r="AA176" s="48" t="n">
        <x:f>(Inputs!$H$7+Inputs!$L$7*(((Inputs!$I$7+(((A176)+1)/2)*(Inputs!$J$7-Inputs!$I$7)))/Inputs!$K$7)^2)</x:f>
        <x:v>108.91250000000001</x:v>
      </x:c>
      <x:c r="AB176" s="48" t="n">
        <x:f>(Inputs!$H$8+Inputs!$L$8*(((Inputs!$I$8+(((A176)+1)/2)*(Inputs!$J$8-Inputs!$I$8)))/Inputs!$K$8)^2)</x:f>
        <x:v>230.41250000000002</x:v>
      </x:c>
      <x:c r="AC176" s="48" t="n">
        <x:f>(Inputs!$H$9+Inputs!$L$9*(((Inputs!$I$9+(((A176)+1)/2)*(Inputs!$J$9-Inputs!$I$9)))/Inputs!$K$9)^2)</x:f>
        <x:v>222.4375</x:v>
      </x:c>
      <x:c r="AD176" s="49"/>
      <x:c r="AE176" s="48" t="n">
        <x:f>A176</x:f>
        <x:v>0.45</x:v>
      </x:c>
      <x:c r="AF176" s="48" t="n">
        <x:f>(((SQRT((Inputs!$C$52+((Inputs!$H$6+Inputs!$L$6*(((Inputs!$I$6+(((A176)+1)/2)*(Inputs!$J$6-Inputs!$I$6)))/Inputs!$K$6)^2)))^2+Inputs!$C$52^2-2*(Inputs!$C$52+((Inputs!$H$6+Inputs!$L$6*(((Inputs!$I$6+(((A176)+1)/2)*(Inputs!$J$6-Inputs!$I$6)))/Inputs!$K$6)^2)))*Inputs!$C$52*COS(SQRT(((Inputs!$I$6+(((A176)+1)/2)*(Inputs!$J$6-Inputs!$I$6)))^2+Inputs!$C$6^2)/Inputs!$C$52)))-((Inputs!$H$6+Inputs!$L$6*(((Inputs!$I$6+(((A176)+1)/2)*(Inputs!$J$6-Inputs!$I$6)))/Inputs!$K$6)^2)))*1000/Inputs!$C$12)</x:f>
        <x:v>1189.4054357952016</x:v>
      </x:c>
      <x:c r="AG176" s="48" t="n">
        <x:f>(((SQRT((Inputs!$C$52+((Inputs!$H$7+Inputs!$L$7*(((Inputs!$I$7+(((A176)+1)/2)*(Inputs!$J$7-Inputs!$I$7)))/Inputs!$K$7)^2)))^2+Inputs!$C$52^2-2*(Inputs!$C$52+((Inputs!$H$7+Inputs!$L$7*(((Inputs!$I$7+(((A176)+1)/2)*(Inputs!$J$7-Inputs!$I$7)))/Inputs!$K$7)^2)))*Inputs!$C$52*COS(SQRT(((Inputs!$I$7+(((A176)+1)/2)*(Inputs!$J$7-Inputs!$I$7)))^2+Inputs!$C$6^2)/Inputs!$C$52)))-((Inputs!$H$7+Inputs!$L$7*(((Inputs!$I$7+(((A176)+1)/2)*(Inputs!$J$7-Inputs!$I$7)))/Inputs!$K$7)^2)))*1000/Inputs!$C$12)</x:f>
        <x:v>60804.21833436888</x:v>
      </x:c>
      <x:c r="AH176" s="48" t="n">
        <x:f>(((SQRT((Inputs!$C$52+((Inputs!$H$8+Inputs!$L$8*(((Inputs!$I$8+(((A176)+1)/2)*(Inputs!$J$8-Inputs!$I$8)))/Inputs!$K$8)^2)))^2+Inputs!$C$52^2-2*(Inputs!$C$52+((Inputs!$H$8+Inputs!$L$8*(((Inputs!$I$8+(((A176)+1)/2)*(Inputs!$J$8-Inputs!$I$8)))/Inputs!$K$8)^2)))*Inputs!$C$52*COS(SQRT(((Inputs!$I$8+(((A176)+1)/2)*(Inputs!$J$8-Inputs!$I$8)))^2+Inputs!$C$6^2)/Inputs!$C$52)))-((Inputs!$H$8+Inputs!$L$8*(((Inputs!$I$8+(((A176)+1)/2)*(Inputs!$J$8-Inputs!$I$8)))/Inputs!$K$8)^2)))*1000/Inputs!$C$12)</x:f>
        <x:v>122973.18039248708</x:v>
      </x:c>
      <x:c r="AI176" s="48" t="n">
        <x:f>(((SQRT((Inputs!$C$52+((Inputs!$H$9+Inputs!$L$9*(((Inputs!$I$9+(((A176)+1)/2)*(Inputs!$J$9-Inputs!$I$9)))/Inputs!$K$9)^2)))^2+Inputs!$C$52^2-2*(Inputs!$C$52+((Inputs!$H$9+Inputs!$L$9*(((Inputs!$I$9+(((A176)+1)/2)*(Inputs!$J$9-Inputs!$I$9)))/Inputs!$K$9)^2)))*Inputs!$C$52*COS(SQRT(((Inputs!$I$9+(((A176)+1)/2)*(Inputs!$J$9-Inputs!$I$9)))^2+Inputs!$C$6^2)/Inputs!$C$52)))-((Inputs!$H$9+Inputs!$L$9*(((Inputs!$I$9+(((A176)+1)/2)*(Inputs!$J$9-Inputs!$I$9)))/Inputs!$K$9)^2)))*1000/Inputs!$C$12)</x:f>
        <x:v>124767.23503203205</x:v>
      </x:c>
      <x:c r="AJ176" s="49"/>
      <x:c r="AK176" s="48" t="n">
        <x:f>A176</x:f>
        <x:v>0.45</x:v>
      </x:c>
      <x:c r="AL176" s="48" t="n">
        <x: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x:f>
        <x:v>-230.33452978340816</x:v>
      </x:c>
      <x:c r="AM176" s="48" t="n">
        <x: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x:f>
        <x:v>-2138.6626146641393</x:v>
      </x:c>
      <x:c r="AN176" s="48" t="n">
        <x: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x:f>
        <x:v>-2509.489301007653</x:v>
      </x:c>
      <x:c r="AO176" s="48" t="n">
        <x: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x:f>
        <x:v>-2509.44712055247</x:v>
      </x:c>
      <x:c r="AP176" s="49"/>
      <x:c r="AQ176" s="48" t="n">
        <x:f>A176</x:f>
        <x:v>0.45</x:v>
      </x:c>
      <x:c r="AR176" s="48" t="n">
        <x:f>0</x:f>
        <x:v>0</x:v>
      </x:c>
      <x:c r="AS176" s="48" t="n">
        <x: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(0.45*SIN(2*PI()*((((Inputs!$I$6+(((A176)+1)/2)*(Inputs!$J$6-Inputs!$I$6)))/Inputs!$C$49)+Inputs!$C$47*0.137))+0.35*COS(2*PI()*(((Inputs!$C$6)/Inputs!$C$50)+Inputs!$C$47*0.173))+0.20*SIN(2*PI()*((((Inputs!$I$6+(((A176)+1)/2)*(Inputs!$J$6-Inputs!$I$6)))+(Inputs!$C$6))/(0.5*(Inputs!$C$49+Inputs!$C$50))+Inputs!$C$47*0.097)))+0.30*(2*((SIN((((Inputs!$I$6+(((A176)+1)/2)*(Inputs!$J$6-Inputs!$I$6)))*12.9898+(Inputs!$C$6)*78.233+Inputs!$C$47*37.719))*43758.5453)-INT((SIN((((Inputs!$I$6+(((A176)+1)/2)*(Inputs!$J$6-Inputs!$I$6)))*12.9898+(Inputs!$C$6)*78.233+Inputs!$C$47*37.719))*43758.5453)))-1))),NA())</x:f>
        <x:v>346.2287328646241</x:v>
      </x:c>
      <x:c r="AT176" s="48" t="n">
        <x: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(0.45*SIN(2*PI()*((((Inputs!$I$7+(((A176)+1)/2)*(Inputs!$J$7-Inputs!$I$7)))/Inputs!$C$49)+Inputs!$C$47*0.137))+0.35*COS(2*PI()*(((Inputs!$C$6)/Inputs!$C$50)+Inputs!$C$47*0.173))+0.20*SIN(2*PI()*((((Inputs!$I$7+(((A176)+1)/2)*(Inputs!$J$7-Inputs!$I$7)))+(Inputs!$C$6))/(0.5*(Inputs!$C$49+Inputs!$C$50))+Inputs!$C$47*0.097)))+0.30*(2*((SIN((((Inputs!$I$7+(((A176)+1)/2)*(Inputs!$J$7-Inputs!$I$7)))*12.9898+(Inputs!$C$6)*78.233+Inputs!$C$47*37.719))*43758.5453)-INT((SIN((((Inputs!$I$7+(((A176)+1)/2)*(Inputs!$J$7-Inputs!$I$7)))*12.9898+(Inputs!$C$6)*78.233+Inputs!$C$47*37.719))*43758.5453)))-1))),NA())</x:f>
        <x:v>131.84589525998237</x:v>
      </x:c>
      <x:c r="AU176" s="48" t="n">
        <x: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(0.45*SIN(2*PI()*((((Inputs!$I$8+(((A176)+1)/2)*(Inputs!$J$8-Inputs!$I$8)))/Inputs!$C$49)+Inputs!$C$47*0.137))+0.35*COS(2*PI()*(((Inputs!$C$6)/Inputs!$C$50)+Inputs!$C$47*0.173))+0.20*SIN(2*PI()*((((Inputs!$I$8+(((A176)+1)/2)*(Inputs!$J$8-Inputs!$I$8)))+(Inputs!$C$6))/(0.5*(Inputs!$C$49+Inputs!$C$50))+Inputs!$C$47*0.097)))+0.30*(2*((SIN((((Inputs!$I$8+(((A176)+1)/2)*(Inputs!$J$8-Inputs!$I$8)))*12.9898+(Inputs!$C$6)*78.233+Inputs!$C$47*37.719))*43758.5453)-INT((SIN((((Inputs!$I$8+(((A176)+1)/2)*(Inputs!$J$8-Inputs!$I$8)))*12.9898+(Inputs!$C$6)*78.233+Inputs!$C$47*37.719))*43758.5453)))-1))),NA())</x:f>
        <x:v>147.40890122893921</x:v>
      </x:c>
      <x:c r="AV176" s="48" t="n">
        <x: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(0.45*SIN(2*PI()*((((Inputs!$I$9+(((A176)+1)/2)*(Inputs!$J$9-Inputs!$I$9)))/Inputs!$C$49)+Inputs!$C$47*0.137))+0.35*COS(2*PI()*(((Inputs!$C$6)/Inputs!$C$50)+Inputs!$C$47*0.173))+0.20*SIN(2*PI()*((((Inputs!$I$9+(((A176)+1)/2)*(Inputs!$J$9-Inputs!$I$9)))+(Inputs!$C$6))/(0.5*(Inputs!$C$49+Inputs!$C$50))+Inputs!$C$47*0.097)))+0.30*(2*((SIN((((Inputs!$I$9+(((A176)+1)/2)*(Inputs!$J$9-Inputs!$I$9)))*12.9898+(Inputs!$C$6)*78.233+Inputs!$C$47*37.719))*43758.5453)-INT((SIN((((Inputs!$I$9+(((A176)+1)/2)*(Inputs!$J$9-Inputs!$I$9)))*12.9898+(Inputs!$C$6)*78.233+Inputs!$C$47*37.719))*43758.5453)))-1))),NA())</x:f>
        <x:v>147.40890122893921</x:v>
      </x:c>
      <x:c r="AW176" s="49"/>
      <x:c r="AX176" s="48" t="n">
        <x:f>A176</x:f>
        <x:v>0.45</x:v>
      </x:c>
      <x:c r="AY176" s="48" t="n">
        <x:f>0</x:f>
        <x:v>0</x:v>
      </x:c>
      <x:c r="AZ176" s="48" t="n">
        <x:f>IF(OR(Inputs!$F$6=TRUE,Inputs!$F$6="TRUE",Inputs!$F$6=1),(Inputs!$H$6+Inputs!$L$6*(((Inputs!$I$6+(((A176)+1)/2)*(Inputs!$J$6-Inputs!$I$6)))/Inputs!$K$6)^2),NA())</x:f>
        <x:v>400.81</x:v>
      </x:c>
      <x:c r="BA176" s="48" t="n">
        <x:f>IF(OR(Inputs!$F$7=TRUE,Inputs!$F$7="TRUE",Inputs!$F$7=1),(Inputs!$H$7+Inputs!$L$7*(((Inputs!$I$7+(((A176)+1)/2)*(Inputs!$J$7-Inputs!$I$7)))/Inputs!$K$7)^2),NA())</x:f>
        <x:v>108.91250000000001</x:v>
      </x:c>
      <x:c r="BB176" s="48" t="n">
        <x:f>IF(OR(Inputs!$F$8=TRUE,Inputs!$F$8="TRUE",Inputs!$F$8=1),(Inputs!$H$8+Inputs!$L$8*(((Inputs!$I$8+(((A176)+1)/2)*(Inputs!$J$8-Inputs!$I$8)))/Inputs!$K$8)^2),NA())</x:f>
        <x:v>230.41250000000002</x:v>
      </x:c>
      <x:c r="BC176" s="48" t="n">
        <x:f>IF(OR(Inputs!$F$9=TRUE,Inputs!$F$9="TRUE",Inputs!$F$9=1),(Inputs!$H$9+Inputs!$L$9*(((Inputs!$I$9+(((A176)+1)/2)*(Inputs!$J$9-Inputs!$I$9)))/Inputs!$K$9)^2),NA())</x:f>
        <x:v>222.4375</x:v>
      </x:c>
      <x:c r="BD176" s="49"/>
      <x:c r="BE176" s="48" t="n">
        <x:f>A176</x:f>
        <x:v>0.45</x:v>
      </x:c>
      <x:c r="BF176" s="48" t="n">
        <x:f>0</x:f>
        <x:v>0</x:v>
      </x:c>
      <x:c r="BG176" s="48"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BH176" s="48"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BI176" s="48"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BJ176" s="48"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row>
    <x:row r="177">
      <x:c r="A177" s="48" t="n">
        <x:f>ROUND(-1+175*2/240,3)</x:f>
        <x:v>0.458</x:v>
      </x:c>
      <x:c r="B177" s="48" t="n">
        <x:f>IF(OR(Inputs!$F$6=TRUE,Inputs!$F$6="TRUE",Inputs!$F$6=1),(Inputs!$H$6+Inputs!$L$6*(((Inputs!$I$6+(((A177)+1)/2)*(Inputs!$J$6-Inputs!$I$6)))/Inputs!$K$6)^2),NA())</x:f>
        <x:v>400.839056</x:v>
      </x:c>
      <x:c r="C177" s="48" t="n">
        <x:f>IF(OR(Inputs!$F$7=TRUE,Inputs!$F$7="TRUE",Inputs!$F$7=1),(Inputs!$H$7+Inputs!$L$7*(((Inputs!$I$7+(((A177)+1)/2)*(Inputs!$J$7-Inputs!$I$7)))/Inputs!$K$7)^2),NA())</x:f>
        <x:v>111.56385999999995</x:v>
      </x:c>
      <x:c r="D177" s="48" t="n">
        <x:f>IF(OR(Inputs!$F$8=TRUE,Inputs!$F$8="TRUE",Inputs!$F$8=1),(Inputs!$H$8+Inputs!$L$8*(((Inputs!$I$8+(((A177)+1)/2)*(Inputs!$J$8-Inputs!$I$8)))/Inputs!$K$8)^2),NA())</x:f>
        <x:v>237.42225999999988</x:v>
      </x:c>
      <x:c r="E177" s="48" t="n">
        <x:f>IF(OR(Inputs!$F$9=TRUE,Inputs!$F$9="TRUE",Inputs!$F$9=1),(Inputs!$H$9+Inputs!$L$9*(((Inputs!$I$9+(((A177)+1)/2)*(Inputs!$J$9-Inputs!$I$9)))/Inputs!$K$9)^2),NA())</x:f>
        <x:v>229.51989999999986</x:v>
      </x:c>
      <x:c r="F177" s="49"/>
      <x:c r="G177" s="48" t="n">
        <x:f>A177</x:f>
        <x:v>0.458</x:v>
      </x:c>
      <x:c r="H177" s="48"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I177" s="48"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J177" s="48"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K177" s="48"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c r="L177" s="49"/>
      <x:c r="M177" s="48" t="n">
        <x:f>A177</x:f>
        <x:v>0.458</x:v>
      </x:c>
      <x:c r="N177" s="48" t="n">
        <x: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x:f>
        <x:v>-234.39967548141186</x:v>
      </x:c>
      <x:c r="O177" s="48" t="n">
        <x: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x:f>
        <x:v>-2154.8661396533066</x:v>
      </x:c>
      <x:c r="P177" s="48" t="n">
        <x: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x:f>
        <x:v>-2535.8714943942905</x:v>
      </x:c>
      <x:c r="Q177" s="48" t="n">
        <x: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x:f>
        <x:v>-2536.3221234523176</x:v>
      </x:c>
      <x:c r="R177" s="49"/>
      <x:c r="S177" s="48" t="n">
        <x:f>A177</x:f>
        <x:v>0.458</x:v>
      </x:c>
      <x:c r="T177" s="48" t="n">
        <x:f>(Inputs!$I$6+(((A177)+1)/2)*(Inputs!$J$6-Inputs!$I$6))</x:f>
        <x:v>27.480000000000004</x:v>
      </x:c>
      <x:c r="U177" s="48" t="n">
        <x:f>(Inputs!$I$7+(((A177)+1)/2)*(Inputs!$J$7-Inputs!$I$7))</x:f>
        <x:v>183.19999999999993</x:v>
      </x:c>
      <x:c r="V177" s="48" t="n">
        <x:f>(Inputs!$I$8+(((A177)+1)/2)*(Inputs!$J$8-Inputs!$I$8))</x:f>
        <x:v>366.39999999999986</x:v>
      </x:c>
      <x:c r="W177" s="48" t="n">
        <x:f>(Inputs!$I$9+(((A177)+1)/2)*(Inputs!$J$9-Inputs!$I$9))</x:f>
        <x:v>366.39999999999986</x:v>
      </x:c>
      <x:c r="X177" s="49"/>
      <x:c r="Y177" s="48" t="n">
        <x:f>A177</x:f>
        <x:v>0.458</x:v>
      </x:c>
      <x:c r="Z177" s="48" t="n">
        <x:f>(Inputs!$H$6+Inputs!$L$6*(((Inputs!$I$6+(((A177)+1)/2)*(Inputs!$J$6-Inputs!$I$6)))/Inputs!$K$6)^2)</x:f>
        <x:v>400.839056</x:v>
      </x:c>
      <x:c r="AA177" s="48" t="n">
        <x:f>(Inputs!$H$7+Inputs!$L$7*(((Inputs!$I$7+(((A177)+1)/2)*(Inputs!$J$7-Inputs!$I$7)))/Inputs!$K$7)^2)</x:f>
        <x:v>111.56385999999995</x:v>
      </x:c>
      <x:c r="AB177" s="48" t="n">
        <x:f>(Inputs!$H$8+Inputs!$L$8*(((Inputs!$I$8+(((A177)+1)/2)*(Inputs!$J$8-Inputs!$I$8)))/Inputs!$K$8)^2)</x:f>
        <x:v>237.42225999999988</x:v>
      </x:c>
      <x:c r="AC177" s="48" t="n">
        <x:f>(Inputs!$H$9+Inputs!$L$9*(((Inputs!$I$9+(((A177)+1)/2)*(Inputs!$J$9-Inputs!$I$9)))/Inputs!$K$9)^2)</x:f>
        <x:v>229.51989999999986</x:v>
      </x:c>
      <x:c r="AD177" s="49"/>
      <x:c r="AE177" s="48" t="n">
        <x:f>A177</x:f>
        <x:v>0.458</x:v>
      </x:c>
      <x:c r="AF177" s="48" t="n">
        <x:f>(((SQRT((Inputs!$C$52+((Inputs!$H$6+Inputs!$L$6*(((Inputs!$I$6+(((A177)+1)/2)*(Inputs!$J$6-Inputs!$I$6)))/Inputs!$K$6)^2)))^2+Inputs!$C$52^2-2*(Inputs!$C$52+((Inputs!$H$6+Inputs!$L$6*(((Inputs!$I$6+(((A177)+1)/2)*(Inputs!$J$6-Inputs!$I$6)))/Inputs!$K$6)^2)))*Inputs!$C$52*COS(SQRT(((Inputs!$I$6+(((A177)+1)/2)*(Inputs!$J$6-Inputs!$I$6)))^2+Inputs!$C$6^2)/Inputs!$C$52)))-((Inputs!$H$6+Inputs!$L$6*(((Inputs!$I$6+(((A177)+1)/2)*(Inputs!$J$6-Inputs!$I$6)))/Inputs!$K$6)^2)))*1000/Inputs!$C$12)</x:f>
        <x:v>1212.244856752564</x:v>
      </x:c>
      <x:c r="AG177" s="48" t="n">
        <x:f>(((SQRT((Inputs!$C$52+((Inputs!$H$7+Inputs!$L$7*(((Inputs!$I$7+(((A177)+1)/2)*(Inputs!$J$7-Inputs!$I$7)))/Inputs!$K$7)^2)))^2+Inputs!$C$52^2-2*(Inputs!$C$52+((Inputs!$H$7+Inputs!$L$7*(((Inputs!$I$7+(((A177)+1)/2)*(Inputs!$J$7-Inputs!$I$7)))/Inputs!$K$7)^2)))*Inputs!$C$52*COS(SQRT(((Inputs!$I$7+(((A177)+1)/2)*(Inputs!$J$7-Inputs!$I$7)))^2+Inputs!$C$6^2)/Inputs!$C$52)))-((Inputs!$H$7+Inputs!$L$7*(((Inputs!$I$7+(((A177)+1)/2)*(Inputs!$J$7-Inputs!$I$7)))/Inputs!$K$7)^2)))*1000/Inputs!$C$12)</x:f>
        <x:v>61726.773205847116</x:v>
      </x:c>
      <x:c r="AH177" s="48" t="n">
        <x:f>(((SQRT((Inputs!$C$52+((Inputs!$H$8+Inputs!$L$8*(((Inputs!$I$8+(((A177)+1)/2)*(Inputs!$J$8-Inputs!$I$8)))/Inputs!$K$8)^2)))^2+Inputs!$C$52^2-2*(Inputs!$C$52+((Inputs!$H$8+Inputs!$L$8*(((Inputs!$I$8+(((A177)+1)/2)*(Inputs!$J$8-Inputs!$I$8)))/Inputs!$K$8)^2)))*Inputs!$C$52*COS(SQRT(((Inputs!$I$8+(((A177)+1)/2)*(Inputs!$J$8-Inputs!$I$8)))^2+Inputs!$C$6^2)/Inputs!$C$52)))-((Inputs!$H$8+Inputs!$L$8*(((Inputs!$I$8+(((A177)+1)/2)*(Inputs!$J$8-Inputs!$I$8)))/Inputs!$K$8)^2)))*1000/Inputs!$C$12)</x:f>
        <x:v>124704.01211642414</x:v>
      </x:c>
      <x:c r="AI177" s="48" t="n">
        <x:f>(((SQRT((Inputs!$C$52+((Inputs!$H$9+Inputs!$L$9*(((Inputs!$I$9+(((A177)+1)/2)*(Inputs!$J$9-Inputs!$I$9)))/Inputs!$K$9)^2)))^2+Inputs!$C$52^2-2*(Inputs!$C$52+((Inputs!$H$9+Inputs!$L$9*(((Inputs!$I$9+(((A177)+1)/2)*(Inputs!$J$9-Inputs!$I$9)))/Inputs!$K$9)^2)))*Inputs!$C$52*COS(SQRT(((Inputs!$I$9+(((A177)+1)/2)*(Inputs!$J$9-Inputs!$I$9)))^2+Inputs!$C$6^2)/Inputs!$C$52)))-((Inputs!$H$9+Inputs!$L$9*(((Inputs!$I$9+(((A177)+1)/2)*(Inputs!$J$9-Inputs!$I$9)))/Inputs!$K$9)^2)))*1000/Inputs!$C$12)</x:f>
        <x:v>126457.71562969443</x:v>
      </x:c>
      <x:c r="AJ177" s="49"/>
      <x:c r="AK177" s="48" t="n">
        <x:f>A177</x:f>
        <x:v>0.458</x:v>
      </x:c>
      <x:c r="AL177" s="48" t="n">
        <x: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x:f>
        <x:v>-234.39967548141186</x:v>
      </x:c>
      <x:c r="AM177" s="48" t="n">
        <x: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x:f>
        <x:v>-2154.8661396533066</x:v>
      </x:c>
      <x:c r="AN177" s="48" t="n">
        <x: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x:f>
        <x:v>-2535.8714943942905</x:v>
      </x:c>
      <x:c r="AO177" s="48" t="n">
        <x: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x:f>
        <x:v>-2536.3221234523176</x:v>
      </x:c>
      <x:c r="AP177" s="49"/>
      <x:c r="AQ177" s="48" t="n">
        <x:f>A177</x:f>
        <x:v>0.458</x:v>
      </x:c>
      <x:c r="AR177" s="48" t="n">
        <x:f>0</x:f>
        <x:v>0</x:v>
      </x:c>
      <x:c r="AS177" s="48" t="n">
        <x: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(0.45*SIN(2*PI()*((((Inputs!$I$6+(((A177)+1)/2)*(Inputs!$J$6-Inputs!$I$6)))/Inputs!$C$49)+Inputs!$C$47*0.137))+0.35*COS(2*PI()*(((Inputs!$C$6)/Inputs!$C$50)+Inputs!$C$47*0.173))+0.20*SIN(2*PI()*((((Inputs!$I$6+(((A177)+1)/2)*(Inputs!$J$6-Inputs!$I$6)))+(Inputs!$C$6))/(0.5*(Inputs!$C$49+Inputs!$C$50))+Inputs!$C$47*0.097)))+0.30*(2*((SIN((((Inputs!$I$6+(((A177)+1)/2)*(Inputs!$J$6-Inputs!$I$6)))*12.9898+(Inputs!$C$6)*78.233+Inputs!$C$47*37.719))*43758.5453)-INT((SIN((((Inputs!$I$6+(((A177)+1)/2)*(Inputs!$J$6-Inputs!$I$6)))*12.9898+(Inputs!$C$6)*78.233+Inputs!$C$47*37.719))*43758.5453)))-1))),NA())</x:f>
        <x:v>341.6036692279352</x:v>
      </x:c>
      <x:c r="AT177" s="48" t="n">
        <x: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(0.45*SIN(2*PI()*((((Inputs!$I$7+(((A177)+1)/2)*(Inputs!$J$7-Inputs!$I$7)))/Inputs!$C$49)+Inputs!$C$47*0.137))+0.35*COS(2*PI()*(((Inputs!$C$6)/Inputs!$C$50)+Inputs!$C$47*0.173))+0.20*SIN(2*PI()*((((Inputs!$I$7+(((A177)+1)/2)*(Inputs!$J$7-Inputs!$I$7)))+(Inputs!$C$6))/(0.5*(Inputs!$C$49+Inputs!$C$50))+Inputs!$C$47*0.097)))+0.30*(2*((SIN((((Inputs!$I$7+(((A177)+1)/2)*(Inputs!$J$7-Inputs!$I$7)))*12.9898+(Inputs!$C$6)*78.233+Inputs!$C$47*37.719))*43758.5453)-INT((SIN((((Inputs!$I$7+(((A177)+1)/2)*(Inputs!$J$7-Inputs!$I$7)))*12.9898+(Inputs!$C$6)*78.233+Inputs!$C$47*37.719))*43758.5453)))-1))),NA())</x:f>
        <x:v>201.6045266093449</x:v>
      </x:c>
      <x:c r="AU177" s="48" t="n">
        <x: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(0.45*SIN(2*PI()*((((Inputs!$I$8+(((A177)+1)/2)*(Inputs!$J$8-Inputs!$I$8)))/Inputs!$C$49)+Inputs!$C$47*0.137))+0.35*COS(2*PI()*(((Inputs!$C$6)/Inputs!$C$50)+Inputs!$C$47*0.173))+0.20*SIN(2*PI()*((((Inputs!$I$8+(((A177)+1)/2)*(Inputs!$J$8-Inputs!$I$8)))+(Inputs!$C$6))/(0.5*(Inputs!$C$49+Inputs!$C$50))+Inputs!$C$47*0.097)))+0.30*(2*((SIN((((Inputs!$I$8+(((A177)+1)/2)*(Inputs!$J$8-Inputs!$I$8)))*12.9898+(Inputs!$C$6)*78.233+Inputs!$C$47*37.719))*43758.5453)-INT((SIN((((Inputs!$I$8+(((A177)+1)/2)*(Inputs!$J$8-Inputs!$I$8)))*12.9898+(Inputs!$C$6)*78.233+Inputs!$C$47*37.719))*43758.5453)))-1))),NA())</x:f>
        <x:v>218.82120570399934</x:v>
      </x:c>
      <x:c r="AV177" s="48" t="n">
        <x: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(0.45*SIN(2*PI()*((((Inputs!$I$9+(((A177)+1)/2)*(Inputs!$J$9-Inputs!$I$9)))/Inputs!$C$49)+Inputs!$C$47*0.137))+0.35*COS(2*PI()*(((Inputs!$C$6)/Inputs!$C$50)+Inputs!$C$47*0.173))+0.20*SIN(2*PI()*((((Inputs!$I$9+(((A177)+1)/2)*(Inputs!$J$9-Inputs!$I$9)))+(Inputs!$C$6))/(0.5*(Inputs!$C$49+Inputs!$C$50))+Inputs!$C$47*0.097)))+0.30*(2*((SIN((((Inputs!$I$9+(((A177)+1)/2)*(Inputs!$J$9-Inputs!$I$9)))*12.9898+(Inputs!$C$6)*78.233+Inputs!$C$47*37.719))*43758.5453)-INT((SIN((((Inputs!$I$9+(((A177)+1)/2)*(Inputs!$J$9-Inputs!$I$9)))*12.9898+(Inputs!$C$6)*78.233+Inputs!$C$47*37.719))*43758.5453)))-1))),NA())</x:f>
        <x:v>218.82120570399934</x:v>
      </x:c>
      <x:c r="AW177" s="49"/>
      <x:c r="AX177" s="48" t="n">
        <x:f>A177</x:f>
        <x:v>0.458</x:v>
      </x:c>
      <x:c r="AY177" s="48" t="n">
        <x:f>0</x:f>
        <x:v>0</x:v>
      </x:c>
      <x:c r="AZ177" s="48" t="n">
        <x:f>IF(OR(Inputs!$F$6=TRUE,Inputs!$F$6="TRUE",Inputs!$F$6=1),(Inputs!$H$6+Inputs!$L$6*(((Inputs!$I$6+(((A177)+1)/2)*(Inputs!$J$6-Inputs!$I$6)))/Inputs!$K$6)^2),NA())</x:f>
        <x:v>400.839056</x:v>
      </x:c>
      <x:c r="BA177" s="48" t="n">
        <x:f>IF(OR(Inputs!$F$7=TRUE,Inputs!$F$7="TRUE",Inputs!$F$7=1),(Inputs!$H$7+Inputs!$L$7*(((Inputs!$I$7+(((A177)+1)/2)*(Inputs!$J$7-Inputs!$I$7)))/Inputs!$K$7)^2),NA())</x:f>
        <x:v>111.56385999999995</x:v>
      </x:c>
      <x:c r="BB177" s="48" t="n">
        <x:f>IF(OR(Inputs!$F$8=TRUE,Inputs!$F$8="TRUE",Inputs!$F$8=1),(Inputs!$H$8+Inputs!$L$8*(((Inputs!$I$8+(((A177)+1)/2)*(Inputs!$J$8-Inputs!$I$8)))/Inputs!$K$8)^2),NA())</x:f>
        <x:v>237.42225999999988</x:v>
      </x:c>
      <x:c r="BC177" s="48" t="n">
        <x:f>IF(OR(Inputs!$F$9=TRUE,Inputs!$F$9="TRUE",Inputs!$F$9=1),(Inputs!$H$9+Inputs!$L$9*(((Inputs!$I$9+(((A177)+1)/2)*(Inputs!$J$9-Inputs!$I$9)))/Inputs!$K$9)^2),NA())</x:f>
        <x:v>229.51989999999986</x:v>
      </x:c>
      <x:c r="BD177" s="49"/>
      <x:c r="BE177" s="48" t="n">
        <x:f>A177</x:f>
        <x:v>0.458</x:v>
      </x:c>
      <x:c r="BF177" s="48" t="n">
        <x:f>0</x:f>
        <x:v>0</x:v>
      </x:c>
      <x:c r="BG177" s="48"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BH177" s="48"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BI177" s="48"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BJ177" s="48"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row>
    <x:row r="178">
      <x:c r="A178" s="48" t="n">
        <x:f>ROUND(-1+176*2/240,3)</x:f>
        <x:v>0.467</x:v>
      </x:c>
      <x:c r="B178" s="48" t="n">
        <x:f>IF(OR(Inputs!$F$6=TRUE,Inputs!$F$6="TRUE",Inputs!$F$6=1),(Inputs!$H$6+Inputs!$L$6*(((Inputs!$I$6+(((A178)+1)/2)*(Inputs!$J$6-Inputs!$I$6)))/Inputs!$K$6)^2),NA())</x:f>
        <x:v>400.872356</x:v>
      </x:c>
      <x:c r="C178" s="48" t="n">
        <x:f>IF(OR(Inputs!$F$7=TRUE,Inputs!$F$7="TRUE",Inputs!$F$7=1),(Inputs!$H$7+Inputs!$L$7*(((Inputs!$I$7+(((A178)+1)/2)*(Inputs!$J$7-Inputs!$I$7)))/Inputs!$K$7)^2),NA())</x:f>
        <x:v>114.60248500000006</x:v>
      </x:c>
      <x:c r="D178" s="48" t="n">
        <x:f>IF(OR(Inputs!$F$8=TRUE,Inputs!$F$8="TRUE",Inputs!$F$8=1),(Inputs!$H$8+Inputs!$L$8*(((Inputs!$I$8+(((A178)+1)/2)*(Inputs!$J$8-Inputs!$I$8)))/Inputs!$K$8)^2),NA())</x:f>
        <x:v>245.45588500000017</x:v>
      </x:c>
      <x:c r="E178" s="48" t="n">
        <x:f>IF(OR(Inputs!$F$9=TRUE,Inputs!$F$9="TRUE",Inputs!$F$9=1),(Inputs!$H$9+Inputs!$L$9*(((Inputs!$I$9+(((A178)+1)/2)*(Inputs!$J$9-Inputs!$I$9)))/Inputs!$K$9)^2),NA())</x:f>
        <x:v>237.63677500000017</x:v>
      </x:c>
      <x:c r="F178" s="49"/>
      <x:c r="G178" s="48" t="n">
        <x:f>A178</x:f>
        <x:v>0.467</x:v>
      </x:c>
      <x:c r="H178" s="48"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I178" s="48"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J178" s="48"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K178" s="48"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c r="L178" s="49"/>
      <x:c r="M178" s="48" t="n">
        <x:f>A178</x:f>
        <x:v>0.467</x:v>
      </x:c>
      <x:c r="N178" s="48" t="n">
        <x: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x:f>
        <x:v>-238.97110623990716</x:v>
      </x:c>
      <x:c r="O178" s="48" t="n">
        <x: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x:f>
        <x:v>-2173.247423640167</x:v>
      </x:c>
      <x:c r="P178" s="48" t="n">
        <x: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x:f>
        <x:v>-2565.8389850239537</x:v>
      </x:c>
      <x:c r="Q178" s="48" t="n">
        <x: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x:f>
        <x:v>-2566.850447041302</x:v>
      </x:c>
      <x:c r="R178" s="49"/>
      <x:c r="S178" s="48" t="n">
        <x:f>A178</x:f>
        <x:v>0.467</x:v>
      </x:c>
      <x:c r="T178" s="48" t="n">
        <x:f>(Inputs!$I$6+(((A178)+1)/2)*(Inputs!$J$6-Inputs!$I$6))</x:f>
        <x:v>28.02000000000001</x:v>
      </x:c>
      <x:c r="U178" s="48" t="n">
        <x:f>(Inputs!$I$7+(((A178)+1)/2)*(Inputs!$J$7-Inputs!$I$7))</x:f>
        <x:v>186.80000000000007</x:v>
      </x:c>
      <x:c r="V178" s="48" t="n">
        <x:f>(Inputs!$I$8+(((A178)+1)/2)*(Inputs!$J$8-Inputs!$I$8))</x:f>
        <x:v>373.60000000000014</x:v>
      </x:c>
      <x:c r="W178" s="48" t="n">
        <x:f>(Inputs!$I$9+(((A178)+1)/2)*(Inputs!$J$9-Inputs!$I$9))</x:f>
        <x:v>373.60000000000014</x:v>
      </x:c>
      <x:c r="X178" s="49"/>
      <x:c r="Y178" s="48" t="n">
        <x:f>A178</x:f>
        <x:v>0.467</x:v>
      </x:c>
      <x:c r="Z178" s="48" t="n">
        <x:f>(Inputs!$H$6+Inputs!$L$6*(((Inputs!$I$6+(((A178)+1)/2)*(Inputs!$J$6-Inputs!$I$6)))/Inputs!$K$6)^2)</x:f>
        <x:v>400.872356</x:v>
      </x:c>
      <x:c r="AA178" s="48" t="n">
        <x:f>(Inputs!$H$7+Inputs!$L$7*(((Inputs!$I$7+(((A178)+1)/2)*(Inputs!$J$7-Inputs!$I$7)))/Inputs!$K$7)^2)</x:f>
        <x:v>114.60248500000006</x:v>
      </x:c>
      <x:c r="AB178" s="48" t="n">
        <x:f>(Inputs!$H$8+Inputs!$L$8*(((Inputs!$I$8+(((A178)+1)/2)*(Inputs!$J$8-Inputs!$I$8)))/Inputs!$K$8)^2)</x:f>
        <x:v>245.45588500000017</x:v>
      </x:c>
      <x:c r="AC178" s="48" t="n">
        <x:f>(Inputs!$H$9+Inputs!$L$9*(((Inputs!$I$9+(((A178)+1)/2)*(Inputs!$J$9-Inputs!$I$9)))/Inputs!$K$9)^2)</x:f>
        <x:v>237.63677500000017</x:v>
      </x:c>
      <x:c r="AD178" s="49"/>
      <x:c r="AE178" s="48" t="n">
        <x:f>A178</x:f>
        <x:v>0.467</x:v>
      </x:c>
      <x:c r="AF178" s="48" t="n">
        <x:f>(((SQRT((Inputs!$C$52+((Inputs!$H$6+Inputs!$L$6*(((Inputs!$I$6+(((A178)+1)/2)*(Inputs!$J$6-Inputs!$I$6)))/Inputs!$K$6)^2)))^2+Inputs!$C$52^2-2*(Inputs!$C$52+((Inputs!$H$6+Inputs!$L$6*(((Inputs!$I$6+(((A178)+1)/2)*(Inputs!$J$6-Inputs!$I$6)))/Inputs!$K$6)^2)))*Inputs!$C$52*COS(SQRT(((Inputs!$I$6+(((A178)+1)/2)*(Inputs!$J$6-Inputs!$I$6)))^2+Inputs!$C$6^2)/Inputs!$C$52)))-((Inputs!$H$6+Inputs!$L$6*(((Inputs!$I$6+(((A178)+1)/2)*(Inputs!$J$6-Inputs!$I$6)))/Inputs!$K$6)^2)))*1000/Inputs!$C$12)</x:f>
        <x:v>1238.4141686788944</x:v>
      </x:c>
      <x:c r="AG178" s="48" t="n">
        <x:f>(((SQRT((Inputs!$C$52+((Inputs!$H$7+Inputs!$L$7*(((Inputs!$I$7+(((A178)+1)/2)*(Inputs!$J$7-Inputs!$I$7)))/Inputs!$K$7)^2)))^2+Inputs!$C$52^2-2*(Inputs!$C$52+((Inputs!$H$7+Inputs!$L$7*(((Inputs!$I$7+(((A178)+1)/2)*(Inputs!$J$7-Inputs!$I$7)))/Inputs!$K$7)^2)))*Inputs!$C$52*COS(SQRT(((Inputs!$I$7+(((A178)+1)/2)*(Inputs!$J$7-Inputs!$I$7)))^2+Inputs!$C$6^2)/Inputs!$C$52)))-((Inputs!$H$7+Inputs!$L$7*(((Inputs!$I$7+(((A178)+1)/2)*(Inputs!$J$7-Inputs!$I$7)))/Inputs!$K$7)^2)))*1000/Inputs!$C$12)</x:f>
        <x:v>62755.12844116737</x:v>
      </x:c>
      <x:c r="AH178" s="48" t="n">
        <x:f>(((SQRT((Inputs!$C$52+((Inputs!$H$8+Inputs!$L$8*(((Inputs!$I$8+(((A178)+1)/2)*(Inputs!$J$8-Inputs!$I$8)))/Inputs!$K$8)^2)))^2+Inputs!$C$52^2-2*(Inputs!$C$52+((Inputs!$H$8+Inputs!$L$8*(((Inputs!$I$8+(((A178)+1)/2)*(Inputs!$J$8-Inputs!$I$8)))/Inputs!$K$8)^2)))*Inputs!$C$52*COS(SQRT(((Inputs!$I$8+(((A178)+1)/2)*(Inputs!$J$8-Inputs!$I$8)))^2+Inputs!$C$6^2)/Inputs!$C$52)))-((Inputs!$H$8+Inputs!$L$8*(((Inputs!$I$8+(((A178)+1)/2)*(Inputs!$J$8-Inputs!$I$8)))/Inputs!$K$8)^2)))*1000/Inputs!$C$12)</x:f>
        <x:v>126639.4675682967</x:v>
      </x:c>
      <x:c r="AI178" s="48" t="n">
        <x:f>(((SQRT((Inputs!$C$52+((Inputs!$H$9+Inputs!$L$9*(((Inputs!$I$9+(((A178)+1)/2)*(Inputs!$J$9-Inputs!$I$9)))/Inputs!$K$9)^2)))^2+Inputs!$C$52^2-2*(Inputs!$C$52+((Inputs!$H$9+Inputs!$L$9*(((Inputs!$I$9+(((A178)+1)/2)*(Inputs!$J$9-Inputs!$I$9)))/Inputs!$K$9)^2)))*Inputs!$C$52*COS(SQRT(((Inputs!$I$9+(((A178)+1)/2)*(Inputs!$J$9-Inputs!$I$9)))^2+Inputs!$C$6^2)/Inputs!$C$52)))-((Inputs!$H$9+Inputs!$L$9*(((Inputs!$I$9+(((A178)+1)/2)*(Inputs!$J$9-Inputs!$I$9)))/Inputs!$K$9)^2)))*1000/Inputs!$C$12)</x:f>
        <x:v>128348.24821852469</x:v>
      </x:c>
      <x:c r="AJ178" s="49"/>
      <x:c r="AK178" s="48" t="n">
        <x:f>A178</x:f>
        <x:v>0.467</x:v>
      </x:c>
      <x:c r="AL178" s="48" t="n">
        <x: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x:f>
        <x:v>-238.97110623990716</x:v>
      </x:c>
      <x:c r="AM178" s="48" t="n">
        <x: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x:f>
        <x:v>-2173.247423640167</x:v>
      </x:c>
      <x:c r="AN178" s="48" t="n">
        <x: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x:f>
        <x:v>-2565.8389850239537</x:v>
      </x:c>
      <x:c r="AO178" s="48" t="n">
        <x: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x:f>
        <x:v>-2566.850447041302</x:v>
      </x:c>
      <x:c r="AP178" s="49"/>
      <x:c r="AQ178" s="48" t="n">
        <x:f>A178</x:f>
        <x:v>0.467</x:v>
      </x:c>
      <x:c r="AR178" s="48" t="n">
        <x:f>0</x:f>
        <x:v>0</x:v>
      </x:c>
      <x:c r="AS178" s="48" t="n">
        <x: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(0.45*SIN(2*PI()*((((Inputs!$I$6+(((A178)+1)/2)*(Inputs!$J$6-Inputs!$I$6)))/Inputs!$C$49)+Inputs!$C$47*0.137))+0.35*COS(2*PI()*(((Inputs!$C$6)/Inputs!$C$50)+Inputs!$C$47*0.173))+0.20*SIN(2*PI()*((((Inputs!$I$6+(((A178)+1)/2)*(Inputs!$J$6-Inputs!$I$6)))+(Inputs!$C$6))/(0.5*(Inputs!$C$49+Inputs!$C$50))+Inputs!$C$47*0.097)))+0.30*(2*((SIN((((Inputs!$I$6+(((A178)+1)/2)*(Inputs!$J$6-Inputs!$I$6)))*12.9898+(Inputs!$C$6)*78.233+Inputs!$C$47*37.719))*43758.5453)-INT((SIN((((Inputs!$I$6+(((A178)+1)/2)*(Inputs!$J$6-Inputs!$I$6)))*12.9898+(Inputs!$C$6)*78.233+Inputs!$C$47*37.719))*43758.5453)))-1))),NA())</x:f>
        <x:v>330.5843974172532</x:v>
      </x:c>
      <x:c r="AT178" s="48" t="n">
        <x: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(0.45*SIN(2*PI()*((((Inputs!$I$7+(((A178)+1)/2)*(Inputs!$J$7-Inputs!$I$7)))/Inputs!$C$49)+Inputs!$C$47*0.137))+0.35*COS(2*PI()*(((Inputs!$C$6)/Inputs!$C$50)+Inputs!$C$47*0.173))+0.20*SIN(2*PI()*((((Inputs!$I$7+(((A178)+1)/2)*(Inputs!$J$7-Inputs!$I$7)))+(Inputs!$C$6))/(0.5*(Inputs!$C$49+Inputs!$C$50))+Inputs!$C$47*0.097)))+0.30*(2*((SIN((((Inputs!$I$7+(((A178)+1)/2)*(Inputs!$J$7-Inputs!$I$7)))*12.9898+(Inputs!$C$6)*78.233+Inputs!$C$47*37.719))*43758.5453)-INT((SIN((((Inputs!$I$7+(((A178)+1)/2)*(Inputs!$J$7-Inputs!$I$7)))*12.9898+(Inputs!$C$6)*78.233+Inputs!$C$47*37.719))*43758.5453)))-1))),NA())</x:f>
        <x:v>166.48078773488166</x:v>
      </x:c>
      <x:c r="AU178" s="48" t="n">
        <x: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(0.45*SIN(2*PI()*((((Inputs!$I$8+(((A178)+1)/2)*(Inputs!$J$8-Inputs!$I$8)))/Inputs!$C$49)+Inputs!$C$47*0.137))+0.35*COS(2*PI()*(((Inputs!$C$6)/Inputs!$C$50)+Inputs!$C$47*0.173))+0.20*SIN(2*PI()*((((Inputs!$I$8+(((A178)+1)/2)*(Inputs!$J$8-Inputs!$I$8)))+(Inputs!$C$6))/(0.5*(Inputs!$C$49+Inputs!$C$50))+Inputs!$C$47*0.097)))+0.30*(2*((SIN((((Inputs!$I$8+(((A178)+1)/2)*(Inputs!$J$8-Inputs!$I$8)))*12.9898+(Inputs!$C$6)*78.233+Inputs!$C$47*37.719))*43758.5453)-INT((SIN((((Inputs!$I$8+(((A178)+1)/2)*(Inputs!$J$8-Inputs!$I$8)))*12.9898+(Inputs!$C$6)*78.233+Inputs!$C$47*37.719))*43758.5453)))-1))),NA())</x:f>
        <x:v>113.49703397252357</x:v>
      </x:c>
      <x:c r="AV178" s="48" t="n">
        <x: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(0.45*SIN(2*PI()*((((Inputs!$I$9+(((A178)+1)/2)*(Inputs!$J$9-Inputs!$I$9)))/Inputs!$C$49)+Inputs!$C$47*0.137))+0.35*COS(2*PI()*(((Inputs!$C$6)/Inputs!$C$50)+Inputs!$C$47*0.173))+0.20*SIN(2*PI()*((((Inputs!$I$9+(((A178)+1)/2)*(Inputs!$J$9-Inputs!$I$9)))+(Inputs!$C$6))/(0.5*(Inputs!$C$49+Inputs!$C$50))+Inputs!$C$47*0.097)))+0.30*(2*((SIN((((Inputs!$I$9+(((A178)+1)/2)*(Inputs!$J$9-Inputs!$I$9)))*12.9898+(Inputs!$C$6)*78.233+Inputs!$C$47*37.719))*43758.5453)-INT((SIN((((Inputs!$I$9+(((A178)+1)/2)*(Inputs!$J$9-Inputs!$I$9)))*12.9898+(Inputs!$C$6)*78.233+Inputs!$C$47*37.719))*43758.5453)))-1))),NA())</x:f>
        <x:v>113.49703397252357</x:v>
      </x:c>
      <x:c r="AW178" s="49"/>
      <x:c r="AX178" s="48" t="n">
        <x:f>A178</x:f>
        <x:v>0.467</x:v>
      </x:c>
      <x:c r="AY178" s="48" t="n">
        <x:f>0</x:f>
        <x:v>0</x:v>
      </x:c>
      <x:c r="AZ178" s="48" t="n">
        <x:f>IF(OR(Inputs!$F$6=TRUE,Inputs!$F$6="TRUE",Inputs!$F$6=1),(Inputs!$H$6+Inputs!$L$6*(((Inputs!$I$6+(((A178)+1)/2)*(Inputs!$J$6-Inputs!$I$6)))/Inputs!$K$6)^2),NA())</x:f>
        <x:v>400.872356</x:v>
      </x:c>
      <x:c r="BA178" s="48" t="n">
        <x:f>IF(OR(Inputs!$F$7=TRUE,Inputs!$F$7="TRUE",Inputs!$F$7=1),(Inputs!$H$7+Inputs!$L$7*(((Inputs!$I$7+(((A178)+1)/2)*(Inputs!$J$7-Inputs!$I$7)))/Inputs!$K$7)^2),NA())</x:f>
        <x:v>114.60248500000006</x:v>
      </x:c>
      <x:c r="BB178" s="48" t="n">
        <x:f>IF(OR(Inputs!$F$8=TRUE,Inputs!$F$8="TRUE",Inputs!$F$8=1),(Inputs!$H$8+Inputs!$L$8*(((Inputs!$I$8+(((A178)+1)/2)*(Inputs!$J$8-Inputs!$I$8)))/Inputs!$K$8)^2),NA())</x:f>
        <x:v>245.45588500000017</x:v>
      </x:c>
      <x:c r="BC178" s="48" t="n">
        <x:f>IF(OR(Inputs!$F$9=TRUE,Inputs!$F$9="TRUE",Inputs!$F$9=1),(Inputs!$H$9+Inputs!$L$9*(((Inputs!$I$9+(((A178)+1)/2)*(Inputs!$J$9-Inputs!$I$9)))/Inputs!$K$9)^2),NA())</x:f>
        <x:v>237.63677500000017</x:v>
      </x:c>
      <x:c r="BD178" s="49"/>
      <x:c r="BE178" s="48" t="n">
        <x:f>A178</x:f>
        <x:v>0.467</x:v>
      </x:c>
      <x:c r="BF178" s="48" t="n">
        <x:f>0</x:f>
        <x:v>0</x:v>
      </x:c>
      <x:c r="BG178" s="48"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BH178" s="48"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BI178" s="48"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BJ178" s="48"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row>
    <x:row r="179">
      <x:c r="A179" s="48" t="n">
        <x:f>ROUND(-1+177*2/240,3)</x:f>
        <x:v>0.475</x:v>
      </x:c>
      <x:c r="B179" s="48" t="n">
        <x:f>IF(OR(Inputs!$F$6=TRUE,Inputs!$F$6="TRUE",Inputs!$F$6=1),(Inputs!$H$6+Inputs!$L$6*(((Inputs!$I$6+(((A179)+1)/2)*(Inputs!$J$6-Inputs!$I$6)))/Inputs!$K$6)^2),NA())</x:f>
        <x:v>400.9025</x:v>
      </x:c>
      <x:c r="C179" s="48" t="n">
        <x:f>IF(OR(Inputs!$F$7=TRUE,Inputs!$F$7="TRUE",Inputs!$F$7=1),(Inputs!$H$7+Inputs!$L$7*(((Inputs!$I$7+(((A179)+1)/2)*(Inputs!$J$7-Inputs!$I$7)))/Inputs!$K$7)^2),NA())</x:f>
        <x:v>117.35312499999999</x:v>
      </x:c>
      <x:c r="D179" s="48" t="n">
        <x:f>IF(OR(Inputs!$F$8=TRUE,Inputs!$F$8="TRUE",Inputs!$F$8=1),(Inputs!$H$8+Inputs!$L$8*(((Inputs!$I$8+(((A179)+1)/2)*(Inputs!$J$8-Inputs!$I$8)))/Inputs!$K$8)^2),NA())</x:f>
        <x:v>252.728125</x:v>
      </x:c>
      <x:c r="E179" s="48" t="n">
        <x:f>IF(OR(Inputs!$F$9=TRUE,Inputs!$F$9="TRUE",Inputs!$F$9=1),(Inputs!$H$9+Inputs!$L$9*(((Inputs!$I$9+(((A179)+1)/2)*(Inputs!$J$9-Inputs!$I$9)))/Inputs!$K$9)^2),NA())</x:f>
        <x:v>244.984375</x:v>
      </x:c>
      <x:c r="F179" s="49"/>
      <x:c r="G179" s="48" t="n">
        <x:f>A179</x:f>
        <x:v>0.475</x:v>
      </x:c>
      <x:c r="H179" s="48"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I179" s="48"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J179" s="48"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K179" s="48"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c r="L179" s="49"/>
      <x:c r="M179" s="48" t="n">
        <x:f>A179</x:f>
        <x:v>0.475</x:v>
      </x:c>
      <x:c r="N179" s="48" t="n">
        <x: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x:f>
        <x:v>-243.0329200684517</x:v>
      </x:c>
      <x:c r="O179" s="48" t="n">
        <x: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x:f>
        <x:v>-2189.7233886221143</x:v>
      </x:c>
      <x:c r="P179" s="48" t="n">
        <x: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x:f>
        <x:v>-2592.7265593356356</x:v>
      </x:c>
      <x:c r="Q179" s="48" t="n">
        <x: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x:f>
        <x:v>-2594.2415995855963</x:v>
      </x:c>
      <x:c r="R179" s="49"/>
      <x:c r="S179" s="48" t="n">
        <x:f>A179</x:f>
        <x:v>0.475</x:v>
      </x:c>
      <x:c r="T179" s="48" t="n">
        <x:f>(Inputs!$I$6+(((A179)+1)/2)*(Inputs!$J$6-Inputs!$I$6))</x:f>
        <x:v>28.5</x:v>
      </x:c>
      <x:c r="U179" s="48" t="n">
        <x:f>(Inputs!$I$7+(((A179)+1)/2)*(Inputs!$J$7-Inputs!$I$7))</x:f>
        <x:v>190</x:v>
      </x:c>
      <x:c r="V179" s="48" t="n">
        <x:f>(Inputs!$I$8+(((A179)+1)/2)*(Inputs!$J$8-Inputs!$I$8))</x:f>
        <x:v>380</x:v>
      </x:c>
      <x:c r="W179" s="48" t="n">
        <x:f>(Inputs!$I$9+(((A179)+1)/2)*(Inputs!$J$9-Inputs!$I$9))</x:f>
        <x:v>380</x:v>
      </x:c>
      <x:c r="X179" s="49"/>
      <x:c r="Y179" s="48" t="n">
        <x:f>A179</x:f>
        <x:v>0.475</x:v>
      </x:c>
      <x:c r="Z179" s="48" t="n">
        <x:f>(Inputs!$H$6+Inputs!$L$6*(((Inputs!$I$6+(((A179)+1)/2)*(Inputs!$J$6-Inputs!$I$6)))/Inputs!$K$6)^2)</x:f>
        <x:v>400.9025</x:v>
      </x:c>
      <x:c r="AA179" s="48" t="n">
        <x:f>(Inputs!$H$7+Inputs!$L$7*(((Inputs!$I$7+(((A179)+1)/2)*(Inputs!$J$7-Inputs!$I$7)))/Inputs!$K$7)^2)</x:f>
        <x:v>117.35312499999999</x:v>
      </x:c>
      <x:c r="AB179" s="48" t="n">
        <x:f>(Inputs!$H$8+Inputs!$L$8*(((Inputs!$I$8+(((A179)+1)/2)*(Inputs!$J$8-Inputs!$I$8)))/Inputs!$K$8)^2)</x:f>
        <x:v>252.728125</x:v>
      </x:c>
      <x:c r="AC179" s="48" t="n">
        <x:f>(Inputs!$H$9+Inputs!$L$9*(((Inputs!$I$9+(((A179)+1)/2)*(Inputs!$J$9-Inputs!$I$9)))/Inputs!$K$9)^2)</x:f>
        <x:v>244.984375</x:v>
      </x:c>
      <x:c r="AD179" s="49"/>
      <x:c r="AE179" s="48" t="n">
        <x:f>A179</x:f>
        <x:v>0.475</x:v>
      </x:c>
      <x:c r="AF179" s="48" t="n">
        <x:f>(((SQRT((Inputs!$C$52+((Inputs!$H$6+Inputs!$L$6*(((Inputs!$I$6+(((A179)+1)/2)*(Inputs!$J$6-Inputs!$I$6)))/Inputs!$K$6)^2)))^2+Inputs!$C$52^2-2*(Inputs!$C$52+((Inputs!$H$6+Inputs!$L$6*(((Inputs!$I$6+(((A179)+1)/2)*(Inputs!$J$6-Inputs!$I$6)))/Inputs!$K$6)^2)))*Inputs!$C$52*COS(SQRT(((Inputs!$I$6+(((A179)+1)/2)*(Inputs!$J$6-Inputs!$I$6)))^2+Inputs!$C$6^2)/Inputs!$C$52)))-((Inputs!$H$6+Inputs!$L$6*(((Inputs!$I$6+(((A179)+1)/2)*(Inputs!$J$6-Inputs!$I$6)))/Inputs!$K$6)^2)))*1000/Inputs!$C$12)</x:f>
        <x:v>1262.09767644656</x:v>
      </x:c>
      <x:c r="AG179" s="48" t="n">
        <x:f>(((SQRT((Inputs!$C$52+((Inputs!$H$7+Inputs!$L$7*(((Inputs!$I$7+(((A179)+1)/2)*(Inputs!$J$7-Inputs!$I$7)))/Inputs!$K$7)^2)))^2+Inputs!$C$52^2-2*(Inputs!$C$52+((Inputs!$H$7+Inputs!$L$7*(((Inputs!$I$7+(((A179)+1)/2)*(Inputs!$J$7-Inputs!$I$7)))/Inputs!$K$7)^2)))*Inputs!$C$52*COS(SQRT(((Inputs!$I$7+(((A179)+1)/2)*(Inputs!$J$7-Inputs!$I$7)))^2+Inputs!$C$6^2)/Inputs!$C$52)))-((Inputs!$H$7+Inputs!$L$7*(((Inputs!$I$7+(((A179)+1)/2)*(Inputs!$J$7-Inputs!$I$7)))/Inputs!$K$7)^2)))*1000/Inputs!$C$12)</x:f>
        <x:v>63660.92012639475</x:v>
      </x:c>
      <x:c r="AH179" s="48" t="n">
        <x:f>(((SQRT((Inputs!$C$52+((Inputs!$H$8+Inputs!$L$8*(((Inputs!$I$8+(((A179)+1)/2)*(Inputs!$J$8-Inputs!$I$8)))/Inputs!$K$8)^2)))^2+Inputs!$C$52^2-2*(Inputs!$C$52+((Inputs!$H$8+Inputs!$L$8*(((Inputs!$I$8+(((A179)+1)/2)*(Inputs!$J$8-Inputs!$I$8)))/Inputs!$K$8)^2)))*Inputs!$C$52*COS(SQRT(((Inputs!$I$8+(((A179)+1)/2)*(Inputs!$J$8-Inputs!$I$8)))^2+Inputs!$C$6^2)/Inputs!$C$52)))-((Inputs!$H$8+Inputs!$L$8*(((Inputs!$I$8+(((A179)+1)/2)*(Inputs!$J$8-Inputs!$I$8)))/Inputs!$K$8)^2)))*1000/Inputs!$C$12)</x:f>
        <x:v>128350.03703989064</x:v>
      </x:c>
      <x:c r="AI179" s="48" t="n">
        <x:f>(((SQRT((Inputs!$C$52+((Inputs!$H$9+Inputs!$L$9*(((Inputs!$I$9+(((A179)+1)/2)*(Inputs!$J$9-Inputs!$I$9)))/Inputs!$K$9)^2)))^2+Inputs!$C$52^2-2*(Inputs!$C$52+((Inputs!$H$9+Inputs!$L$9*(((Inputs!$I$9+(((A179)+1)/2)*(Inputs!$J$9-Inputs!$I$9)))/Inputs!$K$9)^2)))*Inputs!$C$52*COS(SQRT(((Inputs!$I$9+(((A179)+1)/2)*(Inputs!$J$9-Inputs!$I$9)))^2+Inputs!$C$6^2)/Inputs!$C$52)))-((Inputs!$H$9+Inputs!$L$9*(((Inputs!$I$9+(((A179)+1)/2)*(Inputs!$J$9-Inputs!$I$9)))/Inputs!$K$9)^2)))*1000/Inputs!$C$12)</x:f>
        <x:v>130019.31854284673</x:v>
      </x:c>
      <x:c r="AJ179" s="49"/>
      <x:c r="AK179" s="48" t="n">
        <x:f>A179</x:f>
        <x:v>0.475</x:v>
      </x:c>
      <x:c r="AL179" s="48" t="n">
        <x: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x:f>
        <x:v>-243.0329200684517</x:v>
      </x:c>
      <x:c r="AM179" s="48" t="n">
        <x: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x:f>
        <x:v>-2189.7233886221143</x:v>
      </x:c>
      <x:c r="AN179" s="48" t="n">
        <x: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x:f>
        <x:v>-2592.7265593356356</x:v>
      </x:c>
      <x:c r="AO179" s="48" t="n">
        <x: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x:f>
        <x:v>-2594.2415995855963</x:v>
      </x:c>
      <x:c r="AP179" s="49"/>
      <x:c r="AQ179" s="48" t="n">
        <x:f>A179</x:f>
        <x:v>0.475</x:v>
      </x:c>
      <x:c r="AR179" s="48" t="n">
        <x:f>0</x:f>
        <x:v>0</x:v>
      </x:c>
      <x:c r="AS179" s="48" t="n">
        <x: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(0.45*SIN(2*PI()*((((Inputs!$I$6+(((A179)+1)/2)*(Inputs!$J$6-Inputs!$I$6)))/Inputs!$C$49)+Inputs!$C$47*0.137))+0.35*COS(2*PI()*(((Inputs!$C$6)/Inputs!$C$50)+Inputs!$C$47*0.173))+0.20*SIN(2*PI()*((((Inputs!$I$6+(((A179)+1)/2)*(Inputs!$J$6-Inputs!$I$6)))+(Inputs!$C$6))/(0.5*(Inputs!$C$49+Inputs!$C$50))+Inputs!$C$47*0.097)))+0.30*(2*((SIN((((Inputs!$I$6+(((A179)+1)/2)*(Inputs!$J$6-Inputs!$I$6)))*12.9898+(Inputs!$C$6)*78.233+Inputs!$C$47*37.719))*43758.5453)-INT((SIN((((Inputs!$I$6+(((A179)+1)/2)*(Inputs!$J$6-Inputs!$I$6)))*12.9898+(Inputs!$C$6)*78.233+Inputs!$C$47*37.719))*43758.5453)))-1))),NA())</x:f>
        <x:v>310.4659866511931</x:v>
      </x:c>
      <x:c r="AT179" s="48" t="n">
        <x: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(0.45*SIN(2*PI()*((((Inputs!$I$7+(((A179)+1)/2)*(Inputs!$J$7-Inputs!$I$7)))/Inputs!$C$49)+Inputs!$C$47*0.137))+0.35*COS(2*PI()*(((Inputs!$C$6)/Inputs!$C$50)+Inputs!$C$47*0.173))+0.20*SIN(2*PI()*((((Inputs!$I$7+(((A179)+1)/2)*(Inputs!$J$7-Inputs!$I$7)))+(Inputs!$C$6))/(0.5*(Inputs!$C$49+Inputs!$C$50))+Inputs!$C$47*0.097)))+0.30*(2*((SIN((((Inputs!$I$7+(((A179)+1)/2)*(Inputs!$J$7-Inputs!$I$7)))*12.9898+(Inputs!$C$6)*78.233+Inputs!$C$47*37.719))*43758.5453)-INT((SIN((((Inputs!$I$7+(((A179)+1)/2)*(Inputs!$J$7-Inputs!$I$7)))*12.9898+(Inputs!$C$6)*78.233+Inputs!$C$47*37.719))*43758.5453)))-1))),NA())</x:f>
        <x:v>125.04995835066069</x:v>
      </x:c>
      <x:c r="AU179" s="48" t="n">
        <x: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(0.45*SIN(2*PI()*((((Inputs!$I$8+(((A179)+1)/2)*(Inputs!$J$8-Inputs!$I$8)))/Inputs!$C$49)+Inputs!$C$47*0.137))+0.35*COS(2*PI()*(((Inputs!$C$6)/Inputs!$C$50)+Inputs!$C$47*0.173))+0.20*SIN(2*PI()*((((Inputs!$I$8+(((A179)+1)/2)*(Inputs!$J$8-Inputs!$I$8)))+(Inputs!$C$6))/(0.5*(Inputs!$C$49+Inputs!$C$50))+Inputs!$C$47*0.097)))+0.30*(2*((SIN((((Inputs!$I$8+(((A179)+1)/2)*(Inputs!$J$8-Inputs!$I$8)))*12.9898+(Inputs!$C$6)*78.233+Inputs!$C$47*37.719))*43758.5453)-INT((SIN((((Inputs!$I$8+(((A179)+1)/2)*(Inputs!$J$8-Inputs!$I$8)))*12.9898+(Inputs!$C$6)*78.233+Inputs!$C$47*37.719))*43758.5453)))-1))),NA())</x:f>
        <x:v>190.6077590066482</x:v>
      </x:c>
      <x:c r="AV179" s="48" t="n">
        <x: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(0.45*SIN(2*PI()*((((Inputs!$I$9+(((A179)+1)/2)*(Inputs!$J$9-Inputs!$I$9)))/Inputs!$C$49)+Inputs!$C$47*0.137))+0.35*COS(2*PI()*(((Inputs!$C$6)/Inputs!$C$50)+Inputs!$C$47*0.173))+0.20*SIN(2*PI()*((((Inputs!$I$9+(((A179)+1)/2)*(Inputs!$J$9-Inputs!$I$9)))+(Inputs!$C$6))/(0.5*(Inputs!$C$49+Inputs!$C$50))+Inputs!$C$47*0.097)))+0.30*(2*((SIN((((Inputs!$I$9+(((A179)+1)/2)*(Inputs!$J$9-Inputs!$I$9)))*12.9898+(Inputs!$C$6)*78.233+Inputs!$C$47*37.719))*43758.5453)-INT((SIN((((Inputs!$I$9+(((A179)+1)/2)*(Inputs!$J$9-Inputs!$I$9)))*12.9898+(Inputs!$C$6)*78.233+Inputs!$C$47*37.719))*43758.5453)))-1))),NA())</x:f>
        <x:v>190.6077590066482</x:v>
      </x:c>
      <x:c r="AW179" s="49"/>
      <x:c r="AX179" s="48" t="n">
        <x:f>A179</x:f>
        <x:v>0.475</x:v>
      </x:c>
      <x:c r="AY179" s="48" t="n">
        <x:f>0</x:f>
        <x:v>0</x:v>
      </x:c>
      <x:c r="AZ179" s="48" t="n">
        <x:f>IF(OR(Inputs!$F$6=TRUE,Inputs!$F$6="TRUE",Inputs!$F$6=1),(Inputs!$H$6+Inputs!$L$6*(((Inputs!$I$6+(((A179)+1)/2)*(Inputs!$J$6-Inputs!$I$6)))/Inputs!$K$6)^2),NA())</x:f>
        <x:v>400.9025</x:v>
      </x:c>
      <x:c r="BA179" s="48" t="n">
        <x:f>IF(OR(Inputs!$F$7=TRUE,Inputs!$F$7="TRUE",Inputs!$F$7=1),(Inputs!$H$7+Inputs!$L$7*(((Inputs!$I$7+(((A179)+1)/2)*(Inputs!$J$7-Inputs!$I$7)))/Inputs!$K$7)^2),NA())</x:f>
        <x:v>117.35312499999999</x:v>
      </x:c>
      <x:c r="BB179" s="48" t="n">
        <x:f>IF(OR(Inputs!$F$8=TRUE,Inputs!$F$8="TRUE",Inputs!$F$8=1),(Inputs!$H$8+Inputs!$L$8*(((Inputs!$I$8+(((A179)+1)/2)*(Inputs!$J$8-Inputs!$I$8)))/Inputs!$K$8)^2),NA())</x:f>
        <x:v>252.728125</x:v>
      </x:c>
      <x:c r="BC179" s="48" t="n">
        <x:f>IF(OR(Inputs!$F$9=TRUE,Inputs!$F$9="TRUE",Inputs!$F$9=1),(Inputs!$H$9+Inputs!$L$9*(((Inputs!$I$9+(((A179)+1)/2)*(Inputs!$J$9-Inputs!$I$9)))/Inputs!$K$9)^2),NA())</x:f>
        <x:v>244.984375</x:v>
      </x:c>
      <x:c r="BD179" s="49"/>
      <x:c r="BE179" s="48" t="n">
        <x:f>A179</x:f>
        <x:v>0.475</x:v>
      </x:c>
      <x:c r="BF179" s="48" t="n">
        <x:f>0</x:f>
        <x:v>0</x:v>
      </x:c>
      <x:c r="BG179" s="48"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BH179" s="48"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BI179" s="48"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BJ179" s="48"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row>
    <x:row r="180">
      <x:c r="A180" s="48" t="n">
        <x:f>ROUND(-1+178*2/240,3)</x:f>
        <x:v>0.483</x:v>
      </x:c>
      <x:c r="B180" s="48" t="n">
        <x:f>IF(OR(Inputs!$F$6=TRUE,Inputs!$F$6="TRUE",Inputs!$F$6=1),(Inputs!$H$6+Inputs!$L$6*(((Inputs!$I$6+(((A180)+1)/2)*(Inputs!$J$6-Inputs!$I$6)))/Inputs!$K$6)^2),NA())</x:f>
        <x:v>400.933156</x:v>
      </x:c>
      <x:c r="C180" s="48" t="n">
        <x:f>IF(OR(Inputs!$F$7=TRUE,Inputs!$F$7="TRUE",Inputs!$F$7=1),(Inputs!$H$7+Inputs!$L$7*(((Inputs!$I$7+(((A180)+1)/2)*(Inputs!$J$7-Inputs!$I$7)))/Inputs!$K$7)^2),NA())</x:f>
        <x:v>120.15048500000003</x:v>
      </x:c>
      <x:c r="D180" s="48" t="n">
        <x:f>IF(OR(Inputs!$F$8=TRUE,Inputs!$F$8="TRUE",Inputs!$F$8=1),(Inputs!$H$8+Inputs!$L$8*(((Inputs!$I$8+(((A180)+1)/2)*(Inputs!$J$8-Inputs!$I$8)))/Inputs!$K$8)^2),NA())</x:f>
        <x:v>260.1238850000001</x:v>
      </x:c>
      <x:c r="E180" s="48" t="n">
        <x:f>IF(OR(Inputs!$F$9=TRUE,Inputs!$F$9="TRUE",Inputs!$F$9=1),(Inputs!$H$9+Inputs!$L$9*(((Inputs!$I$9+(((A180)+1)/2)*(Inputs!$J$9-Inputs!$I$9)))/Inputs!$K$9)^2),NA())</x:f>
        <x:v>252.45677500000008</x:v>
      </x:c>
      <x:c r="F180" s="49"/>
      <x:c r="G180" s="48" t="n">
        <x:f>A180</x:f>
        <x:v>0.483</x:v>
      </x:c>
      <x:c r="H180" s="48"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I180" s="48"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J180" s="48"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K180" s="48"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c r="L180" s="49"/>
      <x:c r="M180" s="48" t="n">
        <x:f>A180</x:f>
        <x:v>0.483</x:v>
      </x:c>
      <x:c r="N180" s="48" t="n">
        <x: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x:f>
        <x:v>-247.09312581512677</x:v>
      </x:c>
      <x:c r="O180" s="48" t="n">
        <x: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x:f>
        <x:v>-2206.3295518032432</x:v>
      </x:c>
      <x:c r="P180" s="48" t="n">
        <x: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x:f>
        <x:v>-2619.8438215786646</x:v>
      </x:c>
      <x:c r="Q180" s="48" t="n">
        <x: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x:f>
        <x:v>-2621.8666360326174</x:v>
      </x:c>
      <x:c r="R180" s="49"/>
      <x:c r="S180" s="48" t="n">
        <x:f>A180</x:f>
        <x:v>0.483</x:v>
      </x:c>
      <x:c r="T180" s="48" t="n">
        <x:f>(Inputs!$I$6+(((A180)+1)/2)*(Inputs!$J$6-Inputs!$I$6))</x:f>
        <x:v>28.980000000000004</x:v>
      </x:c>
      <x:c r="U180" s="48" t="n">
        <x:f>(Inputs!$I$7+(((A180)+1)/2)*(Inputs!$J$7-Inputs!$I$7))</x:f>
        <x:v>193.20000000000005</x:v>
      </x:c>
      <x:c r="V180" s="48" t="n">
        <x:f>(Inputs!$I$8+(((A180)+1)/2)*(Inputs!$J$8-Inputs!$I$8))</x:f>
        <x:v>386.4000000000001</x:v>
      </x:c>
      <x:c r="W180" s="48" t="n">
        <x:f>(Inputs!$I$9+(((A180)+1)/2)*(Inputs!$J$9-Inputs!$I$9))</x:f>
        <x:v>386.4000000000001</x:v>
      </x:c>
      <x:c r="X180" s="49"/>
      <x:c r="Y180" s="48" t="n">
        <x:f>A180</x:f>
        <x:v>0.483</x:v>
      </x:c>
      <x:c r="Z180" s="48" t="n">
        <x:f>(Inputs!$H$6+Inputs!$L$6*(((Inputs!$I$6+(((A180)+1)/2)*(Inputs!$J$6-Inputs!$I$6)))/Inputs!$K$6)^2)</x:f>
        <x:v>400.933156</x:v>
      </x:c>
      <x:c r="AA180" s="48" t="n">
        <x:f>(Inputs!$H$7+Inputs!$L$7*(((Inputs!$I$7+(((A180)+1)/2)*(Inputs!$J$7-Inputs!$I$7)))/Inputs!$K$7)^2)</x:f>
        <x:v>120.15048500000003</x:v>
      </x:c>
      <x:c r="AB180" s="48" t="n">
        <x:f>(Inputs!$H$8+Inputs!$L$8*(((Inputs!$I$8+(((A180)+1)/2)*(Inputs!$J$8-Inputs!$I$8)))/Inputs!$K$8)^2)</x:f>
        <x:v>260.1238850000001</x:v>
      </x:c>
      <x:c r="AC180" s="48" t="n">
        <x:f>(Inputs!$H$9+Inputs!$L$9*(((Inputs!$I$9+(((A180)+1)/2)*(Inputs!$J$9-Inputs!$I$9)))/Inputs!$K$9)^2)</x:f>
        <x:v>252.45677500000008</x:v>
      </x:c>
      <x:c r="AD180" s="49"/>
      <x:c r="AE180" s="48" t="n">
        <x:f>A180</x:f>
        <x:v>0.483</x:v>
      </x:c>
      <x:c r="AF180" s="48" t="n">
        <x:f>(((SQRT((Inputs!$C$52+((Inputs!$H$6+Inputs!$L$6*(((Inputs!$I$6+(((A180)+1)/2)*(Inputs!$J$6-Inputs!$I$6)))/Inputs!$K$6)^2)))^2+Inputs!$C$52^2-2*(Inputs!$C$52+((Inputs!$H$6+Inputs!$L$6*(((Inputs!$I$6+(((A180)+1)/2)*(Inputs!$J$6-Inputs!$I$6)))/Inputs!$K$6)^2)))*Inputs!$C$52*COS(SQRT(((Inputs!$I$6+(((A180)+1)/2)*(Inputs!$J$6-Inputs!$I$6)))^2+Inputs!$C$6^2)/Inputs!$C$52)))-((Inputs!$H$6+Inputs!$L$6*(((Inputs!$I$6+(((A180)+1)/2)*(Inputs!$J$6-Inputs!$I$6)))/Inputs!$K$6)^2)))*1000/Inputs!$C$12)</x:f>
        <x:v>1286.1779839771466</x:v>
      </x:c>
      <x:c r="AG180" s="48" t="n">
        <x:f>(((SQRT((Inputs!$C$52+((Inputs!$H$7+Inputs!$L$7*(((Inputs!$I$7+(((A180)+1)/2)*(Inputs!$J$7-Inputs!$I$7)))/Inputs!$K$7)^2)))^2+Inputs!$C$52^2-2*(Inputs!$C$52+((Inputs!$H$7+Inputs!$L$7*(((Inputs!$I$7+(((A180)+1)/2)*(Inputs!$J$7-Inputs!$I$7)))/Inputs!$K$7)^2)))*Inputs!$C$52*COS(SQRT(((Inputs!$I$7+(((A180)+1)/2)*(Inputs!$J$7-Inputs!$I$7)))^2+Inputs!$C$6^2)/Inputs!$C$52)))-((Inputs!$H$7+Inputs!$L$7*(((Inputs!$I$7+(((A180)+1)/2)*(Inputs!$J$7-Inputs!$I$7)))/Inputs!$K$7)^2)))*1000/Inputs!$C$12)</x:f>
        <x:v>64559.049991515094</x:v>
      </x:c>
      <x:c r="AH180" s="48" t="n">
        <x:f>(((SQRT((Inputs!$C$52+((Inputs!$H$8+Inputs!$L$8*(((Inputs!$I$8+(((A180)+1)/2)*(Inputs!$J$8-Inputs!$I$8)))/Inputs!$K$8)^2)))^2+Inputs!$C$52^2-2*(Inputs!$C$52+((Inputs!$H$8+Inputs!$L$8*(((Inputs!$I$8+(((A180)+1)/2)*(Inputs!$J$8-Inputs!$I$8)))/Inputs!$K$8)^2)))*Inputs!$C$52*COS(SQRT(((Inputs!$I$8+(((A180)+1)/2)*(Inputs!$J$8-Inputs!$I$8)))^2+Inputs!$C$6^2)/Inputs!$C$52)))-((Inputs!$H$8+Inputs!$L$8*(((Inputs!$I$8+(((A180)+1)/2)*(Inputs!$J$8-Inputs!$I$8)))/Inputs!$K$8)^2)))*1000/Inputs!$C$12)</x:f>
        <x:v>130051.89381794147</x:v>
      </x:c>
      <x:c r="AI180" s="48" t="n">
        <x:f>(((SQRT((Inputs!$C$52+((Inputs!$H$9+Inputs!$L$9*(((Inputs!$I$9+(((A180)+1)/2)*(Inputs!$J$9-Inputs!$I$9)))/Inputs!$K$9)^2)))^2+Inputs!$C$52^2-2*(Inputs!$C$52+((Inputs!$H$9+Inputs!$L$9*(((Inputs!$I$9+(((A180)+1)/2)*(Inputs!$J$9-Inputs!$I$9)))/Inputs!$K$9)^2)))*Inputs!$C$52*COS(SQRT(((Inputs!$I$9+(((A180)+1)/2)*(Inputs!$J$9-Inputs!$I$9)))^2+Inputs!$C$6^2)/Inputs!$C$52)))-((Inputs!$H$9+Inputs!$L$9*(((Inputs!$I$9+(((A180)+1)/2)*(Inputs!$J$9-Inputs!$I$9)))/Inputs!$K$9)^2)))*1000/Inputs!$C$12)</x:f>
        <x:v>131682.0935215098</x:v>
      </x:c>
      <x:c r="AJ180" s="49"/>
      <x:c r="AK180" s="48" t="n">
        <x:f>A180</x:f>
        <x:v>0.483</x:v>
      </x:c>
      <x:c r="AL180" s="48" t="n">
        <x: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x:f>
        <x:v>-247.09312581512677</x:v>
      </x:c>
      <x:c r="AM180" s="48" t="n">
        <x: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x:f>
        <x:v>-2206.3295518032432</x:v>
      </x:c>
      <x:c r="AN180" s="48" t="n">
        <x: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x:f>
        <x:v>-2619.8438215786646</x:v>
      </x:c>
      <x:c r="AO180" s="48" t="n">
        <x: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x:f>
        <x:v>-2621.8666360326174</x:v>
      </x:c>
      <x:c r="AP180" s="49"/>
      <x:c r="AQ180" s="48" t="n">
        <x:f>A180</x:f>
        <x:v>0.483</x:v>
      </x:c>
      <x:c r="AR180" s="48" t="n">
        <x:f>0</x:f>
        <x:v>0</x:v>
      </x:c>
      <x:c r="AS180" s="48" t="n">
        <x: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(0.45*SIN(2*PI()*((((Inputs!$I$6+(((A180)+1)/2)*(Inputs!$J$6-Inputs!$I$6)))/Inputs!$C$49)+Inputs!$C$47*0.137))+0.35*COS(2*PI()*(((Inputs!$C$6)/Inputs!$C$50)+Inputs!$C$47*0.173))+0.20*SIN(2*PI()*((((Inputs!$I$6+(((A180)+1)/2)*(Inputs!$J$6-Inputs!$I$6)))+(Inputs!$C$6))/(0.5*(Inputs!$C$49+Inputs!$C$50))+Inputs!$C$47*0.097)))+0.30*(2*((SIN((((Inputs!$I$6+(((A180)+1)/2)*(Inputs!$J$6-Inputs!$I$6)))*12.9898+(Inputs!$C$6)*78.233+Inputs!$C$47*37.719))*43758.5453)-INT((SIN((((Inputs!$I$6+(((A180)+1)/2)*(Inputs!$J$6-Inputs!$I$6)))*12.9898+(Inputs!$C$6)*78.233+Inputs!$C$47*37.719))*43758.5453)))-1))),NA())</x:f>
        <x:v>275.3322887066261</x:v>
      </x:c>
      <x:c r="AT180" s="48" t="n">
        <x: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(0.45*SIN(2*PI()*((((Inputs!$I$7+(((A180)+1)/2)*(Inputs!$J$7-Inputs!$I$7)))/Inputs!$C$49)+Inputs!$C$47*0.137))+0.35*COS(2*PI()*(((Inputs!$C$6)/Inputs!$C$50)+Inputs!$C$47*0.173))+0.20*SIN(2*PI()*((((Inputs!$I$7+(((A180)+1)/2)*(Inputs!$J$7-Inputs!$I$7)))+(Inputs!$C$6))/(0.5*(Inputs!$C$49+Inputs!$C$50))+Inputs!$C$47*0.097)))+0.30*(2*((SIN((((Inputs!$I$7+(((A180)+1)/2)*(Inputs!$J$7-Inputs!$I$7)))*12.9898+(Inputs!$C$6)*78.233+Inputs!$C$47*37.719))*43758.5453)-INT((SIN((((Inputs!$I$7+(((A180)+1)/2)*(Inputs!$J$7-Inputs!$I$7)))*12.9898+(Inputs!$C$6)*78.233+Inputs!$C$47*37.719))*43758.5453)))-1))),NA())</x:f>
        <x:v>75.65034076290499</x:v>
      </x:c>
      <x:c r="AU180" s="48" t="n">
        <x: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(0.45*SIN(2*PI()*((((Inputs!$I$8+(((A180)+1)/2)*(Inputs!$J$8-Inputs!$I$8)))/Inputs!$C$49)+Inputs!$C$47*0.137))+0.35*COS(2*PI()*(((Inputs!$C$6)/Inputs!$C$50)+Inputs!$C$47*0.173))+0.20*SIN(2*PI()*((((Inputs!$I$8+(((A180)+1)/2)*(Inputs!$J$8-Inputs!$I$8)))+(Inputs!$C$6))/(0.5*(Inputs!$C$49+Inputs!$C$50))+Inputs!$C$47*0.097)))+0.30*(2*((SIN((((Inputs!$I$8+(((A180)+1)/2)*(Inputs!$J$8-Inputs!$I$8)))*12.9898+(Inputs!$C$6)*78.233+Inputs!$C$47*37.719))*43758.5453)-INT((SIN((((Inputs!$I$8+(((A180)+1)/2)*(Inputs!$J$8-Inputs!$I$8)))*12.9898+(Inputs!$C$6)*78.233+Inputs!$C$47*37.719))*43758.5453)))-1))),NA())</x:f>
        <x:v>172.29954163024684</x:v>
      </x:c>
      <x:c r="AV180" s="48" t="n">
        <x: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(0.45*SIN(2*PI()*((((Inputs!$I$9+(((A180)+1)/2)*(Inputs!$J$9-Inputs!$I$9)))/Inputs!$C$49)+Inputs!$C$47*0.137))+0.35*COS(2*PI()*(((Inputs!$C$6)/Inputs!$C$50)+Inputs!$C$47*0.173))+0.20*SIN(2*PI()*((((Inputs!$I$9+(((A180)+1)/2)*(Inputs!$J$9-Inputs!$I$9)))+(Inputs!$C$6))/(0.5*(Inputs!$C$49+Inputs!$C$50))+Inputs!$C$47*0.097)))+0.30*(2*((SIN((((Inputs!$I$9+(((A180)+1)/2)*(Inputs!$J$9-Inputs!$I$9)))*12.9898+(Inputs!$C$6)*78.233+Inputs!$C$47*37.719))*43758.5453)-INT((SIN((((Inputs!$I$9+(((A180)+1)/2)*(Inputs!$J$9-Inputs!$I$9)))*12.9898+(Inputs!$C$6)*78.233+Inputs!$C$47*37.719))*43758.5453)))-1))),NA())</x:f>
        <x:v>172.29954163024684</x:v>
      </x:c>
      <x:c r="AW180" s="49"/>
      <x:c r="AX180" s="48" t="n">
        <x:f>A180</x:f>
        <x:v>0.483</x:v>
      </x:c>
      <x:c r="AY180" s="48" t="n">
        <x:f>0</x:f>
        <x:v>0</x:v>
      </x:c>
      <x:c r="AZ180" s="48" t="n">
        <x:f>IF(OR(Inputs!$F$6=TRUE,Inputs!$F$6="TRUE",Inputs!$F$6=1),(Inputs!$H$6+Inputs!$L$6*(((Inputs!$I$6+(((A180)+1)/2)*(Inputs!$J$6-Inputs!$I$6)))/Inputs!$K$6)^2),NA())</x:f>
        <x:v>400.933156</x:v>
      </x:c>
      <x:c r="BA180" s="48" t="n">
        <x:f>IF(OR(Inputs!$F$7=TRUE,Inputs!$F$7="TRUE",Inputs!$F$7=1),(Inputs!$H$7+Inputs!$L$7*(((Inputs!$I$7+(((A180)+1)/2)*(Inputs!$J$7-Inputs!$I$7)))/Inputs!$K$7)^2),NA())</x:f>
        <x:v>120.15048500000003</x:v>
      </x:c>
      <x:c r="BB180" s="48" t="n">
        <x:f>IF(OR(Inputs!$F$8=TRUE,Inputs!$F$8="TRUE",Inputs!$F$8=1),(Inputs!$H$8+Inputs!$L$8*(((Inputs!$I$8+(((A180)+1)/2)*(Inputs!$J$8-Inputs!$I$8)))/Inputs!$K$8)^2),NA())</x:f>
        <x:v>260.1238850000001</x:v>
      </x:c>
      <x:c r="BC180" s="48" t="n">
        <x:f>IF(OR(Inputs!$F$9=TRUE,Inputs!$F$9="TRUE",Inputs!$F$9=1),(Inputs!$H$9+Inputs!$L$9*(((Inputs!$I$9+(((A180)+1)/2)*(Inputs!$J$9-Inputs!$I$9)))/Inputs!$K$9)^2),NA())</x:f>
        <x:v>252.45677500000008</x:v>
      </x:c>
      <x:c r="BD180" s="49"/>
      <x:c r="BE180" s="48" t="n">
        <x:f>A180</x:f>
        <x:v>0.483</x:v>
      </x:c>
      <x:c r="BF180" s="48" t="n">
        <x:f>0</x:f>
        <x:v>0</x:v>
      </x:c>
      <x:c r="BG180" s="48"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BH180" s="48"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BI180" s="48"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BJ180" s="48"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row>
    <x:row r="181">
      <x:c r="A181" s="48" t="n">
        <x:f>ROUND(-1+179*2/240,3)</x:f>
        <x:v>0.492</x:v>
      </x:c>
      <x:c r="B181" s="48" t="n">
        <x:f>IF(OR(Inputs!$F$6=TRUE,Inputs!$F$6="TRUE",Inputs!$F$6=1),(Inputs!$H$6+Inputs!$L$6*(((Inputs!$I$6+(((A181)+1)/2)*(Inputs!$J$6-Inputs!$I$6)))/Inputs!$K$6)^2),NA())</x:f>
        <x:v>400.968256</x:v>
      </x:c>
      <x:c r="C181" s="48" t="n">
        <x:f>IF(OR(Inputs!$F$7=TRUE,Inputs!$F$7="TRUE",Inputs!$F$7=1),(Inputs!$H$7+Inputs!$L$7*(((Inputs!$I$7+(((A181)+1)/2)*(Inputs!$J$7-Inputs!$I$7)))/Inputs!$K$7)^2),NA())</x:f>
        <x:v>123.35335999999997</x:v>
      </x:c>
      <x:c r="D181" s="48" t="n">
        <x:f>IF(OR(Inputs!$F$8=TRUE,Inputs!$F$8="TRUE",Inputs!$F$8=1),(Inputs!$H$8+Inputs!$L$8*(((Inputs!$I$8+(((A181)+1)/2)*(Inputs!$J$8-Inputs!$I$8)))/Inputs!$K$8)^2),NA())</x:f>
        <x:v>268.5917599999999</x:v>
      </x:c>
      <x:c r="E181" s="48" t="n">
        <x:f>IF(OR(Inputs!$F$9=TRUE,Inputs!$F$9="TRUE",Inputs!$F$9=1),(Inputs!$H$9+Inputs!$L$9*(((Inputs!$I$9+(((A181)+1)/2)*(Inputs!$J$9-Inputs!$I$9)))/Inputs!$K$9)^2),NA())</x:f>
        <x:v>261.0123999999999</x:v>
      </x:c>
      <x:c r="F181" s="49"/>
      <x:c r="G181" s="48" t="n">
        <x:f>A181</x:f>
        <x:v>0.492</x:v>
      </x:c>
      <x:c r="H181" s="48"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I181" s="48"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J181" s="48"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K181" s="48"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c r="L181" s="49"/>
      <x:c r="M181" s="48" t="n">
        <x:f>A181</x:f>
        <x:v>0.492</x:v>
      </x:c>
      <x:c r="N181" s="48" t="n">
        <x: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x:f>
        <x:v>-251.65890325567995</x:v>
      </x:c>
      <x:c r="O181" s="48" t="n">
        <x: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x:f>
        <x:v>-2225.168186472958</x:v>
      </x:c>
      <x:c r="P181" s="48" t="n">
        <x: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x:f>
        <x:v>-2650.6188352046966</x:v>
      </x:c>
      <x:c r="Q181" s="48" t="n">
        <x: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x:f>
        <x:v>-2653.217284126907</x:v>
      </x:c>
      <x:c r="R181" s="49"/>
      <x:c r="S181" s="48" t="n">
        <x:f>A181</x:f>
        <x:v>0.492</x:v>
      </x:c>
      <x:c r="T181" s="48" t="n">
        <x:f>(Inputs!$I$6+(((A181)+1)/2)*(Inputs!$J$6-Inputs!$I$6))</x:f>
        <x:v>29.519999999999996</x:v>
      </x:c>
      <x:c r="U181" s="48" t="n">
        <x:f>(Inputs!$I$7+(((A181)+1)/2)*(Inputs!$J$7-Inputs!$I$7))</x:f>
        <x:v>196.79999999999995</x:v>
      </x:c>
      <x:c r="V181" s="48" t="n">
        <x:f>(Inputs!$I$8+(((A181)+1)/2)*(Inputs!$J$8-Inputs!$I$8))</x:f>
        <x:v>393.5999999999999</x:v>
      </x:c>
      <x:c r="W181" s="48" t="n">
        <x:f>(Inputs!$I$9+(((A181)+1)/2)*(Inputs!$J$9-Inputs!$I$9))</x:f>
        <x:v>393.5999999999999</x:v>
      </x:c>
      <x:c r="X181" s="49"/>
      <x:c r="Y181" s="48" t="n">
        <x:f>A181</x:f>
        <x:v>0.492</x:v>
      </x:c>
      <x:c r="Z181" s="48" t="n">
        <x:f>(Inputs!$H$6+Inputs!$L$6*(((Inputs!$I$6+(((A181)+1)/2)*(Inputs!$J$6-Inputs!$I$6)))/Inputs!$K$6)^2)</x:f>
        <x:v>400.968256</x:v>
      </x:c>
      <x:c r="AA181" s="48" t="n">
        <x:f>(Inputs!$H$7+Inputs!$L$7*(((Inputs!$I$7+(((A181)+1)/2)*(Inputs!$J$7-Inputs!$I$7)))/Inputs!$K$7)^2)</x:f>
        <x:v>123.35335999999997</x:v>
      </x:c>
      <x:c r="AB181" s="48" t="n">
        <x:f>(Inputs!$H$8+Inputs!$L$8*(((Inputs!$I$8+(((A181)+1)/2)*(Inputs!$J$8-Inputs!$I$8)))/Inputs!$K$8)^2)</x:f>
        <x:v>268.5917599999999</x:v>
      </x:c>
      <x:c r="AC181" s="48" t="n">
        <x:f>(Inputs!$H$9+Inputs!$L$9*(((Inputs!$I$9+(((A181)+1)/2)*(Inputs!$J$9-Inputs!$I$9)))/Inputs!$K$9)^2)</x:f>
        <x:v>261.0123999999999</x:v>
      </x:c>
      <x:c r="AD181" s="49"/>
      <x:c r="AE181" s="48" t="n">
        <x:f>A181</x:f>
        <x:v>0.492</x:v>
      </x:c>
      <x:c r="AF181" s="48" t="n">
        <x:f>(((SQRT((Inputs!$C$52+((Inputs!$H$6+Inputs!$L$6*(((Inputs!$I$6+(((A181)+1)/2)*(Inputs!$J$6-Inputs!$I$6)))/Inputs!$K$6)^2)))^2+Inputs!$C$52^2-2*(Inputs!$C$52+((Inputs!$H$6+Inputs!$L$6*(((Inputs!$I$6+(((A181)+1)/2)*(Inputs!$J$6-Inputs!$I$6)))/Inputs!$K$6)^2)))*Inputs!$C$52*COS(SQRT(((Inputs!$I$6+(((A181)+1)/2)*(Inputs!$J$6-Inputs!$I$6)))^2+Inputs!$C$6^2)/Inputs!$C$52)))-((Inputs!$H$6+Inputs!$L$6*(((Inputs!$I$6+(((A181)+1)/2)*(Inputs!$J$6-Inputs!$I$6)))/Inputs!$K$6)^2)))*1000/Inputs!$C$12)</x:f>
        <x:v>1313.742289353554</x:v>
      </x:c>
      <x:c r="AG181" s="48" t="n">
        <x:f>(((SQRT((Inputs!$C$52+((Inputs!$H$7+Inputs!$L$7*(((Inputs!$I$7+(((A181)+1)/2)*(Inputs!$J$7-Inputs!$I$7)))/Inputs!$K$7)^2)))^2+Inputs!$C$52^2-2*(Inputs!$C$52+((Inputs!$H$7+Inputs!$L$7*(((Inputs!$I$7+(((A181)+1)/2)*(Inputs!$J$7-Inputs!$I$7)))/Inputs!$K$7)^2)))*Inputs!$C$52*COS(SQRT(((Inputs!$I$7+(((A181)+1)/2)*(Inputs!$J$7-Inputs!$I$7)))^2+Inputs!$C$6^2)/Inputs!$C$52)))-((Inputs!$H$7+Inputs!$L$7*(((Inputs!$I$7+(((A181)+1)/2)*(Inputs!$J$7-Inputs!$I$7)))/Inputs!$K$7)^2)))*1000/Inputs!$C$12)</x:f>
        <x:v>65560.47064346344</x:v>
      </x:c>
      <x:c r="AH181" s="48" t="n">
        <x:f>(((SQRT((Inputs!$C$52+((Inputs!$H$8+Inputs!$L$8*(((Inputs!$I$8+(((A181)+1)/2)*(Inputs!$J$8-Inputs!$I$8)))/Inputs!$K$8)^2)))^2+Inputs!$C$52^2-2*(Inputs!$C$52+((Inputs!$H$8+Inputs!$L$8*(((Inputs!$I$8+(((A181)+1)/2)*(Inputs!$J$8-Inputs!$I$8)))/Inputs!$K$8)^2)))*Inputs!$C$52*COS(SQRT(((Inputs!$I$8+(((A181)+1)/2)*(Inputs!$J$8-Inputs!$I$8)))^2+Inputs!$C$6^2)/Inputs!$C$52)))-((Inputs!$H$8+Inputs!$L$8*(((Inputs!$I$8+(((A181)+1)/2)*(Inputs!$J$8-Inputs!$I$8)))/Inputs!$K$8)^2)))*1000/Inputs!$C$12)</x:f>
        <x:v>131956.70325951505</x:v>
      </x:c>
      <x:c r="AI181" s="48" t="n">
        <x:f>(((SQRT((Inputs!$C$52+((Inputs!$H$9+Inputs!$L$9*(((Inputs!$I$9+(((A181)+1)/2)*(Inputs!$J$9-Inputs!$I$9)))/Inputs!$K$9)^2)))^2+Inputs!$C$52^2-2*(Inputs!$C$52+((Inputs!$H$9+Inputs!$L$9*(((Inputs!$I$9+(((A181)+1)/2)*(Inputs!$J$9-Inputs!$I$9)))/Inputs!$K$9)^2)))*Inputs!$C$52*COS(SQRT(((Inputs!$I$9+(((A181)+1)/2)*(Inputs!$J$9-Inputs!$I$9)))^2+Inputs!$C$6^2)/Inputs!$C$52)))-((Inputs!$H$9+Inputs!$L$9*(((Inputs!$I$9+(((A181)+1)/2)*(Inputs!$J$9-Inputs!$I$9)))/Inputs!$K$9)^2)))*1000/Inputs!$C$12)</x:f>
        <x:v>133543.4457826576</x:v>
      </x:c>
      <x:c r="AJ181" s="49"/>
      <x:c r="AK181" s="48" t="n">
        <x:f>A181</x:f>
        <x:v>0.492</x:v>
      </x:c>
      <x:c r="AL181" s="48" t="n">
        <x: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x:f>
        <x:v>-251.65890325567995</x:v>
      </x:c>
      <x:c r="AM181" s="48" t="n">
        <x: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x:f>
        <x:v>-2225.168186472958</x:v>
      </x:c>
      <x:c r="AN181" s="48" t="n">
        <x: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x:f>
        <x:v>-2650.6188352046966</x:v>
      </x:c>
      <x:c r="AO181" s="48" t="n">
        <x: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x:f>
        <x:v>-2653.217284126907</x:v>
      </x:c>
      <x:c r="AP181" s="49"/>
      <x:c r="AQ181" s="48" t="n">
        <x:f>A181</x:f>
        <x:v>0.492</x:v>
      </x:c>
      <x:c r="AR181" s="48" t="n">
        <x:f>0</x:f>
        <x:v>0</x:v>
      </x:c>
      <x:c r="AS181" s="48" t="n">
        <x: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(0.45*SIN(2*PI()*((((Inputs!$I$6+(((A181)+1)/2)*(Inputs!$J$6-Inputs!$I$6)))/Inputs!$C$49)+Inputs!$C$47*0.137))+0.35*COS(2*PI()*(((Inputs!$C$6)/Inputs!$C$50)+Inputs!$C$47*0.173))+0.20*SIN(2*PI()*((((Inputs!$I$6+(((A181)+1)/2)*(Inputs!$J$6-Inputs!$I$6)))+(Inputs!$C$6))/(0.5*(Inputs!$C$49+Inputs!$C$50))+Inputs!$C$47*0.097)))+0.30*(2*((SIN((((Inputs!$I$6+(((A181)+1)/2)*(Inputs!$J$6-Inputs!$I$6)))*12.9898+(Inputs!$C$6)*78.233+Inputs!$C$47*37.719))*43758.5453)-INT((SIN((((Inputs!$I$6+(((A181)+1)/2)*(Inputs!$J$6-Inputs!$I$6)))*12.9898+(Inputs!$C$6)*78.233+Inputs!$C$47*37.719))*43758.5453)))-1))),NA())</x:f>
        <x:v>279.435104404469</x:v>
      </x:c>
      <x:c r="AT181" s="48" t="n">
        <x: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(0.45*SIN(2*PI()*((((Inputs!$I$7+(((A181)+1)/2)*(Inputs!$J$7-Inputs!$I$7)))/Inputs!$C$49)+Inputs!$C$47*0.137))+0.35*COS(2*PI()*(((Inputs!$C$6)/Inputs!$C$50)+Inputs!$C$47*0.173))+0.20*SIN(2*PI()*((((Inputs!$I$7+(((A181)+1)/2)*(Inputs!$J$7-Inputs!$I$7)))+(Inputs!$C$6))/(0.5*(Inputs!$C$49+Inputs!$C$50))+Inputs!$C$47*0.097)))+0.30*(2*((SIN((((Inputs!$I$7+(((A181)+1)/2)*(Inputs!$J$7-Inputs!$I$7)))*12.9898+(Inputs!$C$6)*78.233+Inputs!$C$47*37.719))*43758.5453)-INT((SIN((((Inputs!$I$7+(((A181)+1)/2)*(Inputs!$J$7-Inputs!$I$7)))*12.9898+(Inputs!$C$6)*78.233+Inputs!$C$47*37.719))*43758.5453)))-1))),NA())</x:f>
        <x:v>107.35304268822318</x:v>
      </x:c>
      <x:c r="AU181" s="48" t="n">
        <x: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(0.45*SIN(2*PI()*((((Inputs!$I$8+(((A181)+1)/2)*(Inputs!$J$8-Inputs!$I$8)))/Inputs!$C$49)+Inputs!$C$47*0.137))+0.35*COS(2*PI()*(((Inputs!$C$6)/Inputs!$C$50)+Inputs!$C$47*0.173))+0.20*SIN(2*PI()*((((Inputs!$I$8+(((A181)+1)/2)*(Inputs!$J$8-Inputs!$I$8)))+(Inputs!$C$6))/(0.5*(Inputs!$C$49+Inputs!$C$50))+Inputs!$C$47*0.097)))+0.30*(2*((SIN((((Inputs!$I$8+(((A181)+1)/2)*(Inputs!$J$8-Inputs!$I$8)))*12.9898+(Inputs!$C$6)*78.233+Inputs!$C$47*37.719))*43758.5453)-INT((SIN((((Inputs!$I$8+(((A181)+1)/2)*(Inputs!$J$8-Inputs!$I$8)))*12.9898+(Inputs!$C$6)*78.233+Inputs!$C$47*37.719))*43758.5453)))-1))),NA())</x:f>
        <x:v>80.87930746996554</x:v>
      </x:c>
      <x:c r="AV181" s="48" t="n">
        <x: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(0.45*SIN(2*PI()*((((Inputs!$I$9+(((A181)+1)/2)*(Inputs!$J$9-Inputs!$I$9)))/Inputs!$C$49)+Inputs!$C$47*0.137))+0.35*COS(2*PI()*(((Inputs!$C$6)/Inputs!$C$50)+Inputs!$C$47*0.173))+0.20*SIN(2*PI()*((((Inputs!$I$9+(((A181)+1)/2)*(Inputs!$J$9-Inputs!$I$9)))+(Inputs!$C$6))/(0.5*(Inputs!$C$49+Inputs!$C$50))+Inputs!$C$47*0.097)))+0.30*(2*((SIN((((Inputs!$I$9+(((A181)+1)/2)*(Inputs!$J$9-Inputs!$I$9)))*12.9898+(Inputs!$C$6)*78.233+Inputs!$C$47*37.719))*43758.5453)-INT((SIN((((Inputs!$I$9+(((A181)+1)/2)*(Inputs!$J$9-Inputs!$I$9)))*12.9898+(Inputs!$C$6)*78.233+Inputs!$C$47*37.719))*43758.5453)))-1))),NA())</x:f>
        <x:v>80.87930746996554</x:v>
      </x:c>
      <x:c r="AW181" s="49"/>
      <x:c r="AX181" s="48" t="n">
        <x:f>A181</x:f>
        <x:v>0.492</x:v>
      </x:c>
      <x:c r="AY181" s="48" t="n">
        <x:f>0</x:f>
        <x:v>0</x:v>
      </x:c>
      <x:c r="AZ181" s="48" t="n">
        <x:f>IF(OR(Inputs!$F$6=TRUE,Inputs!$F$6="TRUE",Inputs!$F$6=1),(Inputs!$H$6+Inputs!$L$6*(((Inputs!$I$6+(((A181)+1)/2)*(Inputs!$J$6-Inputs!$I$6)))/Inputs!$K$6)^2),NA())</x:f>
        <x:v>400.968256</x:v>
      </x:c>
      <x:c r="BA181" s="48" t="n">
        <x:f>IF(OR(Inputs!$F$7=TRUE,Inputs!$F$7="TRUE",Inputs!$F$7=1),(Inputs!$H$7+Inputs!$L$7*(((Inputs!$I$7+(((A181)+1)/2)*(Inputs!$J$7-Inputs!$I$7)))/Inputs!$K$7)^2),NA())</x:f>
        <x:v>123.35335999999997</x:v>
      </x:c>
      <x:c r="BB181" s="48" t="n">
        <x:f>IF(OR(Inputs!$F$8=TRUE,Inputs!$F$8="TRUE",Inputs!$F$8=1),(Inputs!$H$8+Inputs!$L$8*(((Inputs!$I$8+(((A181)+1)/2)*(Inputs!$J$8-Inputs!$I$8)))/Inputs!$K$8)^2),NA())</x:f>
        <x:v>268.5917599999999</x:v>
      </x:c>
      <x:c r="BC181" s="48" t="n">
        <x:f>IF(OR(Inputs!$F$9=TRUE,Inputs!$F$9="TRUE",Inputs!$F$9=1),(Inputs!$H$9+Inputs!$L$9*(((Inputs!$I$9+(((A181)+1)/2)*(Inputs!$J$9-Inputs!$I$9)))/Inputs!$K$9)^2),NA())</x:f>
        <x:v>261.0123999999999</x:v>
      </x:c>
      <x:c r="BD181" s="49"/>
      <x:c r="BE181" s="48" t="n">
        <x:f>A181</x:f>
        <x:v>0.492</x:v>
      </x:c>
      <x:c r="BF181" s="48" t="n">
        <x:f>0</x:f>
        <x:v>0</x:v>
      </x:c>
      <x:c r="BG181" s="48"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BH181" s="48"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BI181" s="48"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BJ181" s="48"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row>
    <x:row r="182">
      <x:c r="A182" s="48" t="n">
        <x:f>ROUND(-1+180*2/240,3)</x:f>
        <x:v>0.5</x:v>
      </x:c>
      <x:c r="B182" s="48" t="n">
        <x:f>IF(OR(Inputs!$F$6=TRUE,Inputs!$F$6="TRUE",Inputs!$F$6=1),(Inputs!$H$6+Inputs!$L$6*(((Inputs!$I$6+(((A182)+1)/2)*(Inputs!$J$6-Inputs!$I$6)))/Inputs!$K$6)^2),NA())</x:f>
        <x:v>401</x:v>
      </x:c>
      <x:c r="C182" s="48" t="n">
        <x:f>IF(OR(Inputs!$F$7=TRUE,Inputs!$F$7="TRUE",Inputs!$F$7=1),(Inputs!$H$7+Inputs!$L$7*(((Inputs!$I$7+(((A182)+1)/2)*(Inputs!$J$7-Inputs!$I$7)))/Inputs!$K$7)^2),NA())</x:f>
        <x:v>126.25</x:v>
      </x:c>
      <x:c r="D182" s="48" t="n">
        <x:f>IF(OR(Inputs!$F$8=TRUE,Inputs!$F$8="TRUE",Inputs!$F$8=1),(Inputs!$H$8+Inputs!$L$8*(((Inputs!$I$8+(((A182)+1)/2)*(Inputs!$J$8-Inputs!$I$8)))/Inputs!$K$8)^2),NA())</x:f>
        <x:v>276.25</x:v>
      </x:c>
      <x:c r="E182" s="48" t="n">
        <x:f>IF(OR(Inputs!$F$9=TRUE,Inputs!$F$9="TRUE",Inputs!$F$9=1),(Inputs!$H$9+Inputs!$L$9*(((Inputs!$I$9+(((A182)+1)/2)*(Inputs!$J$9-Inputs!$I$9)))/Inputs!$K$9)^2),NA())</x:f>
        <x:v>268.75</x:v>
      </x:c>
      <x:c r="F182" s="49"/>
      <x:c r="G182" s="48" t="n">
        <x:f>A182</x:f>
        <x:v>0.5</x:v>
      </x:c>
      <x:c r="H182" s="48"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I182" s="48"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J182" s="48"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K182" s="48"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c r="L182" s="49"/>
      <x:c r="M182" s="48" t="n">
        <x:f>A182</x:f>
        <x:v>0.5</x:v>
      </x:c>
      <x:c r="N182" s="48" t="n">
        <x: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x:f>
        <x:v>-255.7156069405893</x:v>
      </x:c>
      <x:c r="O182" s="48" t="n">
        <x: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x:f>
        <x:v>-2242.053590811741</x:v>
      </x:c>
      <x:c r="P182" s="48" t="n">
        <x: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x:f>
        <x:v>-2678.2070044248176</x:v>
      </x:c>
      <x:c r="Q182" s="48" t="n">
        <x: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x:f>
        <x:v>-2681.3205118758365</x:v>
      </x:c>
      <x:c r="R182" s="49"/>
      <x:c r="S182" s="48" t="n">
        <x:f>A182</x:f>
        <x:v>0.5</x:v>
      </x:c>
      <x:c r="T182" s="48" t="n">
        <x:f>(Inputs!$I$6+(((A182)+1)/2)*(Inputs!$J$6-Inputs!$I$6))</x:f>
        <x:v>30</x:v>
      </x:c>
      <x:c r="U182" s="48" t="n">
        <x:f>(Inputs!$I$7+(((A182)+1)/2)*(Inputs!$J$7-Inputs!$I$7))</x:f>
        <x:v>200</x:v>
      </x:c>
      <x:c r="V182" s="48" t="n">
        <x:f>(Inputs!$I$8+(((A182)+1)/2)*(Inputs!$J$8-Inputs!$I$8))</x:f>
        <x:v>400</x:v>
      </x:c>
      <x:c r="W182" s="48" t="n">
        <x:f>(Inputs!$I$9+(((A182)+1)/2)*(Inputs!$J$9-Inputs!$I$9))</x:f>
        <x:v>400</x:v>
      </x:c>
      <x:c r="X182" s="49"/>
      <x:c r="Y182" s="48" t="n">
        <x:f>A182</x:f>
        <x:v>0.5</x:v>
      </x:c>
      <x:c r="Z182" s="48" t="n">
        <x:f>(Inputs!$H$6+Inputs!$L$6*(((Inputs!$I$6+(((A182)+1)/2)*(Inputs!$J$6-Inputs!$I$6)))/Inputs!$K$6)^2)</x:f>
        <x:v>401</x:v>
      </x:c>
      <x:c r="AA182" s="48" t="n">
        <x:f>(Inputs!$H$7+Inputs!$L$7*(((Inputs!$I$7+(((A182)+1)/2)*(Inputs!$J$7-Inputs!$I$7)))/Inputs!$K$7)^2)</x:f>
        <x:v>126.25</x:v>
      </x:c>
      <x:c r="AB182" s="48" t="n">
        <x:f>(Inputs!$H$8+Inputs!$L$8*(((Inputs!$I$8+(((A182)+1)/2)*(Inputs!$J$8-Inputs!$I$8)))/Inputs!$K$8)^2)</x:f>
        <x:v>276.25</x:v>
      </x:c>
      <x:c r="AC182" s="48" t="n">
        <x:f>(Inputs!$H$9+Inputs!$L$9*(((Inputs!$I$9+(((A182)+1)/2)*(Inputs!$J$9-Inputs!$I$9)))/Inputs!$K$9)^2)</x:f>
        <x:v>268.75</x:v>
      </x:c>
      <x:c r="AD182" s="49"/>
      <x:c r="AE182" s="48" t="n">
        <x:f>A182</x:f>
        <x:v>0.5</x:v>
      </x:c>
      <x:c r="AF182" s="48" t="n">
        <x:f>(((SQRT((Inputs!$C$52+((Inputs!$H$6+Inputs!$L$6*(((Inputs!$I$6+(((A182)+1)/2)*(Inputs!$J$6-Inputs!$I$6)))/Inputs!$K$6)^2)))^2+Inputs!$C$52^2-2*(Inputs!$C$52+((Inputs!$H$6+Inputs!$L$6*(((Inputs!$I$6+(((A182)+1)/2)*(Inputs!$J$6-Inputs!$I$6)))/Inputs!$K$6)^2)))*Inputs!$C$52*COS(SQRT(((Inputs!$I$6+(((A182)+1)/2)*(Inputs!$J$6-Inputs!$I$6)))^2+Inputs!$C$6^2)/Inputs!$C$52)))-((Inputs!$H$6+Inputs!$L$6*(((Inputs!$I$6+(((A182)+1)/2)*(Inputs!$J$6-Inputs!$I$6)))/Inputs!$K$6)^2)))*1000/Inputs!$C$12)</x:f>
        <x:v>1338.6648839632076</x:v>
      </x:c>
      <x:c r="AG182" s="48" t="n">
        <x:f>(((SQRT((Inputs!$C$52+((Inputs!$H$7+Inputs!$L$7*(((Inputs!$I$7+(((A182)+1)/2)*(Inputs!$J$7-Inputs!$I$7)))/Inputs!$K$7)^2)))^2+Inputs!$C$52^2-2*(Inputs!$C$52+((Inputs!$H$7+Inputs!$L$7*(((Inputs!$I$7+(((A182)+1)/2)*(Inputs!$J$7-Inputs!$I$7)))/Inputs!$K$7)^2)))*Inputs!$C$52*COS(SQRT(((Inputs!$I$7+(((A182)+1)/2)*(Inputs!$J$7-Inputs!$I$7)))^2+Inputs!$C$6^2)/Inputs!$C$52)))-((Inputs!$H$7+Inputs!$L$7*(((Inputs!$I$7+(((A182)+1)/2)*(Inputs!$J$7-Inputs!$I$7)))/Inputs!$K$7)^2)))*1000/Inputs!$C$12)</x:f>
        <x:v>66442.80760102585</x:v>
      </x:c>
      <x:c r="AH182" s="48" t="n">
        <x:f>(((SQRT((Inputs!$C$52+((Inputs!$H$8+Inputs!$L$8*(((Inputs!$I$8+(((A182)+1)/2)*(Inputs!$J$8-Inputs!$I$8)))/Inputs!$K$8)^2)))^2+Inputs!$C$52^2-2*(Inputs!$C$52+((Inputs!$H$8+Inputs!$L$8*(((Inputs!$I$8+(((A182)+1)/2)*(Inputs!$J$8-Inputs!$I$8)))/Inputs!$K$8)^2)))*Inputs!$C$52*COS(SQRT(((Inputs!$I$8+(((A182)+1)/2)*(Inputs!$J$8-Inputs!$I$8)))^2+Inputs!$C$6^2)/Inputs!$C$52)))-((Inputs!$H$8+Inputs!$L$8*(((Inputs!$I$8+(((A182)+1)/2)*(Inputs!$J$8-Inputs!$I$8)))/Inputs!$K$8)^2)))*1000/Inputs!$C$12)</x:f>
        <x:v>133641.7255249072</x:v>
      </x:c>
      <x:c r="AI182" s="48" t="n">
        <x:f>(((SQRT((Inputs!$C$52+((Inputs!$H$9+Inputs!$L$9*(((Inputs!$I$9+(((A182)+1)/2)*(Inputs!$J$9-Inputs!$I$9)))/Inputs!$K$9)^2)))^2+Inputs!$C$52^2-2*(Inputs!$C$52+((Inputs!$H$9+Inputs!$L$9*(((Inputs!$I$9+(((A182)+1)/2)*(Inputs!$J$9-Inputs!$I$9)))/Inputs!$K$9)^2)))*Inputs!$C$52*COS(SQRT(((Inputs!$I$9+(((A182)+1)/2)*(Inputs!$J$9-Inputs!$I$9)))^2+Inputs!$C$6^2)/Inputs!$C$52)))-((Inputs!$H$9+Inputs!$L$9*(((Inputs!$I$9+(((A182)+1)/2)*(Inputs!$J$9-Inputs!$I$9)))/Inputs!$K$9)^2)))*1000/Inputs!$C$12)</x:f>
        <x:v>135190.30115575515</x:v>
      </x:c>
      <x:c r="AJ182" s="49"/>
      <x:c r="AK182" s="48" t="n">
        <x:f>A182</x:f>
        <x:v>0.5</x:v>
      </x:c>
      <x:c r="AL182" s="48" t="n">
        <x: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x:f>
        <x:v>-255.7156069405893</x:v>
      </x:c>
      <x:c r="AM182" s="48" t="n">
        <x: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x:f>
        <x:v>-2242.053590811741</x:v>
      </x:c>
      <x:c r="AN182" s="48" t="n">
        <x: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x:f>
        <x:v>-2678.2070044248176</x:v>
      </x:c>
      <x:c r="AO182" s="48" t="n">
        <x: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x:f>
        <x:v>-2681.3205118758365</x:v>
      </x:c>
      <x:c r="AP182" s="49"/>
      <x:c r="AQ182" s="48" t="n">
        <x:f>A182</x:f>
        <x:v>0.5</x:v>
      </x:c>
      <x:c r="AR182" s="48" t="n">
        <x:f>0</x:f>
        <x:v>0</x:v>
      </x:c>
      <x:c r="AS182" s="48" t="n">
        <x: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(0.45*SIN(2*PI()*((((Inputs!$I$6+(((A182)+1)/2)*(Inputs!$J$6-Inputs!$I$6)))/Inputs!$C$49)+Inputs!$C$47*0.137))+0.35*COS(2*PI()*(((Inputs!$C$6)/Inputs!$C$50)+Inputs!$C$47*0.173))+0.20*SIN(2*PI()*((((Inputs!$I$6+(((A182)+1)/2)*(Inputs!$J$6-Inputs!$I$6)))+(Inputs!$C$6))/(0.5*(Inputs!$C$49+Inputs!$C$50))+Inputs!$C$47*0.097)))+0.30*(2*((SIN((((Inputs!$I$6+(((A182)+1)/2)*(Inputs!$J$6-Inputs!$I$6)))*12.9898+(Inputs!$C$6)*78.233+Inputs!$C$47*37.719))*43758.5453)-INT((SIN((((Inputs!$I$6+(((A182)+1)/2)*(Inputs!$J$6-Inputs!$I$6)))*12.9898+(Inputs!$C$6)*78.233+Inputs!$C$47*37.719))*43758.5453)))-1))),NA())</x:f>
        <x:v>258.3810354027646</x:v>
      </x:c>
      <x:c r="AT182" s="48" t="n">
        <x: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(0.45*SIN(2*PI()*((((Inputs!$I$7+(((A182)+1)/2)*(Inputs!$J$7-Inputs!$I$7)))/Inputs!$C$49)+Inputs!$C$47*0.137))+0.35*COS(2*PI()*(((Inputs!$C$6)/Inputs!$C$50)+Inputs!$C$47*0.173))+0.20*SIN(2*PI()*((((Inputs!$I$7+(((A182)+1)/2)*(Inputs!$J$7-Inputs!$I$7)))+(Inputs!$C$6))/(0.5*(Inputs!$C$49+Inputs!$C$50))+Inputs!$C$47*0.097)))+0.30*(2*((SIN((((Inputs!$I$7+(((A182)+1)/2)*(Inputs!$J$7-Inputs!$I$7)))*12.9898+(Inputs!$C$6)*78.233+Inputs!$C$47*37.719))*43758.5453)-INT((SIN((((Inputs!$I$7+(((A182)+1)/2)*(Inputs!$J$7-Inputs!$I$7)))*12.9898+(Inputs!$C$6)*78.233+Inputs!$C$47*37.719))*43758.5453)))-1))),NA())</x:f>
        <x:v>158.86775074007286</x:v>
      </x:c>
      <x:c r="AU182" s="48" t="n">
        <x: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(0.45*SIN(2*PI()*((((Inputs!$I$8+(((A182)+1)/2)*(Inputs!$J$8-Inputs!$I$8)))/Inputs!$C$49)+Inputs!$C$47*0.137))+0.35*COS(2*PI()*(((Inputs!$C$6)/Inputs!$C$50)+Inputs!$C$47*0.173))+0.20*SIN(2*PI()*((((Inputs!$I$8+(((A182)+1)/2)*(Inputs!$J$8-Inputs!$I$8)))+(Inputs!$C$6))/(0.5*(Inputs!$C$49+Inputs!$C$50))+Inputs!$C$47*0.097)))+0.30*(2*((SIN((((Inputs!$I$8+(((A182)+1)/2)*(Inputs!$J$8-Inputs!$I$8)))*12.9898+(Inputs!$C$6)*78.233+Inputs!$C$47*37.719))*43758.5453)-INT((SIN((((Inputs!$I$8+(((A182)+1)/2)*(Inputs!$J$8-Inputs!$I$8)))*12.9898+(Inputs!$C$6)*78.233+Inputs!$C$47*37.719))*43758.5453)))-1))),NA())</x:f>
        <x:v>200.7418453023654</x:v>
      </x:c>
      <x:c r="AV182" s="48" t="n">
        <x: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(0.45*SIN(2*PI()*((((Inputs!$I$9+(((A182)+1)/2)*(Inputs!$J$9-Inputs!$I$9)))/Inputs!$C$49)+Inputs!$C$47*0.137))+0.35*COS(2*PI()*(((Inputs!$C$6)/Inputs!$C$50)+Inputs!$C$47*0.173))+0.20*SIN(2*PI()*((((Inputs!$I$9+(((A182)+1)/2)*(Inputs!$J$9-Inputs!$I$9)))+(Inputs!$C$6))/(0.5*(Inputs!$C$49+Inputs!$C$50))+Inputs!$C$47*0.097)))+0.30*(2*((SIN((((Inputs!$I$9+(((A182)+1)/2)*(Inputs!$J$9-Inputs!$I$9)))*12.9898+(Inputs!$C$6)*78.233+Inputs!$C$47*37.719))*43758.5453)-INT((SIN((((Inputs!$I$9+(((A182)+1)/2)*(Inputs!$J$9-Inputs!$I$9)))*12.9898+(Inputs!$C$6)*78.233+Inputs!$C$47*37.719))*43758.5453)))-1))),NA())</x:f>
        <x:v>200.7418453023654</x:v>
      </x:c>
      <x:c r="AW182" s="49"/>
      <x:c r="AX182" s="48" t="n">
        <x:f>A182</x:f>
        <x:v>0.5</x:v>
      </x:c>
      <x:c r="AY182" s="48" t="n">
        <x:f>0</x:f>
        <x:v>0</x:v>
      </x:c>
      <x:c r="AZ182" s="48" t="n">
        <x:f>IF(OR(Inputs!$F$6=TRUE,Inputs!$F$6="TRUE",Inputs!$F$6=1),(Inputs!$H$6+Inputs!$L$6*(((Inputs!$I$6+(((A182)+1)/2)*(Inputs!$J$6-Inputs!$I$6)))/Inputs!$K$6)^2),NA())</x:f>
        <x:v>401</x:v>
      </x:c>
      <x:c r="BA182" s="48" t="n">
        <x:f>IF(OR(Inputs!$F$7=TRUE,Inputs!$F$7="TRUE",Inputs!$F$7=1),(Inputs!$H$7+Inputs!$L$7*(((Inputs!$I$7+(((A182)+1)/2)*(Inputs!$J$7-Inputs!$I$7)))/Inputs!$K$7)^2),NA())</x:f>
        <x:v>126.25</x:v>
      </x:c>
      <x:c r="BB182" s="48" t="n">
        <x:f>IF(OR(Inputs!$F$8=TRUE,Inputs!$F$8="TRUE",Inputs!$F$8=1),(Inputs!$H$8+Inputs!$L$8*(((Inputs!$I$8+(((A182)+1)/2)*(Inputs!$J$8-Inputs!$I$8)))/Inputs!$K$8)^2),NA())</x:f>
        <x:v>276.25</x:v>
      </x:c>
      <x:c r="BC182" s="48" t="n">
        <x:f>IF(OR(Inputs!$F$9=TRUE,Inputs!$F$9="TRUE",Inputs!$F$9=1),(Inputs!$H$9+Inputs!$L$9*(((Inputs!$I$9+(((A182)+1)/2)*(Inputs!$J$9-Inputs!$I$9)))/Inputs!$K$9)^2),NA())</x:f>
        <x:v>268.75</x:v>
      </x:c>
      <x:c r="BD182" s="49"/>
      <x:c r="BE182" s="48" t="n">
        <x:f>A182</x:f>
        <x:v>0.5</x:v>
      </x:c>
      <x:c r="BF182" s="48" t="n">
        <x:f>0</x:f>
        <x:v>0</x:v>
      </x:c>
      <x:c r="BG182" s="48"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BH182" s="48"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BI182" s="48"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BJ182" s="48"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row>
    <x:row r="183">
      <x:c r="A183" s="48" t="n">
        <x:f>ROUND(-1+181*2/240,3)</x:f>
        <x:v>0.508</x:v>
      </x:c>
      <x:c r="B183" s="48" t="n">
        <x:f>IF(OR(Inputs!$F$6=TRUE,Inputs!$F$6="TRUE",Inputs!$F$6=1),(Inputs!$H$6+Inputs!$L$6*(((Inputs!$I$6+(((A183)+1)/2)*(Inputs!$J$6-Inputs!$I$6)))/Inputs!$K$6)^2),NA())</x:f>
        <x:v>401.032256</x:v>
      </x:c>
      <x:c r="C183" s="48" t="n">
        <x:f>IF(OR(Inputs!$F$7=TRUE,Inputs!$F$7="TRUE",Inputs!$F$7=1),(Inputs!$H$7+Inputs!$L$7*(((Inputs!$I$7+(((A183)+1)/2)*(Inputs!$J$7-Inputs!$I$7)))/Inputs!$K$7)^2),NA())</x:f>
        <x:v>129.19336000000004</x:v>
      </x:c>
      <x:c r="D183" s="48" t="n">
        <x:f>IF(OR(Inputs!$F$8=TRUE,Inputs!$F$8="TRUE",Inputs!$F$8=1),(Inputs!$H$8+Inputs!$L$8*(((Inputs!$I$8+(((A183)+1)/2)*(Inputs!$J$8-Inputs!$I$8)))/Inputs!$K$8)^2),NA())</x:f>
        <x:v>284.03176000000013</x:v>
      </x:c>
      <x:c r="E183" s="48" t="n">
        <x:f>IF(OR(Inputs!$F$9=TRUE,Inputs!$F$9="TRUE",Inputs!$F$9=1),(Inputs!$H$9+Inputs!$L$9*(((Inputs!$I$9+(((A183)+1)/2)*(Inputs!$J$9-Inputs!$I$9)))/Inputs!$K$9)^2),NA())</x:f>
        <x:v>276.6124000000001</x:v>
      </x:c>
      <x:c r="F183" s="49"/>
      <x:c r="G183" s="48" t="n">
        <x:f>A183</x:f>
        <x:v>0.508</x:v>
      </x:c>
      <x:c r="H183" s="48"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I183" s="48"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J183" s="48"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K183" s="48"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c r="L183" s="49"/>
      <x:c r="M183" s="48" t="n">
        <x:f>A183</x:f>
        <x:v>0.508</x:v>
      </x:c>
      <x:c r="N183" s="48" t="n">
        <x: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x:f>
        <x:v>-259.7706228068675</x:v>
      </x:c>
      <x:c r="O183" s="48" t="n">
        <x: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x:f>
        <x:v>-2259.0710879618123</x:v>
      </x:c>
      <x:c r="P183" s="48" t="n">
        <x: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x:f>
        <x:v>-2706.008765684096</x:v>
      </x:c>
      <x:c r="Q183" s="48" t="n">
        <x: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x:f>
        <x:v>-2709.640063926727</x:v>
      </x:c>
      <x:c r="R183" s="49"/>
      <x:c r="S183" s="48" t="n">
        <x:f>A183</x:f>
        <x:v>0.508</x:v>
      </x:c>
      <x:c r="T183" s="48" t="n">
        <x:f>(Inputs!$I$6+(((A183)+1)/2)*(Inputs!$J$6-Inputs!$I$6))</x:f>
        <x:v>30.480000000000004</x:v>
      </x:c>
      <x:c r="U183" s="48" t="n">
        <x:f>(Inputs!$I$7+(((A183)+1)/2)*(Inputs!$J$7-Inputs!$I$7))</x:f>
        <x:v>203.20000000000005</x:v>
      </x:c>
      <x:c r="V183" s="48" t="n">
        <x:f>(Inputs!$I$8+(((A183)+1)/2)*(Inputs!$J$8-Inputs!$I$8))</x:f>
        <x:v>406.4000000000001</x:v>
      </x:c>
      <x:c r="W183" s="48" t="n">
        <x:f>(Inputs!$I$9+(((A183)+1)/2)*(Inputs!$J$9-Inputs!$I$9))</x:f>
        <x:v>406.4000000000001</x:v>
      </x:c>
      <x:c r="X183" s="49"/>
      <x:c r="Y183" s="48" t="n">
        <x:f>A183</x:f>
        <x:v>0.508</x:v>
      </x:c>
      <x:c r="Z183" s="48" t="n">
        <x:f>(Inputs!$H$6+Inputs!$L$6*(((Inputs!$I$6+(((A183)+1)/2)*(Inputs!$J$6-Inputs!$I$6)))/Inputs!$K$6)^2)</x:f>
        <x:v>401.032256</x:v>
      </x:c>
      <x:c r="AA183" s="48" t="n">
        <x:f>(Inputs!$H$7+Inputs!$L$7*(((Inputs!$I$7+(((A183)+1)/2)*(Inputs!$J$7-Inputs!$I$7)))/Inputs!$K$7)^2)</x:f>
        <x:v>129.19336000000004</x:v>
      </x:c>
      <x:c r="AB183" s="48" t="n">
        <x:f>(Inputs!$H$8+Inputs!$L$8*(((Inputs!$I$8+(((A183)+1)/2)*(Inputs!$J$8-Inputs!$I$8)))/Inputs!$K$8)^2)</x:f>
        <x:v>284.03176000000013</x:v>
      </x:c>
      <x:c r="AC183" s="48" t="n">
        <x:f>(Inputs!$H$9+Inputs!$L$9*(((Inputs!$I$9+(((A183)+1)/2)*(Inputs!$J$9-Inputs!$I$9)))/Inputs!$K$9)^2)</x:f>
        <x:v>276.6124000000001</x:v>
      </x:c>
      <x:c r="AD183" s="49"/>
      <x:c r="AE183" s="48" t="n">
        <x:f>A183</x:f>
        <x:v>0.508</x:v>
      </x:c>
      <x:c r="AF183" s="48" t="n">
        <x:f>(((SQRT((Inputs!$C$52+((Inputs!$H$6+Inputs!$L$6*(((Inputs!$I$6+(((A183)+1)/2)*(Inputs!$J$6-Inputs!$I$6)))/Inputs!$K$6)^2)))^2+Inputs!$C$52^2-2*(Inputs!$C$52+((Inputs!$H$6+Inputs!$L$6*(((Inputs!$I$6+(((A183)+1)/2)*(Inputs!$J$6-Inputs!$I$6)))/Inputs!$K$6)^2)))*Inputs!$C$52*COS(SQRT(((Inputs!$I$6+(((A183)+1)/2)*(Inputs!$J$6-Inputs!$I$6)))^2+Inputs!$C$6^2)/Inputs!$C$52)))-((Inputs!$H$6+Inputs!$L$6*(((Inputs!$I$6+(((A183)+1)/2)*(Inputs!$J$6-Inputs!$I$6)))/Inputs!$K$6)^2)))*1000/Inputs!$C$12)</x:f>
        <x:v>1363.9834103540206</x:v>
      </x:c>
      <x:c r="AG183" s="48" t="n">
        <x:f>(((SQRT((Inputs!$C$52+((Inputs!$H$7+Inputs!$L$7*(((Inputs!$I$7+(((A183)+1)/2)*(Inputs!$J$7-Inputs!$I$7)))/Inputs!$K$7)^2)))^2+Inputs!$C$52^2-2*(Inputs!$C$52+((Inputs!$H$7+Inputs!$L$7*(((Inputs!$I$7+(((A183)+1)/2)*(Inputs!$J$7-Inputs!$I$7)))/Inputs!$K$7)^2)))*Inputs!$C$52*COS(SQRT(((Inputs!$I$7+(((A183)+1)/2)*(Inputs!$J$7-Inputs!$I$7)))^2+Inputs!$C$6^2)/Inputs!$C$52)))-((Inputs!$H$7+Inputs!$L$7*(((Inputs!$I$7+(((A183)+1)/2)*(Inputs!$J$7-Inputs!$I$7)))/Inputs!$K$7)^2)))*1000/Inputs!$C$12)</x:f>
        <x:v>67317.9439186001</x:v>
      </x:c>
      <x:c r="AH183" s="48" t="n">
        <x:f>(((SQRT((Inputs!$C$52+((Inputs!$H$8+Inputs!$L$8*(((Inputs!$I$8+(((A183)+1)/2)*(Inputs!$J$8-Inputs!$I$8)))/Inputs!$K$8)^2)))^2+Inputs!$C$52^2-2*(Inputs!$C$52+((Inputs!$H$8+Inputs!$L$8*(((Inputs!$I$8+(((A183)+1)/2)*(Inputs!$J$8-Inputs!$I$8)))/Inputs!$K$8)^2)))*Inputs!$C$52*COS(SQRT(((Inputs!$I$8+(((A183)+1)/2)*(Inputs!$J$8-Inputs!$I$8)))^2+Inputs!$C$6^2)/Inputs!$C$52)))-((Inputs!$H$8+Inputs!$L$8*(((Inputs!$I$8+(((A183)+1)/2)*(Inputs!$J$8-Inputs!$I$8)))/Inputs!$K$8)^2)))*1000/Inputs!$C$12)</x:f>
        <x:v>135319.5913621739</x:v>
      </x:c>
      <x:c r="AI183" s="48" t="n">
        <x:f>(((SQRT((Inputs!$C$52+((Inputs!$H$9+Inputs!$L$9*(((Inputs!$I$9+(((A183)+1)/2)*(Inputs!$J$9-Inputs!$I$9)))/Inputs!$K$9)^2)))^2+Inputs!$C$52^2-2*(Inputs!$C$52+((Inputs!$H$9+Inputs!$L$9*(((Inputs!$I$9+(((A183)+1)/2)*(Inputs!$J$9-Inputs!$I$9)))/Inputs!$K$9)^2)))*Inputs!$C$52*COS(SQRT(((Inputs!$I$9+(((A183)+1)/2)*(Inputs!$J$9-Inputs!$I$9)))^2+Inputs!$C$6^2)/Inputs!$C$52)))-((Inputs!$H$9+Inputs!$L$9*(((Inputs!$I$9+(((A183)+1)/2)*(Inputs!$J$9-Inputs!$I$9)))/Inputs!$K$9)^2)))*1000/Inputs!$C$12)</x:f>
        <x:v>136830.4415826691</x:v>
      </x:c>
      <x:c r="AJ183" s="49"/>
      <x:c r="AK183" s="48" t="n">
        <x:f>A183</x:f>
        <x:v>0.508</x:v>
      </x:c>
      <x:c r="AL183" s="48" t="n">
        <x: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x:f>
        <x:v>-259.7706228068675</x:v>
      </x:c>
      <x:c r="AM183" s="48" t="n">
        <x: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x:f>
        <x:v>-2259.0710879618123</x:v>
      </x:c>
      <x:c r="AN183" s="48" t="n">
        <x: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x:f>
        <x:v>-2706.008765684096</x:v>
      </x:c>
      <x:c r="AO183" s="48" t="n">
        <x: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x:f>
        <x:v>-2709.640063926727</x:v>
      </x:c>
      <x:c r="AP183" s="49"/>
      <x:c r="AQ183" s="48" t="n">
        <x:f>A183</x:f>
        <x:v>0.508</x:v>
      </x:c>
      <x:c r="AR183" s="48" t="n">
        <x:f>0</x:f>
        <x:v>0</x:v>
      </x:c>
      <x:c r="AS183" s="48" t="n">
        <x: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(0.45*SIN(2*PI()*((((Inputs!$I$6+(((A183)+1)/2)*(Inputs!$J$6-Inputs!$I$6)))/Inputs!$C$49)+Inputs!$C$47*0.137))+0.35*COS(2*PI()*(((Inputs!$C$6)/Inputs!$C$50)+Inputs!$C$47*0.173))+0.20*SIN(2*PI()*((((Inputs!$I$6+(((A183)+1)/2)*(Inputs!$J$6-Inputs!$I$6)))+(Inputs!$C$6))/(0.5*(Inputs!$C$49+Inputs!$C$50))+Inputs!$C$47*0.097)))+0.30*(2*((SIN((((Inputs!$I$6+(((A183)+1)/2)*(Inputs!$J$6-Inputs!$I$6)))*12.9898+(Inputs!$C$6)*78.233+Inputs!$C$47*37.719))*43758.5453)-INT((SIN((((Inputs!$I$6+(((A183)+1)/2)*(Inputs!$J$6-Inputs!$I$6)))*12.9898+(Inputs!$C$6)*78.233+Inputs!$C$47*37.719))*43758.5453)))-1))),NA())</x:f>
        <x:v>248.30462581119681</x:v>
      </x:c>
      <x:c r="AT183" s="48" t="n">
        <x: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(0.45*SIN(2*PI()*((((Inputs!$I$7+(((A183)+1)/2)*(Inputs!$J$7-Inputs!$I$7)))/Inputs!$C$49)+Inputs!$C$47*0.137))+0.35*COS(2*PI()*(((Inputs!$C$6)/Inputs!$C$50)+Inputs!$C$47*0.173))+0.20*SIN(2*PI()*((((Inputs!$I$7+(((A183)+1)/2)*(Inputs!$J$7-Inputs!$I$7)))+(Inputs!$C$6))/(0.5*(Inputs!$C$49+Inputs!$C$50))+Inputs!$C$47*0.097)))+0.30*(2*((SIN((((Inputs!$I$7+(((A183)+1)/2)*(Inputs!$J$7-Inputs!$I$7)))*12.9898+(Inputs!$C$6)*78.233+Inputs!$C$47*37.719))*43758.5453)-INT((SIN((((Inputs!$I$7+(((A183)+1)/2)*(Inputs!$J$7-Inputs!$I$7)))*12.9898+(Inputs!$C$6)*78.233+Inputs!$C$47*37.719))*43758.5453)))-1))),NA())</x:f>
        <x:v>188.56626253642412</x:v>
      </x:c>
      <x:c r="AU183" s="48" t="n">
        <x: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(0.45*SIN(2*PI()*((((Inputs!$I$8+(((A183)+1)/2)*(Inputs!$J$8-Inputs!$I$8)))/Inputs!$C$49)+Inputs!$C$47*0.137))+0.35*COS(2*PI()*(((Inputs!$C$6)/Inputs!$C$50)+Inputs!$C$47*0.173))+0.20*SIN(2*PI()*((((Inputs!$I$8+(((A183)+1)/2)*(Inputs!$J$8-Inputs!$I$8)))+(Inputs!$C$6))/(0.5*(Inputs!$C$49+Inputs!$C$50))+Inputs!$C$47*0.097)))+0.30*(2*((SIN((((Inputs!$I$8+(((A183)+1)/2)*(Inputs!$J$8-Inputs!$I$8)))*12.9898+(Inputs!$C$6)*78.233+Inputs!$C$47*37.719))*43758.5453)-INT((SIN((((Inputs!$I$8+(((A183)+1)/2)*(Inputs!$J$8-Inputs!$I$8)))*12.9898+(Inputs!$C$6)*78.233+Inputs!$C$47*37.719))*43758.5453)))-1))),NA())</x:f>
        <x:v>74.77995597742478</x:v>
      </x:c>
      <x:c r="AV183" s="48" t="n">
        <x: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(0.45*SIN(2*PI()*((((Inputs!$I$9+(((A183)+1)/2)*(Inputs!$J$9-Inputs!$I$9)))/Inputs!$C$49)+Inputs!$C$47*0.137))+0.35*COS(2*PI()*(((Inputs!$C$6)/Inputs!$C$50)+Inputs!$C$47*0.173))+0.20*SIN(2*PI()*((((Inputs!$I$9+(((A183)+1)/2)*(Inputs!$J$9-Inputs!$I$9)))+(Inputs!$C$6))/(0.5*(Inputs!$C$49+Inputs!$C$50))+Inputs!$C$47*0.097)))+0.30*(2*((SIN((((Inputs!$I$9+(((A183)+1)/2)*(Inputs!$J$9-Inputs!$I$9)))*12.9898+(Inputs!$C$6)*78.233+Inputs!$C$47*37.719))*43758.5453)-INT((SIN((((Inputs!$I$9+(((A183)+1)/2)*(Inputs!$J$9-Inputs!$I$9)))*12.9898+(Inputs!$C$6)*78.233+Inputs!$C$47*37.719))*43758.5453)))-1))),NA())</x:f>
        <x:v>74.77995597742478</x:v>
      </x:c>
      <x:c r="AW183" s="49"/>
      <x:c r="AX183" s="48" t="n">
        <x:f>A183</x:f>
        <x:v>0.508</x:v>
      </x:c>
      <x:c r="AY183" s="48" t="n">
        <x:f>0</x:f>
        <x:v>0</x:v>
      </x:c>
      <x:c r="AZ183" s="48" t="n">
        <x:f>IF(OR(Inputs!$F$6=TRUE,Inputs!$F$6="TRUE",Inputs!$F$6=1),(Inputs!$H$6+Inputs!$L$6*(((Inputs!$I$6+(((A183)+1)/2)*(Inputs!$J$6-Inputs!$I$6)))/Inputs!$K$6)^2),NA())</x:f>
        <x:v>401.032256</x:v>
      </x:c>
      <x:c r="BA183" s="48" t="n">
        <x:f>IF(OR(Inputs!$F$7=TRUE,Inputs!$F$7="TRUE",Inputs!$F$7=1),(Inputs!$H$7+Inputs!$L$7*(((Inputs!$I$7+(((A183)+1)/2)*(Inputs!$J$7-Inputs!$I$7)))/Inputs!$K$7)^2),NA())</x:f>
        <x:v>129.19336000000004</x:v>
      </x:c>
      <x:c r="BB183" s="48" t="n">
        <x:f>IF(OR(Inputs!$F$8=TRUE,Inputs!$F$8="TRUE",Inputs!$F$8=1),(Inputs!$H$8+Inputs!$L$8*(((Inputs!$I$8+(((A183)+1)/2)*(Inputs!$J$8-Inputs!$I$8)))/Inputs!$K$8)^2),NA())</x:f>
        <x:v>284.03176000000013</x:v>
      </x:c>
      <x:c r="BC183" s="48" t="n">
        <x:f>IF(OR(Inputs!$F$9=TRUE,Inputs!$F$9="TRUE",Inputs!$F$9=1),(Inputs!$H$9+Inputs!$L$9*(((Inputs!$I$9+(((A183)+1)/2)*(Inputs!$J$9-Inputs!$I$9)))/Inputs!$K$9)^2),NA())</x:f>
        <x:v>276.6124000000001</x:v>
      </x:c>
      <x:c r="BD183" s="49"/>
      <x:c r="BE183" s="48" t="n">
        <x:f>A183</x:f>
        <x:v>0.508</x:v>
      </x:c>
      <x:c r="BF183" s="48" t="n">
        <x:f>0</x:f>
        <x:v>0</x:v>
      </x:c>
      <x:c r="BG183" s="48"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BH183" s="48"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BI183" s="48"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BJ183" s="48"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row>
    <x:row r="184">
      <x:c r="A184" s="48" t="n">
        <x:f>ROUND(-1+182*2/240,3)</x:f>
        <x:v>0.517</x:v>
      </x:c>
      <x:c r="B184" s="48" t="n">
        <x:f>IF(OR(Inputs!$F$6=TRUE,Inputs!$F$6="TRUE",Inputs!$F$6=1),(Inputs!$H$6+Inputs!$L$6*(((Inputs!$I$6+(((A184)+1)/2)*(Inputs!$J$6-Inputs!$I$6)))/Inputs!$K$6)^2),NA())</x:f>
        <x:v>401.069156</x:v>
      </x:c>
      <x:c r="C184" s="48" t="n">
        <x:f>IF(OR(Inputs!$F$7=TRUE,Inputs!$F$7="TRUE",Inputs!$F$7=1),(Inputs!$H$7+Inputs!$L$7*(((Inputs!$I$7+(((A184)+1)/2)*(Inputs!$J$7-Inputs!$I$7)))/Inputs!$K$7)^2),NA())</x:f>
        <x:v>132.56048499999997</x:v>
      </x:c>
      <x:c r="D184" s="48" t="n">
        <x:f>IF(OR(Inputs!$F$8=TRUE,Inputs!$F$8="TRUE",Inputs!$F$8=1),(Inputs!$H$8+Inputs!$L$8*(((Inputs!$I$8+(((A184)+1)/2)*(Inputs!$J$8-Inputs!$I$8)))/Inputs!$K$8)^2),NA())</x:f>
        <x:v>292.9338849999999</x:v>
      </x:c>
      <x:c r="E184" s="48" t="n">
        <x:f>IF(OR(Inputs!$F$9=TRUE,Inputs!$F$9="TRUE",Inputs!$F$9=1),(Inputs!$H$9+Inputs!$L$9*(((Inputs!$I$9+(((A184)+1)/2)*(Inputs!$J$9-Inputs!$I$9)))/Inputs!$K$9)^2),NA())</x:f>
        <x:v>285.6067749999999</x:v>
      </x:c>
      <x:c r="F184" s="49"/>
      <x:c r="G184" s="48" t="n">
        <x:f>A184</x:f>
        <x:v>0.517</x:v>
      </x:c>
      <x:c r="H184" s="48"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I184" s="48"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J184" s="48"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K184" s="48"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c r="L184" s="49"/>
      <x:c r="M184" s="48" t="n">
        <x:f>A184</x:f>
        <x:v>0.517</x:v>
      </x:c>
      <x:c r="N184" s="48" t="n">
        <x: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x:f>
        <x:v>-264.3304666092835</x:v>
      </x:c>
      <x:c r="O184" s="48" t="n">
        <x: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x:f>
        <x:v>-2278.3738359403364</x:v>
      </x:c>
      <x:c r="P184" s="48" t="n">
        <x: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x:f>
        <x:v>-2737.5347497540224</x:v>
      </x:c>
      <x:c r="Q184" s="48" t="n">
        <x: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x:f>
        <x:v>-2741.7513278623705</x:v>
      </x:c>
      <x:c r="R184" s="49"/>
      <x:c r="S184" s="48" t="n">
        <x:f>A184</x:f>
        <x:v>0.517</x:v>
      </x:c>
      <x:c r="T184" s="48" t="n">
        <x:f>(Inputs!$I$6+(((A184)+1)/2)*(Inputs!$J$6-Inputs!$I$6))</x:f>
        <x:v>31.019999999999996</x:v>
      </x:c>
      <x:c r="U184" s="48" t="n">
        <x:f>(Inputs!$I$7+(((A184)+1)/2)*(Inputs!$J$7-Inputs!$I$7))</x:f>
        <x:v>206.79999999999995</x:v>
      </x:c>
      <x:c r="V184" s="48" t="n">
        <x:f>(Inputs!$I$8+(((A184)+1)/2)*(Inputs!$J$8-Inputs!$I$8))</x:f>
        <x:v>413.5999999999999</x:v>
      </x:c>
      <x:c r="W184" s="48" t="n">
        <x:f>(Inputs!$I$9+(((A184)+1)/2)*(Inputs!$J$9-Inputs!$I$9))</x:f>
        <x:v>413.5999999999999</x:v>
      </x:c>
      <x:c r="X184" s="49"/>
      <x:c r="Y184" s="48" t="n">
        <x:f>A184</x:f>
        <x:v>0.517</x:v>
      </x:c>
      <x:c r="Z184" s="48" t="n">
        <x:f>(Inputs!$H$6+Inputs!$L$6*(((Inputs!$I$6+(((A184)+1)/2)*(Inputs!$J$6-Inputs!$I$6)))/Inputs!$K$6)^2)</x:f>
        <x:v>401.069156</x:v>
      </x:c>
      <x:c r="AA184" s="48" t="n">
        <x:f>(Inputs!$H$7+Inputs!$L$7*(((Inputs!$I$7+(((A184)+1)/2)*(Inputs!$J$7-Inputs!$I$7)))/Inputs!$K$7)^2)</x:f>
        <x:v>132.56048499999997</x:v>
      </x:c>
      <x:c r="AB184" s="48" t="n">
        <x:f>(Inputs!$H$8+Inputs!$L$8*(((Inputs!$I$8+(((A184)+1)/2)*(Inputs!$J$8-Inputs!$I$8)))/Inputs!$K$8)^2)</x:f>
        <x:v>292.9338849999999</x:v>
      </x:c>
      <x:c r="AC184" s="48" t="n">
        <x:f>(Inputs!$H$9+Inputs!$L$9*(((Inputs!$I$9+(((A184)+1)/2)*(Inputs!$J$9-Inputs!$I$9)))/Inputs!$K$9)^2)</x:f>
        <x:v>285.6067749999999</x:v>
      </x:c>
      <x:c r="AD184" s="49"/>
      <x:c r="AE184" s="48" t="n">
        <x:f>A184</x:f>
        <x:v>0.517</x:v>
      </x:c>
      <x:c r="AF184" s="48" t="n">
        <x:f>(((SQRT((Inputs!$C$52+((Inputs!$H$6+Inputs!$L$6*(((Inputs!$I$6+(((A184)+1)/2)*(Inputs!$J$6-Inputs!$I$6)))/Inputs!$K$6)^2)))^2+Inputs!$C$52^2-2*(Inputs!$C$52+((Inputs!$H$6+Inputs!$L$6*(((Inputs!$I$6+(((A184)+1)/2)*(Inputs!$J$6-Inputs!$I$6)))/Inputs!$K$6)^2)))*Inputs!$C$52*COS(SQRT(((Inputs!$I$6+(((A184)+1)/2)*(Inputs!$J$6-Inputs!$I$6)))^2+Inputs!$C$6^2)/Inputs!$C$52)))-((Inputs!$H$6+Inputs!$L$6*(((Inputs!$I$6+(((A184)+1)/2)*(Inputs!$J$6-Inputs!$I$6)))/Inputs!$K$6)^2)))*1000/Inputs!$C$12)</x:f>
        <x:v>1392.939657729881</x:v>
      </x:c>
      <x:c r="AG184" s="48" t="n">
        <x:f>(((SQRT((Inputs!$C$52+((Inputs!$H$7+Inputs!$L$7*(((Inputs!$I$7+(((A184)+1)/2)*(Inputs!$J$7-Inputs!$I$7)))/Inputs!$K$7)^2)))^2+Inputs!$C$52^2-2*(Inputs!$C$52+((Inputs!$H$7+Inputs!$L$7*(((Inputs!$I$7+(((A184)+1)/2)*(Inputs!$J$7-Inputs!$I$7)))/Inputs!$K$7)^2)))*Inputs!$C$52*COS(SQRT(((Inputs!$I$7+(((A184)+1)/2)*(Inputs!$J$7-Inputs!$I$7)))^2+Inputs!$C$6^2)/Inputs!$C$52)))-((Inputs!$H$7+Inputs!$L$7*(((Inputs!$I$7+(((A184)+1)/2)*(Inputs!$J$7-Inputs!$I$7)))/Inputs!$K$7)^2)))*1000/Inputs!$C$12)</x:f>
        <x:v>68294.05018691235</x:v>
      </x:c>
      <x:c r="AH184" s="48" t="n">
        <x:f>(((SQRT((Inputs!$C$52+((Inputs!$H$8+Inputs!$L$8*(((Inputs!$I$8+(((A184)+1)/2)*(Inputs!$J$8-Inputs!$I$8)))/Inputs!$K$8)^2)))^2+Inputs!$C$52^2-2*(Inputs!$C$52+((Inputs!$H$8+Inputs!$L$8*(((Inputs!$I$8+(((A184)+1)/2)*(Inputs!$J$8-Inputs!$I$8)))/Inputs!$K$8)^2)))*Inputs!$C$52*COS(SQRT(((Inputs!$I$8+(((A184)+1)/2)*(Inputs!$J$8-Inputs!$I$8)))^2+Inputs!$C$6^2)/Inputs!$C$52)))-((Inputs!$H$8+Inputs!$L$8*(((Inputs!$I$8+(((A184)+1)/2)*(Inputs!$J$8-Inputs!$I$8)))/Inputs!$K$8)^2)))*1000/Inputs!$C$12)</x:f>
        <x:v>137199.22635367914</x:v>
      </x:c>
      <x:c r="AI184" s="48" t="n">
        <x:f>(((SQRT((Inputs!$C$52+((Inputs!$H$9+Inputs!$L$9*(((Inputs!$I$9+(((A184)+1)/2)*(Inputs!$J$9-Inputs!$I$9)))/Inputs!$K$9)^2)))^2+Inputs!$C$52^2-2*(Inputs!$C$52+((Inputs!$H$9+Inputs!$L$9*(((Inputs!$I$9+(((A184)+1)/2)*(Inputs!$J$9-Inputs!$I$9)))/Inputs!$K$9)^2)))*Inputs!$C$52*COS(SQRT(((Inputs!$I$9+(((A184)+1)/2)*(Inputs!$J$9-Inputs!$I$9)))^2+Inputs!$C$6^2)/Inputs!$C$52)))-((Inputs!$H$9+Inputs!$L$9*(((Inputs!$I$9+(((A184)+1)/2)*(Inputs!$J$9-Inputs!$I$9)))/Inputs!$K$9)^2)))*1000/Inputs!$C$12)</x:f>
        <x:v>138668.17023633647</x:v>
      </x:c>
      <x:c r="AJ184" s="49"/>
      <x:c r="AK184" s="48" t="n">
        <x:f>A184</x:f>
        <x:v>0.517</x:v>
      </x:c>
      <x:c r="AL184" s="48" t="n">
        <x: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x:f>
        <x:v>-264.3304666092835</x:v>
      </x:c>
      <x:c r="AM184" s="48" t="n">
        <x: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x:f>
        <x:v>-2278.3738359403364</x:v>
      </x:c>
      <x:c r="AN184" s="48" t="n">
        <x: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x:f>
        <x:v>-2737.5347497540224</x:v>
      </x:c>
      <x:c r="AO184" s="48" t="n">
        <x: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x:f>
        <x:v>-2741.7513278623705</x:v>
      </x:c>
      <x:c r="AP184" s="49"/>
      <x:c r="AQ184" s="48" t="n">
        <x:f>A184</x:f>
        <x:v>0.517</x:v>
      </x:c>
      <x:c r="AR184" s="48" t="n">
        <x:f>0</x:f>
        <x:v>0</x:v>
      </x:c>
      <x:c r="AS184" s="48" t="n">
        <x: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(0.45*SIN(2*PI()*((((Inputs!$I$6+(((A184)+1)/2)*(Inputs!$J$6-Inputs!$I$6)))/Inputs!$C$49)+Inputs!$C$47*0.137))+0.35*COS(2*PI()*(((Inputs!$C$6)/Inputs!$C$50)+Inputs!$C$47*0.173))+0.20*SIN(2*PI()*((((Inputs!$I$6+(((A184)+1)/2)*(Inputs!$J$6-Inputs!$I$6)))+(Inputs!$C$6))/(0.5*(Inputs!$C$49+Inputs!$C$50))+Inputs!$C$47*0.097)))+0.30*(2*((SIN((((Inputs!$I$6+(((A184)+1)/2)*(Inputs!$J$6-Inputs!$I$6)))*12.9898+(Inputs!$C$6)*78.233+Inputs!$C$47*37.719))*43758.5453)-INT((SIN((((Inputs!$I$6+(((A184)+1)/2)*(Inputs!$J$6-Inputs!$I$6)))*12.9898+(Inputs!$C$6)*78.233+Inputs!$C$47*37.719))*43758.5453)))-1))),NA())</x:f>
        <x:v>244.67710451674026</x:v>
      </x:c>
      <x:c r="AT184" s="48" t="n">
        <x: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(0.45*SIN(2*PI()*((((Inputs!$I$7+(((A184)+1)/2)*(Inputs!$J$7-Inputs!$I$7)))/Inputs!$C$49)+Inputs!$C$47*0.137))+0.35*COS(2*PI()*(((Inputs!$C$6)/Inputs!$C$50)+Inputs!$C$47*0.173))+0.20*SIN(2*PI()*((((Inputs!$I$7+(((A184)+1)/2)*(Inputs!$J$7-Inputs!$I$7)))+(Inputs!$C$6))/(0.5*(Inputs!$C$49+Inputs!$C$50))+Inputs!$C$47*0.097)))+0.30*(2*((SIN((((Inputs!$I$7+(((A184)+1)/2)*(Inputs!$J$7-Inputs!$I$7)))*12.9898+(Inputs!$C$6)*78.233+Inputs!$C$47*37.719))*43758.5453)-INT((SIN((((Inputs!$I$7+(((A184)+1)/2)*(Inputs!$J$7-Inputs!$I$7)))*12.9898+(Inputs!$C$6)*78.233+Inputs!$C$47*37.719))*43758.5453)))-1))),NA())</x:f>
        <x:v>165.27951163003507</x:v>
      </x:c>
      <x:c r="AU184" s="48" t="n">
        <x: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(0.45*SIN(2*PI()*((((Inputs!$I$8+(((A184)+1)/2)*(Inputs!$J$8-Inputs!$I$8)))/Inputs!$C$49)+Inputs!$C$47*0.137))+0.35*COS(2*PI()*(((Inputs!$C$6)/Inputs!$C$50)+Inputs!$C$47*0.173))+0.20*SIN(2*PI()*((((Inputs!$I$8+(((A184)+1)/2)*(Inputs!$J$8-Inputs!$I$8)))+(Inputs!$C$6))/(0.5*(Inputs!$C$49+Inputs!$C$50))+Inputs!$C$47*0.097)))+0.30*(2*((SIN((((Inputs!$I$8+(((A184)+1)/2)*(Inputs!$J$8-Inputs!$I$8)))*12.9898+(Inputs!$C$6)*78.233+Inputs!$C$47*37.719))*43758.5453)-INT((SIN((((Inputs!$I$8+(((A184)+1)/2)*(Inputs!$J$8-Inputs!$I$8)))*12.9898+(Inputs!$C$6)*78.233+Inputs!$C$47*37.719))*43758.5453)))-1))),NA())</x:f>
        <x:v>139.62227780424172</x:v>
      </x:c>
      <x:c r="AV184" s="48" t="n">
        <x: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(0.45*SIN(2*PI()*((((Inputs!$I$9+(((A184)+1)/2)*(Inputs!$J$9-Inputs!$I$9)))/Inputs!$C$49)+Inputs!$C$47*0.137))+0.35*COS(2*PI()*(((Inputs!$C$6)/Inputs!$C$50)+Inputs!$C$47*0.173))+0.20*SIN(2*PI()*((((Inputs!$I$9+(((A184)+1)/2)*(Inputs!$J$9-Inputs!$I$9)))+(Inputs!$C$6))/(0.5*(Inputs!$C$49+Inputs!$C$50))+Inputs!$C$47*0.097)))+0.30*(2*((SIN((((Inputs!$I$9+(((A184)+1)/2)*(Inputs!$J$9-Inputs!$I$9)))*12.9898+(Inputs!$C$6)*78.233+Inputs!$C$47*37.719))*43758.5453)-INT((SIN((((Inputs!$I$9+(((A184)+1)/2)*(Inputs!$J$9-Inputs!$I$9)))*12.9898+(Inputs!$C$6)*78.233+Inputs!$C$47*37.719))*43758.5453)))-1))),NA())</x:f>
        <x:v>139.62227780424172</x:v>
      </x:c>
      <x:c r="AW184" s="49"/>
      <x:c r="AX184" s="48" t="n">
        <x:f>A184</x:f>
        <x:v>0.517</x:v>
      </x:c>
      <x:c r="AY184" s="48" t="n">
        <x:f>0</x:f>
        <x:v>0</x:v>
      </x:c>
      <x:c r="AZ184" s="48" t="n">
        <x:f>IF(OR(Inputs!$F$6=TRUE,Inputs!$F$6="TRUE",Inputs!$F$6=1),(Inputs!$H$6+Inputs!$L$6*(((Inputs!$I$6+(((A184)+1)/2)*(Inputs!$J$6-Inputs!$I$6)))/Inputs!$K$6)^2),NA())</x:f>
        <x:v>401.069156</x:v>
      </x:c>
      <x:c r="BA184" s="48" t="n">
        <x:f>IF(OR(Inputs!$F$7=TRUE,Inputs!$F$7="TRUE",Inputs!$F$7=1),(Inputs!$H$7+Inputs!$L$7*(((Inputs!$I$7+(((A184)+1)/2)*(Inputs!$J$7-Inputs!$I$7)))/Inputs!$K$7)^2),NA())</x:f>
        <x:v>132.56048499999997</x:v>
      </x:c>
      <x:c r="BB184" s="48" t="n">
        <x:f>IF(OR(Inputs!$F$8=TRUE,Inputs!$F$8="TRUE",Inputs!$F$8=1),(Inputs!$H$8+Inputs!$L$8*(((Inputs!$I$8+(((A184)+1)/2)*(Inputs!$J$8-Inputs!$I$8)))/Inputs!$K$8)^2),NA())</x:f>
        <x:v>292.9338849999999</x:v>
      </x:c>
      <x:c r="BC184" s="48" t="n">
        <x:f>IF(OR(Inputs!$F$9=TRUE,Inputs!$F$9="TRUE",Inputs!$F$9=1),(Inputs!$H$9+Inputs!$L$9*(((Inputs!$I$9+(((A184)+1)/2)*(Inputs!$J$9-Inputs!$I$9)))/Inputs!$K$9)^2),NA())</x:f>
        <x:v>285.6067749999999</x:v>
      </x:c>
      <x:c r="BD184" s="49"/>
      <x:c r="BE184" s="48" t="n">
        <x:f>A184</x:f>
        <x:v>0.517</x:v>
      </x:c>
      <x:c r="BF184" s="48" t="n">
        <x:f>0</x:f>
        <x:v>0</x:v>
      </x:c>
      <x:c r="BG184" s="48"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BH184" s="48"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BI184" s="48"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BJ184" s="48"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row>
    <x:row r="185">
      <x:c r="A185" s="48" t="n">
        <x:f>ROUND(-1+183*2/240,3)</x:f>
        <x:v>0.525</x:v>
      </x:c>
      <x:c r="B185" s="48" t="n">
        <x:f>IF(OR(Inputs!$F$6=TRUE,Inputs!$F$6="TRUE",Inputs!$F$6=1),(Inputs!$H$6+Inputs!$L$6*(((Inputs!$I$6+(((A185)+1)/2)*(Inputs!$J$6-Inputs!$I$6)))/Inputs!$K$6)^2),NA())</x:f>
        <x:v>401.1025</x:v>
      </x:c>
      <x:c r="C185" s="48" t="n">
        <x:f>IF(OR(Inputs!$F$7=TRUE,Inputs!$F$7="TRUE",Inputs!$F$7=1),(Inputs!$H$7+Inputs!$L$7*(((Inputs!$I$7+(((A185)+1)/2)*(Inputs!$J$7-Inputs!$I$7)))/Inputs!$K$7)^2),NA())</x:f>
        <x:v>135.603125</x:v>
      </x:c>
      <x:c r="D185" s="48" t="n">
        <x:f>IF(OR(Inputs!$F$8=TRUE,Inputs!$F$8="TRUE",Inputs!$F$8=1),(Inputs!$H$8+Inputs!$L$8*(((Inputs!$I$8+(((A185)+1)/2)*(Inputs!$J$8-Inputs!$I$8)))/Inputs!$K$8)^2),NA())</x:f>
        <x:v>300.97812500000003</x:v>
      </x:c>
      <x:c r="E185" s="48" t="n">
        <x:f>IF(OR(Inputs!$F$9=TRUE,Inputs!$F$9="TRUE",Inputs!$F$9=1),(Inputs!$H$9+Inputs!$L$9*(((Inputs!$I$9+(((A185)+1)/2)*(Inputs!$J$9-Inputs!$I$9)))/Inputs!$K$9)^2),NA())</x:f>
        <x:v>293.734375</x:v>
      </x:c>
      <x:c r="F185" s="49"/>
      <x:c r="G185" s="48" t="n">
        <x:f>A185</x:f>
        <x:v>0.525</x:v>
      </x:c>
      <x:c r="H185" s="48"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I185" s="48"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J185" s="48"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K185" s="48"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c r="L185" s="49"/>
      <x:c r="M185" s="48" t="n">
        <x:f>A185</x:f>
        <x:v>0.525</x:v>
      </x:c>
      <x:c r="N185" s="48" t="n">
        <x: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x:f>
        <x:v>-268.381811743989</x:v>
      </x:c>
      <x:c r="O185" s="48" t="n">
        <x: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x:f>
        <x:v>-2295.6722738105373</x:v>
      </x:c>
      <x:c r="P185" s="48" t="n">
        <x: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x:f>
        <x:v>-2765.7736366966515</x:v>
      </x:c>
      <x:c r="Q185" s="48" t="n">
        <x: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x:f>
        <x:v>-2770.5125083741054</x:v>
      </x:c>
      <x:c r="R185" s="49"/>
      <x:c r="S185" s="48" t="n">
        <x:f>A185</x:f>
        <x:v>0.525</x:v>
      </x:c>
      <x:c r="T185" s="48" t="n">
        <x:f>(Inputs!$I$6+(((A185)+1)/2)*(Inputs!$J$6-Inputs!$I$6))</x:f>
        <x:v>31.5</x:v>
      </x:c>
      <x:c r="U185" s="48" t="n">
        <x:f>(Inputs!$I$7+(((A185)+1)/2)*(Inputs!$J$7-Inputs!$I$7))</x:f>
        <x:v>210</x:v>
      </x:c>
      <x:c r="V185" s="48" t="n">
        <x:f>(Inputs!$I$8+(((A185)+1)/2)*(Inputs!$J$8-Inputs!$I$8))</x:f>
        <x:v>420</x:v>
      </x:c>
      <x:c r="W185" s="48" t="n">
        <x:f>(Inputs!$I$9+(((A185)+1)/2)*(Inputs!$J$9-Inputs!$I$9))</x:f>
        <x:v>420</x:v>
      </x:c>
      <x:c r="X185" s="49"/>
      <x:c r="Y185" s="48" t="n">
        <x:f>A185</x:f>
        <x:v>0.525</x:v>
      </x:c>
      <x:c r="Z185" s="48" t="n">
        <x:f>(Inputs!$H$6+Inputs!$L$6*(((Inputs!$I$6+(((A185)+1)/2)*(Inputs!$J$6-Inputs!$I$6)))/Inputs!$K$6)^2)</x:f>
        <x:v>401.1025</x:v>
      </x:c>
      <x:c r="AA185" s="48" t="n">
        <x:f>(Inputs!$H$7+Inputs!$L$7*(((Inputs!$I$7+(((A185)+1)/2)*(Inputs!$J$7-Inputs!$I$7)))/Inputs!$K$7)^2)</x:f>
        <x:v>135.603125</x:v>
      </x:c>
      <x:c r="AB185" s="48" t="n">
        <x:f>(Inputs!$H$8+Inputs!$L$8*(((Inputs!$I$8+(((A185)+1)/2)*(Inputs!$J$8-Inputs!$I$8)))/Inputs!$K$8)^2)</x:f>
        <x:v>300.97812500000003</x:v>
      </x:c>
      <x:c r="AC185" s="48" t="n">
        <x:f>(Inputs!$H$9+Inputs!$L$9*(((Inputs!$I$9+(((A185)+1)/2)*(Inputs!$J$9-Inputs!$I$9)))/Inputs!$K$9)^2)</x:f>
        <x:v>293.734375</x:v>
      </x:c>
      <x:c r="AD185" s="49"/>
      <x:c r="AE185" s="48" t="n">
        <x:f>A185</x:f>
        <x:v>0.525</x:v>
      </x:c>
      <x:c r="AF185" s="48" t="n">
        <x:f>(((SQRT((Inputs!$C$52+((Inputs!$H$6+Inputs!$L$6*(((Inputs!$I$6+(((A185)+1)/2)*(Inputs!$J$6-Inputs!$I$6)))/Inputs!$K$6)^2)))^2+Inputs!$C$52^2-2*(Inputs!$C$52+((Inputs!$H$6+Inputs!$L$6*(((Inputs!$I$6+(((A185)+1)/2)*(Inputs!$J$6-Inputs!$I$6)))/Inputs!$K$6)^2)))*Inputs!$C$52*COS(SQRT(((Inputs!$I$6+(((A185)+1)/2)*(Inputs!$J$6-Inputs!$I$6)))^2+Inputs!$C$6^2)/Inputs!$C$52)))-((Inputs!$H$6+Inputs!$L$6*(((Inputs!$I$6+(((A185)+1)/2)*(Inputs!$J$6-Inputs!$I$6)))/Inputs!$K$6)^2)))*1000/Inputs!$C$12)</x:f>
        <x:v>1419.0985822283808</x:v>
      </x:c>
      <x:c r="AG185" s="48" t="n">
        <x:f>(((SQRT((Inputs!$C$52+((Inputs!$H$7+Inputs!$L$7*(((Inputs!$I$7+(((A185)+1)/2)*(Inputs!$J$7-Inputs!$I$7)))/Inputs!$K$7)^2)))^2+Inputs!$C$52^2-2*(Inputs!$C$52+((Inputs!$H$7+Inputs!$L$7*(((Inputs!$I$7+(((A185)+1)/2)*(Inputs!$J$7-Inputs!$I$7)))/Inputs!$K$7)^2)))*Inputs!$C$52*COS(SQRT(((Inputs!$I$7+(((A185)+1)/2)*(Inputs!$J$7-Inputs!$I$7)))^2+Inputs!$C$6^2)/Inputs!$C$52)))-((Inputs!$H$7+Inputs!$L$7*(((Inputs!$I$7+(((A185)+1)/2)*(Inputs!$J$7-Inputs!$I$7)))/Inputs!$K$7)^2)))*1000/Inputs!$C$12)</x:f>
        <x:v>69154.37833040985</x:v>
      </x:c>
      <x:c r="AH185" s="48" t="n">
        <x:f>(((SQRT((Inputs!$C$52+((Inputs!$H$8+Inputs!$L$8*(((Inputs!$I$8+(((A185)+1)/2)*(Inputs!$J$8-Inputs!$I$8)))/Inputs!$K$8)^2)))^2+Inputs!$C$52^2-2*(Inputs!$C$52+((Inputs!$H$8+Inputs!$L$8*(((Inputs!$I$8+(((A185)+1)/2)*(Inputs!$J$8-Inputs!$I$8)))/Inputs!$K$8)^2)))*Inputs!$C$52*COS(SQRT(((Inputs!$I$8+(((A185)+1)/2)*(Inputs!$J$8-Inputs!$I$8)))^2+Inputs!$C$6^2)/Inputs!$C$52)))-((Inputs!$H$8+Inputs!$L$8*(((Inputs!$I$8+(((A185)+1)/2)*(Inputs!$J$8-Inputs!$I$8)))/Inputs!$K$8)^2)))*1000/Inputs!$C$12)</x:f>
        <x:v>138863.4454390576</x:v>
      </x:c>
      <x:c r="AI185" s="48" t="n">
        <x:f>(((SQRT((Inputs!$C$52+((Inputs!$H$9+Inputs!$L$9*(((Inputs!$I$9+(((A185)+1)/2)*(Inputs!$J$9-Inputs!$I$9)))/Inputs!$K$9)^2)))^2+Inputs!$C$52^2-2*(Inputs!$C$52+((Inputs!$H$9+Inputs!$L$9*(((Inputs!$I$9+(((A185)+1)/2)*(Inputs!$J$9-Inputs!$I$9)))/Inputs!$K$9)^2)))*Inputs!$C$52*COS(SQRT(((Inputs!$I$9+(((A185)+1)/2)*(Inputs!$J$9-Inputs!$I$9)))^2+Inputs!$C$6^2)/Inputs!$C$52)))-((Inputs!$H$9+Inputs!$L$9*(((Inputs!$I$9+(((A185)+1)/2)*(Inputs!$J$9-Inputs!$I$9)))/Inputs!$K$9)^2)))*1000/Inputs!$C$12)</x:f>
        <x:v>140295.619839856</x:v>
      </x:c>
      <x:c r="AJ185" s="49"/>
      <x:c r="AK185" s="48" t="n">
        <x:f>A185</x:f>
        <x:v>0.525</x:v>
      </x:c>
      <x:c r="AL185" s="48" t="n">
        <x: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x:f>
        <x:v>-268.381811743989</x:v>
      </x:c>
      <x:c r="AM185" s="48" t="n">
        <x: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x:f>
        <x:v>-2295.6722738105373</x:v>
      </x:c>
      <x:c r="AN185" s="48" t="n">
        <x: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x:f>
        <x:v>-2765.7736366966515</x:v>
      </x:c>
      <x:c r="AO185" s="48" t="n">
        <x: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x:f>
        <x:v>-2770.5125083741054</x:v>
      </x:c>
      <x:c r="AP185" s="49"/>
      <x:c r="AQ185" s="48" t="n">
        <x:f>A185</x:f>
        <x:v>0.525</x:v>
      </x:c>
      <x:c r="AR185" s="48" t="n">
        <x:f>0</x:f>
        <x:v>0</x:v>
      </x:c>
      <x:c r="AS185" s="48" t="n">
        <x: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(0.45*SIN(2*PI()*((((Inputs!$I$6+(((A185)+1)/2)*(Inputs!$J$6-Inputs!$I$6)))/Inputs!$C$49)+Inputs!$C$47*0.137))+0.35*COS(2*PI()*(((Inputs!$C$6)/Inputs!$C$50)+Inputs!$C$47*0.173))+0.20*SIN(2*PI()*((((Inputs!$I$6+(((A185)+1)/2)*(Inputs!$J$6-Inputs!$I$6)))+(Inputs!$C$6))/(0.5*(Inputs!$C$49+Inputs!$C$50))+Inputs!$C$47*0.097)))+0.30*(2*((SIN((((Inputs!$I$6+(((A185)+1)/2)*(Inputs!$J$6-Inputs!$I$6)))*12.9898+(Inputs!$C$6)*78.233+Inputs!$C$47*37.719))*43758.5453)-INT((SIN((((Inputs!$I$6+(((A185)+1)/2)*(Inputs!$J$6-Inputs!$I$6)))*12.9898+(Inputs!$C$6)*78.233+Inputs!$C$47*37.719))*43758.5453)))-1))),NA())</x:f>
        <x:v>216.56157473369862</x:v>
      </x:c>
      <x:c r="AT185" s="48" t="n">
        <x: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(0.45*SIN(2*PI()*((((Inputs!$I$7+(((A185)+1)/2)*(Inputs!$J$7-Inputs!$I$7)))/Inputs!$C$49)+Inputs!$C$47*0.137))+0.35*COS(2*PI()*(((Inputs!$C$6)/Inputs!$C$50)+Inputs!$C$47*0.173))+0.20*SIN(2*PI()*((((Inputs!$I$7+(((A185)+1)/2)*(Inputs!$J$7-Inputs!$I$7)))+(Inputs!$C$6))/(0.5*(Inputs!$C$49+Inputs!$C$50))+Inputs!$C$47*0.097)))+0.30*(2*((SIN((((Inputs!$I$7+(((A185)+1)/2)*(Inputs!$J$7-Inputs!$I$7)))*12.9898+(Inputs!$C$6)*78.233+Inputs!$C$47*37.719))*43758.5453)-INT((SIN((((Inputs!$I$7+(((A185)+1)/2)*(Inputs!$J$7-Inputs!$I$7)))*12.9898+(Inputs!$C$6)*78.233+Inputs!$C$47*37.719))*43758.5453)))-1))),NA())</x:f>
        <x:v>96.44039390212929</x:v>
      </x:c>
      <x:c r="AU185" s="48" t="n">
        <x: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(0.45*SIN(2*PI()*((((Inputs!$I$8+(((A185)+1)/2)*(Inputs!$J$8-Inputs!$I$8)))/Inputs!$C$49)+Inputs!$C$47*0.137))+0.35*COS(2*PI()*(((Inputs!$C$6)/Inputs!$C$50)+Inputs!$C$47*0.173))+0.20*SIN(2*PI()*((((Inputs!$I$8+(((A185)+1)/2)*(Inputs!$J$8-Inputs!$I$8)))+(Inputs!$C$6))/(0.5*(Inputs!$C$49+Inputs!$C$50))+Inputs!$C$47*0.097)))+0.30*(2*((SIN((((Inputs!$I$8+(((A185)+1)/2)*(Inputs!$J$8-Inputs!$I$8)))*12.9898+(Inputs!$C$6)*78.233+Inputs!$C$47*37.719))*43758.5453)-INT((SIN((((Inputs!$I$8+(((A185)+1)/2)*(Inputs!$J$8-Inputs!$I$8)))*12.9898+(Inputs!$C$6)*78.233+Inputs!$C$47*37.719))*43758.5453)))-1))),NA())</x:f>
        <x:v>172.26894270522027</x:v>
      </x:c>
      <x:c r="AV185" s="48" t="n">
        <x: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(0.45*SIN(2*PI()*((((Inputs!$I$9+(((A185)+1)/2)*(Inputs!$J$9-Inputs!$I$9)))/Inputs!$C$49)+Inputs!$C$47*0.137))+0.35*COS(2*PI()*(((Inputs!$C$6)/Inputs!$C$50)+Inputs!$C$47*0.173))+0.20*SIN(2*PI()*((((Inputs!$I$9+(((A185)+1)/2)*(Inputs!$J$9-Inputs!$I$9)))+(Inputs!$C$6))/(0.5*(Inputs!$C$49+Inputs!$C$50))+Inputs!$C$47*0.097)))+0.30*(2*((SIN((((Inputs!$I$9+(((A185)+1)/2)*(Inputs!$J$9-Inputs!$I$9)))*12.9898+(Inputs!$C$6)*78.233+Inputs!$C$47*37.719))*43758.5453)-INT((SIN((((Inputs!$I$9+(((A185)+1)/2)*(Inputs!$J$9-Inputs!$I$9)))*12.9898+(Inputs!$C$6)*78.233+Inputs!$C$47*37.719))*43758.5453)))-1))),NA())</x:f>
        <x:v>172.26894270522027</x:v>
      </x:c>
      <x:c r="AW185" s="49"/>
      <x:c r="AX185" s="48" t="n">
        <x:f>A185</x:f>
        <x:v>0.525</x:v>
      </x:c>
      <x:c r="AY185" s="48" t="n">
        <x:f>0</x:f>
        <x:v>0</x:v>
      </x:c>
      <x:c r="AZ185" s="48" t="n">
        <x:f>IF(OR(Inputs!$F$6=TRUE,Inputs!$F$6="TRUE",Inputs!$F$6=1),(Inputs!$H$6+Inputs!$L$6*(((Inputs!$I$6+(((A185)+1)/2)*(Inputs!$J$6-Inputs!$I$6)))/Inputs!$K$6)^2),NA())</x:f>
        <x:v>401.1025</x:v>
      </x:c>
      <x:c r="BA185" s="48" t="n">
        <x:f>IF(OR(Inputs!$F$7=TRUE,Inputs!$F$7="TRUE",Inputs!$F$7=1),(Inputs!$H$7+Inputs!$L$7*(((Inputs!$I$7+(((A185)+1)/2)*(Inputs!$J$7-Inputs!$I$7)))/Inputs!$K$7)^2),NA())</x:f>
        <x:v>135.603125</x:v>
      </x:c>
      <x:c r="BB185" s="48" t="n">
        <x:f>IF(OR(Inputs!$F$8=TRUE,Inputs!$F$8="TRUE",Inputs!$F$8=1),(Inputs!$H$8+Inputs!$L$8*(((Inputs!$I$8+(((A185)+1)/2)*(Inputs!$J$8-Inputs!$I$8)))/Inputs!$K$8)^2),NA())</x:f>
        <x:v>300.97812500000003</x:v>
      </x:c>
      <x:c r="BC185" s="48" t="n">
        <x:f>IF(OR(Inputs!$F$9=TRUE,Inputs!$F$9="TRUE",Inputs!$F$9=1),(Inputs!$H$9+Inputs!$L$9*(((Inputs!$I$9+(((A185)+1)/2)*(Inputs!$J$9-Inputs!$I$9)))/Inputs!$K$9)^2),NA())</x:f>
        <x:v>293.734375</x:v>
      </x:c>
      <x:c r="BD185" s="49"/>
      <x:c r="BE185" s="48" t="n">
        <x:f>A185</x:f>
        <x:v>0.525</x:v>
      </x:c>
      <x:c r="BF185" s="48" t="n">
        <x:f>0</x:f>
        <x:v>0</x:v>
      </x:c>
      <x:c r="BG185" s="48"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BH185" s="48"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BI185" s="48"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BJ185" s="48"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row>
    <x:row r="186">
      <x:c r="A186" s="48" t="n">
        <x:f>ROUND(-1+184*2/240,3)</x:f>
        <x:v>0.533</x:v>
      </x:c>
      <x:c r="B186" s="48" t="n">
        <x:f>IF(OR(Inputs!$F$6=TRUE,Inputs!$F$6="TRUE",Inputs!$F$6=1),(Inputs!$H$6+Inputs!$L$6*(((Inputs!$I$6+(((A186)+1)/2)*(Inputs!$J$6-Inputs!$I$6)))/Inputs!$K$6)^2),NA())</x:f>
        <x:v>401.136356</x:v>
      </x:c>
      <x:c r="C186" s="48" t="n">
        <x:f>IF(OR(Inputs!$F$7=TRUE,Inputs!$F$7="TRUE",Inputs!$F$7=1),(Inputs!$H$7+Inputs!$L$7*(((Inputs!$I$7+(((A186)+1)/2)*(Inputs!$J$7-Inputs!$I$7)))/Inputs!$K$7)^2),NA())</x:f>
        <x:v>138.69248499999992</x:v>
      </x:c>
      <x:c r="D186" s="48" t="n">
        <x:f>IF(OR(Inputs!$F$8=TRUE,Inputs!$F$8="TRUE",Inputs!$F$8=1),(Inputs!$H$8+Inputs!$L$8*(((Inputs!$I$8+(((A186)+1)/2)*(Inputs!$J$8-Inputs!$I$8)))/Inputs!$K$8)^2),NA())</x:f>
        <x:v>309.1458849999998</x:v>
      </x:c>
      <x:c r="E186" s="48" t="n">
        <x:f>IF(OR(Inputs!$F$9=TRUE,Inputs!$F$9="TRUE",Inputs!$F$9=1),(Inputs!$H$9+Inputs!$L$9*(((Inputs!$I$9+(((A186)+1)/2)*(Inputs!$J$9-Inputs!$I$9)))/Inputs!$K$9)^2),NA())</x:f>
        <x:v>301.9867749999998</x:v>
      </x:c>
      <x:c r="F186" s="49"/>
      <x:c r="G186" s="48" t="n">
        <x:f>A186</x:f>
        <x:v>0.533</x:v>
      </x:c>
      <x:c r="H186" s="48"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I186" s="48"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J186" s="48"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K186" s="48"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c r="L186" s="49"/>
      <x:c r="M186" s="48" t="n">
        <x:f>A186</x:f>
        <x:v>0.533</x:v>
      </x:c>
      <x:c r="N186" s="48" t="n">
        <x: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x:f>
        <x:v>-272.4313900557614</x:v>
      </x:c>
      <x:c r="O186" s="48" t="n">
        <x: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x:f>
        <x:v>-2313.1026509349413</x:v>
      </x:c>
      <x:c r="P186" s="48" t="n">
        <x: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x:f>
        <x:v>-2794.2104632719015</x:v>
      </x:c>
      <x:c r="Q186" s="48" t="n">
        <x: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x:f>
        <x:v>-2799.4731921013426</x:v>
      </x:c>
      <x:c r="R186" s="49"/>
      <x:c r="S186" s="48" t="n">
        <x:f>A186</x:f>
        <x:v>0.533</x:v>
      </x:c>
      <x:c r="T186" s="48" t="n">
        <x:f>(Inputs!$I$6+(((A186)+1)/2)*(Inputs!$J$6-Inputs!$I$6))</x:f>
        <x:v>31.97999999999999</x:v>
      </x:c>
      <x:c r="U186" s="48" t="n">
        <x:f>(Inputs!$I$7+(((A186)+1)/2)*(Inputs!$J$7-Inputs!$I$7))</x:f>
        <x:v>213.19999999999993</x:v>
      </x:c>
      <x:c r="V186" s="48" t="n">
        <x:f>(Inputs!$I$8+(((A186)+1)/2)*(Inputs!$J$8-Inputs!$I$8))</x:f>
        <x:v>426.39999999999986</x:v>
      </x:c>
      <x:c r="W186" s="48" t="n">
        <x:f>(Inputs!$I$9+(((A186)+1)/2)*(Inputs!$J$9-Inputs!$I$9))</x:f>
        <x:v>426.39999999999986</x:v>
      </x:c>
      <x:c r="X186" s="49"/>
      <x:c r="Y186" s="48" t="n">
        <x:f>A186</x:f>
        <x:v>0.533</x:v>
      </x:c>
      <x:c r="Z186" s="48" t="n">
        <x:f>(Inputs!$H$6+Inputs!$L$6*(((Inputs!$I$6+(((A186)+1)/2)*(Inputs!$J$6-Inputs!$I$6)))/Inputs!$K$6)^2)</x:f>
        <x:v>401.136356</x:v>
      </x:c>
      <x:c r="AA186" s="48" t="n">
        <x:f>(Inputs!$H$7+Inputs!$L$7*(((Inputs!$I$7+(((A186)+1)/2)*(Inputs!$J$7-Inputs!$I$7)))/Inputs!$K$7)^2)</x:f>
        <x:v>138.69248499999992</x:v>
      </x:c>
      <x:c r="AB186" s="48" t="n">
        <x:f>(Inputs!$H$8+Inputs!$L$8*(((Inputs!$I$8+(((A186)+1)/2)*(Inputs!$J$8-Inputs!$I$8)))/Inputs!$K$8)^2)</x:f>
        <x:v>309.1458849999998</x:v>
      </x:c>
      <x:c r="AC186" s="48" t="n">
        <x:f>(Inputs!$H$9+Inputs!$L$9*(((Inputs!$I$9+(((A186)+1)/2)*(Inputs!$J$9-Inputs!$I$9)))/Inputs!$K$9)^2)</x:f>
        <x:v>301.9867749999998</x:v>
      </x:c>
      <x:c r="AD186" s="49"/>
      <x:c r="AE186" s="48" t="n">
        <x:f>A186</x:f>
        <x:v>0.533</x:v>
      </x:c>
      <x:c r="AF186" s="48" t="n">
        <x:f>(((SQRT((Inputs!$C$52+((Inputs!$H$6+Inputs!$L$6*(((Inputs!$I$6+(((A186)+1)/2)*(Inputs!$J$6-Inputs!$I$6)))/Inputs!$K$6)^2)))^2+Inputs!$C$52^2-2*(Inputs!$C$52+((Inputs!$H$6+Inputs!$L$6*(((Inputs!$I$6+(((A186)+1)/2)*(Inputs!$J$6-Inputs!$I$6)))/Inputs!$K$6)^2)))*Inputs!$C$52*COS(SQRT(((Inputs!$I$6+(((A186)+1)/2)*(Inputs!$J$6-Inputs!$I$6)))^2+Inputs!$C$6^2)/Inputs!$C$52)))-((Inputs!$H$6+Inputs!$L$6*(((Inputs!$I$6+(((A186)+1)/2)*(Inputs!$J$6-Inputs!$I$6)))/Inputs!$K$6)^2)))*1000/Inputs!$C$12)</x:f>
        <x:v>1445.6525287208501</x:v>
      </x:c>
      <x:c r="AG186" s="48" t="n">
        <x:f>(((SQRT((Inputs!$C$52+((Inputs!$H$7+Inputs!$L$7*(((Inputs!$I$7+(((A186)+1)/2)*(Inputs!$J$7-Inputs!$I$7)))/Inputs!$K$7)^2)))^2+Inputs!$C$52^2-2*(Inputs!$C$52+((Inputs!$H$7+Inputs!$L$7*(((Inputs!$I$7+(((A186)+1)/2)*(Inputs!$J$7-Inputs!$I$7)))/Inputs!$K$7)^2)))*Inputs!$C$52*COS(SQRT(((Inputs!$I$7+(((A186)+1)/2)*(Inputs!$J$7-Inputs!$I$7)))^2+Inputs!$C$6^2)/Inputs!$C$52)))-((Inputs!$H$7+Inputs!$L$7*(((Inputs!$I$7+(((A186)+1)/2)*(Inputs!$J$7-Inputs!$I$7)))/Inputs!$K$7)^2)))*1000/Inputs!$C$12)</x:f>
        <x:v>70007.96988248263</x:v>
      </x:c>
      <x:c r="AH186" s="48" t="n">
        <x:f>(((SQRT((Inputs!$C$52+((Inputs!$H$8+Inputs!$L$8*(((Inputs!$I$8+(((A186)+1)/2)*(Inputs!$J$8-Inputs!$I$8)))/Inputs!$K$8)^2)))^2+Inputs!$C$52^2-2*(Inputs!$C$52+((Inputs!$H$8+Inputs!$L$8*(((Inputs!$I$8+(((A186)+1)/2)*(Inputs!$J$8-Inputs!$I$8)))/Inputs!$K$8)^2)))*Inputs!$C$52*COS(SQRT(((Inputs!$I$8+(((A186)+1)/2)*(Inputs!$J$8-Inputs!$I$8)))^2+Inputs!$C$6^2)/Inputs!$C$52)))-((Inputs!$H$8+Inputs!$L$8*(((Inputs!$I$8+(((A186)+1)/2)*(Inputs!$J$8-Inputs!$I$8)))/Inputs!$K$8)^2)))*1000/Inputs!$C$12)</x:f>
        <x:v>140521.9527639406</x:v>
      </x:c>
      <x:c r="AI186" s="48" t="n">
        <x:f>(((SQRT((Inputs!$C$52+((Inputs!$H$9+Inputs!$L$9*(((Inputs!$I$9+(((A186)+1)/2)*(Inputs!$J$9-Inputs!$I$9)))/Inputs!$K$9)^2)))^2+Inputs!$C$52^2-2*(Inputs!$C$52+((Inputs!$H$9+Inputs!$L$9*(((Inputs!$I$9+(((A186)+1)/2)*(Inputs!$J$9-Inputs!$I$9)))/Inputs!$K$9)^2)))*Inputs!$C$52*COS(SQRT(((Inputs!$I$9+(((A186)+1)/2)*(Inputs!$J$9-Inputs!$I$9)))^2+Inputs!$C$6^2)/Inputs!$C$52)))-((Inputs!$H$9+Inputs!$L$9*(((Inputs!$I$9+(((A186)+1)/2)*(Inputs!$J$9-Inputs!$I$9)))/Inputs!$K$9)^2)))*1000/Inputs!$C$12)</x:f>
        <x:v>141917.8140944196</x:v>
      </x:c>
      <x:c r="AJ186" s="49"/>
      <x:c r="AK186" s="48" t="n">
        <x:f>A186</x:f>
        <x:v>0.533</x:v>
      </x:c>
      <x:c r="AL186" s="48" t="n">
        <x: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x:f>
        <x:v>-272.4313900557614</x:v>
      </x:c>
      <x:c r="AM186" s="48" t="n">
        <x: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x:f>
        <x:v>-2313.1026509349413</x:v>
      </x:c>
      <x:c r="AN186" s="48" t="n">
        <x: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x:f>
        <x:v>-2794.2104632719015</x:v>
      </x:c>
      <x:c r="AO186" s="48" t="n">
        <x: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x:f>
        <x:v>-2799.4731921013426</x:v>
      </x:c>
      <x:c r="AP186" s="49"/>
      <x:c r="AQ186" s="48" t="n">
        <x:f>A186</x:f>
        <x:v>0.533</x:v>
      </x:c>
      <x:c r="AR186" s="48" t="n">
        <x:f>0</x:f>
        <x:v>0</x:v>
      </x:c>
      <x:c r="AS186" s="48" t="n">
        <x: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(0.45*SIN(2*PI()*((((Inputs!$I$6+(((A186)+1)/2)*(Inputs!$J$6-Inputs!$I$6)))/Inputs!$C$49)+Inputs!$C$47*0.137))+0.35*COS(2*PI()*(((Inputs!$C$6)/Inputs!$C$50)+Inputs!$C$47*0.173))+0.20*SIN(2*PI()*((((Inputs!$I$6+(((A186)+1)/2)*(Inputs!$J$6-Inputs!$I$6)))+(Inputs!$C$6))/(0.5*(Inputs!$C$49+Inputs!$C$50))+Inputs!$C$47*0.097)))+0.30*(2*((SIN((((Inputs!$I$6+(((A186)+1)/2)*(Inputs!$J$6-Inputs!$I$6)))*12.9898+(Inputs!$C$6)*78.233+Inputs!$C$47*37.719))*43758.5453)-INT((SIN((((Inputs!$I$6+(((A186)+1)/2)*(Inputs!$J$6-Inputs!$I$6)))*12.9898+(Inputs!$C$6)*78.233+Inputs!$C$47*37.719))*43758.5453)))-1))),NA())</x:f>
        <x:v>234.55267372275344</x:v>
      </x:c>
      <x:c r="AT186" s="48" t="n">
        <x: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(0.45*SIN(2*PI()*((((Inputs!$I$7+(((A186)+1)/2)*(Inputs!$J$7-Inputs!$I$7)))/Inputs!$C$49)+Inputs!$C$47*0.137))+0.35*COS(2*PI()*(((Inputs!$C$6)/Inputs!$C$50)+Inputs!$C$47*0.173))+0.20*SIN(2*PI()*((((Inputs!$I$7+(((A186)+1)/2)*(Inputs!$J$7-Inputs!$I$7)))+(Inputs!$C$6))/(0.5*(Inputs!$C$49+Inputs!$C$50))+Inputs!$C$47*0.097)))+0.30*(2*((SIN((((Inputs!$I$7+(((A186)+1)/2)*(Inputs!$J$7-Inputs!$I$7)))*12.9898+(Inputs!$C$6)*78.233+Inputs!$C$47*37.719))*43758.5453)-INT((SIN((((Inputs!$I$7+(((A186)+1)/2)*(Inputs!$J$7-Inputs!$I$7)))*12.9898+(Inputs!$C$6)*78.233+Inputs!$C$47*37.719))*43758.5453)))-1))),NA())</x:f>
        <x:v>87.70672320070028</x:v>
      </x:c>
      <x:c r="AU186" s="48" t="n">
        <x: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(0.45*SIN(2*PI()*((((Inputs!$I$8+(((A186)+1)/2)*(Inputs!$J$8-Inputs!$I$8)))/Inputs!$C$49)+Inputs!$C$47*0.137))+0.35*COS(2*PI()*(((Inputs!$C$6)/Inputs!$C$50)+Inputs!$C$47*0.173))+0.20*SIN(2*PI()*((((Inputs!$I$8+(((A186)+1)/2)*(Inputs!$J$8-Inputs!$I$8)))+(Inputs!$C$6))/(0.5*(Inputs!$C$49+Inputs!$C$50))+Inputs!$C$47*0.097)))+0.30*(2*((SIN((((Inputs!$I$8+(((A186)+1)/2)*(Inputs!$J$8-Inputs!$I$8)))*12.9898+(Inputs!$C$6)*78.233+Inputs!$C$47*37.719))*43758.5453)-INT((SIN((((Inputs!$I$8+(((A186)+1)/2)*(Inputs!$J$8-Inputs!$I$8)))*12.9898+(Inputs!$C$6)*78.233+Inputs!$C$47*37.719))*43758.5453)))-1))),NA())</x:f>
        <x:v>118.12668531371337</x:v>
      </x:c>
      <x:c r="AV186" s="48" t="n">
        <x: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(0.45*SIN(2*PI()*((((Inputs!$I$9+(((A186)+1)/2)*(Inputs!$J$9-Inputs!$I$9)))/Inputs!$C$49)+Inputs!$C$47*0.137))+0.35*COS(2*PI()*(((Inputs!$C$6)/Inputs!$C$50)+Inputs!$C$47*0.173))+0.20*SIN(2*PI()*((((Inputs!$I$9+(((A186)+1)/2)*(Inputs!$J$9-Inputs!$I$9)))+(Inputs!$C$6))/(0.5*(Inputs!$C$49+Inputs!$C$50))+Inputs!$C$47*0.097)))+0.30*(2*((SIN((((Inputs!$I$9+(((A186)+1)/2)*(Inputs!$J$9-Inputs!$I$9)))*12.9898+(Inputs!$C$6)*78.233+Inputs!$C$47*37.719))*43758.5453)-INT((SIN((((Inputs!$I$9+(((A186)+1)/2)*(Inputs!$J$9-Inputs!$I$9)))*12.9898+(Inputs!$C$6)*78.233+Inputs!$C$47*37.719))*43758.5453)))-1))),NA())</x:f>
        <x:v>118.12668531371337</x:v>
      </x:c>
      <x:c r="AW186" s="49"/>
      <x:c r="AX186" s="48" t="n">
        <x:f>A186</x:f>
        <x:v>0.533</x:v>
      </x:c>
      <x:c r="AY186" s="48" t="n">
        <x:f>0</x:f>
        <x:v>0</x:v>
      </x:c>
      <x:c r="AZ186" s="48" t="n">
        <x:f>IF(OR(Inputs!$F$6=TRUE,Inputs!$F$6="TRUE",Inputs!$F$6=1),(Inputs!$H$6+Inputs!$L$6*(((Inputs!$I$6+(((A186)+1)/2)*(Inputs!$J$6-Inputs!$I$6)))/Inputs!$K$6)^2),NA())</x:f>
        <x:v>401.136356</x:v>
      </x:c>
      <x:c r="BA186" s="48" t="n">
        <x:f>IF(OR(Inputs!$F$7=TRUE,Inputs!$F$7="TRUE",Inputs!$F$7=1),(Inputs!$H$7+Inputs!$L$7*(((Inputs!$I$7+(((A186)+1)/2)*(Inputs!$J$7-Inputs!$I$7)))/Inputs!$K$7)^2),NA())</x:f>
        <x:v>138.69248499999992</x:v>
      </x:c>
      <x:c r="BB186" s="48" t="n">
        <x:f>IF(OR(Inputs!$F$8=TRUE,Inputs!$F$8="TRUE",Inputs!$F$8=1),(Inputs!$H$8+Inputs!$L$8*(((Inputs!$I$8+(((A186)+1)/2)*(Inputs!$J$8-Inputs!$I$8)))/Inputs!$K$8)^2),NA())</x:f>
        <x:v>309.1458849999998</x:v>
      </x:c>
      <x:c r="BC186" s="48" t="n">
        <x:f>IF(OR(Inputs!$F$9=TRUE,Inputs!$F$9="TRUE",Inputs!$F$9=1),(Inputs!$H$9+Inputs!$L$9*(((Inputs!$I$9+(((A186)+1)/2)*(Inputs!$J$9-Inputs!$I$9)))/Inputs!$K$9)^2),NA())</x:f>
        <x:v>301.9867749999998</x:v>
      </x:c>
      <x:c r="BD186" s="49"/>
      <x:c r="BE186" s="48" t="n">
        <x:f>A186</x:f>
        <x:v>0.533</x:v>
      </x:c>
      <x:c r="BF186" s="48" t="n">
        <x:f>0</x:f>
        <x:v>0</x:v>
      </x:c>
      <x:c r="BG186" s="48"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BH186" s="48"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BI186" s="48"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BJ186" s="48"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row>
    <x:row r="187">
      <x:c r="A187" s="48" t="n">
        <x:f>ROUND(-1+185*2/240,3)</x:f>
        <x:v>0.542</x:v>
      </x:c>
      <x:c r="B187" s="48" t="n">
        <x:f>IF(OR(Inputs!$F$6=TRUE,Inputs!$F$6="TRUE",Inputs!$F$6=1),(Inputs!$H$6+Inputs!$L$6*(((Inputs!$I$6+(((A187)+1)/2)*(Inputs!$J$6-Inputs!$I$6)))/Inputs!$K$6)^2),NA())</x:f>
        <x:v>401.175056</x:v>
      </x:c>
      <x:c r="C187" s="48" t="n">
        <x:f>IF(OR(Inputs!$F$7=TRUE,Inputs!$F$7="TRUE",Inputs!$F$7=1),(Inputs!$H$7+Inputs!$L$7*(((Inputs!$I$7+(((A187)+1)/2)*(Inputs!$J$7-Inputs!$I$7)))/Inputs!$K$7)^2),NA())</x:f>
        <x:v>142.22386000000006</x:v>
      </x:c>
      <x:c r="D187" s="48" t="n">
        <x:f>IF(OR(Inputs!$F$8=TRUE,Inputs!$F$8="TRUE",Inputs!$F$8=1),(Inputs!$H$8+Inputs!$L$8*(((Inputs!$I$8+(((A187)+1)/2)*(Inputs!$J$8-Inputs!$I$8)))/Inputs!$K$8)^2),NA())</x:f>
        <x:v>318.4822600000001</x:v>
      </x:c>
      <x:c r="E187" s="48" t="n">
        <x:f>IF(OR(Inputs!$F$9=TRUE,Inputs!$F$9="TRUE",Inputs!$F$9=1),(Inputs!$H$9+Inputs!$L$9*(((Inputs!$I$9+(((A187)+1)/2)*(Inputs!$J$9-Inputs!$I$9)))/Inputs!$K$9)^2),NA())</x:f>
        <x:v>311.41990000000015</x:v>
      </x:c>
      <x:c r="F187" s="49"/>
      <x:c r="G187" s="48" t="n">
        <x:f>A187</x:f>
        <x:v>0.542</x:v>
      </x:c>
      <x:c r="H187" s="48"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I187" s="48"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J187" s="48"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K187" s="48"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c r="L187" s="49"/>
      <x:c r="M187" s="48" t="n">
        <x:f>A187</x:f>
        <x:v>0.542</x:v>
      </x:c>
      <x:c r="N187" s="48" t="n">
        <x: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x:f>
        <x:v>-276.9850224748035</x:v>
      </x:c>
      <x:c r="O187" s="48" t="n">
        <x: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x:f>
        <x:v>-2332.869046895027</x:v>
      </x:c>
      <x:c r="P187" s="48" t="n">
        <x: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x:f>
        <x:v>-2826.4324125999724</x:v>
      </x:c>
      <x:c r="Q187" s="48" t="n">
        <x: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x:f>
        <x:v>-2832.2859502946653</x:v>
      </x:c>
      <x:c r="R187" s="49"/>
      <x:c r="S187" s="48" t="n">
        <x:f>A187</x:f>
        <x:v>0.542</x:v>
      </x:c>
      <x:c r="T187" s="48" t="n">
        <x:f>(Inputs!$I$6+(((A187)+1)/2)*(Inputs!$J$6-Inputs!$I$6))</x:f>
        <x:v>32.519999999999996</x:v>
      </x:c>
      <x:c r="U187" s="48" t="n">
        <x:f>(Inputs!$I$7+(((A187)+1)/2)*(Inputs!$J$7-Inputs!$I$7))</x:f>
        <x:v>216.80000000000007</x:v>
      </x:c>
      <x:c r="V187" s="48" t="n">
        <x:f>(Inputs!$I$8+(((A187)+1)/2)*(Inputs!$J$8-Inputs!$I$8))</x:f>
        <x:v>433.60000000000014</x:v>
      </x:c>
      <x:c r="W187" s="48" t="n">
        <x:f>(Inputs!$I$9+(((A187)+1)/2)*(Inputs!$J$9-Inputs!$I$9))</x:f>
        <x:v>433.60000000000014</x:v>
      </x:c>
      <x:c r="X187" s="49"/>
      <x:c r="Y187" s="48" t="n">
        <x:f>A187</x:f>
        <x:v>0.542</x:v>
      </x:c>
      <x:c r="Z187" s="48" t="n">
        <x:f>(Inputs!$H$6+Inputs!$L$6*(((Inputs!$I$6+(((A187)+1)/2)*(Inputs!$J$6-Inputs!$I$6)))/Inputs!$K$6)^2)</x:f>
        <x:v>401.175056</x:v>
      </x:c>
      <x:c r="AA187" s="48" t="n">
        <x:f>(Inputs!$H$7+Inputs!$L$7*(((Inputs!$I$7+(((A187)+1)/2)*(Inputs!$J$7-Inputs!$I$7)))/Inputs!$K$7)^2)</x:f>
        <x:v>142.22386000000006</x:v>
      </x:c>
      <x:c r="AB187" s="48" t="n">
        <x:f>(Inputs!$H$8+Inputs!$L$8*(((Inputs!$I$8+(((A187)+1)/2)*(Inputs!$J$8-Inputs!$I$8)))/Inputs!$K$8)^2)</x:f>
        <x:v>318.4822600000001</x:v>
      </x:c>
      <x:c r="AC187" s="48" t="n">
        <x:f>(Inputs!$H$9+Inputs!$L$9*(((Inputs!$I$9+(((A187)+1)/2)*(Inputs!$J$9-Inputs!$I$9)))/Inputs!$K$9)^2)</x:f>
        <x:v>311.41990000000015</x:v>
      </x:c>
      <x:c r="AD187" s="49"/>
      <x:c r="AE187" s="48" t="n">
        <x:f>A187</x:f>
        <x:v>0.542</x:v>
      </x:c>
      <x:c r="AF187" s="48" t="n">
        <x:f>(((SQRT((Inputs!$C$52+((Inputs!$H$6+Inputs!$L$6*(((Inputs!$I$6+(((A187)+1)/2)*(Inputs!$J$6-Inputs!$I$6)))/Inputs!$K$6)^2)))^2+Inputs!$C$52^2-2*(Inputs!$C$52+((Inputs!$H$6+Inputs!$L$6*(((Inputs!$I$6+(((A187)+1)/2)*(Inputs!$J$6-Inputs!$I$6)))/Inputs!$K$6)^2)))*Inputs!$C$52*COS(SQRT(((Inputs!$I$6+(((A187)+1)/2)*(Inputs!$J$6-Inputs!$I$6)))^2+Inputs!$C$6^2)/Inputs!$C$52)))-((Inputs!$H$6+Inputs!$L$6*(((Inputs!$I$6+(((A187)+1)/2)*(Inputs!$J$6-Inputs!$I$6)))/Inputs!$K$6)^2)))*1000/Inputs!$C$12)</x:f>
        <x:v>1475.9975196772957</x:v>
      </x:c>
      <x:c r="AG187" s="48" t="n">
        <x:f>(((SQRT((Inputs!$C$52+((Inputs!$H$7+Inputs!$L$7*(((Inputs!$I$7+(((A187)+1)/2)*(Inputs!$J$7-Inputs!$I$7)))/Inputs!$K$7)^2)))^2+Inputs!$C$52^2-2*(Inputs!$C$52+((Inputs!$H$7+Inputs!$L$7*(((Inputs!$I$7+(((A187)+1)/2)*(Inputs!$J$7-Inputs!$I$7)))/Inputs!$K$7)^2)))*Inputs!$C$52*COS(SQRT(((Inputs!$I$7+(((A187)+1)/2)*(Inputs!$J$7-Inputs!$I$7)))^2+Inputs!$C$6^2)/Inputs!$C$52)))-((Inputs!$H$7+Inputs!$L$7*(((Inputs!$I$7+(((A187)+1)/2)*(Inputs!$J$7-Inputs!$I$7)))/Inputs!$K$7)^2)))*1000/Inputs!$C$12)</x:f>
        <x:v>70960.39235808821</x:v>
      </x:c>
      <x:c r="AH187" s="48" t="n">
        <x:f>(((SQRT((Inputs!$C$52+((Inputs!$H$8+Inputs!$L$8*(((Inputs!$I$8+(((A187)+1)/2)*(Inputs!$J$8-Inputs!$I$8)))/Inputs!$K$8)^2)))^2+Inputs!$C$52^2-2*(Inputs!$C$52+((Inputs!$H$8+Inputs!$L$8*(((Inputs!$I$8+(((A187)+1)/2)*(Inputs!$J$8-Inputs!$I$8)))/Inputs!$K$8)^2)))*Inputs!$C$52*COS(SQRT(((Inputs!$I$8+(((A187)+1)/2)*(Inputs!$J$8-Inputs!$I$8)))^2+Inputs!$C$6^2)/Inputs!$C$52)))-((Inputs!$H$8+Inputs!$L$8*(((Inputs!$I$8+(((A187)+1)/2)*(Inputs!$J$8-Inputs!$I$8)))/Inputs!$K$8)^2)))*1000/Inputs!$C$12)</x:f>
        <x:v>142381.49272875165</x:v>
      </x:c>
      <x:c r="AI187" s="48" t="n">
        <x:f>(((SQRT((Inputs!$C$52+((Inputs!$H$9+Inputs!$L$9*(((Inputs!$I$9+(((A187)+1)/2)*(Inputs!$J$9-Inputs!$I$9)))/Inputs!$K$9)^2)))^2+Inputs!$C$52^2-2*(Inputs!$C$52+((Inputs!$H$9+Inputs!$L$9*(((Inputs!$I$9+(((A187)+1)/2)*(Inputs!$J$9-Inputs!$I$9)))/Inputs!$K$9)^2)))*Inputs!$C$52*COS(SQRT(((Inputs!$I$9+(((A187)+1)/2)*(Inputs!$J$9-Inputs!$I$9)))^2+Inputs!$C$6^2)/Inputs!$C$52)))-((Inputs!$H$9+Inputs!$L$9*(((Inputs!$I$9+(((A187)+1)/2)*(Inputs!$J$9-Inputs!$I$9)))/Inputs!$K$9)^2)))*1000/Inputs!$C$12)</x:f>
        <x:v>143737.0513017953</x:v>
      </x:c>
      <x:c r="AJ187" s="49"/>
      <x:c r="AK187" s="48" t="n">
        <x:f>A187</x:f>
        <x:v>0.542</x:v>
      </x:c>
      <x:c r="AL187" s="48" t="n">
        <x: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x:f>
        <x:v>-276.9850224748035</x:v>
      </x:c>
      <x:c r="AM187" s="48" t="n">
        <x: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x:f>
        <x:v>-2332.869046895027</x:v>
      </x:c>
      <x:c r="AN187" s="48" t="n">
        <x: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x:f>
        <x:v>-2826.4324125999724</x:v>
      </x:c>
      <x:c r="AO187" s="48" t="n">
        <x: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x:f>
        <x:v>-2832.2859502946653</x:v>
      </x:c>
      <x:c r="AP187" s="49"/>
      <x:c r="AQ187" s="48" t="n">
        <x:f>A187</x:f>
        <x:v>0.542</x:v>
      </x:c>
      <x:c r="AR187" s="48" t="n">
        <x:f>0</x:f>
        <x:v>0</x:v>
      </x:c>
      <x:c r="AS187" s="48" t="n">
        <x: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(0.45*SIN(2*PI()*((((Inputs!$I$6+(((A187)+1)/2)*(Inputs!$J$6-Inputs!$I$6)))/Inputs!$C$49)+Inputs!$C$47*0.137))+0.35*COS(2*PI()*(((Inputs!$C$6)/Inputs!$C$50)+Inputs!$C$47*0.173))+0.20*SIN(2*PI()*((((Inputs!$I$6+(((A187)+1)/2)*(Inputs!$J$6-Inputs!$I$6)))+(Inputs!$C$6))/(0.5*(Inputs!$C$49+Inputs!$C$50))+Inputs!$C$47*0.097)))+0.30*(2*((SIN((((Inputs!$I$6+(((A187)+1)/2)*(Inputs!$J$6-Inputs!$I$6)))*12.9898+(Inputs!$C$6)*78.233+Inputs!$C$47*37.719))*43758.5453)-INT((SIN((((Inputs!$I$6+(((A187)+1)/2)*(Inputs!$J$6-Inputs!$I$6)))*12.9898+(Inputs!$C$6)*78.233+Inputs!$C$47*37.719))*43758.5453)))-1))),NA())</x:f>
        <x:v>233.8203072732271</x:v>
      </x:c>
      <x:c r="AT187" s="48" t="n">
        <x: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(0.45*SIN(2*PI()*((((Inputs!$I$7+(((A187)+1)/2)*(Inputs!$J$7-Inputs!$I$7)))/Inputs!$C$49)+Inputs!$C$47*0.137))+0.35*COS(2*PI()*(((Inputs!$C$6)/Inputs!$C$50)+Inputs!$C$47*0.173))+0.20*SIN(2*PI()*((((Inputs!$I$7+(((A187)+1)/2)*(Inputs!$J$7-Inputs!$I$7)))+(Inputs!$C$6))/(0.5*(Inputs!$C$49+Inputs!$C$50))+Inputs!$C$47*0.097)))+0.30*(2*((SIN((((Inputs!$I$7+(((A187)+1)/2)*(Inputs!$J$7-Inputs!$I$7)))*12.9898+(Inputs!$C$6)*78.233+Inputs!$C$47*37.719))*43758.5453)-INT((SIN((((Inputs!$I$7+(((A187)+1)/2)*(Inputs!$J$7-Inputs!$I$7)))*12.9898+(Inputs!$C$6)*78.233+Inputs!$C$47*37.719))*43758.5453)))-1))),NA())</x:f>
        <x:v>174.08127263830204</x:v>
      </x:c>
      <x:c r="AU187" s="48" t="n">
        <x: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(0.45*SIN(2*PI()*((((Inputs!$I$8+(((A187)+1)/2)*(Inputs!$J$8-Inputs!$I$8)))/Inputs!$C$49)+Inputs!$C$47*0.137))+0.35*COS(2*PI()*(((Inputs!$C$6)/Inputs!$C$50)+Inputs!$C$47*0.173))+0.20*SIN(2*PI()*((((Inputs!$I$8+(((A187)+1)/2)*(Inputs!$J$8-Inputs!$I$8)))+(Inputs!$C$6))/(0.5*(Inputs!$C$49+Inputs!$C$50))+Inputs!$C$47*0.097)))+0.30*(2*((SIN((((Inputs!$I$8+(((A187)+1)/2)*(Inputs!$J$8-Inputs!$I$8)))*12.9898+(Inputs!$C$6)*78.233+Inputs!$C$47*37.719))*43758.5453)-INT((SIN((((Inputs!$I$8+(((A187)+1)/2)*(Inputs!$J$8-Inputs!$I$8)))*12.9898+(Inputs!$C$6)*78.233+Inputs!$C$47*37.719))*43758.5453)))-1))),NA())</x:f>
        <x:v>183.3457754988744</x:v>
      </x:c>
      <x:c r="AV187" s="48" t="n">
        <x: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(0.45*SIN(2*PI()*((((Inputs!$I$9+(((A187)+1)/2)*(Inputs!$J$9-Inputs!$I$9)))/Inputs!$C$49)+Inputs!$C$47*0.137))+0.35*COS(2*PI()*(((Inputs!$C$6)/Inputs!$C$50)+Inputs!$C$47*0.173))+0.20*SIN(2*PI()*((((Inputs!$I$9+(((A187)+1)/2)*(Inputs!$J$9-Inputs!$I$9)))+(Inputs!$C$6))/(0.5*(Inputs!$C$49+Inputs!$C$50))+Inputs!$C$47*0.097)))+0.30*(2*((SIN((((Inputs!$I$9+(((A187)+1)/2)*(Inputs!$J$9-Inputs!$I$9)))*12.9898+(Inputs!$C$6)*78.233+Inputs!$C$47*37.719))*43758.5453)-INT((SIN((((Inputs!$I$9+(((A187)+1)/2)*(Inputs!$J$9-Inputs!$I$9)))*12.9898+(Inputs!$C$6)*78.233+Inputs!$C$47*37.719))*43758.5453)))-1))),NA())</x:f>
        <x:v>183.3457754988744</x:v>
      </x:c>
      <x:c r="AW187" s="49"/>
      <x:c r="AX187" s="48" t="n">
        <x:f>A187</x:f>
        <x:v>0.542</x:v>
      </x:c>
      <x:c r="AY187" s="48" t="n">
        <x:f>0</x:f>
        <x:v>0</x:v>
      </x:c>
      <x:c r="AZ187" s="48" t="n">
        <x:f>IF(OR(Inputs!$F$6=TRUE,Inputs!$F$6="TRUE",Inputs!$F$6=1),(Inputs!$H$6+Inputs!$L$6*(((Inputs!$I$6+(((A187)+1)/2)*(Inputs!$J$6-Inputs!$I$6)))/Inputs!$K$6)^2),NA())</x:f>
        <x:v>401.175056</x:v>
      </x:c>
      <x:c r="BA187" s="48" t="n">
        <x:f>IF(OR(Inputs!$F$7=TRUE,Inputs!$F$7="TRUE",Inputs!$F$7=1),(Inputs!$H$7+Inputs!$L$7*(((Inputs!$I$7+(((A187)+1)/2)*(Inputs!$J$7-Inputs!$I$7)))/Inputs!$K$7)^2),NA())</x:f>
        <x:v>142.22386000000006</x:v>
      </x:c>
      <x:c r="BB187" s="48" t="n">
        <x:f>IF(OR(Inputs!$F$8=TRUE,Inputs!$F$8="TRUE",Inputs!$F$8=1),(Inputs!$H$8+Inputs!$L$8*(((Inputs!$I$8+(((A187)+1)/2)*(Inputs!$J$8-Inputs!$I$8)))/Inputs!$K$8)^2),NA())</x:f>
        <x:v>318.4822600000001</x:v>
      </x:c>
      <x:c r="BC187" s="48" t="n">
        <x:f>IF(OR(Inputs!$F$9=TRUE,Inputs!$F$9="TRUE",Inputs!$F$9=1),(Inputs!$H$9+Inputs!$L$9*(((Inputs!$I$9+(((A187)+1)/2)*(Inputs!$J$9-Inputs!$I$9)))/Inputs!$K$9)^2),NA())</x:f>
        <x:v>311.41990000000015</x:v>
      </x:c>
      <x:c r="BD187" s="49"/>
      <x:c r="BE187" s="48" t="n">
        <x:f>A187</x:f>
        <x:v>0.542</x:v>
      </x:c>
      <x:c r="BF187" s="48" t="n">
        <x:f>0</x:f>
        <x:v>0</x:v>
      </x:c>
      <x:c r="BG187" s="48"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BH187" s="48"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BI187" s="48"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BJ187" s="48"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row>
    <x:row r="188">
      <x:c r="A188" s="48" t="n">
        <x:f>ROUND(-1+186*2/240,3)</x:f>
        <x:v>0.55</x:v>
      </x:c>
      <x:c r="B188" s="48" t="n">
        <x:f>IF(OR(Inputs!$F$6=TRUE,Inputs!$F$6="TRUE",Inputs!$F$6=1),(Inputs!$H$6+Inputs!$L$6*(((Inputs!$I$6+(((A188)+1)/2)*(Inputs!$J$6-Inputs!$I$6)))/Inputs!$K$6)^2),NA())</x:f>
        <x:v>401.21</x:v>
      </x:c>
      <x:c r="C188" s="48" t="n">
        <x:f>IF(OR(Inputs!$F$7=TRUE,Inputs!$F$7="TRUE",Inputs!$F$7=1),(Inputs!$H$7+Inputs!$L$7*(((Inputs!$I$7+(((A188)+1)/2)*(Inputs!$J$7-Inputs!$I$7)))/Inputs!$K$7)^2),NA())</x:f>
        <x:v>145.41250000000002</x:v>
      </x:c>
      <x:c r="D188" s="48" t="n">
        <x:f>IF(OR(Inputs!$F$8=TRUE,Inputs!$F$8="TRUE",Inputs!$F$8=1),(Inputs!$H$8+Inputs!$L$8*(((Inputs!$I$8+(((A188)+1)/2)*(Inputs!$J$8-Inputs!$I$8)))/Inputs!$K$8)^2),NA())</x:f>
        <x:v>326.9125</x:v>
      </x:c>
      <x:c r="E188" s="48" t="n">
        <x:f>IF(OR(Inputs!$F$9=TRUE,Inputs!$F$9="TRUE",Inputs!$F$9=1),(Inputs!$H$9+Inputs!$L$9*(((Inputs!$I$9+(((A188)+1)/2)*(Inputs!$J$9-Inputs!$I$9)))/Inputs!$K$9)^2),NA())</x:f>
        <x:v>319.93750000000006</x:v>
      </x:c>
      <x:c r="F188" s="49"/>
      <x:c r="G188" s="48" t="n">
        <x:f>A188</x:f>
        <x:v>0.55</x:v>
      </x:c>
      <x:c r="H188" s="48"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I188" s="48"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J188" s="48"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K188" s="48"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c r="L188" s="49"/>
      <x:c r="M188" s="48" t="n">
        <x:f>A188</x:f>
        <x:v>0.55</x:v>
      </x:c>
      <x:c r="N188" s="48" t="n">
        <x: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x:f>
        <x:v>-281.03076297523637</x:v>
      </x:c>
      <x:c r="O188" s="48" t="n">
        <x: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x:f>
        <x:v>-2350.578340639019</x:v>
      </x:c>
      <x:c r="P188" s="48" t="n">
        <x: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x:f>
        <x:v>-2855.273723910822</x:v>
      </x:c>
      <x:c r="Q188" s="48" t="n">
        <x: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x:f>
        <x:v>-2861.653402048311</x:v>
      </x:c>
      <x:c r="R188" s="49"/>
      <x:c r="S188" s="48" t="n">
        <x:f>A188</x:f>
        <x:v>0.55</x:v>
      </x:c>
      <x:c r="T188" s="48" t="n">
        <x:f>(Inputs!$I$6+(((A188)+1)/2)*(Inputs!$J$6-Inputs!$I$6))</x:f>
        <x:v>33</x:v>
      </x:c>
      <x:c r="U188" s="48" t="n">
        <x:f>(Inputs!$I$7+(((A188)+1)/2)*(Inputs!$J$7-Inputs!$I$7))</x:f>
        <x:v>220</x:v>
      </x:c>
      <x:c r="V188" s="48" t="n">
        <x:f>(Inputs!$I$8+(((A188)+1)/2)*(Inputs!$J$8-Inputs!$I$8))</x:f>
        <x:v>440</x:v>
      </x:c>
      <x:c r="W188" s="48" t="n">
        <x:f>(Inputs!$I$9+(((A188)+1)/2)*(Inputs!$J$9-Inputs!$I$9))</x:f>
        <x:v>440</x:v>
      </x:c>
      <x:c r="X188" s="49"/>
      <x:c r="Y188" s="48" t="n">
        <x:f>A188</x:f>
        <x:v>0.55</x:v>
      </x:c>
      <x:c r="Z188" s="48" t="n">
        <x:f>(Inputs!$H$6+Inputs!$L$6*(((Inputs!$I$6+(((A188)+1)/2)*(Inputs!$J$6-Inputs!$I$6)))/Inputs!$K$6)^2)</x:f>
        <x:v>401.21</x:v>
      </x:c>
      <x:c r="AA188" s="48" t="n">
        <x:f>(Inputs!$H$7+Inputs!$L$7*(((Inputs!$I$7+(((A188)+1)/2)*(Inputs!$J$7-Inputs!$I$7)))/Inputs!$K$7)^2)</x:f>
        <x:v>145.41250000000002</x:v>
      </x:c>
      <x:c r="AB188" s="48" t="n">
        <x:f>(Inputs!$H$8+Inputs!$L$8*(((Inputs!$I$8+(((A188)+1)/2)*(Inputs!$J$8-Inputs!$I$8)))/Inputs!$K$8)^2)</x:f>
        <x:v>326.9125</x:v>
      </x:c>
      <x:c r="AC188" s="48" t="n">
        <x:f>(Inputs!$H$9+Inputs!$L$9*(((Inputs!$I$9+(((A188)+1)/2)*(Inputs!$J$9-Inputs!$I$9)))/Inputs!$K$9)^2)</x:f>
        <x:v>319.93750000000006</x:v>
      </x:c>
      <x:c r="AD188" s="49"/>
      <x:c r="AE188" s="48" t="n">
        <x:f>A188</x:f>
        <x:v>0.55</x:v>
      </x:c>
      <x:c r="AF188" s="48" t="n">
        <x:f>(((SQRT((Inputs!$C$52+((Inputs!$H$6+Inputs!$L$6*(((Inputs!$I$6+(((A188)+1)/2)*(Inputs!$J$6-Inputs!$I$6)))/Inputs!$K$6)^2)))^2+Inputs!$C$52^2-2*(Inputs!$C$52+((Inputs!$H$6+Inputs!$L$6*(((Inputs!$I$6+(((A188)+1)/2)*(Inputs!$J$6-Inputs!$I$6)))/Inputs!$K$6)^2)))*Inputs!$C$52*COS(SQRT(((Inputs!$I$6+(((A188)+1)/2)*(Inputs!$J$6-Inputs!$I$6)))^2+Inputs!$C$6^2)/Inputs!$C$52)))-((Inputs!$H$6+Inputs!$L$6*(((Inputs!$I$6+(((A188)+1)/2)*(Inputs!$J$6-Inputs!$I$6)))/Inputs!$K$6)^2)))*1000/Inputs!$C$12)</x:f>
        <x:v>1503.3898868855904</x:v>
      </x:c>
      <x:c r="AG188" s="48" t="n">
        <x:f>(((SQRT((Inputs!$C$52+((Inputs!$H$7+Inputs!$L$7*(((Inputs!$I$7+(((A188)+1)/2)*(Inputs!$J$7-Inputs!$I$7)))/Inputs!$K$7)^2)))^2+Inputs!$C$52^2-2*(Inputs!$C$52+((Inputs!$H$7+Inputs!$L$7*(((Inputs!$I$7+(((A188)+1)/2)*(Inputs!$J$7-Inputs!$I$7)))/Inputs!$K$7)^2)))*Inputs!$C$52*COS(SQRT(((Inputs!$I$7+(((A188)+1)/2)*(Inputs!$J$7-Inputs!$I$7)))^2+Inputs!$C$6^2)/Inputs!$C$52)))-((Inputs!$H$7+Inputs!$L$7*(((Inputs!$I$7+(((A188)+1)/2)*(Inputs!$J$7-Inputs!$I$7)))/Inputs!$K$7)^2)))*1000/Inputs!$C$12)</x:f>
        <x:v>71800.15955667125</x:v>
      </x:c>
      <x:c r="AH188" s="48" t="n">
        <x:f>(((SQRT((Inputs!$C$52+((Inputs!$H$8+Inputs!$L$8*(((Inputs!$I$8+(((A188)+1)/2)*(Inputs!$J$8-Inputs!$I$8)))/Inputs!$K$8)^2)))^2+Inputs!$C$52^2-2*(Inputs!$C$52+((Inputs!$H$8+Inputs!$L$8*(((Inputs!$I$8+(((A188)+1)/2)*(Inputs!$J$8-Inputs!$I$8)))/Inputs!$K$8)^2)))*Inputs!$C$52*COS(SQRT(((Inputs!$I$8+(((A188)+1)/2)*(Inputs!$J$8-Inputs!$I$8)))^2+Inputs!$C$6^2)/Inputs!$C$52)))-((Inputs!$H$8+Inputs!$L$8*(((Inputs!$I$8+(((A188)+1)/2)*(Inputs!$J$8-Inputs!$I$8)))/Inputs!$K$8)^2)))*1000/Inputs!$C$12)</x:f>
        <x:v>144029.30762810478</x:v>
      </x:c>
      <x:c r="AI188" s="48" t="n">
        <x:f>(((SQRT((Inputs!$C$52+((Inputs!$H$9+Inputs!$L$9*(((Inputs!$I$9+(((A188)+1)/2)*(Inputs!$J$9-Inputs!$I$9)))/Inputs!$K$9)^2)))^2+Inputs!$C$52^2-2*(Inputs!$C$52+((Inputs!$H$9+Inputs!$L$9*(((Inputs!$I$9+(((A188)+1)/2)*(Inputs!$J$9-Inputs!$I$9)))/Inputs!$K$9)^2)))*Inputs!$C$52*COS(SQRT(((Inputs!$I$9+(((A188)+1)/2)*(Inputs!$J$9-Inputs!$I$9)))^2+Inputs!$C$6^2)/Inputs!$C$52)))-((Inputs!$H$9+Inputs!$L$9*(((Inputs!$I$9+(((A188)+1)/2)*(Inputs!$J$9-Inputs!$I$9)))/Inputs!$K$9)^2)))*1000/Inputs!$C$12)</x:f>
        <x:v>145349.53259232538</x:v>
      </x:c>
      <x:c r="AJ188" s="49"/>
      <x:c r="AK188" s="48" t="n">
        <x:f>A188</x:f>
        <x:v>0.55</x:v>
      </x:c>
      <x:c r="AL188" s="48" t="n">
        <x: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x:f>
        <x:v>-281.03076297523637</x:v>
      </x:c>
      <x:c r="AM188" s="48" t="n">
        <x: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x:f>
        <x:v>-2350.578340639019</x:v>
      </x:c>
      <x:c r="AN188" s="48" t="n">
        <x: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x:f>
        <x:v>-2855.273723910822</x:v>
      </x:c>
      <x:c r="AO188" s="48" t="n">
        <x: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x:f>
        <x:v>-2861.653402048311</x:v>
      </x:c>
      <x:c r="AP188" s="49"/>
      <x:c r="AQ188" s="48" t="n">
        <x:f>A188</x:f>
        <x:v>0.55</x:v>
      </x:c>
      <x:c r="AR188" s="48" t="n">
        <x:f>0</x:f>
        <x:v>0</x:v>
      </x:c>
      <x:c r="AS188" s="48" t="n">
        <x: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(0.45*SIN(2*PI()*((((Inputs!$I$6+(((A188)+1)/2)*(Inputs!$J$6-Inputs!$I$6)))/Inputs!$C$49)+Inputs!$C$47*0.137))+0.35*COS(2*PI()*(((Inputs!$C$6)/Inputs!$C$50)+Inputs!$C$47*0.173))+0.20*SIN(2*PI()*((((Inputs!$I$6+(((A188)+1)/2)*(Inputs!$J$6-Inputs!$I$6)))+(Inputs!$C$6))/(0.5*(Inputs!$C$49+Inputs!$C$50))+Inputs!$C$47*0.097)))+0.30*(2*((SIN((((Inputs!$I$6+(((A188)+1)/2)*(Inputs!$J$6-Inputs!$I$6)))*12.9898+(Inputs!$C$6)*78.233+Inputs!$C$47*37.719))*43758.5453)-INT((SIN((((Inputs!$I$6+(((A188)+1)/2)*(Inputs!$J$6-Inputs!$I$6)))*12.9898+(Inputs!$C$6)*78.233+Inputs!$C$47*37.719))*43758.5453)))-1))),NA())</x:f>
        <x:v>226.0841822180117</x:v>
      </x:c>
      <x:c r="AT188" s="48" t="n">
        <x: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(0.45*SIN(2*PI()*((((Inputs!$I$7+(((A188)+1)/2)*(Inputs!$J$7-Inputs!$I$7)))/Inputs!$C$49)+Inputs!$C$47*0.137))+0.35*COS(2*PI()*(((Inputs!$C$6)/Inputs!$C$50)+Inputs!$C$47*0.173))+0.20*SIN(2*PI()*((((Inputs!$I$7+(((A188)+1)/2)*(Inputs!$J$7-Inputs!$I$7)))+(Inputs!$C$6))/(0.5*(Inputs!$C$49+Inputs!$C$50))+Inputs!$C$47*0.097)))+0.30*(2*((SIN((((Inputs!$I$7+(((A188)+1)/2)*(Inputs!$J$7-Inputs!$I$7)))*12.9898+(Inputs!$C$6)*78.233+Inputs!$C$47*37.719))*43758.5453)-INT((SIN((((Inputs!$I$7+(((A188)+1)/2)*(Inputs!$J$7-Inputs!$I$7)))*12.9898+(Inputs!$C$6)*78.233+Inputs!$C$47*37.719))*43758.5453)))-1))),NA())</x:f>
        <x:v>240.54359978583835</x:v>
      </x:c>
      <x:c r="AU188" s="48" t="n">
        <x: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(0.45*SIN(2*PI()*((((Inputs!$I$8+(((A188)+1)/2)*(Inputs!$J$8-Inputs!$I$8)))/Inputs!$C$49)+Inputs!$C$47*0.137))+0.35*COS(2*PI()*(((Inputs!$C$6)/Inputs!$C$50)+Inputs!$C$47*0.173))+0.20*SIN(2*PI()*((((Inputs!$I$8+(((A188)+1)/2)*(Inputs!$J$8-Inputs!$I$8)))+(Inputs!$C$6))/(0.5*(Inputs!$C$49+Inputs!$C$50))+Inputs!$C$47*0.097)))+0.30*(2*((SIN((((Inputs!$I$8+(((A188)+1)/2)*(Inputs!$J$8-Inputs!$I$8)))*12.9898+(Inputs!$C$6)*78.233+Inputs!$C$47*37.719))*43758.5453)-INT((SIN((((Inputs!$I$8+(((A188)+1)/2)*(Inputs!$J$8-Inputs!$I$8)))*12.9898+(Inputs!$C$6)*78.233+Inputs!$C$47*37.719))*43758.5453)))-1))),NA())</x:f>
        <x:v>169.69698765986362</x:v>
      </x:c>
      <x:c r="AV188" s="48" t="n">
        <x: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(0.45*SIN(2*PI()*((((Inputs!$I$9+(((A188)+1)/2)*(Inputs!$J$9-Inputs!$I$9)))/Inputs!$C$49)+Inputs!$C$47*0.137))+0.35*COS(2*PI()*(((Inputs!$C$6)/Inputs!$C$50)+Inputs!$C$47*0.173))+0.20*SIN(2*PI()*((((Inputs!$I$9+(((A188)+1)/2)*(Inputs!$J$9-Inputs!$I$9)))+(Inputs!$C$6))/(0.5*(Inputs!$C$49+Inputs!$C$50))+Inputs!$C$47*0.097)))+0.30*(2*((SIN((((Inputs!$I$9+(((A188)+1)/2)*(Inputs!$J$9-Inputs!$I$9)))*12.9898+(Inputs!$C$6)*78.233+Inputs!$C$47*37.719))*43758.5453)-INT((SIN((((Inputs!$I$9+(((A188)+1)/2)*(Inputs!$J$9-Inputs!$I$9)))*12.9898+(Inputs!$C$6)*78.233+Inputs!$C$47*37.719))*43758.5453)))-1))),NA())</x:f>
        <x:v>169.69698765986362</x:v>
      </x:c>
      <x:c r="AW188" s="49"/>
      <x:c r="AX188" s="48" t="n">
        <x:f>A188</x:f>
        <x:v>0.55</x:v>
      </x:c>
      <x:c r="AY188" s="48" t="n">
        <x:f>0</x:f>
        <x:v>0</x:v>
      </x:c>
      <x:c r="AZ188" s="48" t="n">
        <x:f>IF(OR(Inputs!$F$6=TRUE,Inputs!$F$6="TRUE",Inputs!$F$6=1),(Inputs!$H$6+Inputs!$L$6*(((Inputs!$I$6+(((A188)+1)/2)*(Inputs!$J$6-Inputs!$I$6)))/Inputs!$K$6)^2),NA())</x:f>
        <x:v>401.21</x:v>
      </x:c>
      <x:c r="BA188" s="48" t="n">
        <x:f>IF(OR(Inputs!$F$7=TRUE,Inputs!$F$7="TRUE",Inputs!$F$7=1),(Inputs!$H$7+Inputs!$L$7*(((Inputs!$I$7+(((A188)+1)/2)*(Inputs!$J$7-Inputs!$I$7)))/Inputs!$K$7)^2),NA())</x:f>
        <x:v>145.41250000000002</x:v>
      </x:c>
      <x:c r="BB188" s="48" t="n">
        <x:f>IF(OR(Inputs!$F$8=TRUE,Inputs!$F$8="TRUE",Inputs!$F$8=1),(Inputs!$H$8+Inputs!$L$8*(((Inputs!$I$8+(((A188)+1)/2)*(Inputs!$J$8-Inputs!$I$8)))/Inputs!$K$8)^2),NA())</x:f>
        <x:v>326.9125</x:v>
      </x:c>
      <x:c r="BC188" s="48" t="n">
        <x:f>IF(OR(Inputs!$F$9=TRUE,Inputs!$F$9="TRUE",Inputs!$F$9=1),(Inputs!$H$9+Inputs!$L$9*(((Inputs!$I$9+(((A188)+1)/2)*(Inputs!$J$9-Inputs!$I$9)))/Inputs!$K$9)^2),NA())</x:f>
        <x:v>319.93750000000006</x:v>
      </x:c>
      <x:c r="BD188" s="49"/>
      <x:c r="BE188" s="48" t="n">
        <x:f>A188</x:f>
        <x:v>0.55</x:v>
      </x:c>
      <x:c r="BF188" s="48" t="n">
        <x:f>0</x:f>
        <x:v>0</x:v>
      </x:c>
      <x:c r="BG188" s="48"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BH188" s="48"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BI188" s="48"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BJ188" s="48"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row>
    <x:row r="189">
      <x:c r="A189" s="48" t="n">
        <x:f>ROUND(-1+187*2/240,3)</x:f>
        <x:v>0.558</x:v>
      </x:c>
      <x:c r="B189" s="48" t="n">
        <x:f>IF(OR(Inputs!$F$6=TRUE,Inputs!$F$6="TRUE",Inputs!$F$6=1),(Inputs!$H$6+Inputs!$L$6*(((Inputs!$I$6+(((A189)+1)/2)*(Inputs!$J$6-Inputs!$I$6)))/Inputs!$K$6)^2),NA())</x:f>
        <x:v>401.245456</x:v>
      </x:c>
      <x:c r="C189" s="48" t="n">
        <x:f>IF(OR(Inputs!$F$7=TRUE,Inputs!$F$7="TRUE",Inputs!$F$7=1),(Inputs!$H$7+Inputs!$L$7*(((Inputs!$I$7+(((A189)+1)/2)*(Inputs!$J$7-Inputs!$I$7)))/Inputs!$K$7)^2),NA())</x:f>
        <x:v>148.64786000000007</x:v>
      </x:c>
      <x:c r="D189" s="48" t="n">
        <x:f>IF(OR(Inputs!$F$8=TRUE,Inputs!$F$8="TRUE",Inputs!$F$8=1),(Inputs!$H$8+Inputs!$L$8*(((Inputs!$I$8+(((A189)+1)/2)*(Inputs!$J$8-Inputs!$I$8)))/Inputs!$K$8)^2),NA())</x:f>
        <x:v>335.4662600000002</x:v>
      </x:c>
      <x:c r="E189" s="48" t="n">
        <x:f>IF(OR(Inputs!$F$9=TRUE,Inputs!$F$9="TRUE",Inputs!$F$9=1),(Inputs!$H$9+Inputs!$L$9*(((Inputs!$I$9+(((A189)+1)/2)*(Inputs!$J$9-Inputs!$I$9)))/Inputs!$K$9)^2),NA())</x:f>
        <x:v>328.5799000000002</x:v>
      </x:c>
      <x:c r="F189" s="49"/>
      <x:c r="G189" s="48" t="n">
        <x:f>A189</x:f>
        <x:v>0.558</x:v>
      </x:c>
      <x:c r="H189" s="48"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I189" s="48"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J189" s="48"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K189" s="48"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c r="L189" s="49"/>
      <x:c r="M189" s="48" t="n">
        <x:f>A189</x:f>
        <x:v>0.558</x:v>
      </x:c>
      <x:c r="N189" s="48" t="n">
        <x: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x:f>
        <x:v>-285.07465841232926</x:v>
      </x:c>
      <x:c r="O189" s="48" t="n">
        <x: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x:f>
        <x:v>-2368.417926314276</x:v>
      </x:c>
      <x:c r="P189" s="48" t="n">
        <x: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x:f>
        <x:v>-2884.2979360666113</x:v>
      </x:c>
      <x:c r="Q189" s="48" t="n">
        <x: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x:f>
        <x:v>-2891.2043869114673</x:v>
      </x:c>
      <x:c r="R189" s="49"/>
      <x:c r="S189" s="48" t="n">
        <x:f>A189</x:f>
        <x:v>0.558</x:v>
      </x:c>
      <x:c r="T189" s="48" t="n">
        <x:f>(Inputs!$I$6+(((A189)+1)/2)*(Inputs!$J$6-Inputs!$I$6))</x:f>
        <x:v>33.480000000000004</x:v>
      </x:c>
      <x:c r="U189" s="48" t="n">
        <x:f>(Inputs!$I$7+(((A189)+1)/2)*(Inputs!$J$7-Inputs!$I$7))</x:f>
        <x:v>223.20000000000005</x:v>
      </x:c>
      <x:c r="V189" s="48" t="n">
        <x:f>(Inputs!$I$8+(((A189)+1)/2)*(Inputs!$J$8-Inputs!$I$8))</x:f>
        <x:v>446.4000000000001</x:v>
      </x:c>
      <x:c r="W189" s="48" t="n">
        <x:f>(Inputs!$I$9+(((A189)+1)/2)*(Inputs!$J$9-Inputs!$I$9))</x:f>
        <x:v>446.4000000000001</x:v>
      </x:c>
      <x:c r="X189" s="49"/>
      <x:c r="Y189" s="48" t="n">
        <x:f>A189</x:f>
        <x:v>0.558</x:v>
      </x:c>
      <x:c r="Z189" s="48" t="n">
        <x:f>(Inputs!$H$6+Inputs!$L$6*(((Inputs!$I$6+(((A189)+1)/2)*(Inputs!$J$6-Inputs!$I$6)))/Inputs!$K$6)^2)</x:f>
        <x:v>401.245456</x:v>
      </x:c>
      <x:c r="AA189" s="48" t="n">
        <x:f>(Inputs!$H$7+Inputs!$L$7*(((Inputs!$I$7+(((A189)+1)/2)*(Inputs!$J$7-Inputs!$I$7)))/Inputs!$K$7)^2)</x:f>
        <x:v>148.64786000000007</x:v>
      </x:c>
      <x:c r="AB189" s="48" t="n">
        <x:f>(Inputs!$H$8+Inputs!$L$8*(((Inputs!$I$8+(((A189)+1)/2)*(Inputs!$J$8-Inputs!$I$8)))/Inputs!$K$8)^2)</x:f>
        <x:v>335.4662600000002</x:v>
      </x:c>
      <x:c r="AC189" s="48" t="n">
        <x:f>(Inputs!$H$9+Inputs!$L$9*(((Inputs!$I$9+(((A189)+1)/2)*(Inputs!$J$9-Inputs!$I$9)))/Inputs!$K$9)^2)</x:f>
        <x:v>328.5799000000002</x:v>
      </x:c>
      <x:c r="AD189" s="49"/>
      <x:c r="AE189" s="48" t="n">
        <x:f>A189</x:f>
        <x:v>0.558</x:v>
      </x:c>
      <x:c r="AF189" s="48" t="n">
        <x:f>(((SQRT((Inputs!$C$52+((Inputs!$H$6+Inputs!$L$6*(((Inputs!$I$6+(((A189)+1)/2)*(Inputs!$J$6-Inputs!$I$6)))/Inputs!$K$6)^2)))^2+Inputs!$C$52^2-2*(Inputs!$C$52+((Inputs!$H$6+Inputs!$L$6*(((Inputs!$I$6+(((A189)+1)/2)*(Inputs!$J$6-Inputs!$I$6)))/Inputs!$K$6)^2)))*Inputs!$C$52*COS(SQRT(((Inputs!$I$6+(((A189)+1)/2)*(Inputs!$J$6-Inputs!$I$6)))^2+Inputs!$C$6^2)/Inputs!$C$52)))-((Inputs!$H$6+Inputs!$L$6*(((Inputs!$I$6+(((A189)+1)/2)*(Inputs!$J$6-Inputs!$I$6)))/Inputs!$K$6)^2)))*1000/Inputs!$C$12)</x:f>
        <x:v>1531.1763248895636</x:v>
      </x:c>
      <x:c r="AG189" s="48" t="n">
        <x:f>(((SQRT((Inputs!$C$52+((Inputs!$H$7+Inputs!$L$7*(((Inputs!$I$7+(((A189)+1)/2)*(Inputs!$J$7-Inputs!$I$7)))/Inputs!$K$7)^2)))^2+Inputs!$C$52^2-2*(Inputs!$C$52+((Inputs!$H$7+Inputs!$L$7*(((Inputs!$I$7+(((A189)+1)/2)*(Inputs!$J$7-Inputs!$I$7)))/Inputs!$K$7)^2)))*Inputs!$C$52*COS(SQRT(((Inputs!$I$7+(((A189)+1)/2)*(Inputs!$J$7-Inputs!$I$7)))^2+Inputs!$C$6^2)/Inputs!$C$52)))-((Inputs!$H$7+Inputs!$L$7*(((Inputs!$I$7+(((A189)+1)/2)*(Inputs!$J$7-Inputs!$I$7)))/Inputs!$K$7)^2)))*1000/Inputs!$C$12)</x:f>
        <x:v>72633.6509121819</x:v>
      </x:c>
      <x:c r="AH189" s="48" t="n">
        <x:f>(((SQRT((Inputs!$C$52+((Inputs!$H$8+Inputs!$L$8*(((Inputs!$I$8+(((A189)+1)/2)*(Inputs!$J$8-Inputs!$I$8)))/Inputs!$K$8)^2)))^2+Inputs!$C$52^2-2*(Inputs!$C$52+((Inputs!$H$8+Inputs!$L$8*(((Inputs!$I$8+(((A189)+1)/2)*(Inputs!$J$8-Inputs!$I$8)))/Inputs!$K$8)^2)))*Inputs!$C$52*COS(SQRT(((Inputs!$I$8+(((A189)+1)/2)*(Inputs!$J$8-Inputs!$I$8)))^2+Inputs!$C$6^2)/Inputs!$C$52)))-((Inputs!$H$8+Inputs!$L$8*(((Inputs!$I$8+(((A189)+1)/2)*(Inputs!$J$8-Inputs!$I$8)))/Inputs!$K$8)^2)))*1000/Inputs!$C$12)</x:f>
        <x:v>145672.74759155026</x:v>
      </x:c>
      <x:c r="AI189" s="48" t="n">
        <x:f>(((SQRT((Inputs!$C$52+((Inputs!$H$9+Inputs!$L$9*(((Inputs!$I$9+(((A189)+1)/2)*(Inputs!$J$9-Inputs!$I$9)))/Inputs!$K$9)^2)))^2+Inputs!$C$52^2-2*(Inputs!$C$52+((Inputs!$H$9+Inputs!$L$9*(((Inputs!$I$9+(((A189)+1)/2)*(Inputs!$J$9-Inputs!$I$9)))/Inputs!$K$9)^2)))*Inputs!$C$52*COS(SQRT(((Inputs!$I$9+(((A189)+1)/2)*(Inputs!$J$9-Inputs!$I$9)))^2+Inputs!$C$6^2)/Inputs!$C$52)))-((Inputs!$H$9+Inputs!$L$9*(((Inputs!$I$9+(((A189)+1)/2)*(Inputs!$J$9-Inputs!$I$9)))/Inputs!$K$9)^2)))*1000/Inputs!$C$12)</x:f>
        <x:v>146958.10294394518</x:v>
      </x:c>
      <x:c r="AJ189" s="49"/>
      <x:c r="AK189" s="48" t="n">
        <x:f>A189</x:f>
        <x:v>0.558</x:v>
      </x:c>
      <x:c r="AL189" s="48" t="n">
        <x: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x:f>
        <x:v>-285.07465841232926</x:v>
      </x:c>
      <x:c r="AM189" s="48" t="n">
        <x: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x:f>
        <x:v>-2368.417926314276</x:v>
      </x:c>
      <x:c r="AN189" s="48" t="n">
        <x: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x:f>
        <x:v>-2884.2979360666113</x:v>
      </x:c>
      <x:c r="AO189" s="48" t="n">
        <x: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x:f>
        <x:v>-2891.2043869114673</x:v>
      </x:c>
      <x:c r="AP189" s="49"/>
      <x:c r="AQ189" s="48" t="n">
        <x:f>A189</x:f>
        <x:v>0.558</x:v>
      </x:c>
      <x:c r="AR189" s="48" t="n">
        <x:f>0</x:f>
        <x:v>0</x:v>
      </x:c>
      <x:c r="AS189" s="48" t="n">
        <x: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(0.45*SIN(2*PI()*((((Inputs!$I$6+(((A189)+1)/2)*(Inputs!$J$6-Inputs!$I$6)))/Inputs!$C$49)+Inputs!$C$47*0.137))+0.35*COS(2*PI()*(((Inputs!$C$6)/Inputs!$C$50)+Inputs!$C$47*0.173))+0.20*SIN(2*PI()*((((Inputs!$I$6+(((A189)+1)/2)*(Inputs!$J$6-Inputs!$I$6)))+(Inputs!$C$6))/(0.5*(Inputs!$C$49+Inputs!$C$50))+Inputs!$C$47*0.097)))+0.30*(2*((SIN((((Inputs!$I$6+(((A189)+1)/2)*(Inputs!$J$6-Inputs!$I$6)))*12.9898+(Inputs!$C$6)*78.233+Inputs!$C$47*37.719))*43758.5453)-INT((SIN((((Inputs!$I$6+(((A189)+1)/2)*(Inputs!$J$6-Inputs!$I$6)))*12.9898+(Inputs!$C$6)*78.233+Inputs!$C$47*37.719))*43758.5453)))-1))),NA())</x:f>
        <x:v>220.25536491486793</x:v>
      </x:c>
      <x:c r="AT189" s="48" t="n">
        <x: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(0.45*SIN(2*PI()*((((Inputs!$I$7+(((A189)+1)/2)*(Inputs!$J$7-Inputs!$I$7)))/Inputs!$C$49)+Inputs!$C$47*0.137))+0.35*COS(2*PI()*(((Inputs!$C$6)/Inputs!$C$50)+Inputs!$C$47*0.173))+0.20*SIN(2*PI()*((((Inputs!$I$7+(((A189)+1)/2)*(Inputs!$J$7-Inputs!$I$7)))+(Inputs!$C$6))/(0.5*(Inputs!$C$49+Inputs!$C$50))+Inputs!$C$47*0.097)))+0.30*(2*((SIN((((Inputs!$I$7+(((A189)+1)/2)*(Inputs!$J$7-Inputs!$I$7)))*12.9898+(Inputs!$C$6)*78.233+Inputs!$C$47*37.719))*43758.5453)-INT((SIN((((Inputs!$I$7+(((A189)+1)/2)*(Inputs!$J$7-Inputs!$I$7)))*12.9898+(Inputs!$C$6)*78.233+Inputs!$C$47*37.719))*43758.5453)))-1))),NA())</x:f>
        <x:v>188.2622323547676</x:v>
      </x:c>
      <x:c r="AU189" s="48" t="n">
        <x: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(0.45*SIN(2*PI()*((((Inputs!$I$8+(((A189)+1)/2)*(Inputs!$J$8-Inputs!$I$8)))/Inputs!$C$49)+Inputs!$C$47*0.137))+0.35*COS(2*PI()*(((Inputs!$C$6)/Inputs!$C$50)+Inputs!$C$47*0.173))+0.20*SIN(2*PI()*((((Inputs!$I$8+(((A189)+1)/2)*(Inputs!$J$8-Inputs!$I$8)))+(Inputs!$C$6))/(0.5*(Inputs!$C$49+Inputs!$C$50))+Inputs!$C$47*0.097)))+0.30*(2*((SIN((((Inputs!$I$8+(((A189)+1)/2)*(Inputs!$J$8-Inputs!$I$8)))*12.9898+(Inputs!$C$6)*78.233+Inputs!$C$47*37.719))*43758.5453)-INT((SIN((((Inputs!$I$8+(((A189)+1)/2)*(Inputs!$J$8-Inputs!$I$8)))*12.9898+(Inputs!$C$6)*78.233+Inputs!$C$47*37.719))*43758.5453)))-1))),NA())</x:f>
        <x:v>122.91233991859974</x:v>
      </x:c>
      <x:c r="AV189" s="48" t="n">
        <x: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(0.45*SIN(2*PI()*((((Inputs!$I$9+(((A189)+1)/2)*(Inputs!$J$9-Inputs!$I$9)))/Inputs!$C$49)+Inputs!$C$47*0.137))+0.35*COS(2*PI()*(((Inputs!$C$6)/Inputs!$C$50)+Inputs!$C$47*0.173))+0.20*SIN(2*PI()*((((Inputs!$I$9+(((A189)+1)/2)*(Inputs!$J$9-Inputs!$I$9)))+(Inputs!$C$6))/(0.5*(Inputs!$C$49+Inputs!$C$50))+Inputs!$C$47*0.097)))+0.30*(2*((SIN((((Inputs!$I$9+(((A189)+1)/2)*(Inputs!$J$9-Inputs!$I$9)))*12.9898+(Inputs!$C$6)*78.233+Inputs!$C$47*37.719))*43758.5453)-INT((SIN((((Inputs!$I$9+(((A189)+1)/2)*(Inputs!$J$9-Inputs!$I$9)))*12.9898+(Inputs!$C$6)*78.233+Inputs!$C$47*37.719))*43758.5453)))-1))),NA())</x:f>
        <x:v>122.91233991859974</x:v>
      </x:c>
      <x:c r="AW189" s="49"/>
      <x:c r="AX189" s="48" t="n">
        <x:f>A189</x:f>
        <x:v>0.558</x:v>
      </x:c>
      <x:c r="AY189" s="48" t="n">
        <x:f>0</x:f>
        <x:v>0</x:v>
      </x:c>
      <x:c r="AZ189" s="48" t="n">
        <x:f>IF(OR(Inputs!$F$6=TRUE,Inputs!$F$6="TRUE",Inputs!$F$6=1),(Inputs!$H$6+Inputs!$L$6*(((Inputs!$I$6+(((A189)+1)/2)*(Inputs!$J$6-Inputs!$I$6)))/Inputs!$K$6)^2),NA())</x:f>
        <x:v>401.245456</x:v>
      </x:c>
      <x:c r="BA189" s="48" t="n">
        <x:f>IF(OR(Inputs!$F$7=TRUE,Inputs!$F$7="TRUE",Inputs!$F$7=1),(Inputs!$H$7+Inputs!$L$7*(((Inputs!$I$7+(((A189)+1)/2)*(Inputs!$J$7-Inputs!$I$7)))/Inputs!$K$7)^2),NA())</x:f>
        <x:v>148.64786000000007</x:v>
      </x:c>
      <x:c r="BB189" s="48" t="n">
        <x:f>IF(OR(Inputs!$F$8=TRUE,Inputs!$F$8="TRUE",Inputs!$F$8=1),(Inputs!$H$8+Inputs!$L$8*(((Inputs!$I$8+(((A189)+1)/2)*(Inputs!$J$8-Inputs!$I$8)))/Inputs!$K$8)^2),NA())</x:f>
        <x:v>335.4662600000002</x:v>
      </x:c>
      <x:c r="BC189" s="48" t="n">
        <x:f>IF(OR(Inputs!$F$9=TRUE,Inputs!$F$9="TRUE",Inputs!$F$9=1),(Inputs!$H$9+Inputs!$L$9*(((Inputs!$I$9+(((A189)+1)/2)*(Inputs!$J$9-Inputs!$I$9)))/Inputs!$K$9)^2),NA())</x:f>
        <x:v>328.5799000000002</x:v>
      </x:c>
      <x:c r="BD189" s="49"/>
      <x:c r="BE189" s="48" t="n">
        <x:f>A189</x:f>
        <x:v>0.558</x:v>
      </x:c>
      <x:c r="BF189" s="48" t="n">
        <x:f>0</x:f>
        <x:v>0</x:v>
      </x:c>
      <x:c r="BG189" s="48"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BH189" s="48"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BI189" s="48"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BJ189" s="48"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row>
    <x:row r="190">
      <x:c r="A190" s="48" t="n">
        <x:f>ROUND(-1+188*2/240,3)</x:f>
        <x:v>0.567</x:v>
      </x:c>
      <x:c r="B190" s="48" t="n">
        <x:f>IF(OR(Inputs!$F$6=TRUE,Inputs!$F$6="TRUE",Inputs!$F$6=1),(Inputs!$H$6+Inputs!$L$6*(((Inputs!$I$6+(((A190)+1)/2)*(Inputs!$J$6-Inputs!$I$6)))/Inputs!$K$6)^2),NA())</x:f>
        <x:v>401.285956</x:v>
      </x:c>
      <x:c r="C190" s="48" t="n">
        <x:f>IF(OR(Inputs!$F$7=TRUE,Inputs!$F$7="TRUE",Inputs!$F$7=1),(Inputs!$H$7+Inputs!$L$7*(((Inputs!$I$7+(((A190)+1)/2)*(Inputs!$J$7-Inputs!$I$7)))/Inputs!$K$7)^2),NA())</x:f>
        <x:v>152.34348499999993</x:v>
      </x:c>
      <x:c r="D190" s="48" t="n">
        <x:f>IF(OR(Inputs!$F$8=TRUE,Inputs!$F$8="TRUE",Inputs!$F$8=1),(Inputs!$H$8+Inputs!$L$8*(((Inputs!$I$8+(((A190)+1)/2)*(Inputs!$J$8-Inputs!$I$8)))/Inputs!$K$8)^2),NA())</x:f>
        <x:v>345.2368849999998</x:v>
      </x:c>
      <x:c r="E190" s="48" t="n">
        <x:f>IF(OR(Inputs!$F$9=TRUE,Inputs!$F$9="TRUE",Inputs!$F$9=1),(Inputs!$H$9+Inputs!$L$9*(((Inputs!$I$9+(((A190)+1)/2)*(Inputs!$J$9-Inputs!$I$9)))/Inputs!$K$9)^2),NA())</x:f>
        <x:v>338.4517749999998</x:v>
      </x:c>
      <x:c r="F190" s="49"/>
      <x:c r="G190" s="48" t="n">
        <x:f>A190</x:f>
        <x:v>0.567</x:v>
      </x:c>
      <x:c r="H190" s="48"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I190" s="48"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J190" s="48"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K190" s="48"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c r="L190" s="49"/>
      <x:c r="M190" s="48" t="n">
        <x:f>A190</x:f>
        <x:v>0.567</x:v>
      </x:c>
      <x:c r="N190" s="48" t="n">
        <x: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x:f>
        <x:v>-289.6218043882279</x:v>
      </x:c>
      <x:c r="O190" s="48" t="n">
        <x: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x:f>
        <x:v>-2388.6422341040543</x:v>
      </x:c>
      <x:c r="P190" s="48" t="n">
        <x: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x:f>
        <x:v>-2917.1629942998798</x:v>
      </x:c>
      <x:c r="Q190" s="48" t="n">
        <x: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x:f>
        <x:v>-2924.6625028341464</x:v>
      </x:c>
      <x:c r="R190" s="49"/>
      <x:c r="S190" s="48" t="n">
        <x:f>A190</x:f>
        <x:v>0.567</x:v>
      </x:c>
      <x:c r="T190" s="48" t="n">
        <x:f>(Inputs!$I$6+(((A190)+1)/2)*(Inputs!$J$6-Inputs!$I$6))</x:f>
        <x:v>34.019999999999996</x:v>
      </x:c>
      <x:c r="U190" s="48" t="n">
        <x:f>(Inputs!$I$7+(((A190)+1)/2)*(Inputs!$J$7-Inputs!$I$7))</x:f>
        <x:v>226.79999999999995</x:v>
      </x:c>
      <x:c r="V190" s="48" t="n">
        <x:f>(Inputs!$I$8+(((A190)+1)/2)*(Inputs!$J$8-Inputs!$I$8))</x:f>
        <x:v>453.5999999999999</x:v>
      </x:c>
      <x:c r="W190" s="48" t="n">
        <x:f>(Inputs!$I$9+(((A190)+1)/2)*(Inputs!$J$9-Inputs!$I$9))</x:f>
        <x:v>453.5999999999999</x:v>
      </x:c>
      <x:c r="X190" s="49"/>
      <x:c r="Y190" s="48" t="n">
        <x:f>A190</x:f>
        <x:v>0.567</x:v>
      </x:c>
      <x:c r="Z190" s="48" t="n">
        <x:f>(Inputs!$H$6+Inputs!$L$6*(((Inputs!$I$6+(((A190)+1)/2)*(Inputs!$J$6-Inputs!$I$6)))/Inputs!$K$6)^2)</x:f>
        <x:v>401.285956</x:v>
      </x:c>
      <x:c r="AA190" s="48" t="n">
        <x:f>(Inputs!$H$7+Inputs!$L$7*(((Inputs!$I$7+(((A190)+1)/2)*(Inputs!$J$7-Inputs!$I$7)))/Inputs!$K$7)^2)</x:f>
        <x:v>152.34348499999993</x:v>
      </x:c>
      <x:c r="AB190" s="48" t="n">
        <x:f>(Inputs!$H$8+Inputs!$L$8*(((Inputs!$I$8+(((A190)+1)/2)*(Inputs!$J$8-Inputs!$I$8)))/Inputs!$K$8)^2)</x:f>
        <x:v>345.2368849999998</x:v>
      </x:c>
      <x:c r="AC190" s="48" t="n">
        <x:f>(Inputs!$H$9+Inputs!$L$9*(((Inputs!$I$9+(((A190)+1)/2)*(Inputs!$J$9-Inputs!$I$9)))/Inputs!$K$9)^2)</x:f>
        <x:v>338.4517749999998</x:v>
      </x:c>
      <x:c r="AD190" s="49"/>
      <x:c r="AE190" s="48" t="n">
        <x:f>A190</x:f>
        <x:v>0.567</x:v>
      </x:c>
      <x:c r="AF190" s="48" t="n">
        <x:f>(((SQRT((Inputs!$C$52+((Inputs!$H$6+Inputs!$L$6*(((Inputs!$I$6+(((A190)+1)/2)*(Inputs!$J$6-Inputs!$I$6)))/Inputs!$K$6)^2)))^2+Inputs!$C$52^2-2*(Inputs!$C$52+((Inputs!$H$6+Inputs!$L$6*(((Inputs!$I$6+(((A190)+1)/2)*(Inputs!$J$6-Inputs!$I$6)))/Inputs!$K$6)^2)))*Inputs!$C$52*COS(SQRT(((Inputs!$I$6+(((A190)+1)/2)*(Inputs!$J$6-Inputs!$I$6)))^2+Inputs!$C$6^2)/Inputs!$C$52)))-((Inputs!$H$6+Inputs!$L$6*(((Inputs!$I$6+(((A190)+1)/2)*(Inputs!$J$6-Inputs!$I$6)))/Inputs!$K$6)^2)))*1000/Inputs!$C$12)</x:f>
        <x:v>1562.9067154259183</x:v>
      </x:c>
      <x:c r="AG190" s="48" t="n">
        <x:f>(((SQRT((Inputs!$C$52+((Inputs!$H$7+Inputs!$L$7*(((Inputs!$I$7+(((A190)+1)/2)*(Inputs!$J$7-Inputs!$I$7)))/Inputs!$K$7)^2)))^2+Inputs!$C$52^2-2*(Inputs!$C$52+((Inputs!$H$7+Inputs!$L$7*(((Inputs!$I$7+(((A190)+1)/2)*(Inputs!$J$7-Inputs!$I$7)))/Inputs!$K$7)^2)))*Inputs!$C$52*COS(SQRT(((Inputs!$I$7+(((A190)+1)/2)*(Inputs!$J$7-Inputs!$I$7)))^2+Inputs!$C$6^2)/Inputs!$C$52)))-((Inputs!$H$7+Inputs!$L$7*(((Inputs!$I$7+(((A190)+1)/2)*(Inputs!$J$7-Inputs!$I$7)))/Inputs!$K$7)^2)))*1000/Inputs!$C$12)</x:f>
        <x:v>73564.0088095637</x:v>
      </x:c>
      <x:c r="AH190" s="48" t="n">
        <x:f>(((SQRT((Inputs!$C$52+((Inputs!$H$8+Inputs!$L$8*(((Inputs!$I$8+(((A190)+1)/2)*(Inputs!$J$8-Inputs!$I$8)))/Inputs!$K$8)^2)))^2+Inputs!$C$52^2-2*(Inputs!$C$52+((Inputs!$H$8+Inputs!$L$8*(((Inputs!$I$8+(((A190)+1)/2)*(Inputs!$J$8-Inputs!$I$8)))/Inputs!$K$8)^2)))*Inputs!$C$52*COS(SQRT(((Inputs!$I$8+(((A190)+1)/2)*(Inputs!$J$8-Inputs!$I$8)))^2+Inputs!$C$6^2)/Inputs!$C$52)))-((Inputs!$H$8+Inputs!$L$8*(((Inputs!$I$8+(((A190)+1)/2)*(Inputs!$J$8-Inputs!$I$8)))/Inputs!$K$8)^2)))*1000/Inputs!$C$12)</x:f>
        <x:v>147516.89294631936</x:v>
      </x:c>
      <x:c r="AI190" s="48" t="n">
        <x:f>(((SQRT((Inputs!$C$52+((Inputs!$H$9+Inputs!$L$9*(((Inputs!$I$9+(((A190)+1)/2)*(Inputs!$J$9-Inputs!$I$9)))/Inputs!$K$9)^2)))^2+Inputs!$C$52^2-2*(Inputs!$C$52+((Inputs!$H$9+Inputs!$L$9*(((Inputs!$I$9+(((A190)+1)/2)*(Inputs!$J$9-Inputs!$I$9)))/Inputs!$K$9)^2)))*Inputs!$C$52*COS(SQRT(((Inputs!$I$9+(((A190)+1)/2)*(Inputs!$J$9-Inputs!$I$9)))^2+Inputs!$C$6^2)/Inputs!$C$52)))-((Inputs!$H$9+Inputs!$L$9*(((Inputs!$I$9+(((A190)+1)/2)*(Inputs!$J$9-Inputs!$I$9)))/Inputs!$K$9)^2)))*1000/Inputs!$C$12)</x:f>
        <x:v>148763.57599227017</x:v>
      </x:c>
      <x:c r="AJ190" s="49"/>
      <x:c r="AK190" s="48" t="n">
        <x:f>A190</x:f>
        <x:v>0.567</x:v>
      </x:c>
      <x:c r="AL190" s="48" t="n">
        <x: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x:f>
        <x:v>-289.6218043882279</x:v>
      </x:c>
      <x:c r="AM190" s="48" t="n">
        <x: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x:f>
        <x:v>-2388.6422341040543</x:v>
      </x:c>
      <x:c r="AN190" s="48" t="n">
        <x: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x:f>
        <x:v>-2917.1629942998798</x:v>
      </x:c>
      <x:c r="AO190" s="48" t="n">
        <x: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x:f>
        <x:v>-2924.6625028341464</x:v>
      </x:c>
      <x:c r="AP190" s="49"/>
      <x:c r="AQ190" s="48" t="n">
        <x:f>A190</x:f>
        <x:v>0.567</x:v>
      </x:c>
      <x:c r="AR190" s="48" t="n">
        <x:f>0</x:f>
        <x:v>0</x:v>
      </x:c>
      <x:c r="AS190" s="48" t="n">
        <x: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(0.45*SIN(2*PI()*((((Inputs!$I$6+(((A190)+1)/2)*(Inputs!$J$6-Inputs!$I$6)))/Inputs!$C$49)+Inputs!$C$47*0.137))+0.35*COS(2*PI()*(((Inputs!$C$6)/Inputs!$C$50)+Inputs!$C$47*0.173))+0.20*SIN(2*PI()*((((Inputs!$I$6+(((A190)+1)/2)*(Inputs!$J$6-Inputs!$I$6)))+(Inputs!$C$6))/(0.5*(Inputs!$C$49+Inputs!$C$50))+Inputs!$C$47*0.097)))+0.30*(2*((SIN((((Inputs!$I$6+(((A190)+1)/2)*(Inputs!$J$6-Inputs!$I$6)))*12.9898+(Inputs!$C$6)*78.233+Inputs!$C$47*37.719))*43758.5453)-INT((SIN((((Inputs!$I$6+(((A190)+1)/2)*(Inputs!$J$6-Inputs!$I$6)))*12.9898+(Inputs!$C$6)*78.233+Inputs!$C$47*37.719))*43758.5453)))-1))),NA())</x:f>
        <x:v>233.5321920735234</x:v>
      </x:c>
      <x:c r="AT190" s="48" t="n">
        <x: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(0.45*SIN(2*PI()*((((Inputs!$I$7+(((A190)+1)/2)*(Inputs!$J$7-Inputs!$I$7)))/Inputs!$C$49)+Inputs!$C$47*0.137))+0.35*COS(2*PI()*(((Inputs!$C$6)/Inputs!$C$50)+Inputs!$C$47*0.173))+0.20*SIN(2*PI()*((((Inputs!$I$7+(((A190)+1)/2)*(Inputs!$J$7-Inputs!$I$7)))+(Inputs!$C$6))/(0.5*(Inputs!$C$49+Inputs!$C$50))+Inputs!$C$47*0.097)))+0.30*(2*((SIN((((Inputs!$I$7+(((A190)+1)/2)*(Inputs!$J$7-Inputs!$I$7)))*12.9898+(Inputs!$C$6)*78.233+Inputs!$C$47*37.719))*43758.5453)-INT((SIN((((Inputs!$I$7+(((A190)+1)/2)*(Inputs!$J$7-Inputs!$I$7)))*12.9898+(Inputs!$C$6)*78.233+Inputs!$C$47*37.719))*43758.5453)))-1))),NA())</x:f>
        <x:v>101.48995263897521</x:v>
      </x:c>
      <x:c r="AU190" s="48" t="n">
        <x: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(0.45*SIN(2*PI()*((((Inputs!$I$8+(((A190)+1)/2)*(Inputs!$J$8-Inputs!$I$8)))/Inputs!$C$49)+Inputs!$C$47*0.137))+0.35*COS(2*PI()*(((Inputs!$C$6)/Inputs!$C$50)+Inputs!$C$47*0.173))+0.20*SIN(2*PI()*((((Inputs!$I$8+(((A190)+1)/2)*(Inputs!$J$8-Inputs!$I$8)))+(Inputs!$C$6))/(0.5*(Inputs!$C$49+Inputs!$C$50))+Inputs!$C$47*0.097)))+0.30*(2*((SIN((((Inputs!$I$8+(((A190)+1)/2)*(Inputs!$J$8-Inputs!$I$8)))*12.9898+(Inputs!$C$6)*78.233+Inputs!$C$47*37.719))*43758.5453)-INT((SIN((((Inputs!$I$8+(((A190)+1)/2)*(Inputs!$J$8-Inputs!$I$8)))*12.9898+(Inputs!$C$6)*78.233+Inputs!$C$47*37.719))*43758.5453)))-1))),NA())</x:f>
        <x:v>188.27460287615003</x:v>
      </x:c>
      <x:c r="AV190" s="48" t="n">
        <x: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(0.45*SIN(2*PI()*((((Inputs!$I$9+(((A190)+1)/2)*(Inputs!$J$9-Inputs!$I$9)))/Inputs!$C$49)+Inputs!$C$47*0.137))+0.35*COS(2*PI()*(((Inputs!$C$6)/Inputs!$C$50)+Inputs!$C$47*0.173))+0.20*SIN(2*PI()*((((Inputs!$I$9+(((A190)+1)/2)*(Inputs!$J$9-Inputs!$I$9)))+(Inputs!$C$6))/(0.5*(Inputs!$C$49+Inputs!$C$50))+Inputs!$C$47*0.097)))+0.30*(2*((SIN((((Inputs!$I$9+(((A190)+1)/2)*(Inputs!$J$9-Inputs!$I$9)))*12.9898+(Inputs!$C$6)*78.233+Inputs!$C$47*37.719))*43758.5453)-INT((SIN((((Inputs!$I$9+(((A190)+1)/2)*(Inputs!$J$9-Inputs!$I$9)))*12.9898+(Inputs!$C$6)*78.233+Inputs!$C$47*37.719))*43758.5453)))-1))),NA())</x:f>
        <x:v>188.27460287615003</x:v>
      </x:c>
      <x:c r="AW190" s="49"/>
      <x:c r="AX190" s="48" t="n">
        <x:f>A190</x:f>
        <x:v>0.567</x:v>
      </x:c>
      <x:c r="AY190" s="48" t="n">
        <x:f>0</x:f>
        <x:v>0</x:v>
      </x:c>
      <x:c r="AZ190" s="48" t="n">
        <x:f>IF(OR(Inputs!$F$6=TRUE,Inputs!$F$6="TRUE",Inputs!$F$6=1),(Inputs!$H$6+Inputs!$L$6*(((Inputs!$I$6+(((A190)+1)/2)*(Inputs!$J$6-Inputs!$I$6)))/Inputs!$K$6)^2),NA())</x:f>
        <x:v>401.285956</x:v>
      </x:c>
      <x:c r="BA190" s="48" t="n">
        <x:f>IF(OR(Inputs!$F$7=TRUE,Inputs!$F$7="TRUE",Inputs!$F$7=1),(Inputs!$H$7+Inputs!$L$7*(((Inputs!$I$7+(((A190)+1)/2)*(Inputs!$J$7-Inputs!$I$7)))/Inputs!$K$7)^2),NA())</x:f>
        <x:v>152.34348499999993</x:v>
      </x:c>
      <x:c r="BB190" s="48" t="n">
        <x:f>IF(OR(Inputs!$F$8=TRUE,Inputs!$F$8="TRUE",Inputs!$F$8=1),(Inputs!$H$8+Inputs!$L$8*(((Inputs!$I$8+(((A190)+1)/2)*(Inputs!$J$8-Inputs!$I$8)))/Inputs!$K$8)^2),NA())</x:f>
        <x:v>345.2368849999998</x:v>
      </x:c>
      <x:c r="BC190" s="48" t="n">
        <x:f>IF(OR(Inputs!$F$9=TRUE,Inputs!$F$9="TRUE",Inputs!$F$9=1),(Inputs!$H$9+Inputs!$L$9*(((Inputs!$I$9+(((A190)+1)/2)*(Inputs!$J$9-Inputs!$I$9)))/Inputs!$K$9)^2),NA())</x:f>
        <x:v>338.4517749999998</x:v>
      </x:c>
      <x:c r="BD190" s="49"/>
      <x:c r="BE190" s="48" t="n">
        <x:f>A190</x:f>
        <x:v>0.567</x:v>
      </x:c>
      <x:c r="BF190" s="48" t="n">
        <x:f>0</x:f>
        <x:v>0</x:v>
      </x:c>
      <x:c r="BG190" s="48"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BH190" s="48"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BI190" s="48"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BJ190" s="48"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row>
    <x:row r="191">
      <x:c r="A191" s="48" t="n">
        <x:f>ROUND(-1+189*2/240,3)</x:f>
        <x:v>0.575</x:v>
      </x:c>
      <x:c r="B191" s="48" t="n">
        <x:f>IF(OR(Inputs!$F$6=TRUE,Inputs!$F$6="TRUE",Inputs!$F$6=1),(Inputs!$H$6+Inputs!$L$6*(((Inputs!$I$6+(((A191)+1)/2)*(Inputs!$J$6-Inputs!$I$6)))/Inputs!$K$6)^2),NA())</x:f>
        <x:v>401.3225</x:v>
      </x:c>
      <x:c r="C191" s="48" t="n">
        <x:f>IF(OR(Inputs!$F$7=TRUE,Inputs!$F$7="TRUE",Inputs!$F$7=1),(Inputs!$H$7+Inputs!$L$7*(((Inputs!$I$7+(((A191)+1)/2)*(Inputs!$J$7-Inputs!$I$7)))/Inputs!$K$7)^2),NA())</x:f>
        <x:v>155.67812499999997</x:v>
      </x:c>
      <x:c r="D191" s="48" t="n">
        <x:f>IF(OR(Inputs!$F$8=TRUE,Inputs!$F$8="TRUE",Inputs!$F$8=1),(Inputs!$H$8+Inputs!$L$8*(((Inputs!$I$8+(((A191)+1)/2)*(Inputs!$J$8-Inputs!$I$8)))/Inputs!$K$8)^2),NA())</x:f>
        <x:v>354.05312499999997</x:v>
      </x:c>
      <x:c r="E191" s="48" t="n">
        <x:f>IF(OR(Inputs!$F$9=TRUE,Inputs!$F$9="TRUE",Inputs!$F$9=1),(Inputs!$H$9+Inputs!$L$9*(((Inputs!$I$9+(((A191)+1)/2)*(Inputs!$J$9-Inputs!$I$9)))/Inputs!$K$9)^2),NA())</x:f>
        <x:v>347.35937499999994</x:v>
      </x:c>
      <x:c r="F191" s="49"/>
      <x:c r="G191" s="48" t="n">
        <x:f>A191</x:f>
        <x:v>0.575</x:v>
      </x:c>
      <x:c r="H191" s="48"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I191" s="48"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J191" s="48"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K191" s="48"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c r="L191" s="49"/>
      <x:c r="M191" s="48" t="n">
        <x:f>A191</x:f>
        <x:v>0.575</x:v>
      </x:c>
      <x:c r="N191" s="48" t="n">
        <x: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x:f>
        <x:v>-293.66169659029333</x:v>
      </x:c>
      <x:c r="O191" s="48" t="n">
        <x: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x:f>
        <x:v>-2406.756002423393</x:v>
      </x:c>
      <x:c r="P191" s="48" t="n">
        <x: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x:f>
        <x:v>-2946.5604806953747</x:v>
      </x:c>
      <x:c r="Q191" s="48" t="n">
        <x: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x:f>
        <x:v>-2954.587280170598</x:v>
      </x:c>
      <x:c r="R191" s="49"/>
      <x:c r="S191" s="48" t="n">
        <x:f>A191</x:f>
        <x:v>0.575</x:v>
      </x:c>
      <x:c r="T191" s="48" t="n">
        <x:f>(Inputs!$I$6+(((A191)+1)/2)*(Inputs!$J$6-Inputs!$I$6))</x:f>
        <x:v>34.5</x:v>
      </x:c>
      <x:c r="U191" s="48" t="n">
        <x:f>(Inputs!$I$7+(((A191)+1)/2)*(Inputs!$J$7-Inputs!$I$7))</x:f>
        <x:v>230</x:v>
      </x:c>
      <x:c r="V191" s="48" t="n">
        <x:f>(Inputs!$I$8+(((A191)+1)/2)*(Inputs!$J$8-Inputs!$I$8))</x:f>
        <x:v>460</x:v>
      </x:c>
      <x:c r="W191" s="48" t="n">
        <x:f>(Inputs!$I$9+(((A191)+1)/2)*(Inputs!$J$9-Inputs!$I$9))</x:f>
        <x:v>460</x:v>
      </x:c>
      <x:c r="X191" s="49"/>
      <x:c r="Y191" s="48" t="n">
        <x:f>A191</x:f>
        <x:v>0.575</x:v>
      </x:c>
      <x:c r="Z191" s="48" t="n">
        <x:f>(Inputs!$H$6+Inputs!$L$6*(((Inputs!$I$6+(((A191)+1)/2)*(Inputs!$J$6-Inputs!$I$6)))/Inputs!$K$6)^2)</x:f>
        <x:v>401.3225</x:v>
      </x:c>
      <x:c r="AA191" s="48" t="n">
        <x:f>(Inputs!$H$7+Inputs!$L$7*(((Inputs!$I$7+(((A191)+1)/2)*(Inputs!$J$7-Inputs!$I$7)))/Inputs!$K$7)^2)</x:f>
        <x:v>155.67812499999997</x:v>
      </x:c>
      <x:c r="AB191" s="48" t="n">
        <x:f>(Inputs!$H$8+Inputs!$L$8*(((Inputs!$I$8+(((A191)+1)/2)*(Inputs!$J$8-Inputs!$I$8)))/Inputs!$K$8)^2)</x:f>
        <x:v>354.05312499999997</x:v>
      </x:c>
      <x:c r="AC191" s="48" t="n">
        <x:f>(Inputs!$H$9+Inputs!$L$9*(((Inputs!$I$9+(((A191)+1)/2)*(Inputs!$J$9-Inputs!$I$9)))/Inputs!$K$9)^2)</x:f>
        <x:v>347.35937499999994</x:v>
      </x:c>
      <x:c r="AD191" s="49"/>
      <x:c r="AE191" s="48" t="n">
        <x:f>A191</x:f>
        <x:v>0.575</x:v>
      </x:c>
      <x:c r="AF191" s="48" t="n">
        <x:f>(((SQRT((Inputs!$C$52+((Inputs!$H$6+Inputs!$L$6*(((Inputs!$I$6+(((A191)+1)/2)*(Inputs!$J$6-Inputs!$I$6)))/Inputs!$K$6)^2)))^2+Inputs!$C$52^2-2*(Inputs!$C$52+((Inputs!$H$6+Inputs!$L$6*(((Inputs!$I$6+(((A191)+1)/2)*(Inputs!$J$6-Inputs!$I$6)))/Inputs!$K$6)^2)))*Inputs!$C$52*COS(SQRT(((Inputs!$I$6+(((A191)+1)/2)*(Inputs!$J$6-Inputs!$I$6)))^2+Inputs!$C$6^2)/Inputs!$C$52)))-((Inputs!$H$6+Inputs!$L$6*(((Inputs!$I$6+(((A191)+1)/2)*(Inputs!$J$6-Inputs!$I$6)))/Inputs!$K$6)^2)))*1000/Inputs!$C$12)</x:f>
        <x:v>1591.5295091914868</x:v>
      </x:c>
      <x:c r="AG191" s="48" t="n">
        <x:f>(((SQRT((Inputs!$C$52+((Inputs!$H$7+Inputs!$L$7*(((Inputs!$I$7+(((A191)+1)/2)*(Inputs!$J$7-Inputs!$I$7)))/Inputs!$K$7)^2)))^2+Inputs!$C$52^2-2*(Inputs!$C$52+((Inputs!$H$7+Inputs!$L$7*(((Inputs!$I$7+(((A191)+1)/2)*(Inputs!$J$7-Inputs!$I$7)))/Inputs!$K$7)^2)))*Inputs!$C$52*COS(SQRT(((Inputs!$I$7+(((A191)+1)/2)*(Inputs!$J$7-Inputs!$I$7)))^2+Inputs!$C$6^2)/Inputs!$C$52)))-((Inputs!$H$7+Inputs!$L$7*(((Inputs!$I$7+(((A191)+1)/2)*(Inputs!$J$7-Inputs!$I$7)))/Inputs!$K$7)^2)))*1000/Inputs!$C$12)</x:f>
        <x:v>74384.64751339836</x:v>
      </x:c>
      <x:c r="AH191" s="48" t="n">
        <x:f>(((SQRT((Inputs!$C$52+((Inputs!$H$8+Inputs!$L$8*(((Inputs!$I$8+(((A191)+1)/2)*(Inputs!$J$8-Inputs!$I$8)))/Inputs!$K$8)^2)))^2+Inputs!$C$52^2-2*(Inputs!$C$52+((Inputs!$H$8+Inputs!$L$8*(((Inputs!$I$8+(((A191)+1)/2)*(Inputs!$J$8-Inputs!$I$8)))/Inputs!$K$8)^2)))*Inputs!$C$52*COS(SQRT(((Inputs!$I$8+(((A191)+1)/2)*(Inputs!$J$8-Inputs!$I$8)))^2+Inputs!$C$6^2)/Inputs!$C$52)))-((Inputs!$H$8+Inputs!$L$8*(((Inputs!$I$8+(((A191)+1)/2)*(Inputs!$J$8-Inputs!$I$8)))/Inputs!$K$8)^2)))*1000/Inputs!$C$12)</x:f>
        <x:v>149152.37048042755</x:v>
      </x:c>
      <x:c r="AI191" s="48" t="n">
        <x:f>(((SQRT((Inputs!$C$52+((Inputs!$H$9+Inputs!$L$9*(((Inputs!$I$9+(((A191)+1)/2)*(Inputs!$J$9-Inputs!$I$9)))/Inputs!$K$9)^2)))^2+Inputs!$C$52^2-2*(Inputs!$C$52+((Inputs!$H$9+Inputs!$L$9*(((Inputs!$I$9+(((A191)+1)/2)*(Inputs!$J$9-Inputs!$I$9)))/Inputs!$K$9)^2)))*Inputs!$C$52*COS(SQRT(((Inputs!$I$9+(((A191)+1)/2)*(Inputs!$J$9-Inputs!$I$9)))^2+Inputs!$C$6^2)/Inputs!$C$52)))-((Inputs!$H$9+Inputs!$L$9*(((Inputs!$I$9+(((A191)+1)/2)*(Inputs!$J$9-Inputs!$I$9)))/Inputs!$K$9)^2)))*1000/Inputs!$C$12)</x:f>
        <x:v>150365.17297367667</x:v>
      </x:c>
      <x:c r="AJ191" s="49"/>
      <x:c r="AK191" s="48" t="n">
        <x:f>A191</x:f>
        <x:v>0.575</x:v>
      </x:c>
      <x:c r="AL191" s="48" t="n">
        <x: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x:f>
        <x:v>-293.66169659029333</x:v>
      </x:c>
      <x:c r="AM191" s="48" t="n">
        <x: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x:f>
        <x:v>-2406.756002423393</x:v>
      </x:c>
      <x:c r="AN191" s="48" t="n">
        <x: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x:f>
        <x:v>-2946.5604806953747</x:v>
      </x:c>
      <x:c r="AO191" s="48" t="n">
        <x: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x:f>
        <x:v>-2954.587280170598</x:v>
      </x:c>
      <x:c r="AP191" s="49"/>
      <x:c r="AQ191" s="48" t="n">
        <x:f>A191</x:f>
        <x:v>0.575</x:v>
      </x:c>
      <x:c r="AR191" s="48" t="n">
        <x:f>0</x:f>
        <x:v>0</x:v>
      </x:c>
      <x:c r="AS191" s="48" t="n">
        <x: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(0.45*SIN(2*PI()*((((Inputs!$I$6+(((A191)+1)/2)*(Inputs!$J$6-Inputs!$I$6)))/Inputs!$C$49)+Inputs!$C$47*0.137))+0.35*COS(2*PI()*(((Inputs!$C$6)/Inputs!$C$50)+Inputs!$C$47*0.173))+0.20*SIN(2*PI()*((((Inputs!$I$6+(((A191)+1)/2)*(Inputs!$J$6-Inputs!$I$6)))+(Inputs!$C$6))/(0.5*(Inputs!$C$49+Inputs!$C$50))+Inputs!$C$47*0.097)))+0.30*(2*((SIN((((Inputs!$I$6+(((A191)+1)/2)*(Inputs!$J$6-Inputs!$I$6)))*12.9898+(Inputs!$C$6)*78.233+Inputs!$C$47*37.719))*43758.5453)-INT((SIN((((Inputs!$I$6+(((A191)+1)/2)*(Inputs!$J$6-Inputs!$I$6)))*12.9898+(Inputs!$C$6)*78.233+Inputs!$C$47*37.719))*43758.5453)))-1))),NA())</x:f>
        <x:v>248.8414359782273</x:v>
      </x:c>
      <x:c r="AT191" s="48" t="n">
        <x: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(0.45*SIN(2*PI()*((((Inputs!$I$7+(((A191)+1)/2)*(Inputs!$J$7-Inputs!$I$7)))/Inputs!$C$49)+Inputs!$C$47*0.137))+0.35*COS(2*PI()*(((Inputs!$C$6)/Inputs!$C$50)+Inputs!$C$47*0.173))+0.20*SIN(2*PI()*((((Inputs!$I$7+(((A191)+1)/2)*(Inputs!$J$7-Inputs!$I$7)))+(Inputs!$C$6))/(0.5*(Inputs!$C$49+Inputs!$C$50))+Inputs!$C$47*0.097)))+0.30*(2*((SIN((((Inputs!$I$7+(((A191)+1)/2)*(Inputs!$J$7-Inputs!$I$7)))*12.9898+(Inputs!$C$6)*78.233+Inputs!$C$47*37.719))*43758.5453)-INT((SIN((((Inputs!$I$7+(((A191)+1)/2)*(Inputs!$J$7-Inputs!$I$7)))*12.9898+(Inputs!$C$6)*78.233+Inputs!$C$47*37.719))*43758.5453)))-1))),NA())</x:f>
        <x:v>126.80278001898783</x:v>
      </x:c>
      <x:c r="AU191" s="48" t="n">
        <x: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(0.45*SIN(2*PI()*((((Inputs!$I$8+(((A191)+1)/2)*(Inputs!$J$8-Inputs!$I$8)))/Inputs!$C$49)+Inputs!$C$47*0.137))+0.35*COS(2*PI()*(((Inputs!$C$6)/Inputs!$C$50)+Inputs!$C$47*0.173))+0.20*SIN(2*PI()*((((Inputs!$I$8+(((A191)+1)/2)*(Inputs!$J$8-Inputs!$I$8)))+(Inputs!$C$6))/(0.5*(Inputs!$C$49+Inputs!$C$50))+Inputs!$C$47*0.097)))+0.30*(2*((SIN((((Inputs!$I$8+(((A191)+1)/2)*(Inputs!$J$8-Inputs!$I$8)))*12.9898+(Inputs!$C$6)*78.233+Inputs!$C$47*37.719))*43758.5453)-INT((SIN((((Inputs!$I$8+(((A191)+1)/2)*(Inputs!$J$8-Inputs!$I$8)))*12.9898+(Inputs!$C$6)*78.233+Inputs!$C$47*37.719))*43758.5453)))-1))),NA())</x:f>
        <x:v>139.45599759727173</x:v>
      </x:c>
      <x:c r="AV191" s="48" t="n">
        <x: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(0.45*SIN(2*PI()*((((Inputs!$I$9+(((A191)+1)/2)*(Inputs!$J$9-Inputs!$I$9)))/Inputs!$C$49)+Inputs!$C$47*0.137))+0.35*COS(2*PI()*(((Inputs!$C$6)/Inputs!$C$50)+Inputs!$C$47*0.173))+0.20*SIN(2*PI()*((((Inputs!$I$9+(((A191)+1)/2)*(Inputs!$J$9-Inputs!$I$9)))+(Inputs!$C$6))/(0.5*(Inputs!$C$49+Inputs!$C$50))+Inputs!$C$47*0.097)))+0.30*(2*((SIN((((Inputs!$I$9+(((A191)+1)/2)*(Inputs!$J$9-Inputs!$I$9)))*12.9898+(Inputs!$C$6)*78.233+Inputs!$C$47*37.719))*43758.5453)-INT((SIN((((Inputs!$I$9+(((A191)+1)/2)*(Inputs!$J$9-Inputs!$I$9)))*12.9898+(Inputs!$C$6)*78.233+Inputs!$C$47*37.719))*43758.5453)))-1))),NA())</x:f>
        <x:v>139.45599759727173</x:v>
      </x:c>
      <x:c r="AW191" s="49"/>
      <x:c r="AX191" s="48" t="n">
        <x:f>A191</x:f>
        <x:v>0.575</x:v>
      </x:c>
      <x:c r="AY191" s="48" t="n">
        <x:f>0</x:f>
        <x:v>0</x:v>
      </x:c>
      <x:c r="AZ191" s="48" t="n">
        <x:f>IF(OR(Inputs!$F$6=TRUE,Inputs!$F$6="TRUE",Inputs!$F$6=1),(Inputs!$H$6+Inputs!$L$6*(((Inputs!$I$6+(((A191)+1)/2)*(Inputs!$J$6-Inputs!$I$6)))/Inputs!$K$6)^2),NA())</x:f>
        <x:v>401.3225</x:v>
      </x:c>
      <x:c r="BA191" s="48" t="n">
        <x:f>IF(OR(Inputs!$F$7=TRUE,Inputs!$F$7="TRUE",Inputs!$F$7=1),(Inputs!$H$7+Inputs!$L$7*(((Inputs!$I$7+(((A191)+1)/2)*(Inputs!$J$7-Inputs!$I$7)))/Inputs!$K$7)^2),NA())</x:f>
        <x:v>155.67812499999997</x:v>
      </x:c>
      <x:c r="BB191" s="48" t="n">
        <x:f>IF(OR(Inputs!$F$8=TRUE,Inputs!$F$8="TRUE",Inputs!$F$8=1),(Inputs!$H$8+Inputs!$L$8*(((Inputs!$I$8+(((A191)+1)/2)*(Inputs!$J$8-Inputs!$I$8)))/Inputs!$K$8)^2),NA())</x:f>
        <x:v>354.05312499999997</x:v>
      </x:c>
      <x:c r="BC191" s="48" t="n">
        <x:f>IF(OR(Inputs!$F$9=TRUE,Inputs!$F$9="TRUE",Inputs!$F$9=1),(Inputs!$H$9+Inputs!$L$9*(((Inputs!$I$9+(((A191)+1)/2)*(Inputs!$J$9-Inputs!$I$9)))/Inputs!$K$9)^2),NA())</x:f>
        <x:v>347.35937499999994</x:v>
      </x:c>
      <x:c r="BD191" s="49"/>
      <x:c r="BE191" s="48" t="n">
        <x:f>A191</x:f>
        <x:v>0.575</x:v>
      </x:c>
      <x:c r="BF191" s="48" t="n">
        <x:f>0</x:f>
        <x:v>0</x:v>
      </x:c>
      <x:c r="BG191" s="48"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BH191" s="48"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BI191" s="48"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BJ191" s="48"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row>
    <x:row r="192">
      <x:c r="A192" s="48" t="n">
        <x:f>ROUND(-1+190*2/240,3)</x:f>
        <x:v>0.583</x:v>
      </x:c>
      <x:c r="B192" s="48" t="n">
        <x:f>IF(OR(Inputs!$F$6=TRUE,Inputs!$F$6="TRUE",Inputs!$F$6=1),(Inputs!$H$6+Inputs!$L$6*(((Inputs!$I$6+(((A192)+1)/2)*(Inputs!$J$6-Inputs!$I$6)))/Inputs!$K$6)^2),NA())</x:f>
        <x:v>401.359556</x:v>
      </x:c>
      <x:c r="C192" s="48" t="n">
        <x:f>IF(OR(Inputs!$F$7=TRUE,Inputs!$F$7="TRUE",Inputs!$F$7=1),(Inputs!$H$7+Inputs!$L$7*(((Inputs!$I$7+(((A192)+1)/2)*(Inputs!$J$7-Inputs!$I$7)))/Inputs!$K$7)^2),NA())</x:f>
        <x:v>159.05948499999994</x:v>
      </x:c>
      <x:c r="D192" s="48" t="n">
        <x:f>IF(OR(Inputs!$F$8=TRUE,Inputs!$F$8="TRUE",Inputs!$F$8=1),(Inputs!$H$8+Inputs!$L$8*(((Inputs!$I$8+(((A192)+1)/2)*(Inputs!$J$8-Inputs!$I$8)))/Inputs!$K$8)^2),NA())</x:f>
        <x:v>362.99288499999983</x:v>
      </x:c>
      <x:c r="E192" s="48" t="n">
        <x:f>IF(OR(Inputs!$F$9=TRUE,Inputs!$F$9="TRUE",Inputs!$F$9=1),(Inputs!$H$9+Inputs!$L$9*(((Inputs!$I$9+(((A192)+1)/2)*(Inputs!$J$9-Inputs!$I$9)))/Inputs!$K$9)^2),NA())</x:f>
        <x:v>356.3917749999998</x:v>
      </x:c>
      <x:c r="F192" s="49"/>
      <x:c r="G192" s="48" t="n">
        <x:f>A192</x:f>
        <x:v>0.583</x:v>
      </x:c>
      <x:c r="H192" s="48"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I192" s="48"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J192" s="48"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K192" s="48"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c r="L192" s="49"/>
      <x:c r="M192" s="48" t="n">
        <x:f>A192</x:f>
        <x:v>0.583</x:v>
      </x:c>
      <x:c r="N192" s="48" t="n">
        <x: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x:f>
        <x:v>-297.6996662832259</x:v>
      </x:c>
      <x:c r="O192" s="48" t="n">
        <x: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x:f>
        <x:v>-2424.9973321081497</x:v>
      </x:c>
      <x:c r="P192" s="48" t="n">
        <x: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x:f>
        <x:v>-2976.126550200457</x:v>
      </x:c>
      <x:c r="Q192" s="48" t="n">
        <x: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x:f>
        <x:v>-2984.680534302344</x:v>
      </x:c>
      <x:c r="R192" s="49"/>
      <x:c r="S192" s="48" t="n">
        <x:f>A192</x:f>
        <x:v>0.583</x:v>
      </x:c>
      <x:c r="T192" s="48" t="n">
        <x:f>(Inputs!$I$6+(((A192)+1)/2)*(Inputs!$J$6-Inputs!$I$6))</x:f>
        <x:v>34.980000000000004</x:v>
      </x:c>
      <x:c r="U192" s="48" t="n">
        <x:f>(Inputs!$I$7+(((A192)+1)/2)*(Inputs!$J$7-Inputs!$I$7))</x:f>
        <x:v>233.19999999999993</x:v>
      </x:c>
      <x:c r="V192" s="48" t="n">
        <x:f>(Inputs!$I$8+(((A192)+1)/2)*(Inputs!$J$8-Inputs!$I$8))</x:f>
        <x:v>466.39999999999986</x:v>
      </x:c>
      <x:c r="W192" s="48" t="n">
        <x:f>(Inputs!$I$9+(((A192)+1)/2)*(Inputs!$J$9-Inputs!$I$9))</x:f>
        <x:v>466.39999999999986</x:v>
      </x:c>
      <x:c r="X192" s="49"/>
      <x:c r="Y192" s="48" t="n">
        <x:f>A192</x:f>
        <x:v>0.583</x:v>
      </x:c>
      <x:c r="Z192" s="48" t="n">
        <x:f>(Inputs!$H$6+Inputs!$L$6*(((Inputs!$I$6+(((A192)+1)/2)*(Inputs!$J$6-Inputs!$I$6)))/Inputs!$K$6)^2)</x:f>
        <x:v>401.359556</x:v>
      </x:c>
      <x:c r="AA192" s="48" t="n">
        <x:f>(Inputs!$H$7+Inputs!$L$7*(((Inputs!$I$7+(((A192)+1)/2)*(Inputs!$J$7-Inputs!$I$7)))/Inputs!$K$7)^2)</x:f>
        <x:v>159.05948499999994</x:v>
      </x:c>
      <x:c r="AB192" s="48" t="n">
        <x:f>(Inputs!$H$8+Inputs!$L$8*(((Inputs!$I$8+(((A192)+1)/2)*(Inputs!$J$8-Inputs!$I$8)))/Inputs!$K$8)^2)</x:f>
        <x:v>362.99288499999983</x:v>
      </x:c>
      <x:c r="AC192" s="48" t="n">
        <x:f>(Inputs!$H$9+Inputs!$L$9*(((Inputs!$I$9+(((A192)+1)/2)*(Inputs!$J$9-Inputs!$I$9)))/Inputs!$K$9)^2)</x:f>
        <x:v>356.3917749999998</x:v>
      </x:c>
      <x:c r="AD192" s="49"/>
      <x:c r="AE192" s="48" t="n">
        <x:f>A192</x:f>
        <x:v>0.583</x:v>
      </x:c>
      <x:c r="AF192" s="48" t="n">
        <x:f>(((SQRT((Inputs!$C$52+((Inputs!$H$6+Inputs!$L$6*(((Inputs!$I$6+(((A192)+1)/2)*(Inputs!$J$6-Inputs!$I$6)))/Inputs!$K$6)^2)))^2+Inputs!$C$52^2-2*(Inputs!$C$52+((Inputs!$H$6+Inputs!$L$6*(((Inputs!$I$6+(((A192)+1)/2)*(Inputs!$J$6-Inputs!$I$6)))/Inputs!$K$6)^2)))*Inputs!$C$52*COS(SQRT(((Inputs!$I$6+(((A192)+1)/2)*(Inputs!$J$6-Inputs!$I$6)))^2+Inputs!$C$6^2)/Inputs!$C$52)))-((Inputs!$H$6+Inputs!$L$6*(((Inputs!$I$6+(((A192)+1)/2)*(Inputs!$J$6-Inputs!$I$6)))/Inputs!$K$6)^2)))*1000/Inputs!$C$12)</x:f>
        <x:v>1620.5453815524222</x:v>
      </x:c>
      <x:c r="AG192" s="48" t="n">
        <x:f>(((SQRT((Inputs!$C$52+((Inputs!$H$7+Inputs!$L$7*(((Inputs!$I$7+(((A192)+1)/2)*(Inputs!$J$7-Inputs!$I$7)))/Inputs!$K$7)^2)))^2+Inputs!$C$52^2-2*(Inputs!$C$52+((Inputs!$H$7+Inputs!$L$7*(((Inputs!$I$7+(((A192)+1)/2)*(Inputs!$J$7-Inputs!$I$7)))/Inputs!$K$7)^2)))*Inputs!$C$52*COS(SQRT(((Inputs!$I$7+(((A192)+1)/2)*(Inputs!$J$7-Inputs!$I$7)))^2+Inputs!$C$6^2)/Inputs!$C$52)))-((Inputs!$H$7+Inputs!$L$7*(((Inputs!$I$7+(((A192)+1)/2)*(Inputs!$J$7-Inputs!$I$7)))/Inputs!$K$7)^2)))*1000/Inputs!$C$12)</x:f>
        <x:v>75199.46333335828</x:v>
      </x:c>
      <x:c r="AH192" s="48" t="n">
        <x:f>(((SQRT((Inputs!$C$52+((Inputs!$H$8+Inputs!$L$8*(((Inputs!$I$8+(((A192)+1)/2)*(Inputs!$J$8-Inputs!$I$8)))/Inputs!$K$8)^2)))^2+Inputs!$C$52^2-2*(Inputs!$C$52+((Inputs!$H$8+Inputs!$L$8*(((Inputs!$I$8+(((A192)+1)/2)*(Inputs!$J$8-Inputs!$I$8)))/Inputs!$K$8)^2)))*Inputs!$C$52*COS(SQRT(((Inputs!$I$8+(((A192)+1)/2)*(Inputs!$J$8-Inputs!$I$8)))^2+Inputs!$C$6^2)/Inputs!$C$52)))-((Inputs!$H$8+Inputs!$L$8*(((Inputs!$I$8+(((A192)+1)/2)*(Inputs!$J$8-Inputs!$I$8)))/Inputs!$K$8)^2)))*1000/Inputs!$C$12)</x:f>
        <x:v>150784.70677747967</x:v>
      </x:c>
      <x:c r="AI192" s="48" t="n">
        <x:f>(((SQRT((Inputs!$C$52+((Inputs!$H$9+Inputs!$L$9*(((Inputs!$I$9+(((A192)+1)/2)*(Inputs!$J$9-Inputs!$I$9)))/Inputs!$K$9)^2)))^2+Inputs!$C$52^2-2*(Inputs!$C$52+((Inputs!$H$9+Inputs!$L$9*(((Inputs!$I$9+(((A192)+1)/2)*(Inputs!$J$9-Inputs!$I$9)))/Inputs!$K$9)^2)))*Inputs!$C$52*COS(SQRT(((Inputs!$I$9+(((A192)+1)/2)*(Inputs!$J$9-Inputs!$I$9)))^2+Inputs!$C$6^2)/Inputs!$C$52)))-((Inputs!$H$9+Inputs!$L$9*(((Inputs!$I$9+(((A192)+1)/2)*(Inputs!$J$9-Inputs!$I$9)))/Inputs!$K$9)^2)))*1000/Inputs!$C$12)</x:f>
        <x:v>151964.09446013553</x:v>
      </x:c>
      <x:c r="AJ192" s="49"/>
      <x:c r="AK192" s="48" t="n">
        <x:f>A192</x:f>
        <x:v>0.583</x:v>
      </x:c>
      <x:c r="AL192" s="48" t="n">
        <x: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x:f>
        <x:v>-297.6996662832259</x:v>
      </x:c>
      <x:c r="AM192" s="48" t="n">
        <x: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x:f>
        <x:v>-2424.9973321081497</x:v>
      </x:c>
      <x:c r="AN192" s="48" t="n">
        <x: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x:f>
        <x:v>-2976.126550200457</x:v>
      </x:c>
      <x:c r="AO192" s="48" t="n">
        <x: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x:f>
        <x:v>-2984.680534302344</x:v>
      </x:c>
      <x:c r="AP192" s="49"/>
      <x:c r="AQ192" s="48" t="n">
        <x:f>A192</x:f>
        <x:v>0.583</x:v>
      </x:c>
      <x:c r="AR192" s="48" t="n">
        <x:f>0</x:f>
        <x:v>0</x:v>
      </x:c>
      <x:c r="AS192" s="48" t="n">
        <x: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(0.45*SIN(2*PI()*((((Inputs!$I$6+(((A192)+1)/2)*(Inputs!$J$6-Inputs!$I$6)))/Inputs!$C$49)+Inputs!$C$47*0.137))+0.35*COS(2*PI()*(((Inputs!$C$6)/Inputs!$C$50)+Inputs!$C$47*0.173))+0.20*SIN(2*PI()*((((Inputs!$I$6+(((A192)+1)/2)*(Inputs!$J$6-Inputs!$I$6)))+(Inputs!$C$6))/(0.5*(Inputs!$C$49+Inputs!$C$50))+Inputs!$C$47*0.097)))+0.30*(2*((SIN((((Inputs!$I$6+(((A192)+1)/2)*(Inputs!$J$6-Inputs!$I$6)))*12.9898+(Inputs!$C$6)*78.233+Inputs!$C$47*37.719))*43758.5453)-INT((SIN((((Inputs!$I$6+(((A192)+1)/2)*(Inputs!$J$6-Inputs!$I$6)))*12.9898+(Inputs!$C$6)*78.233+Inputs!$C$47*37.719))*43758.5453)))-1))),NA())</x:f>
        <x:v>241.8095055557128</x:v>
      </x:c>
      <x:c r="AT192" s="48" t="n">
        <x: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(0.45*SIN(2*PI()*((((Inputs!$I$7+(((A192)+1)/2)*(Inputs!$J$7-Inputs!$I$7)))/Inputs!$C$49)+Inputs!$C$47*0.137))+0.35*COS(2*PI()*(((Inputs!$C$6)/Inputs!$C$50)+Inputs!$C$47*0.173))+0.20*SIN(2*PI()*((((Inputs!$I$7+(((A192)+1)/2)*(Inputs!$J$7-Inputs!$I$7)))+(Inputs!$C$6))/(0.5*(Inputs!$C$49+Inputs!$C$50))+Inputs!$C$47*0.097)))+0.30*(2*((SIN((((Inputs!$I$7+(((A192)+1)/2)*(Inputs!$J$7-Inputs!$I$7)))*12.9898+(Inputs!$C$6)*78.233+Inputs!$C$47*37.719))*43758.5453)-INT((SIN((((Inputs!$I$7+(((A192)+1)/2)*(Inputs!$J$7-Inputs!$I$7)))*12.9898+(Inputs!$C$6)*78.233+Inputs!$C$47*37.719))*43758.5453)))-1))),NA())</x:f>
        <x:v>165.87643471965114</x:v>
      </x:c>
      <x:c r="AU192" s="48" t="n">
        <x: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(0.45*SIN(2*PI()*((((Inputs!$I$8+(((A192)+1)/2)*(Inputs!$J$8-Inputs!$I$8)))/Inputs!$C$49)+Inputs!$C$47*0.137))+0.35*COS(2*PI()*(((Inputs!$C$6)/Inputs!$C$50)+Inputs!$C$47*0.173))+0.20*SIN(2*PI()*((((Inputs!$I$8+(((A192)+1)/2)*(Inputs!$J$8-Inputs!$I$8)))+(Inputs!$C$6))/(0.5*(Inputs!$C$49+Inputs!$C$50))+Inputs!$C$47*0.097)))+0.30*(2*((SIN((((Inputs!$I$8+(((A192)+1)/2)*(Inputs!$J$8-Inputs!$I$8)))*12.9898+(Inputs!$C$6)*78.233+Inputs!$C$47*37.719))*43758.5453)-INT((SIN((((Inputs!$I$8+(((A192)+1)/2)*(Inputs!$J$8-Inputs!$I$8)))*12.9898+(Inputs!$C$6)*78.233+Inputs!$C$47*37.719))*43758.5453)))-1))),NA())</x:f>
        <x:v>80.8835067903751</x:v>
      </x:c>
      <x:c r="AV192" s="48" t="n">
        <x: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(0.45*SIN(2*PI()*((((Inputs!$I$9+(((A192)+1)/2)*(Inputs!$J$9-Inputs!$I$9)))/Inputs!$C$49)+Inputs!$C$47*0.137))+0.35*COS(2*PI()*(((Inputs!$C$6)/Inputs!$C$50)+Inputs!$C$47*0.173))+0.20*SIN(2*PI()*((((Inputs!$I$9+(((A192)+1)/2)*(Inputs!$J$9-Inputs!$I$9)))+(Inputs!$C$6))/(0.5*(Inputs!$C$49+Inputs!$C$50))+Inputs!$C$47*0.097)))+0.30*(2*((SIN((((Inputs!$I$9+(((A192)+1)/2)*(Inputs!$J$9-Inputs!$I$9)))*12.9898+(Inputs!$C$6)*78.233+Inputs!$C$47*37.719))*43758.5453)-INT((SIN((((Inputs!$I$9+(((A192)+1)/2)*(Inputs!$J$9-Inputs!$I$9)))*12.9898+(Inputs!$C$6)*78.233+Inputs!$C$47*37.719))*43758.5453)))-1))),NA())</x:f>
        <x:v>80.8835067903751</x:v>
      </x:c>
      <x:c r="AW192" s="49"/>
      <x:c r="AX192" s="48" t="n">
        <x:f>A192</x:f>
        <x:v>0.583</x:v>
      </x:c>
      <x:c r="AY192" s="48" t="n">
        <x:f>0</x:f>
        <x:v>0</x:v>
      </x:c>
      <x:c r="AZ192" s="48" t="n">
        <x:f>IF(OR(Inputs!$F$6=TRUE,Inputs!$F$6="TRUE",Inputs!$F$6=1),(Inputs!$H$6+Inputs!$L$6*(((Inputs!$I$6+(((A192)+1)/2)*(Inputs!$J$6-Inputs!$I$6)))/Inputs!$K$6)^2),NA())</x:f>
        <x:v>401.359556</x:v>
      </x:c>
      <x:c r="BA192" s="48" t="n">
        <x:f>IF(OR(Inputs!$F$7=TRUE,Inputs!$F$7="TRUE",Inputs!$F$7=1),(Inputs!$H$7+Inputs!$L$7*(((Inputs!$I$7+(((A192)+1)/2)*(Inputs!$J$7-Inputs!$I$7)))/Inputs!$K$7)^2),NA())</x:f>
        <x:v>159.05948499999994</x:v>
      </x:c>
      <x:c r="BB192" s="48" t="n">
        <x:f>IF(OR(Inputs!$F$8=TRUE,Inputs!$F$8="TRUE",Inputs!$F$8=1),(Inputs!$H$8+Inputs!$L$8*(((Inputs!$I$8+(((A192)+1)/2)*(Inputs!$J$8-Inputs!$I$8)))/Inputs!$K$8)^2),NA())</x:f>
        <x:v>362.99288499999983</x:v>
      </x:c>
      <x:c r="BC192" s="48" t="n">
        <x:f>IF(OR(Inputs!$F$9=TRUE,Inputs!$F$9="TRUE",Inputs!$F$9=1),(Inputs!$H$9+Inputs!$L$9*(((Inputs!$I$9+(((A192)+1)/2)*(Inputs!$J$9-Inputs!$I$9)))/Inputs!$K$9)^2),NA())</x:f>
        <x:v>356.3917749999998</x:v>
      </x:c>
      <x:c r="BD192" s="49"/>
      <x:c r="BE192" s="48" t="n">
        <x:f>A192</x:f>
        <x:v>0.583</x:v>
      </x:c>
      <x:c r="BF192" s="48" t="n">
        <x:f>0</x:f>
        <x:v>0</x:v>
      </x:c>
      <x:c r="BG192" s="48"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BH192" s="48"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BI192" s="48"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BJ192" s="48"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row>
    <x:row r="193">
      <x:c r="A193" s="48" t="n">
        <x:f>ROUND(-1+191*2/240,3)</x:f>
        <x:v>0.592</x:v>
      </x:c>
      <x:c r="B193" s="48" t="n">
        <x:f>IF(OR(Inputs!$F$6=TRUE,Inputs!$F$6="TRUE",Inputs!$F$6=1),(Inputs!$H$6+Inputs!$L$6*(((Inputs!$I$6+(((A193)+1)/2)*(Inputs!$J$6-Inputs!$I$6)))/Inputs!$K$6)^2),NA())</x:f>
        <x:v>401.401856</x:v>
      </x:c>
      <x:c r="C193" s="48" t="n">
        <x:f>IF(OR(Inputs!$F$7=TRUE,Inputs!$F$7="TRUE",Inputs!$F$7=1),(Inputs!$H$7+Inputs!$L$7*(((Inputs!$I$7+(((A193)+1)/2)*(Inputs!$J$7-Inputs!$I$7)))/Inputs!$K$7)^2),NA())</x:f>
        <x:v>162.9193600000001</x:v>
      </x:c>
      <x:c r="D193" s="48" t="n">
        <x:f>IF(OR(Inputs!$F$8=TRUE,Inputs!$F$8="TRUE",Inputs!$F$8=1),(Inputs!$H$8+Inputs!$L$8*(((Inputs!$I$8+(((A193)+1)/2)*(Inputs!$J$8-Inputs!$I$8)))/Inputs!$K$8)^2),NA())</x:f>
        <x:v>373.1977600000002</x:v>
      </x:c>
      <x:c r="E193" s="48" t="n">
        <x:f>IF(OR(Inputs!$F$9=TRUE,Inputs!$F$9="TRUE",Inputs!$F$9=1),(Inputs!$H$9+Inputs!$L$9*(((Inputs!$I$9+(((A193)+1)/2)*(Inputs!$J$9-Inputs!$I$9)))/Inputs!$K$9)^2),NA())</x:f>
        <x:v>366.70240000000024</x:v>
      </x:c>
      <x:c r="F193" s="49"/>
      <x:c r="G193" s="48" t="n">
        <x:f>A193</x:f>
        <x:v>0.592</x:v>
      </x:c>
      <x:c r="H193" s="48"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I193" s="48"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J193" s="48"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K193" s="48"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c r="L193" s="49"/>
      <x:c r="M193" s="48" t="n">
        <x:f>A193</x:f>
        <x:v>0.592</x:v>
      </x:c>
      <x:c r="N193" s="48" t="n">
        <x: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x:f>
        <x:v>-302.2400535496662</x:v>
      </x:c>
      <x:c r="O193" s="48" t="n">
        <x: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x:f>
        <x:v>-2445.6699934567805</x:v>
      </x:c>
      <x:c r="P193" s="48" t="n">
        <x: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x:f>
        <x:v>-3009.58438984565</x:v>
      </x:c>
      <x:c r="Q193" s="48" t="n">
        <x: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x:f>
        <x:v>-3018.7310791421733</x:v>
      </x:c>
      <x:c r="R193" s="49"/>
      <x:c r="S193" s="48" t="n">
        <x:f>A193</x:f>
        <x:v>0.592</x:v>
      </x:c>
      <x:c r="T193" s="48" t="n">
        <x:f>(Inputs!$I$6+(((A193)+1)/2)*(Inputs!$J$6-Inputs!$I$6))</x:f>
        <x:v>35.52000000000001</x:v>
      </x:c>
      <x:c r="U193" s="48" t="n">
        <x:f>(Inputs!$I$7+(((A193)+1)/2)*(Inputs!$J$7-Inputs!$I$7))</x:f>
        <x:v>236.80000000000007</x:v>
      </x:c>
      <x:c r="V193" s="48" t="n">
        <x:f>(Inputs!$I$8+(((A193)+1)/2)*(Inputs!$J$8-Inputs!$I$8))</x:f>
        <x:v>473.60000000000014</x:v>
      </x:c>
      <x:c r="W193" s="48" t="n">
        <x:f>(Inputs!$I$9+(((A193)+1)/2)*(Inputs!$J$9-Inputs!$I$9))</x:f>
        <x:v>473.60000000000014</x:v>
      </x:c>
      <x:c r="X193" s="49"/>
      <x:c r="Y193" s="48" t="n">
        <x:f>A193</x:f>
        <x:v>0.592</x:v>
      </x:c>
      <x:c r="Z193" s="48" t="n">
        <x:f>(Inputs!$H$6+Inputs!$L$6*(((Inputs!$I$6+(((A193)+1)/2)*(Inputs!$J$6-Inputs!$I$6)))/Inputs!$K$6)^2)</x:f>
        <x:v>401.401856</x:v>
      </x:c>
      <x:c r="AA193" s="48" t="n">
        <x:f>(Inputs!$H$7+Inputs!$L$7*(((Inputs!$I$7+(((A193)+1)/2)*(Inputs!$J$7-Inputs!$I$7)))/Inputs!$K$7)^2)</x:f>
        <x:v>162.9193600000001</x:v>
      </x:c>
      <x:c r="AB193" s="48" t="n">
        <x:f>(Inputs!$H$8+Inputs!$L$8*(((Inputs!$I$8+(((A193)+1)/2)*(Inputs!$J$8-Inputs!$I$8)))/Inputs!$K$8)^2)</x:f>
        <x:v>373.1977600000002</x:v>
      </x:c>
      <x:c r="AC193" s="48" t="n">
        <x:f>(Inputs!$H$9+Inputs!$L$9*(((Inputs!$I$9+(((A193)+1)/2)*(Inputs!$J$9-Inputs!$I$9)))/Inputs!$K$9)^2)</x:f>
        <x:v>366.70240000000024</x:v>
      </x:c>
      <x:c r="AD193" s="49"/>
      <x:c r="AE193" s="48" t="n">
        <x:f>A193</x:f>
        <x:v>0.592</x:v>
      </x:c>
      <x:c r="AF193" s="48" t="n">
        <x:f>(((SQRT((Inputs!$C$52+((Inputs!$H$6+Inputs!$L$6*(((Inputs!$I$6+(((A193)+1)/2)*(Inputs!$J$6-Inputs!$I$6)))/Inputs!$K$6)^2)))^2+Inputs!$C$52^2-2*(Inputs!$C$52+((Inputs!$H$6+Inputs!$L$6*(((Inputs!$I$6+(((A193)+1)/2)*(Inputs!$J$6-Inputs!$I$6)))/Inputs!$K$6)^2)))*Inputs!$C$52*COS(SQRT(((Inputs!$I$6+(((A193)+1)/2)*(Inputs!$J$6-Inputs!$I$6)))^2+Inputs!$C$6^2)/Inputs!$C$52)))-((Inputs!$H$6+Inputs!$L$6*(((Inputs!$I$6+(((A193)+1)/2)*(Inputs!$J$6-Inputs!$I$6)))/Inputs!$K$6)^2)))*1000/Inputs!$C$12)</x:f>
        <x:v>1653.657683530185</x:v>
      </x:c>
      <x:c r="AG193" s="48" t="n">
        <x:f>(((SQRT((Inputs!$C$52+((Inputs!$H$7+Inputs!$L$7*(((Inputs!$I$7+(((A193)+1)/2)*(Inputs!$J$7-Inputs!$I$7)))/Inputs!$K$7)^2)))^2+Inputs!$C$52^2-2*(Inputs!$C$52+((Inputs!$H$7+Inputs!$L$7*(((Inputs!$I$7+(((A193)+1)/2)*(Inputs!$J$7-Inputs!$I$7)))/Inputs!$K$7)^2)))*Inputs!$C$52*COS(SQRT(((Inputs!$I$7+(((A193)+1)/2)*(Inputs!$J$7-Inputs!$I$7)))^2+Inputs!$C$6^2)/Inputs!$C$52)))-((Inputs!$H$7+Inputs!$L$7*(((Inputs!$I$7+(((A193)+1)/2)*(Inputs!$J$7-Inputs!$I$7)))/Inputs!$K$7)^2)))*1000/Inputs!$C$12)</x:f>
        <x:v>76109.34865154201</x:v>
      </x:c>
      <x:c r="AH193" s="48" t="n">
        <x:f>(((SQRT((Inputs!$C$52+((Inputs!$H$8+Inputs!$L$8*(((Inputs!$I$8+(((A193)+1)/2)*(Inputs!$J$8-Inputs!$I$8)))/Inputs!$K$8)^2)))^2+Inputs!$C$52^2-2*(Inputs!$C$52+((Inputs!$H$8+Inputs!$L$8*(((Inputs!$I$8+(((A193)+1)/2)*(Inputs!$J$8-Inputs!$I$8)))/Inputs!$K$8)^2)))*Inputs!$C$52*COS(SQRT(((Inputs!$I$8+(((A193)+1)/2)*(Inputs!$J$8-Inputs!$I$8)))^2+Inputs!$C$6^2)/Inputs!$C$52)))-((Inputs!$H$8+Inputs!$L$8*(((Inputs!$I$8+(((A193)+1)/2)*(Inputs!$J$8-Inputs!$I$8)))/Inputs!$K$8)^2)))*1000/Inputs!$C$12)</x:f>
        <x:v>152617.7954659362</x:v>
      </x:c>
      <x:c r="AI193" s="48" t="n">
        <x:f>(((SQRT((Inputs!$C$52+((Inputs!$H$9+Inputs!$L$9*(((Inputs!$I$9+(((A193)+1)/2)*(Inputs!$J$9-Inputs!$I$9)))/Inputs!$K$9)^2)))^2+Inputs!$C$52^2-2*(Inputs!$C$52+((Inputs!$H$9+Inputs!$L$9*(((Inputs!$I$9+(((A193)+1)/2)*(Inputs!$J$9-Inputs!$I$9)))/Inputs!$K$9)^2)))*Inputs!$C$52*COS(SQRT(((Inputs!$I$9+(((A193)+1)/2)*(Inputs!$J$9-Inputs!$I$9)))^2+Inputs!$C$6^2)/Inputs!$C$52)))-((Inputs!$H$9+Inputs!$L$9*(((Inputs!$I$9+(((A193)+1)/2)*(Inputs!$J$9-Inputs!$I$9)))/Inputs!$K$9)^2)))*1000/Inputs!$C$12)</x:f>
        <x:v>153760.14759370033</x:v>
      </x:c>
      <x:c r="AJ193" s="49"/>
      <x:c r="AK193" s="48" t="n">
        <x:f>A193</x:f>
        <x:v>0.592</x:v>
      </x:c>
      <x:c r="AL193" s="48" t="n">
        <x: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x:f>
        <x:v>-302.2400535496662</x:v>
      </x:c>
      <x:c r="AM193" s="48" t="n">
        <x: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x:f>
        <x:v>-2445.6699934567805</x:v>
      </x:c>
      <x:c r="AN193" s="48" t="n">
        <x: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x:f>
        <x:v>-3009.58438984565</x:v>
      </x:c>
      <x:c r="AO193" s="48" t="n">
        <x: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x:f>
        <x:v>-3018.7310791421733</x:v>
      </x:c>
      <x:c r="AP193" s="49"/>
      <x:c r="AQ193" s="48" t="n">
        <x:f>A193</x:f>
        <x:v>0.592</x:v>
      </x:c>
      <x:c r="AR193" s="48" t="n">
        <x:f>0</x:f>
        <x:v>0</x:v>
      </x:c>
      <x:c r="AS193" s="48" t="n">
        <x: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(0.45*SIN(2*PI()*((((Inputs!$I$6+(((A193)+1)/2)*(Inputs!$J$6-Inputs!$I$6)))/Inputs!$C$49)+Inputs!$C$47*0.137))+0.35*COS(2*PI()*(((Inputs!$C$6)/Inputs!$C$50)+Inputs!$C$47*0.173))+0.20*SIN(2*PI()*((((Inputs!$I$6+(((A193)+1)/2)*(Inputs!$J$6-Inputs!$I$6)))+(Inputs!$C$6))/(0.5*(Inputs!$C$49+Inputs!$C$50))+Inputs!$C$47*0.097)))+0.30*(2*((SIN((((Inputs!$I$6+(((A193)+1)/2)*(Inputs!$J$6-Inputs!$I$6)))*12.9898+(Inputs!$C$6)*78.233+Inputs!$C$47*37.719))*43758.5453)-INT((SIN((((Inputs!$I$6+(((A193)+1)/2)*(Inputs!$J$6-Inputs!$I$6)))*12.9898+(Inputs!$C$6)*78.233+Inputs!$C$47*37.719))*43758.5453)))-1))),NA())</x:f>
        <x:v>243.39165379312112</x:v>
      </x:c>
      <x:c r="AT193" s="48" t="n">
        <x: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(0.45*SIN(2*PI()*((((Inputs!$I$7+(((A193)+1)/2)*(Inputs!$J$7-Inputs!$I$7)))/Inputs!$C$49)+Inputs!$C$47*0.137))+0.35*COS(2*PI()*(((Inputs!$C$6)/Inputs!$C$50)+Inputs!$C$47*0.173))+0.20*SIN(2*PI()*((((Inputs!$I$7+(((A193)+1)/2)*(Inputs!$J$7-Inputs!$I$7)))+(Inputs!$C$6))/(0.5*(Inputs!$C$49+Inputs!$C$50))+Inputs!$C$47*0.097)))+0.30*(2*((SIN((((Inputs!$I$7+(((A193)+1)/2)*(Inputs!$J$7-Inputs!$I$7)))*12.9898+(Inputs!$C$6)*78.233+Inputs!$C$47*37.719))*43758.5453)-INT((SIN((((Inputs!$I$7+(((A193)+1)/2)*(Inputs!$J$7-Inputs!$I$7)))*12.9898+(Inputs!$C$6)*78.233+Inputs!$C$47*37.719))*43758.5453)))-1))),NA())</x:f>
        <x:v>197.41284277336752</x:v>
      </x:c>
      <x:c r="AU193" s="48" t="n">
        <x: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(0.45*SIN(2*PI()*((((Inputs!$I$8+(((A193)+1)/2)*(Inputs!$J$8-Inputs!$I$8)))/Inputs!$C$49)+Inputs!$C$47*0.137))+0.35*COS(2*PI()*(((Inputs!$C$6)/Inputs!$C$50)+Inputs!$C$47*0.173))+0.20*SIN(2*PI()*((((Inputs!$I$8+(((A193)+1)/2)*(Inputs!$J$8-Inputs!$I$8)))+(Inputs!$C$6))/(0.5*(Inputs!$C$49+Inputs!$C$50))+Inputs!$C$47*0.097)))+0.30*(2*((SIN((((Inputs!$I$8+(((A193)+1)/2)*(Inputs!$J$8-Inputs!$I$8)))*12.9898+(Inputs!$C$6)*78.233+Inputs!$C$47*37.719))*43758.5453)-INT((SIN((((Inputs!$I$8+(((A193)+1)/2)*(Inputs!$J$8-Inputs!$I$8)))*12.9898+(Inputs!$C$6)*78.233+Inputs!$C$47*37.719))*43758.5453)))-1))),NA())</x:f>
        <x:v>191.00762165969738</x:v>
      </x:c>
      <x:c r="AV193" s="48" t="n">
        <x: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(0.45*SIN(2*PI()*((((Inputs!$I$9+(((A193)+1)/2)*(Inputs!$J$9-Inputs!$I$9)))/Inputs!$C$49)+Inputs!$C$47*0.137))+0.35*COS(2*PI()*(((Inputs!$C$6)/Inputs!$C$50)+Inputs!$C$47*0.173))+0.20*SIN(2*PI()*((((Inputs!$I$9+(((A193)+1)/2)*(Inputs!$J$9-Inputs!$I$9)))+(Inputs!$C$6))/(0.5*(Inputs!$C$49+Inputs!$C$50))+Inputs!$C$47*0.097)))+0.30*(2*((SIN((((Inputs!$I$9+(((A193)+1)/2)*(Inputs!$J$9-Inputs!$I$9)))*12.9898+(Inputs!$C$6)*78.233+Inputs!$C$47*37.719))*43758.5453)-INT((SIN((((Inputs!$I$9+(((A193)+1)/2)*(Inputs!$J$9-Inputs!$I$9)))*12.9898+(Inputs!$C$6)*78.233+Inputs!$C$47*37.719))*43758.5453)))-1))),NA())</x:f>
        <x:v>191.00762165969738</x:v>
      </x:c>
      <x:c r="AW193" s="49"/>
      <x:c r="AX193" s="48" t="n">
        <x:f>A193</x:f>
        <x:v>0.592</x:v>
      </x:c>
      <x:c r="AY193" s="48" t="n">
        <x:f>0</x:f>
        <x:v>0</x:v>
      </x:c>
      <x:c r="AZ193" s="48" t="n">
        <x:f>IF(OR(Inputs!$F$6=TRUE,Inputs!$F$6="TRUE",Inputs!$F$6=1),(Inputs!$H$6+Inputs!$L$6*(((Inputs!$I$6+(((A193)+1)/2)*(Inputs!$J$6-Inputs!$I$6)))/Inputs!$K$6)^2),NA())</x:f>
        <x:v>401.401856</x:v>
      </x:c>
      <x:c r="BA193" s="48" t="n">
        <x:f>IF(OR(Inputs!$F$7=TRUE,Inputs!$F$7="TRUE",Inputs!$F$7=1),(Inputs!$H$7+Inputs!$L$7*(((Inputs!$I$7+(((A193)+1)/2)*(Inputs!$J$7-Inputs!$I$7)))/Inputs!$K$7)^2),NA())</x:f>
        <x:v>162.9193600000001</x:v>
      </x:c>
      <x:c r="BB193" s="48" t="n">
        <x:f>IF(OR(Inputs!$F$8=TRUE,Inputs!$F$8="TRUE",Inputs!$F$8=1),(Inputs!$H$8+Inputs!$L$8*(((Inputs!$I$8+(((A193)+1)/2)*(Inputs!$J$8-Inputs!$I$8)))/Inputs!$K$8)^2),NA())</x:f>
        <x:v>373.1977600000002</x:v>
      </x:c>
      <x:c r="BC193" s="48" t="n">
        <x:f>IF(OR(Inputs!$F$9=TRUE,Inputs!$F$9="TRUE",Inputs!$F$9=1),(Inputs!$H$9+Inputs!$L$9*(((Inputs!$I$9+(((A193)+1)/2)*(Inputs!$J$9-Inputs!$I$9)))/Inputs!$K$9)^2),NA())</x:f>
        <x:v>366.70240000000024</x:v>
      </x:c>
      <x:c r="BD193" s="49"/>
      <x:c r="BE193" s="48" t="n">
        <x:f>A193</x:f>
        <x:v>0.592</x:v>
      </x:c>
      <x:c r="BF193" s="48" t="n">
        <x:f>0</x:f>
        <x:v>0</x:v>
      </x:c>
      <x:c r="BG193" s="48"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BH193" s="48"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BI193" s="48"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BJ193" s="48"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row>
    <x:row r="194">
      <x:c r="A194" s="48" t="n">
        <x:f>ROUND(-1+192*2/240,3)</x:f>
        <x:v>0.6</x:v>
      </x:c>
      <x:c r="B194" s="48" t="n">
        <x:f>IF(OR(Inputs!$F$6=TRUE,Inputs!$F$6="TRUE",Inputs!$F$6=1),(Inputs!$H$6+Inputs!$L$6*(((Inputs!$I$6+(((A194)+1)/2)*(Inputs!$J$6-Inputs!$I$6)))/Inputs!$K$6)^2),NA())</x:f>
        <x:v>401.44</x:v>
      </x:c>
      <x:c r="C194" s="48" t="n">
        <x:f>IF(OR(Inputs!$F$7=TRUE,Inputs!$F$7="TRUE",Inputs!$F$7=1),(Inputs!$H$7+Inputs!$L$7*(((Inputs!$I$7+(((A194)+1)/2)*(Inputs!$J$7-Inputs!$I$7)))/Inputs!$K$7)^2),NA())</x:f>
        <x:v>166.4</x:v>
      </x:c>
      <x:c r="D194" s="48" t="n">
        <x:f>IF(OR(Inputs!$F$8=TRUE,Inputs!$F$8="TRUE",Inputs!$F$8=1),(Inputs!$H$8+Inputs!$L$8*(((Inputs!$I$8+(((A194)+1)/2)*(Inputs!$J$8-Inputs!$I$8)))/Inputs!$K$8)^2),NA())</x:f>
        <x:v>382.4</x:v>
      </x:c>
      <x:c r="E194" s="48" t="n">
        <x:f>IF(OR(Inputs!$F$9=TRUE,Inputs!$F$9="TRUE",Inputs!$F$9=1),(Inputs!$H$9+Inputs!$L$9*(((Inputs!$I$9+(((A194)+1)/2)*(Inputs!$J$9-Inputs!$I$9)))/Inputs!$K$9)^2),NA())</x:f>
        <x:v>376</x:v>
      </x:c>
      <x:c r="F194" s="49"/>
      <x:c r="G194" s="48" t="n">
        <x:f>A194</x:f>
        <x:v>0.6</x:v>
      </x:c>
      <x:c r="H194" s="48"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I194" s="48"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J194" s="48"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K194" s="48"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c r="L194" s="49"/>
      <x:c r="M194" s="48" t="n">
        <x:f>A194</x:f>
        <x:v>0.6</x:v>
      </x:c>
      <x:c r="N194" s="48" t="n">
        <x: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x:f>
        <x:v>-306.2738563044615</x:v>
      </x:c>
      <x:c r="O194" s="48" t="n">
        <x: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x:f>
        <x:v>-2464.1788169406414</x:v>
      </x:c>
      <x:c r="P194" s="48" t="n">
        <x: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x:f>
        <x:v>-3039.4941303040473</x:v>
      </x:c>
      <x:c r="Q194" s="48" t="n">
        <x: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x:f>
        <x:v>-3049.167127652456</x:v>
      </x:c>
      <x:c r="R194" s="49"/>
      <x:c r="S194" s="48" t="n">
        <x:f>A194</x:f>
        <x:v>0.6</x:v>
      </x:c>
      <x:c r="T194" s="48" t="n">
        <x:f>(Inputs!$I$6+(((A194)+1)/2)*(Inputs!$J$6-Inputs!$I$6))</x:f>
        <x:v>36</x:v>
      </x:c>
      <x:c r="U194" s="48" t="n">
        <x:f>(Inputs!$I$7+(((A194)+1)/2)*(Inputs!$J$7-Inputs!$I$7))</x:f>
        <x:v>240</x:v>
      </x:c>
      <x:c r="V194" s="48" t="n">
        <x:f>(Inputs!$I$8+(((A194)+1)/2)*(Inputs!$J$8-Inputs!$I$8))</x:f>
        <x:v>480</x:v>
      </x:c>
      <x:c r="W194" s="48" t="n">
        <x:f>(Inputs!$I$9+(((A194)+1)/2)*(Inputs!$J$9-Inputs!$I$9))</x:f>
        <x:v>480</x:v>
      </x:c>
      <x:c r="X194" s="49"/>
      <x:c r="Y194" s="48" t="n">
        <x:f>A194</x:f>
        <x:v>0.6</x:v>
      </x:c>
      <x:c r="Z194" s="48" t="n">
        <x:f>(Inputs!$H$6+Inputs!$L$6*(((Inputs!$I$6+(((A194)+1)/2)*(Inputs!$J$6-Inputs!$I$6)))/Inputs!$K$6)^2)</x:f>
        <x:v>401.44</x:v>
      </x:c>
      <x:c r="AA194" s="48" t="n">
        <x:f>(Inputs!$H$7+Inputs!$L$7*(((Inputs!$I$7+(((A194)+1)/2)*(Inputs!$J$7-Inputs!$I$7)))/Inputs!$K$7)^2)</x:f>
        <x:v>166.4</x:v>
      </x:c>
      <x:c r="AB194" s="48" t="n">
        <x:f>(Inputs!$H$8+Inputs!$L$8*(((Inputs!$I$8+(((A194)+1)/2)*(Inputs!$J$8-Inputs!$I$8)))/Inputs!$K$8)^2)</x:f>
        <x:v>382.4</x:v>
      </x:c>
      <x:c r="AC194" s="48" t="n">
        <x:f>(Inputs!$H$9+Inputs!$L$9*(((Inputs!$I$9+(((A194)+1)/2)*(Inputs!$J$9-Inputs!$I$9)))/Inputs!$K$9)^2)</x:f>
        <x:v>376</x:v>
      </x:c>
      <x:c r="AD194" s="49"/>
      <x:c r="AE194" s="48" t="n">
        <x:f>A194</x:f>
        <x:v>0.6</x:v>
      </x:c>
      <x:c r="AF194" s="48" t="n">
        <x:f>(((SQRT((Inputs!$C$52+((Inputs!$H$6+Inputs!$L$6*(((Inputs!$I$6+(((A194)+1)/2)*(Inputs!$J$6-Inputs!$I$6)))/Inputs!$K$6)^2)))^2+Inputs!$C$52^2-2*(Inputs!$C$52+((Inputs!$H$6+Inputs!$L$6*(((Inputs!$I$6+(((A194)+1)/2)*(Inputs!$J$6-Inputs!$I$6)))/Inputs!$K$6)^2)))*Inputs!$C$52*COS(SQRT(((Inputs!$I$6+(((A194)+1)/2)*(Inputs!$J$6-Inputs!$I$6)))^2+Inputs!$C$6^2)/Inputs!$C$52)))-((Inputs!$H$6+Inputs!$L$6*(((Inputs!$I$6+(((A194)+1)/2)*(Inputs!$J$6-Inputs!$I$6)))/Inputs!$K$6)^2)))*1000/Inputs!$C$12)</x:f>
        <x:v>1683.507760020096</x:v>
      </x:c>
      <x:c r="AG194" s="48" t="n">
        <x:f>(((SQRT((Inputs!$C$52+((Inputs!$H$7+Inputs!$L$7*(((Inputs!$I$7+(((A194)+1)/2)*(Inputs!$J$7-Inputs!$I$7)))/Inputs!$K$7)^2)))^2+Inputs!$C$52^2-2*(Inputs!$C$52+((Inputs!$H$7+Inputs!$L$7*(((Inputs!$I$7+(((A194)+1)/2)*(Inputs!$J$7-Inputs!$I$7)))/Inputs!$K$7)^2)))*Inputs!$C$52*COS(SQRT(((Inputs!$I$7+(((A194)+1)/2)*(Inputs!$J$7-Inputs!$I$7)))^2+Inputs!$C$6^2)/Inputs!$C$52)))-((Inputs!$H$7+Inputs!$L$7*(((Inputs!$I$7+(((A194)+1)/2)*(Inputs!$J$7-Inputs!$I$7)))/Inputs!$K$7)^2)))*1000/Inputs!$C$12)</x:f>
        <x:v>76912.26327711933</x:v>
      </x:c>
      <x:c r="AH194" s="48" t="n">
        <x:f>(((SQRT((Inputs!$C$52+((Inputs!$H$8+Inputs!$L$8*(((Inputs!$I$8+(((A194)+1)/2)*(Inputs!$J$8-Inputs!$I$8)))/Inputs!$K$8)^2)))^2+Inputs!$C$52^2-2*(Inputs!$C$52+((Inputs!$H$8+Inputs!$L$8*(((Inputs!$I$8+(((A194)+1)/2)*(Inputs!$J$8-Inputs!$I$8)))/Inputs!$K$8)^2)))*Inputs!$C$52*COS(SQRT(((Inputs!$I$8+(((A194)+1)/2)*(Inputs!$J$8-Inputs!$I$8)))^2+Inputs!$C$6^2)/Inputs!$C$52)))-((Inputs!$H$8+Inputs!$L$8*(((Inputs!$I$8+(((A194)+1)/2)*(Inputs!$J$8-Inputs!$I$8)))/Inputs!$K$8)^2)))*1000/Inputs!$C$12)</x:f>
        <x:v>154244.68572170875</x:v>
      </x:c>
      <x:c r="AI194" s="48" t="n">
        <x:f>(((SQRT((Inputs!$C$52+((Inputs!$H$9+Inputs!$L$9*(((Inputs!$I$9+(((A194)+1)/2)*(Inputs!$J$9-Inputs!$I$9)))/Inputs!$K$9)^2)))^2+Inputs!$C$52^2-2*(Inputs!$C$52+((Inputs!$H$9+Inputs!$L$9*(((Inputs!$I$9+(((A194)+1)/2)*(Inputs!$J$9-Inputs!$I$9)))/Inputs!$K$9)^2)))*Inputs!$C$52*COS(SQRT(((Inputs!$I$9+(((A194)+1)/2)*(Inputs!$J$9-Inputs!$I$9)))^2+Inputs!$C$6^2)/Inputs!$C$52)))-((Inputs!$H$9+Inputs!$L$9*(((Inputs!$I$9+(((A194)+1)/2)*(Inputs!$J$9-Inputs!$I$9)))/Inputs!$K$9)^2)))*1000/Inputs!$C$12)</x:f>
        <x:v>155354.61064431272</x:v>
      </x:c>
      <x:c r="AJ194" s="49"/>
      <x:c r="AK194" s="48" t="n">
        <x:f>A194</x:f>
        <x:v>0.6</x:v>
      </x:c>
      <x:c r="AL194" s="48" t="n">
        <x: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x:f>
        <x:v>-306.2738563044615</x:v>
      </x:c>
      <x:c r="AM194" s="48" t="n">
        <x: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x:f>
        <x:v>-2464.1788169406414</x:v>
      </x:c>
      <x:c r="AN194" s="48" t="n">
        <x: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x:f>
        <x:v>-3039.4941303040473</x:v>
      </x:c>
      <x:c r="AO194" s="48" t="n">
        <x: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x:f>
        <x:v>-3049.167127652456</x:v>
      </x:c>
      <x:c r="AP194" s="49"/>
      <x:c r="AQ194" s="48" t="n">
        <x:f>A194</x:f>
        <x:v>0.6</x:v>
      </x:c>
      <x:c r="AR194" s="48" t="n">
        <x:f>0</x:f>
        <x:v>0</x:v>
      </x:c>
      <x:c r="AS194" s="48" t="n">
        <x: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(0.45*SIN(2*PI()*((((Inputs!$I$6+(((A194)+1)/2)*(Inputs!$J$6-Inputs!$I$6)))/Inputs!$C$49)+Inputs!$C$47*0.137))+0.35*COS(2*PI()*(((Inputs!$C$6)/Inputs!$C$50)+Inputs!$C$47*0.173))+0.20*SIN(2*PI()*((((Inputs!$I$6+(((A194)+1)/2)*(Inputs!$J$6-Inputs!$I$6)))+(Inputs!$C$6))/(0.5*(Inputs!$C$49+Inputs!$C$50))+Inputs!$C$47*0.097)))+0.30*(2*((SIN((((Inputs!$I$6+(((A194)+1)/2)*(Inputs!$J$6-Inputs!$I$6)))*12.9898+(Inputs!$C$6)*78.233+Inputs!$C$47*37.719))*43758.5453)-INT((SIN((((Inputs!$I$6+(((A194)+1)/2)*(Inputs!$J$6-Inputs!$I$6)))*12.9898+(Inputs!$C$6)*78.233+Inputs!$C$47*37.719))*43758.5453)))-1))),NA())</x:f>
        <x:v>251.8480330414438</x:v>
      </x:c>
      <x:c r="AT194" s="48" t="n">
        <x: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(0.45*SIN(2*PI()*((((Inputs!$I$7+(((A194)+1)/2)*(Inputs!$J$7-Inputs!$I$7)))/Inputs!$C$49)+Inputs!$C$47*0.137))+0.35*COS(2*PI()*(((Inputs!$C$6)/Inputs!$C$50)+Inputs!$C$47*0.173))+0.20*SIN(2*PI()*((((Inputs!$I$7+(((A194)+1)/2)*(Inputs!$J$7-Inputs!$I$7)))+(Inputs!$C$6))/(0.5*(Inputs!$C$49+Inputs!$C$50))+Inputs!$C$47*0.097)))+0.30*(2*((SIN((((Inputs!$I$7+(((A194)+1)/2)*(Inputs!$J$7-Inputs!$I$7)))*12.9898+(Inputs!$C$6)*78.233+Inputs!$C$47*37.719))*43758.5453)-INT((SIN((((Inputs!$I$7+(((A194)+1)/2)*(Inputs!$J$7-Inputs!$I$7)))*12.9898+(Inputs!$C$6)*78.233+Inputs!$C$47*37.719))*43758.5453)))-1))),NA())</x:f>
        <x:v>170.07540465003</x:v>
      </x:c>
      <x:c r="AU194" s="48" t="n">
        <x: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(0.45*SIN(2*PI()*((((Inputs!$I$8+(((A194)+1)/2)*(Inputs!$J$8-Inputs!$I$8)))/Inputs!$C$49)+Inputs!$C$47*0.137))+0.35*COS(2*PI()*(((Inputs!$C$6)/Inputs!$C$50)+Inputs!$C$47*0.173))+0.20*SIN(2*PI()*((((Inputs!$I$8+(((A194)+1)/2)*(Inputs!$J$8-Inputs!$I$8)))+(Inputs!$C$6))/(0.5*(Inputs!$C$49+Inputs!$C$50))+Inputs!$C$47*0.097)))+0.30*(2*((SIN((((Inputs!$I$8+(((A194)+1)/2)*(Inputs!$J$8-Inputs!$I$8)))*12.9898+(Inputs!$C$6)*78.233+Inputs!$C$47*37.719))*43758.5453)-INT((SIN((((Inputs!$I$8+(((A194)+1)/2)*(Inputs!$J$8-Inputs!$I$8)))*12.9898+(Inputs!$C$6)*78.233+Inputs!$C$47*37.719))*43758.5453)))-1))),NA())</x:f>
        <x:v>66.49025407923727</x:v>
      </x:c>
      <x:c r="AV194" s="48" t="n">
        <x: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(0.45*SIN(2*PI()*((((Inputs!$I$9+(((A194)+1)/2)*(Inputs!$J$9-Inputs!$I$9)))/Inputs!$C$49)+Inputs!$C$47*0.137))+0.35*COS(2*PI()*(((Inputs!$C$6)/Inputs!$C$50)+Inputs!$C$47*0.173))+0.20*SIN(2*PI()*((((Inputs!$I$9+(((A194)+1)/2)*(Inputs!$J$9-Inputs!$I$9)))+(Inputs!$C$6))/(0.5*(Inputs!$C$49+Inputs!$C$50))+Inputs!$C$47*0.097)))+0.30*(2*((SIN((((Inputs!$I$9+(((A194)+1)/2)*(Inputs!$J$9-Inputs!$I$9)))*12.9898+(Inputs!$C$6)*78.233+Inputs!$C$47*37.719))*43758.5453)-INT((SIN((((Inputs!$I$9+(((A194)+1)/2)*(Inputs!$J$9-Inputs!$I$9)))*12.9898+(Inputs!$C$6)*78.233+Inputs!$C$47*37.719))*43758.5453)))-1))),NA())</x:f>
        <x:v>66.49025407923727</x:v>
      </x:c>
      <x:c r="AW194" s="49"/>
      <x:c r="AX194" s="48" t="n">
        <x:f>A194</x:f>
        <x:v>0.6</x:v>
      </x:c>
      <x:c r="AY194" s="48" t="n">
        <x:f>0</x:f>
        <x:v>0</x:v>
      </x:c>
      <x:c r="AZ194" s="48" t="n">
        <x:f>IF(OR(Inputs!$F$6=TRUE,Inputs!$F$6="TRUE",Inputs!$F$6=1),(Inputs!$H$6+Inputs!$L$6*(((Inputs!$I$6+(((A194)+1)/2)*(Inputs!$J$6-Inputs!$I$6)))/Inputs!$K$6)^2),NA())</x:f>
        <x:v>401.44</x:v>
      </x:c>
      <x:c r="BA194" s="48" t="n">
        <x:f>IF(OR(Inputs!$F$7=TRUE,Inputs!$F$7="TRUE",Inputs!$F$7=1),(Inputs!$H$7+Inputs!$L$7*(((Inputs!$I$7+(((A194)+1)/2)*(Inputs!$J$7-Inputs!$I$7)))/Inputs!$K$7)^2),NA())</x:f>
        <x:v>166.4</x:v>
      </x:c>
      <x:c r="BB194" s="48" t="n">
        <x:f>IF(OR(Inputs!$F$8=TRUE,Inputs!$F$8="TRUE",Inputs!$F$8=1),(Inputs!$H$8+Inputs!$L$8*(((Inputs!$I$8+(((A194)+1)/2)*(Inputs!$J$8-Inputs!$I$8)))/Inputs!$K$8)^2),NA())</x:f>
        <x:v>382.4</x:v>
      </x:c>
      <x:c r="BC194" s="48" t="n">
        <x:f>IF(OR(Inputs!$F$9=TRUE,Inputs!$F$9="TRUE",Inputs!$F$9=1),(Inputs!$H$9+Inputs!$L$9*(((Inputs!$I$9+(((A194)+1)/2)*(Inputs!$J$9-Inputs!$I$9)))/Inputs!$K$9)^2),NA())</x:f>
        <x:v>376</x:v>
      </x:c>
      <x:c r="BD194" s="49"/>
      <x:c r="BE194" s="48" t="n">
        <x:f>A194</x:f>
        <x:v>0.6</x:v>
      </x:c>
      <x:c r="BF194" s="48" t="n">
        <x:f>0</x:f>
        <x:v>0</x:v>
      </x:c>
      <x:c r="BG194" s="48"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BH194" s="48"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BI194" s="48"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BJ194" s="48"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row>
    <x:row r="195">
      <x:c r="A195" s="48" t="n">
        <x:f>ROUND(-1+193*2/240,3)</x:f>
        <x:v>0.608</x:v>
      </x:c>
      <x:c r="B195" s="48" t="n">
        <x:f>IF(OR(Inputs!$F$6=TRUE,Inputs!$F$6="TRUE",Inputs!$F$6=1),(Inputs!$H$6+Inputs!$L$6*(((Inputs!$I$6+(((A195)+1)/2)*(Inputs!$J$6-Inputs!$I$6)))/Inputs!$K$6)^2),NA())</x:f>
        <x:v>401.478656</x:v>
      </x:c>
      <x:c r="C195" s="48" t="n">
        <x:f>IF(OR(Inputs!$F$7=TRUE,Inputs!$F$7="TRUE",Inputs!$F$7=1),(Inputs!$H$7+Inputs!$L$7*(((Inputs!$I$7+(((A195)+1)/2)*(Inputs!$J$7-Inputs!$I$7)))/Inputs!$K$7)^2),NA())</x:f>
        <x:v>169.92736000000005</x:v>
      </x:c>
      <x:c r="D195" s="48" t="n">
        <x:f>IF(OR(Inputs!$F$8=TRUE,Inputs!$F$8="TRUE",Inputs!$F$8=1),(Inputs!$H$8+Inputs!$L$8*(((Inputs!$I$8+(((A195)+1)/2)*(Inputs!$J$8-Inputs!$I$8)))/Inputs!$K$8)^2),NA())</x:f>
        <x:v>391.7257600000001</x:v>
      </x:c>
      <x:c r="E195" s="48" t="n">
        <x:f>IF(OR(Inputs!$F$9=TRUE,Inputs!$F$9="TRUE",Inputs!$F$9=1),(Inputs!$H$9+Inputs!$L$9*(((Inputs!$I$9+(((A195)+1)/2)*(Inputs!$J$9-Inputs!$I$9)))/Inputs!$K$9)^2),NA())</x:f>
        <x:v>385.4224000000001</x:v>
      </x:c>
      <x:c r="F195" s="49"/>
      <x:c r="G195" s="48" t="n">
        <x:f>A195</x:f>
        <x:v>0.608</x:v>
      </x:c>
      <x:c r="H195" s="48"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I195" s="48"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J195" s="48"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K195" s="48"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c r="L195" s="49"/>
      <x:c r="M195" s="48" t="n">
        <x:f>A195</x:f>
        <x:v>0.608</x:v>
      </x:c>
      <x:c r="N195" s="48" t="n">
        <x: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x:f>
        <x:v>-310.3056599289165</x:v>
      </x:c>
      <x:c r="O195" s="48" t="n">
        <x: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x:f>
        <x:v>-2482.8116954130355</x:v>
      </x:c>
      <x:c r="P195" s="48" t="n">
        <x: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x:f>
        <x:v>-3069.5589193145233</x:v>
      </x:c>
      <x:c r="Q195" s="48" t="n">
        <x: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x:f>
        <x:v>-3079.7575373039613</x:v>
      </x:c>
      <x:c r="R195" s="49"/>
      <x:c r="S195" s="48" t="n">
        <x:f>A195</x:f>
        <x:v>0.608</x:v>
      </x:c>
      <x:c r="T195" s="48" t="n">
        <x:f>(Inputs!$I$6+(((A195)+1)/2)*(Inputs!$J$6-Inputs!$I$6))</x:f>
        <x:v>36.480000000000004</x:v>
      </x:c>
      <x:c r="U195" s="48" t="n">
        <x:f>(Inputs!$I$7+(((A195)+1)/2)*(Inputs!$J$7-Inputs!$I$7))</x:f>
        <x:v>243.20000000000005</x:v>
      </x:c>
      <x:c r="V195" s="48" t="n">
        <x:f>(Inputs!$I$8+(((A195)+1)/2)*(Inputs!$J$8-Inputs!$I$8))</x:f>
        <x:v>486.4000000000001</x:v>
      </x:c>
      <x:c r="W195" s="48" t="n">
        <x:f>(Inputs!$I$9+(((A195)+1)/2)*(Inputs!$J$9-Inputs!$I$9))</x:f>
        <x:v>486.4000000000001</x:v>
      </x:c>
      <x:c r="X195" s="49"/>
      <x:c r="Y195" s="48" t="n">
        <x:f>A195</x:f>
        <x:v>0.608</x:v>
      </x:c>
      <x:c r="Z195" s="48" t="n">
        <x:f>(Inputs!$H$6+Inputs!$L$6*(((Inputs!$I$6+(((A195)+1)/2)*(Inputs!$J$6-Inputs!$I$6)))/Inputs!$K$6)^2)</x:f>
        <x:v>401.478656</x:v>
      </x:c>
      <x:c r="AA195" s="48" t="n">
        <x:f>(Inputs!$H$7+Inputs!$L$7*(((Inputs!$I$7+(((A195)+1)/2)*(Inputs!$J$7-Inputs!$I$7)))/Inputs!$K$7)^2)</x:f>
        <x:v>169.92736000000005</x:v>
      </x:c>
      <x:c r="AB195" s="48" t="n">
        <x:f>(Inputs!$H$8+Inputs!$L$8*(((Inputs!$I$8+(((A195)+1)/2)*(Inputs!$J$8-Inputs!$I$8)))/Inputs!$K$8)^2)</x:f>
        <x:v>391.7257600000001</x:v>
      </x:c>
      <x:c r="AC195" s="48" t="n">
        <x:f>(Inputs!$H$9+Inputs!$L$9*(((Inputs!$I$9+(((A195)+1)/2)*(Inputs!$J$9-Inputs!$I$9)))/Inputs!$K$9)^2)</x:f>
        <x:v>385.4224000000001</x:v>
      </x:c>
      <x:c r="AD195" s="49"/>
      <x:c r="AE195" s="48" t="n">
        <x:f>A195</x:f>
        <x:v>0.608</x:v>
      </x:c>
      <x:c r="AF195" s="48" t="n">
        <x:f>(((SQRT((Inputs!$C$52+((Inputs!$H$6+Inputs!$L$6*(((Inputs!$I$6+(((A195)+1)/2)*(Inputs!$J$6-Inputs!$I$6)))/Inputs!$K$6)^2)))^2+Inputs!$C$52^2-2*(Inputs!$C$52+((Inputs!$H$6+Inputs!$L$6*(((Inputs!$I$6+(((A195)+1)/2)*(Inputs!$J$6-Inputs!$I$6)))/Inputs!$K$6)^2)))*Inputs!$C$52*COS(SQRT(((Inputs!$I$6+(((A195)+1)/2)*(Inputs!$J$6-Inputs!$I$6)))^2+Inputs!$C$6^2)/Inputs!$C$52)))-((Inputs!$H$6+Inputs!$L$6*(((Inputs!$I$6+(((A195)+1)/2)*(Inputs!$J$6-Inputs!$I$6)))/Inputs!$K$6)^2)))*1000/Inputs!$C$12)</x:f>
        <x:v>1713.749882332817</x:v>
      </x:c>
      <x:c r="AG195" s="48" t="n">
        <x:f>(((SQRT((Inputs!$C$52+((Inputs!$H$7+Inputs!$L$7*(((Inputs!$I$7+(((A195)+1)/2)*(Inputs!$J$7-Inputs!$I$7)))/Inputs!$K$7)^2)))^2+Inputs!$C$52^2-2*(Inputs!$C$52+((Inputs!$H$7+Inputs!$L$7*(((Inputs!$I$7+(((A195)+1)/2)*(Inputs!$J$7-Inputs!$I$7)))/Inputs!$K$7)^2)))*Inputs!$C$52*COS(SQRT(((Inputs!$I$7+(((A195)+1)/2)*(Inputs!$J$7-Inputs!$I$7)))^2+Inputs!$C$6^2)/Inputs!$C$52)))-((Inputs!$H$7+Inputs!$L$7*(((Inputs!$I$7+(((A195)+1)/2)*(Inputs!$J$7-Inputs!$I$7)))/Inputs!$K$7)^2)))*1000/Inputs!$C$12)</x:f>
        <x:v>77709.79695059416</x:v>
      </x:c>
      <x:c r="AH195" s="48" t="n">
        <x:f>(((SQRT((Inputs!$C$52+((Inputs!$H$8+Inputs!$L$8*(((Inputs!$I$8+(((A195)+1)/2)*(Inputs!$J$8-Inputs!$I$8)))/Inputs!$K$8)^2)))^2+Inputs!$C$52^2-2*(Inputs!$C$52+((Inputs!$H$8+Inputs!$L$8*(((Inputs!$I$8+(((A195)+1)/2)*(Inputs!$J$8-Inputs!$I$8)))/Inputs!$K$8)^2)))*Inputs!$C$52*COS(SQRT(((Inputs!$I$8+(((A195)+1)/2)*(Inputs!$J$8-Inputs!$I$8)))^2+Inputs!$C$6^2)/Inputs!$C$52)))-((Inputs!$H$8+Inputs!$L$8*(((Inputs!$I$8+(((A195)+1)/2)*(Inputs!$J$8-Inputs!$I$8)))/Inputs!$K$8)^2)))*1000/Inputs!$C$12)</x:f>
        <x:v>155869.57061769362</x:v>
      </x:c>
      <x:c r="AI195" s="48" t="n">
        <x:f>(((SQRT((Inputs!$C$52+((Inputs!$H$9+Inputs!$L$9*(((Inputs!$I$9+(((A195)+1)/2)*(Inputs!$J$9-Inputs!$I$9)))/Inputs!$K$9)^2)))^2+Inputs!$C$52^2-2*(Inputs!$C$52+((Inputs!$H$9+Inputs!$L$9*(((Inputs!$I$9+(((A195)+1)/2)*(Inputs!$J$9-Inputs!$I$9)))/Inputs!$K$9)^2)))*Inputs!$C$52*COS(SQRT(((Inputs!$I$9+(((A195)+1)/2)*(Inputs!$J$9-Inputs!$I$9)))^2+Inputs!$C$6^2)/Inputs!$C$52)))-((Inputs!$H$9+Inputs!$L$9*(((Inputs!$I$9+(((A195)+1)/2)*(Inputs!$J$9-Inputs!$I$9)))/Inputs!$K$9)^2)))*1000/Inputs!$C$12)</x:f>
        <x:v>156947.5312070615</x:v>
      </x:c>
      <x:c r="AJ195" s="49"/>
      <x:c r="AK195" s="48" t="n">
        <x:f>A195</x:f>
        <x:v>0.608</x:v>
      </x:c>
      <x:c r="AL195" s="48" t="n">
        <x: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x:f>
        <x:v>-310.3056599289165</x:v>
      </x:c>
      <x:c r="AM195" s="48" t="n">
        <x: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x:f>
        <x:v>-2482.8116954130355</x:v>
      </x:c>
      <x:c r="AN195" s="48" t="n">
        <x: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x:f>
        <x:v>-3069.5589193145233</x:v>
      </x:c>
      <x:c r="AO195" s="48" t="n">
        <x: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x:f>
        <x:v>-3079.7575373039613</x:v>
      </x:c>
      <x:c r="AP195" s="49"/>
      <x:c r="AQ195" s="48" t="n">
        <x:f>A195</x:f>
        <x:v>0.608</x:v>
      </x:c>
      <x:c r="AR195" s="48" t="n">
        <x:f>0</x:f>
        <x:v>0</x:v>
      </x:c>
      <x:c r="AS195" s="48" t="n">
        <x: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(0.45*SIN(2*PI()*((((Inputs!$I$6+(((A195)+1)/2)*(Inputs!$J$6-Inputs!$I$6)))/Inputs!$C$49)+Inputs!$C$47*0.137))+0.35*COS(2*PI()*(((Inputs!$C$6)/Inputs!$C$50)+Inputs!$C$47*0.173))+0.20*SIN(2*PI()*((((Inputs!$I$6+(((A195)+1)/2)*(Inputs!$J$6-Inputs!$I$6)))+(Inputs!$C$6))/(0.5*(Inputs!$C$49+Inputs!$C$50))+Inputs!$C$47*0.097)))+0.30*(2*((SIN((((Inputs!$I$6+(((A195)+1)/2)*(Inputs!$J$6-Inputs!$I$6)))*12.9898+(Inputs!$C$6)*78.233+Inputs!$C$47*37.719))*43758.5453)-INT((SIN((((Inputs!$I$6+(((A195)+1)/2)*(Inputs!$J$6-Inputs!$I$6)))*12.9898+(Inputs!$C$6)*78.233+Inputs!$C$47*37.719))*43758.5453)))-1))),NA())</x:f>
        <x:v>263.79859830925744</x:v>
      </x:c>
      <x:c r="AT195" s="48" t="n">
        <x: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(0.45*SIN(2*PI()*((((Inputs!$I$7+(((A195)+1)/2)*(Inputs!$J$7-Inputs!$I$7)))/Inputs!$C$49)+Inputs!$C$47*0.137))+0.35*COS(2*PI()*(((Inputs!$C$6)/Inputs!$C$50)+Inputs!$C$47*0.173))+0.20*SIN(2*PI()*((((Inputs!$I$7+(((A195)+1)/2)*(Inputs!$J$7-Inputs!$I$7)))+(Inputs!$C$6))/(0.5*(Inputs!$C$49+Inputs!$C$50))+Inputs!$C$47*0.097)))+0.30*(2*((SIN((((Inputs!$I$7+(((A195)+1)/2)*(Inputs!$J$7-Inputs!$I$7)))*12.9898+(Inputs!$C$6)*78.233+Inputs!$C$47*37.719))*43758.5453)-INT((SIN((((Inputs!$I$7+(((A195)+1)/2)*(Inputs!$J$7-Inputs!$I$7)))*12.9898+(Inputs!$C$6)*78.233+Inputs!$C$47*37.719))*43758.5453)))-1))),NA())</x:f>
        <x:v>158.89225646657422</x:v>
      </x:c>
      <x:c r="AU195" s="48" t="n">
        <x: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(0.45*SIN(2*PI()*((((Inputs!$I$8+(((A195)+1)/2)*(Inputs!$J$8-Inputs!$I$8)))/Inputs!$C$49)+Inputs!$C$47*0.137))+0.35*COS(2*PI()*(((Inputs!$C$6)/Inputs!$C$50)+Inputs!$C$47*0.173))+0.20*SIN(2*PI()*((((Inputs!$I$8+(((A195)+1)/2)*(Inputs!$J$8-Inputs!$I$8)))+(Inputs!$C$6))/(0.5*(Inputs!$C$49+Inputs!$C$50))+Inputs!$C$47*0.097)))+0.30*(2*((SIN((((Inputs!$I$8+(((A195)+1)/2)*(Inputs!$J$8-Inputs!$I$8)))*12.9898+(Inputs!$C$6)*78.233+Inputs!$C$47*37.719))*43758.5453)-INT((SIN((((Inputs!$I$8+(((A195)+1)/2)*(Inputs!$J$8-Inputs!$I$8)))*12.9898+(Inputs!$C$6)*78.233+Inputs!$C$47*37.719))*43758.5453)))-1))),NA())</x:f>
        <x:v>172.31839877924762</x:v>
      </x:c>
      <x:c r="AV195" s="48" t="n">
        <x: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(0.45*SIN(2*PI()*((((Inputs!$I$9+(((A195)+1)/2)*(Inputs!$J$9-Inputs!$I$9)))/Inputs!$C$49)+Inputs!$C$47*0.137))+0.35*COS(2*PI()*(((Inputs!$C$6)/Inputs!$C$50)+Inputs!$C$47*0.173))+0.20*SIN(2*PI()*((((Inputs!$I$9+(((A195)+1)/2)*(Inputs!$J$9-Inputs!$I$9)))+(Inputs!$C$6))/(0.5*(Inputs!$C$49+Inputs!$C$50))+Inputs!$C$47*0.097)))+0.30*(2*((SIN((((Inputs!$I$9+(((A195)+1)/2)*(Inputs!$J$9-Inputs!$I$9)))*12.9898+(Inputs!$C$6)*78.233+Inputs!$C$47*37.719))*43758.5453)-INT((SIN((((Inputs!$I$9+(((A195)+1)/2)*(Inputs!$J$9-Inputs!$I$9)))*12.9898+(Inputs!$C$6)*78.233+Inputs!$C$47*37.719))*43758.5453)))-1))),NA())</x:f>
        <x:v>172.31839877924762</x:v>
      </x:c>
      <x:c r="AW195" s="49"/>
      <x:c r="AX195" s="48" t="n">
        <x:f>A195</x:f>
        <x:v>0.608</x:v>
      </x:c>
      <x:c r="AY195" s="48" t="n">
        <x:f>0</x:f>
        <x:v>0</x:v>
      </x:c>
      <x:c r="AZ195" s="48" t="n">
        <x:f>IF(OR(Inputs!$F$6=TRUE,Inputs!$F$6="TRUE",Inputs!$F$6=1),(Inputs!$H$6+Inputs!$L$6*(((Inputs!$I$6+(((A195)+1)/2)*(Inputs!$J$6-Inputs!$I$6)))/Inputs!$K$6)^2),NA())</x:f>
        <x:v>401.478656</x:v>
      </x:c>
      <x:c r="BA195" s="48" t="n">
        <x:f>IF(OR(Inputs!$F$7=TRUE,Inputs!$F$7="TRUE",Inputs!$F$7=1),(Inputs!$H$7+Inputs!$L$7*(((Inputs!$I$7+(((A195)+1)/2)*(Inputs!$J$7-Inputs!$I$7)))/Inputs!$K$7)^2),NA())</x:f>
        <x:v>169.92736000000005</x:v>
      </x:c>
      <x:c r="BB195" s="48" t="n">
        <x:f>IF(OR(Inputs!$F$8=TRUE,Inputs!$F$8="TRUE",Inputs!$F$8=1),(Inputs!$H$8+Inputs!$L$8*(((Inputs!$I$8+(((A195)+1)/2)*(Inputs!$J$8-Inputs!$I$8)))/Inputs!$K$8)^2),NA())</x:f>
        <x:v>391.7257600000001</x:v>
      </x:c>
      <x:c r="BC195" s="48" t="n">
        <x:f>IF(OR(Inputs!$F$9=TRUE,Inputs!$F$9="TRUE",Inputs!$F$9=1),(Inputs!$H$9+Inputs!$L$9*(((Inputs!$I$9+(((A195)+1)/2)*(Inputs!$J$9-Inputs!$I$9)))/Inputs!$K$9)^2),NA())</x:f>
        <x:v>385.4224000000001</x:v>
      </x:c>
      <x:c r="BD195" s="49"/>
      <x:c r="BE195" s="48" t="n">
        <x:f>A195</x:f>
        <x:v>0.608</x:v>
      </x:c>
      <x:c r="BF195" s="48" t="n">
        <x:f>0</x:f>
        <x:v>0</x:v>
      </x:c>
      <x:c r="BG195" s="48"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BH195" s="48"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BI195" s="48"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BJ195" s="48"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row>
    <x:row r="196">
      <x:c r="A196" s="48" t="n">
        <x:f>ROUND(-1+194*2/240,3)</x:f>
        <x:v>0.617</x:v>
      </x:c>
      <x:c r="B196" s="48" t="n">
        <x:f>IF(OR(Inputs!$F$6=TRUE,Inputs!$F$6="TRUE",Inputs!$F$6=1),(Inputs!$H$6+Inputs!$L$6*(((Inputs!$I$6+(((A196)+1)/2)*(Inputs!$J$6-Inputs!$I$6)))/Inputs!$K$6)^2),NA())</x:f>
        <x:v>401.522756</x:v>
      </x:c>
      <x:c r="C196" s="48" t="n">
        <x:f>IF(OR(Inputs!$F$7=TRUE,Inputs!$F$7="TRUE",Inputs!$F$7=1),(Inputs!$H$7+Inputs!$L$7*(((Inputs!$I$7+(((A196)+1)/2)*(Inputs!$J$7-Inputs!$I$7)))/Inputs!$K$7)^2),NA())</x:f>
        <x:v>173.95148499999993</x:v>
      </x:c>
      <x:c r="D196" s="48" t="n">
        <x:f>IF(OR(Inputs!$F$8=TRUE,Inputs!$F$8="TRUE",Inputs!$F$8=1),(Inputs!$H$8+Inputs!$L$8*(((Inputs!$I$8+(((A196)+1)/2)*(Inputs!$J$8-Inputs!$I$8)))/Inputs!$K$8)^2),NA())</x:f>
        <x:v>402.36488499999984</x:v>
      </x:c>
      <x:c r="E196" s="48" t="n">
        <x:f>IF(OR(Inputs!$F$9=TRUE,Inputs!$F$9="TRUE",Inputs!$F$9=1),(Inputs!$H$9+Inputs!$L$9*(((Inputs!$I$9+(((A196)+1)/2)*(Inputs!$J$9-Inputs!$I$9)))/Inputs!$K$9)^2),NA())</x:f>
        <x:v>396.17177499999985</x:v>
      </x:c>
      <x:c r="F196" s="49"/>
      <x:c r="G196" s="48" t="n">
        <x:f>A196</x:f>
        <x:v>0.617</x:v>
      </x:c>
      <x:c r="H196" s="48"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I196" s="48"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J196" s="48"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K196" s="48"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c r="L196" s="49"/>
      <x:c r="M196" s="48" t="n">
        <x:f>A196</x:f>
        <x:v>0.617</x:v>
      </x:c>
      <x:c r="N196" s="48" t="n">
        <x: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x:f>
        <x:v>-314.839019118417</x:v>
      </x:c>
      <x:c r="O196" s="48" t="n">
        <x: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x:f>
        <x:v>-2503.9204145085046</x:v>
      </x:c>
      <x:c r="P196" s="48" t="n">
        <x: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x:f>
        <x:v>-3103.5619618162964</x:v>
      </x:c>
      <x:c r="Q196" s="48" t="n">
        <x: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x:f>
        <x:v>-3114.3508857654188</x:v>
      </x:c>
      <x:c r="R196" s="49"/>
      <x:c r="S196" s="48" t="n">
        <x:f>A196</x:f>
        <x:v>0.617</x:v>
      </x:c>
      <x:c r="T196" s="48" t="n">
        <x:f>(Inputs!$I$6+(((A196)+1)/2)*(Inputs!$J$6-Inputs!$I$6))</x:f>
        <x:v>37.019999999999996</x:v>
      </x:c>
      <x:c r="U196" s="48" t="n">
        <x:f>(Inputs!$I$7+(((A196)+1)/2)*(Inputs!$J$7-Inputs!$I$7))</x:f>
        <x:v>246.79999999999995</x:v>
      </x:c>
      <x:c r="V196" s="48" t="n">
        <x:f>(Inputs!$I$8+(((A196)+1)/2)*(Inputs!$J$8-Inputs!$I$8))</x:f>
        <x:v>493.5999999999999</x:v>
      </x:c>
      <x:c r="W196" s="48" t="n">
        <x:f>(Inputs!$I$9+(((A196)+1)/2)*(Inputs!$J$9-Inputs!$I$9))</x:f>
        <x:v>493.5999999999999</x:v>
      </x:c>
      <x:c r="X196" s="49"/>
      <x:c r="Y196" s="48" t="n">
        <x:f>A196</x:f>
        <x:v>0.617</x:v>
      </x:c>
      <x:c r="Z196" s="48" t="n">
        <x:f>(Inputs!$H$6+Inputs!$L$6*(((Inputs!$I$6+(((A196)+1)/2)*(Inputs!$J$6-Inputs!$I$6)))/Inputs!$K$6)^2)</x:f>
        <x:v>401.522756</x:v>
      </x:c>
      <x:c r="AA196" s="48" t="n">
        <x:f>(Inputs!$H$7+Inputs!$L$7*(((Inputs!$I$7+(((A196)+1)/2)*(Inputs!$J$7-Inputs!$I$7)))/Inputs!$K$7)^2)</x:f>
        <x:v>173.95148499999993</x:v>
      </x:c>
      <x:c r="AB196" s="48" t="n">
        <x:f>(Inputs!$H$8+Inputs!$L$8*(((Inputs!$I$8+(((A196)+1)/2)*(Inputs!$J$8-Inputs!$I$8)))/Inputs!$K$8)^2)</x:f>
        <x:v>402.36488499999984</x:v>
      </x:c>
      <x:c r="AC196" s="48" t="n">
        <x:f>(Inputs!$H$9+Inputs!$L$9*(((Inputs!$I$9+(((A196)+1)/2)*(Inputs!$J$9-Inputs!$I$9)))/Inputs!$K$9)^2)</x:f>
        <x:v>396.17177499999985</x:v>
      </x:c>
      <x:c r="AD196" s="49"/>
      <x:c r="AE196" s="48" t="n">
        <x:f>A196</x:f>
        <x:v>0.617</x:v>
      </x:c>
      <x:c r="AF196" s="48" t="n">
        <x:f>(((SQRT((Inputs!$C$52+((Inputs!$H$6+Inputs!$L$6*(((Inputs!$I$6+(((A196)+1)/2)*(Inputs!$J$6-Inputs!$I$6)))/Inputs!$K$6)^2)))^2+Inputs!$C$52^2-2*(Inputs!$C$52+((Inputs!$H$6+Inputs!$L$6*(((Inputs!$I$6+(((A196)+1)/2)*(Inputs!$J$6-Inputs!$I$6)))/Inputs!$K$6)^2)))*Inputs!$C$52*COS(SQRT(((Inputs!$I$6+(((A196)+1)/2)*(Inputs!$J$6-Inputs!$I$6)))^2+Inputs!$C$6^2)/Inputs!$C$52)))-((Inputs!$H$6+Inputs!$L$6*(((Inputs!$I$6+(((A196)+1)/2)*(Inputs!$J$6-Inputs!$I$6)))/Inputs!$K$6)^2)))*1000/Inputs!$C$12)</x:f>
        <x:v>1748.2404649752737</x:v>
      </x:c>
      <x:c r="AG196" s="48" t="n">
        <x:f>(((SQRT((Inputs!$C$52+((Inputs!$H$7+Inputs!$L$7*(((Inputs!$I$7+(((A196)+1)/2)*(Inputs!$J$7-Inputs!$I$7)))/Inputs!$K$7)^2)))^2+Inputs!$C$52^2-2*(Inputs!$C$52+((Inputs!$H$7+Inputs!$L$7*(((Inputs!$I$7+(((A196)+1)/2)*(Inputs!$J$7-Inputs!$I$7)))/Inputs!$K$7)^2)))*Inputs!$C$52*COS(SQRT(((Inputs!$I$7+(((A196)+1)/2)*(Inputs!$J$7-Inputs!$I$7)))^2+Inputs!$C$6^2)/Inputs!$C$52)))-((Inputs!$H$7+Inputs!$L$7*(((Inputs!$I$7+(((A196)+1)/2)*(Inputs!$J$7-Inputs!$I$7)))/Inputs!$K$7)^2)))*1000/Inputs!$C$12)</x:f>
        <x:v>78600.76304697536</x:v>
      </x:c>
      <x:c r="AH196" s="48" t="n">
        <x:f>(((SQRT((Inputs!$C$52+((Inputs!$H$8+Inputs!$L$8*(((Inputs!$I$8+(((A196)+1)/2)*(Inputs!$J$8-Inputs!$I$8)))/Inputs!$K$8)^2)))^2+Inputs!$C$52^2-2*(Inputs!$C$52+((Inputs!$H$8+Inputs!$L$8*(((Inputs!$I$8+(((A196)+1)/2)*(Inputs!$J$8-Inputs!$I$8)))/Inputs!$K$8)^2)))*Inputs!$C$52*COS(SQRT(((Inputs!$I$8+(((A196)+1)/2)*(Inputs!$J$8-Inputs!$I$8)))^2+Inputs!$C$6^2)/Inputs!$C$52)))-((Inputs!$H$8+Inputs!$L$8*(((Inputs!$I$8+(((A196)+1)/2)*(Inputs!$J$8-Inputs!$I$8)))/Inputs!$K$8)^2)))*1000/Inputs!$C$12)</x:f>
        <x:v>157695.59672146375</x:v>
      </x:c>
      <x:c r="AI196" s="48" t="n">
        <x:f>(((SQRT((Inputs!$C$52+((Inputs!$H$9+Inputs!$L$9*(((Inputs!$I$9+(((A196)+1)/2)*(Inputs!$J$9-Inputs!$I$9)))/Inputs!$K$9)^2)))^2+Inputs!$C$52^2-2*(Inputs!$C$52+((Inputs!$H$9+Inputs!$L$9*(((Inputs!$I$9+(((A196)+1)/2)*(Inputs!$J$9-Inputs!$I$9)))/Inputs!$K$9)^2)))*Inputs!$C$52*COS(SQRT(((Inputs!$I$9+(((A196)+1)/2)*(Inputs!$J$9-Inputs!$I$9)))^2+Inputs!$C$6^2)/Inputs!$C$52)))-((Inputs!$H$9+Inputs!$L$9*(((Inputs!$I$9+(((A196)+1)/2)*(Inputs!$J$9-Inputs!$I$9)))/Inputs!$K$9)^2)))*1000/Inputs!$C$12)</x:f>
        <x:v>158738.14855245082</x:v>
      </x:c>
      <x:c r="AJ196" s="49"/>
      <x:c r="AK196" s="48" t="n">
        <x:f>A196</x:f>
        <x:v>0.617</x:v>
      </x:c>
      <x:c r="AL196" s="48" t="n">
        <x: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x:f>
        <x:v>-314.839019118417</x:v>
      </x:c>
      <x:c r="AM196" s="48" t="n">
        <x: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x:f>
        <x:v>-2503.9204145085046</x:v>
      </x:c>
      <x:c r="AN196" s="48" t="n">
        <x: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x:f>
        <x:v>-3103.5619618162964</x:v>
      </x:c>
      <x:c r="AO196" s="48" t="n">
        <x: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x:f>
        <x:v>-3114.3508857654188</x:v>
      </x:c>
      <x:c r="AP196" s="49"/>
      <x:c r="AQ196" s="48" t="n">
        <x:f>A196</x:f>
        <x:v>0.617</x:v>
      </x:c>
      <x:c r="AR196" s="48" t="n">
        <x:f>0</x:f>
        <x:v>0</x:v>
      </x:c>
      <x:c r="AS196" s="48" t="n">
        <x: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(0.45*SIN(2*PI()*((((Inputs!$I$6+(((A196)+1)/2)*(Inputs!$J$6-Inputs!$I$6)))/Inputs!$C$49)+Inputs!$C$47*0.137))+0.35*COS(2*PI()*(((Inputs!$C$6)/Inputs!$C$50)+Inputs!$C$47*0.173))+0.20*SIN(2*PI()*((((Inputs!$I$6+(((A196)+1)/2)*(Inputs!$J$6-Inputs!$I$6)))+(Inputs!$C$6))/(0.5*(Inputs!$C$49+Inputs!$C$50))+Inputs!$C$47*0.097)))+0.30*(2*((SIN((((Inputs!$I$6+(((A196)+1)/2)*(Inputs!$J$6-Inputs!$I$6)))*12.9898+(Inputs!$C$6)*78.233+Inputs!$C$47*37.719))*43758.5453)-INT((SIN((((Inputs!$I$6+(((A196)+1)/2)*(Inputs!$J$6-Inputs!$I$6)))*12.9898+(Inputs!$C$6)*78.233+Inputs!$C$47*37.719))*43758.5453)))-1))),NA())</x:f>
        <x:v>291.9604238286151</x:v>
      </x:c>
      <x:c r="AT196" s="48" t="n">
        <x: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(0.45*SIN(2*PI()*((((Inputs!$I$7+(((A196)+1)/2)*(Inputs!$J$7-Inputs!$I$7)))/Inputs!$C$49)+Inputs!$C$47*0.137))+0.35*COS(2*PI()*(((Inputs!$C$6)/Inputs!$C$50)+Inputs!$C$47*0.173))+0.20*SIN(2*PI()*((((Inputs!$I$7+(((A196)+1)/2)*(Inputs!$J$7-Inputs!$I$7)))+(Inputs!$C$6))/(0.5*(Inputs!$C$49+Inputs!$C$50))+Inputs!$C$47*0.097)))+0.30*(2*((SIN((((Inputs!$I$7+(((A196)+1)/2)*(Inputs!$J$7-Inputs!$I$7)))*12.9898+(Inputs!$C$6)*78.233+Inputs!$C$47*37.719))*43758.5453)-INT((SIN((((Inputs!$I$7+(((A196)+1)/2)*(Inputs!$J$7-Inputs!$I$7)))*12.9898+(Inputs!$C$6)*78.233+Inputs!$C$47*37.719))*43758.5453)))-1))),NA())</x:f>
        <x:v>98.4447031183825</x:v>
      </x:c>
      <x:c r="AU196" s="48" t="n">
        <x: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(0.45*SIN(2*PI()*((((Inputs!$I$8+(((A196)+1)/2)*(Inputs!$J$8-Inputs!$I$8)))/Inputs!$C$49)+Inputs!$C$47*0.137))+0.35*COS(2*PI()*(((Inputs!$C$6)/Inputs!$C$50)+Inputs!$C$47*0.173))+0.20*SIN(2*PI()*((((Inputs!$I$8+(((A196)+1)/2)*(Inputs!$J$8-Inputs!$I$8)))+(Inputs!$C$6))/(0.5*(Inputs!$C$49+Inputs!$C$50))+Inputs!$C$47*0.097)))+0.30*(2*((SIN((((Inputs!$I$8+(((A196)+1)/2)*(Inputs!$J$8-Inputs!$I$8)))*12.9898+(Inputs!$C$6)*78.233+Inputs!$C$47*37.719))*43758.5453)-INT((SIN((((Inputs!$I$8+(((A196)+1)/2)*(Inputs!$J$8-Inputs!$I$8)))*12.9898+(Inputs!$C$6)*78.233+Inputs!$C$47*37.719))*43758.5453)))-1))),NA())</x:f>
        <x:v>173.92601532672532</x:v>
      </x:c>
      <x:c r="AV196" s="48" t="n">
        <x: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(0.45*SIN(2*PI()*((((Inputs!$I$9+(((A196)+1)/2)*(Inputs!$J$9-Inputs!$I$9)))/Inputs!$C$49)+Inputs!$C$47*0.137))+0.35*COS(2*PI()*(((Inputs!$C$6)/Inputs!$C$50)+Inputs!$C$47*0.173))+0.20*SIN(2*PI()*((((Inputs!$I$9+(((A196)+1)/2)*(Inputs!$J$9-Inputs!$I$9)))+(Inputs!$C$6))/(0.5*(Inputs!$C$49+Inputs!$C$50))+Inputs!$C$47*0.097)))+0.30*(2*((SIN((((Inputs!$I$9+(((A196)+1)/2)*(Inputs!$J$9-Inputs!$I$9)))*12.9898+(Inputs!$C$6)*78.233+Inputs!$C$47*37.719))*43758.5453)-INT((SIN((((Inputs!$I$9+(((A196)+1)/2)*(Inputs!$J$9-Inputs!$I$9)))*12.9898+(Inputs!$C$6)*78.233+Inputs!$C$47*37.719))*43758.5453)))-1))),NA())</x:f>
        <x:v>173.92601532672532</x:v>
      </x:c>
      <x:c r="AW196" s="49"/>
      <x:c r="AX196" s="48" t="n">
        <x:f>A196</x:f>
        <x:v>0.617</x:v>
      </x:c>
      <x:c r="AY196" s="48" t="n">
        <x:f>0</x:f>
        <x:v>0</x:v>
      </x:c>
      <x:c r="AZ196" s="48" t="n">
        <x:f>IF(OR(Inputs!$F$6=TRUE,Inputs!$F$6="TRUE",Inputs!$F$6=1),(Inputs!$H$6+Inputs!$L$6*(((Inputs!$I$6+(((A196)+1)/2)*(Inputs!$J$6-Inputs!$I$6)))/Inputs!$K$6)^2),NA())</x:f>
        <x:v>401.522756</x:v>
      </x:c>
      <x:c r="BA196" s="48" t="n">
        <x:f>IF(OR(Inputs!$F$7=TRUE,Inputs!$F$7="TRUE",Inputs!$F$7=1),(Inputs!$H$7+Inputs!$L$7*(((Inputs!$I$7+(((A196)+1)/2)*(Inputs!$J$7-Inputs!$I$7)))/Inputs!$K$7)^2),NA())</x:f>
        <x:v>173.95148499999993</x:v>
      </x:c>
      <x:c r="BB196" s="48" t="n">
        <x:f>IF(OR(Inputs!$F$8=TRUE,Inputs!$F$8="TRUE",Inputs!$F$8=1),(Inputs!$H$8+Inputs!$L$8*(((Inputs!$I$8+(((A196)+1)/2)*(Inputs!$J$8-Inputs!$I$8)))/Inputs!$K$8)^2),NA())</x:f>
        <x:v>402.36488499999984</x:v>
      </x:c>
      <x:c r="BC196" s="48" t="n">
        <x:f>IF(OR(Inputs!$F$9=TRUE,Inputs!$F$9="TRUE",Inputs!$F$9=1),(Inputs!$H$9+Inputs!$L$9*(((Inputs!$I$9+(((A196)+1)/2)*(Inputs!$J$9-Inputs!$I$9)))/Inputs!$K$9)^2),NA())</x:f>
        <x:v>396.17177499999985</x:v>
      </x:c>
      <x:c r="BD196" s="49"/>
      <x:c r="BE196" s="48" t="n">
        <x:f>A196</x:f>
        <x:v>0.617</x:v>
      </x:c>
      <x:c r="BF196" s="48" t="n">
        <x:f>0</x:f>
        <x:v>0</x:v>
      </x:c>
      <x:c r="BG196" s="48"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BH196" s="48"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BI196" s="48"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BJ196" s="48"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row>
    <x:row r="197">
      <x:c r="A197" s="48" t="n">
        <x:f>ROUND(-1+195*2/240,3)</x:f>
        <x:v>0.625</x:v>
      </x:c>
      <x:c r="B197" s="48" t="n">
        <x:f>IF(OR(Inputs!$F$6=TRUE,Inputs!$F$6="TRUE",Inputs!$F$6=1),(Inputs!$H$6+Inputs!$L$6*(((Inputs!$I$6+(((A197)+1)/2)*(Inputs!$J$6-Inputs!$I$6)))/Inputs!$K$6)^2),NA())</x:f>
        <x:v>401.5625</x:v>
      </x:c>
      <x:c r="C197" s="48" t="n">
        <x:f>IF(OR(Inputs!$F$7=TRUE,Inputs!$F$7="TRUE",Inputs!$F$7=1),(Inputs!$H$7+Inputs!$L$7*(((Inputs!$I$7+(((A197)+1)/2)*(Inputs!$J$7-Inputs!$I$7)))/Inputs!$K$7)^2),NA())</x:f>
        <x:v>177.578125</x:v>
      </x:c>
      <x:c r="D197" s="48" t="n">
        <x:f>IF(OR(Inputs!$F$8=TRUE,Inputs!$F$8="TRUE",Inputs!$F$8=1),(Inputs!$H$8+Inputs!$L$8*(((Inputs!$I$8+(((A197)+1)/2)*(Inputs!$J$8-Inputs!$I$8)))/Inputs!$K$8)^2),NA())</x:f>
        <x:v>411.953125</x:v>
      </x:c>
      <x:c r="E197" s="48" t="n">
        <x:f>IF(OR(Inputs!$F$9=TRUE,Inputs!$F$9="TRUE",Inputs!$F$9=1),(Inputs!$H$9+Inputs!$L$9*(((Inputs!$I$9+(((A197)+1)/2)*(Inputs!$J$9-Inputs!$I$9)))/Inputs!$K$9)^2),NA())</x:f>
        <x:v>405.859375</x:v>
      </x:c>
      <x:c r="F197" s="49"/>
      <x:c r="G197" s="48" t="n">
        <x:f>A197</x:f>
        <x:v>0.625</x:v>
      </x:c>
      <x:c r="H197" s="48"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I197" s="48"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J197" s="48"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K197" s="48"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c r="L197" s="49"/>
      <x:c r="M197" s="48" t="n">
        <x:f>A197</x:f>
        <x:v>0.625</x:v>
      </x:c>
      <x:c r="N197" s="48" t="n">
        <x: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x:f>
        <x:v>-318.86649388508926</x:v>
      </x:c>
      <x:c r="O197" s="48" t="n">
        <x: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x:f>
        <x:v>-2522.8127112245124</x:v>
      </x:c>
      <x:c r="P197" s="48" t="n">
        <x: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x:f>
        <x:v>-3133.9425203265596</x:v>
      </x:c>
      <x:c r="Q197" s="48" t="n">
        <x: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x:f>
        <x:v>-3145.2550966793397</x:v>
      </x:c>
      <x:c r="R197" s="49"/>
      <x:c r="S197" s="48" t="n">
        <x:f>A197</x:f>
        <x:v>0.625</x:v>
      </x:c>
      <x:c r="T197" s="48" t="n">
        <x:f>(Inputs!$I$6+(((A197)+1)/2)*(Inputs!$J$6-Inputs!$I$6))</x:f>
        <x:v>37.5</x:v>
      </x:c>
      <x:c r="U197" s="48" t="n">
        <x:f>(Inputs!$I$7+(((A197)+1)/2)*(Inputs!$J$7-Inputs!$I$7))</x:f>
        <x:v>250</x:v>
      </x:c>
      <x:c r="V197" s="48" t="n">
        <x:f>(Inputs!$I$8+(((A197)+1)/2)*(Inputs!$J$8-Inputs!$I$8))</x:f>
        <x:v>500</x:v>
      </x:c>
      <x:c r="W197" s="48" t="n">
        <x:f>(Inputs!$I$9+(((A197)+1)/2)*(Inputs!$J$9-Inputs!$I$9))</x:f>
        <x:v>500</x:v>
      </x:c>
      <x:c r="X197" s="49"/>
      <x:c r="Y197" s="48" t="n">
        <x:f>A197</x:f>
        <x:v>0.625</x:v>
      </x:c>
      <x:c r="Z197" s="48" t="n">
        <x:f>(Inputs!$H$6+Inputs!$L$6*(((Inputs!$I$6+(((A197)+1)/2)*(Inputs!$J$6-Inputs!$I$6)))/Inputs!$K$6)^2)</x:f>
        <x:v>401.5625</x:v>
      </x:c>
      <x:c r="AA197" s="48" t="n">
        <x:f>(Inputs!$H$7+Inputs!$L$7*(((Inputs!$I$7+(((A197)+1)/2)*(Inputs!$J$7-Inputs!$I$7)))/Inputs!$K$7)^2)</x:f>
        <x:v>177.578125</x:v>
      </x:c>
      <x:c r="AB197" s="48" t="n">
        <x:f>(Inputs!$H$8+Inputs!$L$8*(((Inputs!$I$8+(((A197)+1)/2)*(Inputs!$J$8-Inputs!$I$8)))/Inputs!$K$8)^2)</x:f>
        <x:v>411.953125</x:v>
      </x:c>
      <x:c r="AC197" s="48" t="n">
        <x:f>(Inputs!$H$9+Inputs!$L$9*(((Inputs!$I$9+(((A197)+1)/2)*(Inputs!$J$9-Inputs!$I$9)))/Inputs!$K$9)^2)</x:f>
        <x:v>405.859375</x:v>
      </x:c>
      <x:c r="AD197" s="49"/>
      <x:c r="AE197" s="48" t="n">
        <x:f>A197</x:f>
        <x:v>0.625</x:v>
      </x:c>
      <x:c r="AF197" s="48" t="n">
        <x:f>(((SQRT((Inputs!$C$52+((Inputs!$H$6+Inputs!$L$6*(((Inputs!$I$6+(((A197)+1)/2)*(Inputs!$J$6-Inputs!$I$6)))/Inputs!$K$6)^2)))^2+Inputs!$C$52^2-2*(Inputs!$C$52+((Inputs!$H$6+Inputs!$L$6*(((Inputs!$I$6+(((A197)+1)/2)*(Inputs!$J$6-Inputs!$I$6)))/Inputs!$K$6)^2)))*Inputs!$C$52*COS(SQRT(((Inputs!$I$6+(((A197)+1)/2)*(Inputs!$J$6-Inputs!$I$6)))^2+Inputs!$C$6^2)/Inputs!$C$52)))-((Inputs!$H$6+Inputs!$L$6*(((Inputs!$I$6+(((A197)+1)/2)*(Inputs!$J$6-Inputs!$I$6)))/Inputs!$K$6)^2)))*1000/Inputs!$C$12)</x:f>
        <x:v>1779.3145540322525</x:v>
      </x:c>
      <x:c r="AG197" s="48" t="n">
        <x:f>(((SQRT((Inputs!$C$52+((Inputs!$H$7+Inputs!$L$7*(((Inputs!$I$7+(((A197)+1)/2)*(Inputs!$J$7-Inputs!$I$7)))/Inputs!$K$7)^2)))^2+Inputs!$C$52^2-2*(Inputs!$C$52+((Inputs!$H$7+Inputs!$L$7*(((Inputs!$I$7+(((A197)+1)/2)*(Inputs!$J$7-Inputs!$I$7)))/Inputs!$K$7)^2)))*Inputs!$C$52*COS(SQRT(((Inputs!$I$7+(((A197)+1)/2)*(Inputs!$J$7-Inputs!$I$7)))^2+Inputs!$C$6^2)/Inputs!$C$52)))-((Inputs!$H$7+Inputs!$L$7*(((Inputs!$I$7+(((A197)+1)/2)*(Inputs!$J$7-Inputs!$I$7)))/Inputs!$K$7)^2)))*1000/Inputs!$C$12)</x:f>
        <x:v>79387.3209187216</x:v>
      </x:c>
      <x:c r="AH197" s="48" t="n">
        <x:f>(((SQRT((Inputs!$C$52+((Inputs!$H$8+Inputs!$L$8*(((Inputs!$I$8+(((A197)+1)/2)*(Inputs!$J$8-Inputs!$I$8)))/Inputs!$K$8)^2)))^2+Inputs!$C$52^2-2*(Inputs!$C$52+((Inputs!$H$8+Inputs!$L$8*(((Inputs!$I$8+(((A197)+1)/2)*(Inputs!$J$8-Inputs!$I$8)))/Inputs!$K$8)^2)))*Inputs!$C$52*COS(SQRT(((Inputs!$I$8+(((A197)+1)/2)*(Inputs!$J$8-Inputs!$I$8)))^2+Inputs!$C$6^2)/Inputs!$C$52)))-((Inputs!$H$8+Inputs!$L$8*(((Inputs!$I$8+(((A197)+1)/2)*(Inputs!$J$8-Inputs!$I$8)))/Inputs!$K$8)^2)))*1000/Inputs!$C$12)</x:f>
        <x:v>159317.3500156297</x:v>
      </x:c>
      <x:c r="AI197" s="48" t="n">
        <x:f>(((SQRT((Inputs!$C$52+((Inputs!$H$9+Inputs!$L$9*(((Inputs!$I$9+(((A197)+1)/2)*(Inputs!$J$9-Inputs!$I$9)))/Inputs!$K$9)^2)))^2+Inputs!$C$52^2-2*(Inputs!$C$52+((Inputs!$H$9+Inputs!$L$9*(((Inputs!$I$9+(((A197)+1)/2)*(Inputs!$J$9-Inputs!$I$9)))/Inputs!$K$9)^2)))*Inputs!$C$52*COS(SQRT(((Inputs!$I$9+(((A197)+1)/2)*(Inputs!$J$9-Inputs!$I$9)))^2+Inputs!$C$6^2)/Inputs!$C$52)))-((Inputs!$H$9+Inputs!$L$9*(((Inputs!$I$9+(((A197)+1)/2)*(Inputs!$J$9-Inputs!$I$9)))/Inputs!$K$9)^2)))*1000/Inputs!$C$12)</x:f>
        <x:v>160328.91496968584</x:v>
      </x:c>
      <x:c r="AJ197" s="49"/>
      <x:c r="AK197" s="48" t="n">
        <x:f>A197</x:f>
        <x:v>0.625</x:v>
      </x:c>
      <x:c r="AL197" s="48" t="n">
        <x: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x:f>
        <x:v>-318.86649388508926</x:v>
      </x:c>
      <x:c r="AM197" s="48" t="n">
        <x: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x:f>
        <x:v>-2522.8127112245124</x:v>
      </x:c>
      <x:c r="AN197" s="48" t="n">
        <x: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x:f>
        <x:v>-3133.9425203265596</x:v>
      </x:c>
      <x:c r="AO197" s="48" t="n">
        <x: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x:f>
        <x:v>-3145.2550966793397</x:v>
      </x:c>
      <x:c r="AP197" s="49"/>
      <x:c r="AQ197" s="48" t="n">
        <x:f>A197</x:f>
        <x:v>0.625</x:v>
      </x:c>
      <x:c r="AR197" s="48" t="n">
        <x:f>0</x:f>
        <x:v>0</x:v>
      </x:c>
      <x:c r="AS197" s="48" t="n">
        <x: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(0.45*SIN(2*PI()*((((Inputs!$I$6+(((A197)+1)/2)*(Inputs!$J$6-Inputs!$I$6)))/Inputs!$C$49)+Inputs!$C$47*0.137))+0.35*COS(2*PI()*(((Inputs!$C$6)/Inputs!$C$50)+Inputs!$C$47*0.173))+0.20*SIN(2*PI()*((((Inputs!$I$6+(((A197)+1)/2)*(Inputs!$J$6-Inputs!$I$6)))+(Inputs!$C$6))/(0.5*(Inputs!$C$49+Inputs!$C$50))+Inputs!$C$47*0.097)))+0.30*(2*((SIN((((Inputs!$I$6+(((A197)+1)/2)*(Inputs!$J$6-Inputs!$I$6)))*12.9898+(Inputs!$C$6)*78.233+Inputs!$C$47*37.719))*43758.5453)-INT((SIN((((Inputs!$I$6+(((A197)+1)/2)*(Inputs!$J$6-Inputs!$I$6)))*12.9898+(Inputs!$C$6)*78.233+Inputs!$C$47*37.719))*43758.5453)))-1))),NA())</x:f>
        <x:v>280.6842863692354</x:v>
      </x:c>
      <x:c r="AT197" s="48" t="n">
        <x: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(0.45*SIN(2*PI()*((((Inputs!$I$7+(((A197)+1)/2)*(Inputs!$J$7-Inputs!$I$7)))/Inputs!$C$49)+Inputs!$C$47*0.137))+0.35*COS(2*PI()*(((Inputs!$C$6)/Inputs!$C$50)+Inputs!$C$47*0.173))+0.20*SIN(2*PI()*((((Inputs!$I$7+(((A197)+1)/2)*(Inputs!$J$7-Inputs!$I$7)))+(Inputs!$C$6))/(0.5*(Inputs!$C$49+Inputs!$C$50))+Inputs!$C$47*0.097)))+0.30*(2*((SIN((((Inputs!$I$7+(((A197)+1)/2)*(Inputs!$J$7-Inputs!$I$7)))*12.9898+(Inputs!$C$6)*78.233+Inputs!$C$47*37.719))*43758.5453)-INT((SIN((((Inputs!$I$7+(((A197)+1)/2)*(Inputs!$J$7-Inputs!$I$7)))*12.9898+(Inputs!$C$6)*78.233+Inputs!$C$47*37.719))*43758.5453)))-1))),NA())</x:f>
        <x:v>92.40373147606812</x:v>
      </x:c>
      <x:c r="AU197" s="48" t="n">
        <x: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(0.45*SIN(2*PI()*((((Inputs!$I$8+(((A197)+1)/2)*(Inputs!$J$8-Inputs!$I$8)))/Inputs!$C$49)+Inputs!$C$47*0.137))+0.35*COS(2*PI()*(((Inputs!$C$6)/Inputs!$C$50)+Inputs!$C$47*0.173))+0.20*SIN(2*PI()*((((Inputs!$I$8+(((A197)+1)/2)*(Inputs!$J$8-Inputs!$I$8)))+(Inputs!$C$6))/(0.5*(Inputs!$C$49+Inputs!$C$50))+Inputs!$C$47*0.097)))+0.30*(2*((SIN((((Inputs!$I$8+(((A197)+1)/2)*(Inputs!$J$8-Inputs!$I$8)))*12.9898+(Inputs!$C$6)*78.233+Inputs!$C$47*37.719))*43758.5453)-INT((SIN((((Inputs!$I$8+(((A197)+1)/2)*(Inputs!$J$8-Inputs!$I$8)))*12.9898+(Inputs!$C$6)*78.233+Inputs!$C$47*37.719))*43758.5453)))-1))),NA())</x:f>
        <x:v>107.71497999857905</x:v>
      </x:c>
      <x:c r="AV197" s="48" t="n">
        <x: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(0.45*SIN(2*PI()*((((Inputs!$I$9+(((A197)+1)/2)*(Inputs!$J$9-Inputs!$I$9)))/Inputs!$C$49)+Inputs!$C$47*0.137))+0.35*COS(2*PI()*(((Inputs!$C$6)/Inputs!$C$50)+Inputs!$C$47*0.173))+0.20*SIN(2*PI()*((((Inputs!$I$9+(((A197)+1)/2)*(Inputs!$J$9-Inputs!$I$9)))+(Inputs!$C$6))/(0.5*(Inputs!$C$49+Inputs!$C$50))+Inputs!$C$47*0.097)))+0.30*(2*((SIN((((Inputs!$I$9+(((A197)+1)/2)*(Inputs!$J$9-Inputs!$I$9)))*12.9898+(Inputs!$C$6)*78.233+Inputs!$C$47*37.719))*43758.5453)-INT((SIN((((Inputs!$I$9+(((A197)+1)/2)*(Inputs!$J$9-Inputs!$I$9)))*12.9898+(Inputs!$C$6)*78.233+Inputs!$C$47*37.719))*43758.5453)))-1))),NA())</x:f>
        <x:v>107.71497999857905</x:v>
      </x:c>
      <x:c r="AW197" s="49"/>
      <x:c r="AX197" s="48" t="n">
        <x:f>A197</x:f>
        <x:v>0.625</x:v>
      </x:c>
      <x:c r="AY197" s="48" t="n">
        <x:f>0</x:f>
        <x:v>0</x:v>
      </x:c>
      <x:c r="AZ197" s="48" t="n">
        <x:f>IF(OR(Inputs!$F$6=TRUE,Inputs!$F$6="TRUE",Inputs!$F$6=1),(Inputs!$H$6+Inputs!$L$6*(((Inputs!$I$6+(((A197)+1)/2)*(Inputs!$J$6-Inputs!$I$6)))/Inputs!$K$6)^2),NA())</x:f>
        <x:v>401.5625</x:v>
      </x:c>
      <x:c r="BA197" s="48" t="n">
        <x:f>IF(OR(Inputs!$F$7=TRUE,Inputs!$F$7="TRUE",Inputs!$F$7=1),(Inputs!$H$7+Inputs!$L$7*(((Inputs!$I$7+(((A197)+1)/2)*(Inputs!$J$7-Inputs!$I$7)))/Inputs!$K$7)^2),NA())</x:f>
        <x:v>177.578125</x:v>
      </x:c>
      <x:c r="BB197" s="48" t="n">
        <x:f>IF(OR(Inputs!$F$8=TRUE,Inputs!$F$8="TRUE",Inputs!$F$8=1),(Inputs!$H$8+Inputs!$L$8*(((Inputs!$I$8+(((A197)+1)/2)*(Inputs!$J$8-Inputs!$I$8)))/Inputs!$K$8)^2),NA())</x:f>
        <x:v>411.953125</x:v>
      </x:c>
      <x:c r="BC197" s="48" t="n">
        <x:f>IF(OR(Inputs!$F$9=TRUE,Inputs!$F$9="TRUE",Inputs!$F$9=1),(Inputs!$H$9+Inputs!$L$9*(((Inputs!$I$9+(((A197)+1)/2)*(Inputs!$J$9-Inputs!$I$9)))/Inputs!$K$9)^2),NA())</x:f>
        <x:v>405.859375</x:v>
      </x:c>
      <x:c r="BD197" s="49"/>
      <x:c r="BE197" s="48" t="n">
        <x:f>A197</x:f>
        <x:v>0.625</x:v>
      </x:c>
      <x:c r="BF197" s="48" t="n">
        <x:f>0</x:f>
        <x:v>0</x:v>
      </x:c>
      <x:c r="BG197" s="48"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BH197" s="48"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BI197" s="48"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BJ197" s="48"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row>
    <x:row r="198">
      <x:c r="A198" s="48" t="n">
        <x:f>ROUND(-1+196*2/240,3)</x:f>
        <x:v>0.633</x:v>
      </x:c>
      <x:c r="B198" s="48" t="n">
        <x:f>IF(OR(Inputs!$F$6=TRUE,Inputs!$F$6="TRUE",Inputs!$F$6=1),(Inputs!$H$6+Inputs!$L$6*(((Inputs!$I$6+(((A198)+1)/2)*(Inputs!$J$6-Inputs!$I$6)))/Inputs!$K$6)^2),NA())</x:f>
        <x:v>401.602756</x:v>
      </x:c>
      <x:c r="C198" s="48" t="n">
        <x:f>IF(OR(Inputs!$F$7=TRUE,Inputs!$F$7="TRUE",Inputs!$F$7=1),(Inputs!$H$7+Inputs!$L$7*(((Inputs!$I$7+(((A198)+1)/2)*(Inputs!$J$7-Inputs!$I$7)))/Inputs!$K$7)^2),NA())</x:f>
        <x:v>181.25148500000006</x:v>
      </x:c>
      <x:c r="D198" s="48" t="n">
        <x:f>IF(OR(Inputs!$F$8=TRUE,Inputs!$F$8="TRUE",Inputs!$F$8=1),(Inputs!$H$8+Inputs!$L$8*(((Inputs!$I$8+(((A198)+1)/2)*(Inputs!$J$8-Inputs!$I$8)))/Inputs!$K$8)^2),NA())</x:f>
        <x:v>421.66488500000014</x:v>
      </x:c>
      <x:c r="E198" s="48" t="n">
        <x:f>IF(OR(Inputs!$F$9=TRUE,Inputs!$F$9="TRUE",Inputs!$F$9=1),(Inputs!$H$9+Inputs!$L$9*(((Inputs!$I$9+(((A198)+1)/2)*(Inputs!$J$9-Inputs!$I$9)))/Inputs!$K$9)^2),NA())</x:f>
        <x:v>415.67177500000014</x:v>
      </x:c>
      <x:c r="F198" s="49"/>
      <x:c r="G198" s="48" t="n">
        <x:f>A198</x:f>
        <x:v>0.633</x:v>
      </x:c>
      <x:c r="H198" s="48"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I198" s="48"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J198" s="48"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K198" s="48"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c r="L198" s="49"/>
      <x:c r="M198" s="48" t="n">
        <x:f>A198</x:f>
        <x:v>0.633</x:v>
      </x:c>
      <x:c r="N198" s="48" t="n">
        <x: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x:f>
        <x:v>-322.89189375400963</x:v>
      </x:c>
      <x:c r="O198" s="48" t="n">
        <x: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x:f>
        <x:v>-2541.8250131573923</x:v>
      </x:c>
      <x:c r="P198" s="48" t="n">
        <x: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x:f>
        <x:v>-3164.4654052552846</x:v>
      </x:c>
      <x:c r="Q198" s="48" t="n">
        <x: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x:f>
        <x:v>-3176.3004946503343</x:v>
      </x:c>
      <x:c r="R198" s="49"/>
      <x:c r="S198" s="48" t="n">
        <x:f>A198</x:f>
        <x:v>0.633</x:v>
      </x:c>
      <x:c r="T198" s="48" t="n">
        <x:f>(Inputs!$I$6+(((A198)+1)/2)*(Inputs!$J$6-Inputs!$I$6))</x:f>
        <x:v>37.980000000000004</x:v>
      </x:c>
      <x:c r="U198" s="48" t="n">
        <x:f>(Inputs!$I$7+(((A198)+1)/2)*(Inputs!$J$7-Inputs!$I$7))</x:f>
        <x:v>253.20000000000005</x:v>
      </x:c>
      <x:c r="V198" s="48" t="n">
        <x:f>(Inputs!$I$8+(((A198)+1)/2)*(Inputs!$J$8-Inputs!$I$8))</x:f>
        <x:v>506.4000000000001</x:v>
      </x:c>
      <x:c r="W198" s="48" t="n">
        <x:f>(Inputs!$I$9+(((A198)+1)/2)*(Inputs!$J$9-Inputs!$I$9))</x:f>
        <x:v>506.4000000000001</x:v>
      </x:c>
      <x:c r="X198" s="49"/>
      <x:c r="Y198" s="48" t="n">
        <x:f>A198</x:f>
        <x:v>0.633</x:v>
      </x:c>
      <x:c r="Z198" s="48" t="n">
        <x:f>(Inputs!$H$6+Inputs!$L$6*(((Inputs!$I$6+(((A198)+1)/2)*(Inputs!$J$6-Inputs!$I$6)))/Inputs!$K$6)^2)</x:f>
        <x:v>401.602756</x:v>
      </x:c>
      <x:c r="AA198" s="48" t="n">
        <x:f>(Inputs!$H$7+Inputs!$L$7*(((Inputs!$I$7+(((A198)+1)/2)*(Inputs!$J$7-Inputs!$I$7)))/Inputs!$K$7)^2)</x:f>
        <x:v>181.25148500000006</x:v>
      </x:c>
      <x:c r="AB198" s="48" t="n">
        <x:f>(Inputs!$H$8+Inputs!$L$8*(((Inputs!$I$8+(((A198)+1)/2)*(Inputs!$J$8-Inputs!$I$8)))/Inputs!$K$8)^2)</x:f>
        <x:v>421.66488500000014</x:v>
      </x:c>
      <x:c r="AC198" s="48" t="n">
        <x:f>(Inputs!$H$9+Inputs!$L$9*(((Inputs!$I$9+(((A198)+1)/2)*(Inputs!$J$9-Inputs!$I$9)))/Inputs!$K$9)^2)</x:f>
        <x:v>415.67177500000014</x:v>
      </x:c>
      <x:c r="AD198" s="49"/>
      <x:c r="AE198" s="48" t="n">
        <x:f>A198</x:f>
        <x:v>0.633</x:v>
      </x:c>
      <x:c r="AF198" s="48" t="n">
        <x:f>(((SQRT((Inputs!$C$52+((Inputs!$H$6+Inputs!$L$6*(((Inputs!$I$6+(((A198)+1)/2)*(Inputs!$J$6-Inputs!$I$6)))/Inputs!$K$6)^2)))^2+Inputs!$C$52^2-2*(Inputs!$C$52+((Inputs!$H$6+Inputs!$L$6*(((Inputs!$I$6+(((A198)+1)/2)*(Inputs!$J$6-Inputs!$I$6)))/Inputs!$K$6)^2)))*Inputs!$C$52*COS(SQRT(((Inputs!$I$6+(((A198)+1)/2)*(Inputs!$J$6-Inputs!$I$6)))^2+Inputs!$C$6^2)/Inputs!$C$52)))-((Inputs!$H$6+Inputs!$L$6*(((Inputs!$I$6+(((A198)+1)/2)*(Inputs!$J$6-Inputs!$I$6)))/Inputs!$K$6)^2)))*1000/Inputs!$C$12)</x:f>
        <x:v>1810.7796160089886</x:v>
      </x:c>
      <x:c r="AG198" s="48" t="n">
        <x:f>(((SQRT((Inputs!$C$52+((Inputs!$H$7+Inputs!$L$7*(((Inputs!$I$7+(((A198)+1)/2)*(Inputs!$J$7-Inputs!$I$7)))/Inputs!$K$7)^2)))^2+Inputs!$C$52^2-2*(Inputs!$C$52+((Inputs!$H$7+Inputs!$L$7*(((Inputs!$I$7+(((A198)+1)/2)*(Inputs!$J$7-Inputs!$I$7)))/Inputs!$K$7)^2)))*Inputs!$C$52*COS(SQRT(((Inputs!$I$7+(((A198)+1)/2)*(Inputs!$J$7-Inputs!$I$7)))^2+Inputs!$C$6^2)/Inputs!$C$52)))-((Inputs!$H$7+Inputs!$L$7*(((Inputs!$I$7+(((A198)+1)/2)*(Inputs!$J$7-Inputs!$I$7)))/Inputs!$K$7)^2)))*1000/Inputs!$C$12)</x:f>
        <x:v>80168.92644540373</x:v>
      </x:c>
      <x:c r="AH198" s="48" t="n">
        <x:f>(((SQRT((Inputs!$C$52+((Inputs!$H$8+Inputs!$L$8*(((Inputs!$I$8+(((A198)+1)/2)*(Inputs!$J$8-Inputs!$I$8)))/Inputs!$K$8)^2)))^2+Inputs!$C$52^2-2*(Inputs!$C$52+((Inputs!$H$8+Inputs!$L$8*(((Inputs!$I$8+(((A198)+1)/2)*(Inputs!$J$8-Inputs!$I$8)))/Inputs!$K$8)^2)))*Inputs!$C$52*COS(SQRT(((Inputs!$I$8+(((A198)+1)/2)*(Inputs!$J$8-Inputs!$I$8)))^2+Inputs!$C$6^2)/Inputs!$C$52)))-((Inputs!$H$8+Inputs!$L$8*(((Inputs!$I$8+(((A198)+1)/2)*(Inputs!$J$8-Inputs!$I$8)))/Inputs!$K$8)^2)))*1000/Inputs!$C$12)</x:f>
        <x:v>160938.14162452074</x:v>
      </x:c>
      <x:c r="AI198" s="48" t="n">
        <x:f>(((SQRT((Inputs!$C$52+((Inputs!$H$9+Inputs!$L$9*(((Inputs!$I$9+(((A198)+1)/2)*(Inputs!$J$9-Inputs!$I$9)))/Inputs!$K$9)^2)))^2+Inputs!$C$52^2-2*(Inputs!$C$52+((Inputs!$H$9+Inputs!$L$9*(((Inputs!$I$9+(((A198)+1)/2)*(Inputs!$J$9-Inputs!$I$9)))/Inputs!$K$9)^2)))*Inputs!$C$52*COS(SQRT(((Inputs!$I$9+(((A198)+1)/2)*(Inputs!$J$9-Inputs!$I$9)))^2+Inputs!$C$6^2)/Inputs!$C$52)))-((Inputs!$H$9+Inputs!$L$9*(((Inputs!$I$9+(((A198)+1)/2)*(Inputs!$J$9-Inputs!$I$9)))/Inputs!$K$9)^2)))*1000/Inputs!$C$12)</x:f>
        <x:v>161919.17609100946</x:v>
      </x:c>
      <x:c r="AJ198" s="49"/>
      <x:c r="AK198" s="48" t="n">
        <x:f>A198</x:f>
        <x:v>0.633</x:v>
      </x:c>
      <x:c r="AL198" s="48" t="n">
        <x: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x:f>
        <x:v>-322.89189375400963</x:v>
      </x:c>
      <x:c r="AM198" s="48" t="n">
        <x: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x:f>
        <x:v>-2541.8250131573923</x:v>
      </x:c>
      <x:c r="AN198" s="48" t="n">
        <x: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x:f>
        <x:v>-3164.4654052552846</x:v>
      </x:c>
      <x:c r="AO198" s="48" t="n">
        <x: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x:f>
        <x:v>-3176.3004946503343</x:v>
      </x:c>
      <x:c r="AP198" s="49"/>
      <x:c r="AQ198" s="48" t="n">
        <x:f>A198</x:f>
        <x:v>0.633</x:v>
      </x:c>
      <x:c r="AR198" s="48" t="n">
        <x:f>0</x:f>
        <x:v>0</x:v>
      </x:c>
      <x:c r="AS198" s="48" t="n">
        <x: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(0.45*SIN(2*PI()*((((Inputs!$I$6+(((A198)+1)/2)*(Inputs!$J$6-Inputs!$I$6)))/Inputs!$C$49)+Inputs!$C$47*0.137))+0.35*COS(2*PI()*(((Inputs!$C$6)/Inputs!$C$50)+Inputs!$C$47*0.173))+0.20*SIN(2*PI()*((((Inputs!$I$6+(((A198)+1)/2)*(Inputs!$J$6-Inputs!$I$6)))+(Inputs!$C$6))/(0.5*(Inputs!$C$49+Inputs!$C$50))+Inputs!$C$47*0.097)))+0.30*(2*((SIN((((Inputs!$I$6+(((A198)+1)/2)*(Inputs!$J$6-Inputs!$I$6)))*12.9898+(Inputs!$C$6)*78.233+Inputs!$C$47*37.719))*43758.5453)-INT((SIN((((Inputs!$I$6+(((A198)+1)/2)*(Inputs!$J$6-Inputs!$I$6)))*12.9898+(Inputs!$C$6)*78.233+Inputs!$C$47*37.719))*43758.5453)))-1))),NA())</x:f>
        <x:v>297.2895650251546</x:v>
      </x:c>
      <x:c r="AT198" s="48" t="n">
        <x: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(0.45*SIN(2*PI()*((((Inputs!$I$7+(((A198)+1)/2)*(Inputs!$J$7-Inputs!$I$7)))/Inputs!$C$49)+Inputs!$C$47*0.137))+0.35*COS(2*PI()*(((Inputs!$C$6)/Inputs!$C$50)+Inputs!$C$47*0.173))+0.20*SIN(2*PI()*((((Inputs!$I$7+(((A198)+1)/2)*(Inputs!$J$7-Inputs!$I$7)))+(Inputs!$C$6))/(0.5*(Inputs!$C$49+Inputs!$C$50))+Inputs!$C$47*0.097)))+0.30*(2*((SIN((((Inputs!$I$7+(((A198)+1)/2)*(Inputs!$J$7-Inputs!$I$7)))*12.9898+(Inputs!$C$6)*78.233+Inputs!$C$47*37.719))*43758.5453)-INT((SIN((((Inputs!$I$7+(((A198)+1)/2)*(Inputs!$J$7-Inputs!$I$7)))*12.9898+(Inputs!$C$6)*78.233+Inputs!$C$47*37.719))*43758.5453)))-1))),NA())</x:f>
        <x:v>151.8367233752328</x:v>
      </x:c>
      <x:c r="AU198" s="48" t="n">
        <x: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(0.45*SIN(2*PI()*((((Inputs!$I$8+(((A198)+1)/2)*(Inputs!$J$8-Inputs!$I$8)))/Inputs!$C$49)+Inputs!$C$47*0.137))+0.35*COS(2*PI()*(((Inputs!$C$6)/Inputs!$C$50)+Inputs!$C$47*0.173))+0.20*SIN(2*PI()*((((Inputs!$I$8+(((A198)+1)/2)*(Inputs!$J$8-Inputs!$I$8)))+(Inputs!$C$6))/(0.5*(Inputs!$C$49+Inputs!$C$50))+Inputs!$C$47*0.097)))+0.30*(2*((SIN((((Inputs!$I$8+(((A198)+1)/2)*(Inputs!$J$8-Inputs!$I$8)))*12.9898+(Inputs!$C$6)*78.233+Inputs!$C$47*37.719))*43758.5453)-INT((SIN((((Inputs!$I$8+(((A198)+1)/2)*(Inputs!$J$8-Inputs!$I$8)))*12.9898+(Inputs!$C$6)*78.233+Inputs!$C$47*37.719))*43758.5453)))-1))),NA())</x:f>
        <x:v>230.8279849864777</x:v>
      </x:c>
      <x:c r="AV198" s="48" t="n">
        <x: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(0.45*SIN(2*PI()*((((Inputs!$I$9+(((A198)+1)/2)*(Inputs!$J$9-Inputs!$I$9)))/Inputs!$C$49)+Inputs!$C$47*0.137))+0.35*COS(2*PI()*(((Inputs!$C$6)/Inputs!$C$50)+Inputs!$C$47*0.173))+0.20*SIN(2*PI()*((((Inputs!$I$9+(((A198)+1)/2)*(Inputs!$J$9-Inputs!$I$9)))+(Inputs!$C$6))/(0.5*(Inputs!$C$49+Inputs!$C$50))+Inputs!$C$47*0.097)))+0.30*(2*((SIN((((Inputs!$I$9+(((A198)+1)/2)*(Inputs!$J$9-Inputs!$I$9)))*12.9898+(Inputs!$C$6)*78.233+Inputs!$C$47*37.719))*43758.5453)-INT((SIN((((Inputs!$I$9+(((A198)+1)/2)*(Inputs!$J$9-Inputs!$I$9)))*12.9898+(Inputs!$C$6)*78.233+Inputs!$C$47*37.719))*43758.5453)))-1))),NA())</x:f>
        <x:v>230.8279849864777</x:v>
      </x:c>
      <x:c r="AW198" s="49"/>
      <x:c r="AX198" s="48" t="n">
        <x:f>A198</x:f>
        <x:v>0.633</x:v>
      </x:c>
      <x:c r="AY198" s="48" t="n">
        <x:f>0</x:f>
        <x:v>0</x:v>
      </x:c>
      <x:c r="AZ198" s="48" t="n">
        <x:f>IF(OR(Inputs!$F$6=TRUE,Inputs!$F$6="TRUE",Inputs!$F$6=1),(Inputs!$H$6+Inputs!$L$6*(((Inputs!$I$6+(((A198)+1)/2)*(Inputs!$J$6-Inputs!$I$6)))/Inputs!$K$6)^2),NA())</x:f>
        <x:v>401.602756</x:v>
      </x:c>
      <x:c r="BA198" s="48" t="n">
        <x:f>IF(OR(Inputs!$F$7=TRUE,Inputs!$F$7="TRUE",Inputs!$F$7=1),(Inputs!$H$7+Inputs!$L$7*(((Inputs!$I$7+(((A198)+1)/2)*(Inputs!$J$7-Inputs!$I$7)))/Inputs!$K$7)^2),NA())</x:f>
        <x:v>181.25148500000006</x:v>
      </x:c>
      <x:c r="BB198" s="48" t="n">
        <x:f>IF(OR(Inputs!$F$8=TRUE,Inputs!$F$8="TRUE",Inputs!$F$8=1),(Inputs!$H$8+Inputs!$L$8*(((Inputs!$I$8+(((A198)+1)/2)*(Inputs!$J$8-Inputs!$I$8)))/Inputs!$K$8)^2),NA())</x:f>
        <x:v>421.66488500000014</x:v>
      </x:c>
      <x:c r="BC198" s="48" t="n">
        <x:f>IF(OR(Inputs!$F$9=TRUE,Inputs!$F$9="TRUE",Inputs!$F$9=1),(Inputs!$H$9+Inputs!$L$9*(((Inputs!$I$9+(((A198)+1)/2)*(Inputs!$J$9-Inputs!$I$9)))/Inputs!$K$9)^2),NA())</x:f>
        <x:v>415.67177500000014</x:v>
      </x:c>
      <x:c r="BD198" s="49"/>
      <x:c r="BE198" s="48" t="n">
        <x:f>A198</x:f>
        <x:v>0.633</x:v>
      </x:c>
      <x:c r="BF198" s="48" t="n">
        <x:f>0</x:f>
        <x:v>0</x:v>
      </x:c>
      <x:c r="BG198" s="48"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BH198" s="48"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BI198" s="48"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BJ198" s="48"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row>
    <x:row r="199">
      <x:c r="A199" s="48" t="n">
        <x:f>ROUND(-1+197*2/240,3)</x:f>
        <x:v>0.642</x:v>
      </x:c>
      <x:c r="B199" s="48" t="n">
        <x:f>IF(OR(Inputs!$F$6=TRUE,Inputs!$F$6="TRUE",Inputs!$F$6=1),(Inputs!$H$6+Inputs!$L$6*(((Inputs!$I$6+(((A199)+1)/2)*(Inputs!$J$6-Inputs!$I$6)))/Inputs!$K$6)^2),NA())</x:f>
        <x:v>401.648656</x:v>
      </x:c>
      <x:c r="C199" s="48" t="n">
        <x:f>IF(OR(Inputs!$F$7=TRUE,Inputs!$F$7="TRUE",Inputs!$F$7=1),(Inputs!$H$7+Inputs!$L$7*(((Inputs!$I$7+(((A199)+1)/2)*(Inputs!$J$7-Inputs!$I$7)))/Inputs!$K$7)^2),NA())</x:f>
        <x:v>185.43985999999995</x:v>
      </x:c>
      <x:c r="D199" s="48" t="n">
        <x:f>IF(OR(Inputs!$F$8=TRUE,Inputs!$F$8="TRUE",Inputs!$F$8=1),(Inputs!$H$8+Inputs!$L$8*(((Inputs!$I$8+(((A199)+1)/2)*(Inputs!$J$8-Inputs!$I$8)))/Inputs!$K$8)^2),NA())</x:f>
        <x:v>432.73825999999985</x:v>
      </x:c>
      <x:c r="E199" s="48" t="n">
        <x:f>IF(OR(Inputs!$F$9=TRUE,Inputs!$F$9="TRUE",Inputs!$F$9=1),(Inputs!$H$9+Inputs!$L$9*(((Inputs!$I$9+(((A199)+1)/2)*(Inputs!$J$9-Inputs!$I$9)))/Inputs!$K$9)^2),NA())</x:f>
        <x:v>426.85989999999987</x:v>
      </x:c>
      <x:c r="F199" s="49"/>
      <x:c r="G199" s="48" t="n">
        <x:f>A199</x:f>
        <x:v>0.642</x:v>
      </x:c>
      <x:c r="H199" s="48"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I199" s="48"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J199" s="48"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K199" s="48"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c r="L199" s="49"/>
      <x:c r="M199" s="48" t="n">
        <x:f>A199</x:f>
        <x:v>0.642</x:v>
      </x:c>
      <x:c r="N199" s="48" t="n">
        <x: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x:f>
        <x:v>-327.4179585006213</x:v>
      </x:c>
      <x:c r="O199" s="48" t="n">
        <x: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x:f>
        <x:v>-2563.3555763674917</x:v>
      </x:c>
      <x:c r="P199" s="48" t="n">
        <x: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x:f>
        <x:v>-3198.968925033659</x:v>
      </x:c>
      <x:c r="Q199" s="48" t="n">
        <x: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x:f>
        <x:v>-3211.3903291497036</x:v>
      </x:c>
      <x:c r="R199" s="49"/>
      <x:c r="S199" s="48" t="n">
        <x:f>A199</x:f>
        <x:v>0.642</x:v>
      </x:c>
      <x:c r="T199" s="48" t="n">
        <x:f>(Inputs!$I$6+(((A199)+1)/2)*(Inputs!$J$6-Inputs!$I$6))</x:f>
        <x:v>38.519999999999996</x:v>
      </x:c>
      <x:c r="U199" s="48" t="n">
        <x:f>(Inputs!$I$7+(((A199)+1)/2)*(Inputs!$J$7-Inputs!$I$7))</x:f>
        <x:v>256.79999999999995</x:v>
      </x:c>
      <x:c r="V199" s="48" t="n">
        <x:f>(Inputs!$I$8+(((A199)+1)/2)*(Inputs!$J$8-Inputs!$I$8))</x:f>
        <x:v>513.5999999999999</x:v>
      </x:c>
      <x:c r="W199" s="48" t="n">
        <x:f>(Inputs!$I$9+(((A199)+1)/2)*(Inputs!$J$9-Inputs!$I$9))</x:f>
        <x:v>513.5999999999999</x:v>
      </x:c>
      <x:c r="X199" s="49"/>
      <x:c r="Y199" s="48" t="n">
        <x:f>A199</x:f>
        <x:v>0.642</x:v>
      </x:c>
      <x:c r="Z199" s="48" t="n">
        <x:f>(Inputs!$H$6+Inputs!$L$6*(((Inputs!$I$6+(((A199)+1)/2)*(Inputs!$J$6-Inputs!$I$6)))/Inputs!$K$6)^2)</x:f>
        <x:v>401.648656</x:v>
      </x:c>
      <x:c r="AA199" s="48" t="n">
        <x:f>(Inputs!$H$7+Inputs!$L$7*(((Inputs!$I$7+(((A199)+1)/2)*(Inputs!$J$7-Inputs!$I$7)))/Inputs!$K$7)^2)</x:f>
        <x:v>185.43985999999995</x:v>
      </x:c>
      <x:c r="AB199" s="48" t="n">
        <x:f>(Inputs!$H$8+Inputs!$L$8*(((Inputs!$I$8+(((A199)+1)/2)*(Inputs!$J$8-Inputs!$I$8)))/Inputs!$K$8)^2)</x:f>
        <x:v>432.73825999999985</x:v>
      </x:c>
      <x:c r="AC199" s="48" t="n">
        <x:f>(Inputs!$H$9+Inputs!$L$9*(((Inputs!$I$9+(((A199)+1)/2)*(Inputs!$J$9-Inputs!$I$9)))/Inputs!$K$9)^2)</x:f>
        <x:v>426.85989999999987</x:v>
      </x:c>
      <x:c r="AD199" s="49"/>
      <x:c r="AE199" s="48" t="n">
        <x:f>A199</x:f>
        <x:v>0.642</x:v>
      </x:c>
      <x:c r="AF199" s="48" t="n">
        <x:f>(((SQRT((Inputs!$C$52+((Inputs!$H$6+Inputs!$L$6*(((Inputs!$I$6+(((A199)+1)/2)*(Inputs!$J$6-Inputs!$I$6)))/Inputs!$K$6)^2)))^2+Inputs!$C$52^2-2*(Inputs!$C$52+((Inputs!$H$6+Inputs!$L$6*(((Inputs!$I$6+(((A199)+1)/2)*(Inputs!$J$6-Inputs!$I$6)))/Inputs!$K$6)^2)))*Inputs!$C$52*COS(SQRT(((Inputs!$I$6+(((A199)+1)/2)*(Inputs!$J$6-Inputs!$I$6)))^2+Inputs!$C$6^2)/Inputs!$C$52)))-((Inputs!$H$6+Inputs!$L$6*(((Inputs!$I$6+(((A199)+1)/2)*(Inputs!$J$6-Inputs!$I$6)))/Inputs!$K$6)^2)))*1000/Inputs!$C$12)</x:f>
        <x:v>1846.6447074484392</x:v>
      </x:c>
      <x:c r="AG199" s="48" t="n">
        <x:f>(((SQRT((Inputs!$C$52+((Inputs!$H$7+Inputs!$L$7*(((Inputs!$I$7+(((A199)+1)/2)*(Inputs!$J$7-Inputs!$I$7)))/Inputs!$K$7)^2)))^2+Inputs!$C$52^2-2*(Inputs!$C$52+((Inputs!$H$7+Inputs!$L$7*(((Inputs!$I$7+(((A199)+1)/2)*(Inputs!$J$7-Inputs!$I$7)))/Inputs!$K$7)^2)))*Inputs!$C$52*COS(SQRT(((Inputs!$I$7+(((A199)+1)/2)*(Inputs!$J$7-Inputs!$I$7)))^2+Inputs!$C$6^2)/Inputs!$C$52)))-((Inputs!$H$7+Inputs!$L$7*(((Inputs!$I$7+(((A199)+1)/2)*(Inputs!$J$7-Inputs!$I$7)))/Inputs!$K$7)^2)))*1000/Inputs!$C$12)</x:f>
        <x:v>81042.47992876121</x:v>
      </x:c>
      <x:c r="AH199" s="48" t="n">
        <x:f>(((SQRT((Inputs!$C$52+((Inputs!$H$8+Inputs!$L$8*(((Inputs!$I$8+(((A199)+1)/2)*(Inputs!$J$8-Inputs!$I$8)))/Inputs!$K$8)^2)))^2+Inputs!$C$52^2-2*(Inputs!$C$52+((Inputs!$H$8+Inputs!$L$8*(((Inputs!$I$8+(((A199)+1)/2)*(Inputs!$J$8-Inputs!$I$8)))/Inputs!$K$8)^2)))*Inputs!$C$52*COS(SQRT(((Inputs!$I$8+(((A199)+1)/2)*(Inputs!$J$8-Inputs!$I$8)))^2+Inputs!$C$6^2)/Inputs!$C$52)))-((Inputs!$H$8+Inputs!$L$8*(((Inputs!$I$8+(((A199)+1)/2)*(Inputs!$J$8-Inputs!$I$8)))/Inputs!$K$8)^2)))*1000/Inputs!$C$12)</x:f>
        <x:v>162760.7750902615</x:v>
      </x:c>
      <x:c r="AI199" s="48" t="n">
        <x:f>(((SQRT((Inputs!$C$52+((Inputs!$H$9+Inputs!$L$9*(((Inputs!$I$9+(((A199)+1)/2)*(Inputs!$J$9-Inputs!$I$9)))/Inputs!$K$9)^2)))^2+Inputs!$C$52^2-2*(Inputs!$C$52+((Inputs!$H$9+Inputs!$L$9*(((Inputs!$I$9+(((A199)+1)/2)*(Inputs!$J$9-Inputs!$I$9)))/Inputs!$K$9)^2)))*Inputs!$C$52*COS(SQRT(((Inputs!$I$9+(((A199)+1)/2)*(Inputs!$J$9-Inputs!$I$9)))^2+Inputs!$C$6^2)/Inputs!$C$52)))-((Inputs!$H$9+Inputs!$L$9*(((Inputs!$I$9+(((A199)+1)/2)*(Inputs!$J$9-Inputs!$I$9)))/Inputs!$K$9)^2)))*1000/Inputs!$C$12)</x:f>
        <x:v>163708.00491582954</x:v>
      </x:c>
      <x:c r="AJ199" s="49"/>
      <x:c r="AK199" s="48" t="n">
        <x:f>A199</x:f>
        <x:v>0.642</x:v>
      </x:c>
      <x:c r="AL199" s="48" t="n">
        <x: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x:f>
        <x:v>-327.4179585006213</x:v>
      </x:c>
      <x:c r="AM199" s="48" t="n">
        <x: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x:f>
        <x:v>-2563.3555763674917</x:v>
      </x:c>
      <x:c r="AN199" s="48" t="n">
        <x: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x:f>
        <x:v>-3198.968925033659</x:v>
      </x:c>
      <x:c r="AO199" s="48" t="n">
        <x: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x:f>
        <x:v>-3211.3903291497036</x:v>
      </x:c>
      <x:c r="AP199" s="49"/>
      <x:c r="AQ199" s="48" t="n">
        <x:f>A199</x:f>
        <x:v>0.642</x:v>
      </x:c>
      <x:c r="AR199" s="48" t="n">
        <x:f>0</x:f>
        <x:v>0</x:v>
      </x:c>
      <x:c r="AS199" s="48" t="n">
        <x: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(0.45*SIN(2*PI()*((((Inputs!$I$6+(((A199)+1)/2)*(Inputs!$J$6-Inputs!$I$6)))/Inputs!$C$49)+Inputs!$C$47*0.137))+0.35*COS(2*PI()*(((Inputs!$C$6)/Inputs!$C$50)+Inputs!$C$47*0.173))+0.20*SIN(2*PI()*((((Inputs!$I$6+(((A199)+1)/2)*(Inputs!$J$6-Inputs!$I$6)))+(Inputs!$C$6))/(0.5*(Inputs!$C$49+Inputs!$C$50))+Inputs!$C$47*0.097)))+0.30*(2*((SIN((((Inputs!$I$6+(((A199)+1)/2)*(Inputs!$J$6-Inputs!$I$6)))*12.9898+(Inputs!$C$6)*78.233+Inputs!$C$47*37.719))*43758.5453)-INT((SIN((((Inputs!$I$6+(((A199)+1)/2)*(Inputs!$J$6-Inputs!$I$6)))*12.9898+(Inputs!$C$6)*78.233+Inputs!$C$47*37.719))*43758.5453)))-1))),NA())</x:f>
        <x:v>286.1309734009917</x:v>
      </x:c>
      <x:c r="AT199" s="48" t="n">
        <x: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(0.45*SIN(2*PI()*((((Inputs!$I$7+(((A199)+1)/2)*(Inputs!$J$7-Inputs!$I$7)))/Inputs!$C$49)+Inputs!$C$47*0.137))+0.35*COS(2*PI()*(((Inputs!$C$6)/Inputs!$C$50)+Inputs!$C$47*0.173))+0.20*SIN(2*PI()*((((Inputs!$I$7+(((A199)+1)/2)*(Inputs!$J$7-Inputs!$I$7)))+(Inputs!$C$6))/(0.5*(Inputs!$C$49+Inputs!$C$50))+Inputs!$C$47*0.097)))+0.30*(2*((SIN((((Inputs!$I$7+(((A199)+1)/2)*(Inputs!$J$7-Inputs!$I$7)))*12.9898+(Inputs!$C$6)*78.233+Inputs!$C$47*37.719))*43758.5453)-INT((SIN((((Inputs!$I$7+(((A199)+1)/2)*(Inputs!$J$7-Inputs!$I$7)))*12.9898+(Inputs!$C$6)*78.233+Inputs!$C$47*37.719))*43758.5453)))-1))),NA())</x:f>
        <x:v>191.01298983214508</x:v>
      </x:c>
      <x:c r="AU199" s="48" t="n">
        <x: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(0.45*SIN(2*PI()*((((Inputs!$I$8+(((A199)+1)/2)*(Inputs!$J$8-Inputs!$I$8)))/Inputs!$C$49)+Inputs!$C$47*0.137))+0.35*COS(2*PI()*(((Inputs!$C$6)/Inputs!$C$50)+Inputs!$C$47*0.173))+0.20*SIN(2*PI()*((((Inputs!$I$8+(((A199)+1)/2)*(Inputs!$J$8-Inputs!$I$8)))+(Inputs!$C$6))/(0.5*(Inputs!$C$49+Inputs!$C$50))+Inputs!$C$47*0.097)))+0.30*(2*((SIN((((Inputs!$I$8+(((A199)+1)/2)*(Inputs!$J$8-Inputs!$I$8)))*12.9898+(Inputs!$C$6)*78.233+Inputs!$C$47*37.719))*43758.5453)-INT((SIN((((Inputs!$I$8+(((A199)+1)/2)*(Inputs!$J$8-Inputs!$I$8)))*12.9898+(Inputs!$C$6)*78.233+Inputs!$C$47*37.719))*43758.5453)))-1))),NA())</x:f>
        <x:v>142.91530810568608</x:v>
      </x:c>
      <x:c r="AV199" s="48" t="n">
        <x: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(0.45*SIN(2*PI()*((((Inputs!$I$9+(((A199)+1)/2)*(Inputs!$J$9-Inputs!$I$9)))/Inputs!$C$49)+Inputs!$C$47*0.137))+0.35*COS(2*PI()*(((Inputs!$C$6)/Inputs!$C$50)+Inputs!$C$47*0.173))+0.20*SIN(2*PI()*((((Inputs!$I$9+(((A199)+1)/2)*(Inputs!$J$9-Inputs!$I$9)))+(Inputs!$C$6))/(0.5*(Inputs!$C$49+Inputs!$C$50))+Inputs!$C$47*0.097)))+0.30*(2*((SIN((((Inputs!$I$9+(((A199)+1)/2)*(Inputs!$J$9-Inputs!$I$9)))*12.9898+(Inputs!$C$6)*78.233+Inputs!$C$47*37.719))*43758.5453)-INT((SIN((((Inputs!$I$9+(((A199)+1)/2)*(Inputs!$J$9-Inputs!$I$9)))*12.9898+(Inputs!$C$6)*78.233+Inputs!$C$47*37.719))*43758.5453)))-1))),NA())</x:f>
        <x:v>142.91530810568608</x:v>
      </x:c>
      <x:c r="AW199" s="49"/>
      <x:c r="AX199" s="48" t="n">
        <x:f>A199</x:f>
        <x:v>0.642</x:v>
      </x:c>
      <x:c r="AY199" s="48" t="n">
        <x:f>0</x:f>
        <x:v>0</x:v>
      </x:c>
      <x:c r="AZ199" s="48" t="n">
        <x:f>IF(OR(Inputs!$F$6=TRUE,Inputs!$F$6="TRUE",Inputs!$F$6=1),(Inputs!$H$6+Inputs!$L$6*(((Inputs!$I$6+(((A199)+1)/2)*(Inputs!$J$6-Inputs!$I$6)))/Inputs!$K$6)^2),NA())</x:f>
        <x:v>401.648656</x:v>
      </x:c>
      <x:c r="BA199" s="48" t="n">
        <x:f>IF(OR(Inputs!$F$7=TRUE,Inputs!$F$7="TRUE",Inputs!$F$7=1),(Inputs!$H$7+Inputs!$L$7*(((Inputs!$I$7+(((A199)+1)/2)*(Inputs!$J$7-Inputs!$I$7)))/Inputs!$K$7)^2),NA())</x:f>
        <x:v>185.43985999999995</x:v>
      </x:c>
      <x:c r="BB199" s="48" t="n">
        <x:f>IF(OR(Inputs!$F$8=TRUE,Inputs!$F$8="TRUE",Inputs!$F$8=1),(Inputs!$H$8+Inputs!$L$8*(((Inputs!$I$8+(((A199)+1)/2)*(Inputs!$J$8-Inputs!$I$8)))/Inputs!$K$8)^2),NA())</x:f>
        <x:v>432.73825999999985</x:v>
      </x:c>
      <x:c r="BC199" s="48" t="n">
        <x:f>IF(OR(Inputs!$F$9=TRUE,Inputs!$F$9="TRUE",Inputs!$F$9=1),(Inputs!$H$9+Inputs!$L$9*(((Inputs!$I$9+(((A199)+1)/2)*(Inputs!$J$9-Inputs!$I$9)))/Inputs!$K$9)^2),NA())</x:f>
        <x:v>426.85989999999987</x:v>
      </x:c>
      <x:c r="BD199" s="49"/>
      <x:c r="BE199" s="48" t="n">
        <x:f>A199</x:f>
        <x:v>0.642</x:v>
      </x:c>
      <x:c r="BF199" s="48" t="n">
        <x:f>0</x:f>
        <x:v>0</x:v>
      </x:c>
      <x:c r="BG199" s="48"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BH199" s="48"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BI199" s="48"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BJ199" s="48"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row>
    <x:row r="200">
      <x:c r="A200" s="48" t="n">
        <x:f>ROUND(-1+198*2/240,3)</x:f>
        <x:v>0.65</x:v>
      </x:c>
      <x:c r="B200" s="48" t="n">
        <x:f>IF(OR(Inputs!$F$6=TRUE,Inputs!$F$6="TRUE",Inputs!$F$6=1),(Inputs!$H$6+Inputs!$L$6*(((Inputs!$I$6+(((A200)+1)/2)*(Inputs!$J$6-Inputs!$I$6)))/Inputs!$K$6)^2),NA())</x:f>
        <x:v>401.69</x:v>
      </x:c>
      <x:c r="C200" s="48" t="n">
        <x:f>IF(OR(Inputs!$F$7=TRUE,Inputs!$F$7="TRUE",Inputs!$F$7=1),(Inputs!$H$7+Inputs!$L$7*(((Inputs!$I$7+(((A200)+1)/2)*(Inputs!$J$7-Inputs!$I$7)))/Inputs!$K$7)^2),NA())</x:f>
        <x:v>189.2125</x:v>
      </x:c>
      <x:c r="D200" s="48" t="n">
        <x:f>IF(OR(Inputs!$F$8=TRUE,Inputs!$F$8="TRUE",Inputs!$F$8=1),(Inputs!$H$8+Inputs!$L$8*(((Inputs!$I$8+(((A200)+1)/2)*(Inputs!$J$8-Inputs!$I$8)))/Inputs!$K$8)^2),NA())</x:f>
        <x:v>442.71250000000003</x:v>
      </x:c>
      <x:c r="E200" s="48" t="n">
        <x:f>IF(OR(Inputs!$F$9=TRUE,Inputs!$F$9="TRUE",Inputs!$F$9=1),(Inputs!$H$9+Inputs!$L$9*(((Inputs!$I$9+(((A200)+1)/2)*(Inputs!$J$9-Inputs!$I$9)))/Inputs!$K$9)^2),NA())</x:f>
        <x:v>436.93750000000006</x:v>
      </x:c>
      <x:c r="F200" s="49"/>
      <x:c r="G200" s="48" t="n">
        <x:f>A200</x:f>
        <x:v>0.65</x:v>
      </x:c>
      <x:c r="H200" s="48"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I200" s="48"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J200" s="48"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K200" s="48"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c r="L200" s="49"/>
      <x:c r="M200" s="48" t="n">
        <x:f>A200</x:f>
        <x:v>0.65</x:v>
      </x:c>
      <x:c r="N200" s="48" t="n">
        <x: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x:f>
        <x:v>-331.43886943681935</x:v>
      </x:c>
      <x:c r="O200" s="48" t="n">
        <x: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x:f>
        <x:v>-2582.618265485299</x:v>
      </x:c>
      <x:c r="P200" s="48" t="n">
        <x: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x:f>
        <x:v>-3229.7814148818247</x:v>
      </x:c>
      <x:c r="Q200" s="48" t="n">
        <x: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x:f>
        <x:v>-3242.7225209785565</x:v>
      </x:c>
      <x:c r="R200" s="49"/>
      <x:c r="S200" s="48" t="n">
        <x:f>A200</x:f>
        <x:v>0.65</x:v>
      </x:c>
      <x:c r="T200" s="48" t="n">
        <x:f>(Inputs!$I$6+(((A200)+1)/2)*(Inputs!$J$6-Inputs!$I$6))</x:f>
        <x:v>39</x:v>
      </x:c>
      <x:c r="U200" s="48" t="n">
        <x:f>(Inputs!$I$7+(((A200)+1)/2)*(Inputs!$J$7-Inputs!$I$7))</x:f>
        <x:v>260</x:v>
      </x:c>
      <x:c r="V200" s="48" t="n">
        <x:f>(Inputs!$I$8+(((A200)+1)/2)*(Inputs!$J$8-Inputs!$I$8))</x:f>
        <x:v>520</x:v>
      </x:c>
      <x:c r="W200" s="48" t="n">
        <x:f>(Inputs!$I$9+(((A200)+1)/2)*(Inputs!$J$9-Inputs!$I$9))</x:f>
        <x:v>520</x:v>
      </x:c>
      <x:c r="X200" s="49"/>
      <x:c r="Y200" s="48" t="n">
        <x:f>A200</x:f>
        <x:v>0.65</x:v>
      </x:c>
      <x:c r="Z200" s="48" t="n">
        <x:f>(Inputs!$H$6+Inputs!$L$6*(((Inputs!$I$6+(((A200)+1)/2)*(Inputs!$J$6-Inputs!$I$6)))/Inputs!$K$6)^2)</x:f>
        <x:v>401.69</x:v>
      </x:c>
      <x:c r="AA200" s="48" t="n">
        <x:f>(Inputs!$H$7+Inputs!$L$7*(((Inputs!$I$7+(((A200)+1)/2)*(Inputs!$J$7-Inputs!$I$7)))/Inputs!$K$7)^2)</x:f>
        <x:v>189.2125</x:v>
      </x:c>
      <x:c r="AB200" s="48" t="n">
        <x:f>(Inputs!$H$8+Inputs!$L$8*(((Inputs!$I$8+(((A200)+1)/2)*(Inputs!$J$8-Inputs!$I$8)))/Inputs!$K$8)^2)</x:f>
        <x:v>442.71250000000003</x:v>
      </x:c>
      <x:c r="AC200" s="48" t="n">
        <x:f>(Inputs!$H$9+Inputs!$L$9*(((Inputs!$I$9+(((A200)+1)/2)*(Inputs!$J$9-Inputs!$I$9)))/Inputs!$K$9)^2)</x:f>
        <x:v>436.93750000000006</x:v>
      </x:c>
      <x:c r="AD200" s="49"/>
      <x:c r="AE200" s="48" t="n">
        <x:f>A200</x:f>
        <x:v>0.65</x:v>
      </x:c>
      <x:c r="AF200" s="48" t="n">
        <x:f>(((SQRT((Inputs!$C$52+((Inputs!$H$6+Inputs!$L$6*(((Inputs!$I$6+(((A200)+1)/2)*(Inputs!$J$6-Inputs!$I$6)))/Inputs!$K$6)^2)))^2+Inputs!$C$52^2-2*(Inputs!$C$52+((Inputs!$H$6+Inputs!$L$6*(((Inputs!$I$6+(((A200)+1)/2)*(Inputs!$J$6-Inputs!$I$6)))/Inputs!$K$6)^2)))*Inputs!$C$52*COS(SQRT(((Inputs!$I$6+(((A200)+1)/2)*(Inputs!$J$6-Inputs!$I$6)))^2+Inputs!$C$6^2)/Inputs!$C$52)))-((Inputs!$H$6+Inputs!$L$6*(((Inputs!$I$6+(((A200)+1)/2)*(Inputs!$J$6-Inputs!$I$6)))/Inputs!$K$6)^2)))*1000/Inputs!$C$12)</x:f>
        <x:v>1878.9394139868214</x:v>
      </x:c>
      <x:c r="AG200" s="48" t="n">
        <x:f>(((SQRT((Inputs!$C$52+((Inputs!$H$7+Inputs!$L$7*(((Inputs!$I$7+(((A200)+1)/2)*(Inputs!$J$7-Inputs!$I$7)))/Inputs!$K$7)^2)))^2+Inputs!$C$52^2-2*(Inputs!$C$52+((Inputs!$H$7+Inputs!$L$7*(((Inputs!$I$7+(((A200)+1)/2)*(Inputs!$J$7-Inputs!$I$7)))/Inputs!$K$7)^2)))*Inputs!$C$52*COS(SQRT(((Inputs!$I$7+(((A200)+1)/2)*(Inputs!$J$7-Inputs!$I$7)))^2+Inputs!$C$6^2)/Inputs!$C$52)))-((Inputs!$H$7+Inputs!$L$7*(((Inputs!$I$7+(((A200)+1)/2)*(Inputs!$J$7-Inputs!$I$7)))/Inputs!$K$7)^2)))*1000/Inputs!$C$12)</x:f>
        <x:v>81814.00490398385</x:v>
      </x:c>
      <x:c r="AH200" s="48" t="n">
        <x:f>(((SQRT((Inputs!$C$52+((Inputs!$H$8+Inputs!$L$8*(((Inputs!$I$8+(((A200)+1)/2)*(Inputs!$J$8-Inputs!$I$8)))/Inputs!$K$8)^2)))^2+Inputs!$C$52^2-2*(Inputs!$C$52+((Inputs!$H$8+Inputs!$L$8*(((Inputs!$I$8+(((A200)+1)/2)*(Inputs!$J$8-Inputs!$I$8)))/Inputs!$K$8)^2)))*Inputs!$C$52*COS(SQRT(((Inputs!$I$8+(((A200)+1)/2)*(Inputs!$J$8-Inputs!$I$8)))^2+Inputs!$C$6^2)/Inputs!$C$52)))-((Inputs!$H$8+Inputs!$L$8*(((Inputs!$I$8+(((A200)+1)/2)*(Inputs!$J$8-Inputs!$I$8)))/Inputs!$K$8)^2)))*1000/Inputs!$C$12)</x:f>
        <x:v>164380.55969178746</x:v>
      </x:c>
      <x:c r="AI200" s="48" t="n">
        <x:f>(((SQRT((Inputs!$C$52+((Inputs!$H$9+Inputs!$L$9*(((Inputs!$I$9+(((A200)+1)/2)*(Inputs!$J$9-Inputs!$I$9)))/Inputs!$K$9)^2)))^2+Inputs!$C$52^2-2*(Inputs!$C$52+((Inputs!$H$9+Inputs!$L$9*(((Inputs!$I$9+(((A200)+1)/2)*(Inputs!$J$9-Inputs!$I$9)))/Inputs!$K$9)^2)))*Inputs!$C$52*COS(SQRT(((Inputs!$I$9+(((A200)+1)/2)*(Inputs!$J$9-Inputs!$I$9)))^2+Inputs!$C$6^2)/Inputs!$C$52)))-((Inputs!$H$9+Inputs!$L$9*(((Inputs!$I$9+(((A200)+1)/2)*(Inputs!$J$9-Inputs!$I$9)))/Inputs!$K$9)^2)))*1000/Inputs!$C$12)</x:f>
        <x:v>165298.21957316351</x:v>
      </x:c>
      <x:c r="AJ200" s="49"/>
      <x:c r="AK200" s="48" t="n">
        <x:f>A200</x:f>
        <x:v>0.65</x:v>
      </x:c>
      <x:c r="AL200" s="48" t="n">
        <x: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x:f>
        <x:v>-331.43886943681935</x:v>
      </x:c>
      <x:c r="AM200" s="48" t="n">
        <x: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x:f>
        <x:v>-2582.618265485299</x:v>
      </x:c>
      <x:c r="AN200" s="48" t="n">
        <x: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x:f>
        <x:v>-3229.7814148818247</x:v>
      </x:c>
      <x:c r="AO200" s="48" t="n">
        <x: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x:f>
        <x:v>-3242.7225209785565</x:v>
      </x:c>
      <x:c r="AP200" s="49"/>
      <x:c r="AQ200" s="48" t="n">
        <x:f>A200</x:f>
        <x:v>0.65</x:v>
      </x:c>
      <x:c r="AR200" s="48" t="n">
        <x:f>0</x:f>
        <x:v>0</x:v>
      </x:c>
      <x:c r="AS200" s="48" t="n">
        <x: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(0.45*SIN(2*PI()*((((Inputs!$I$6+(((A200)+1)/2)*(Inputs!$J$6-Inputs!$I$6)))/Inputs!$C$49)+Inputs!$C$47*0.137))+0.35*COS(2*PI()*(((Inputs!$C$6)/Inputs!$C$50)+Inputs!$C$47*0.173))+0.20*SIN(2*PI()*((((Inputs!$I$6+(((A200)+1)/2)*(Inputs!$J$6-Inputs!$I$6)))+(Inputs!$C$6))/(0.5*(Inputs!$C$49+Inputs!$C$50))+Inputs!$C$47*0.097)))+0.30*(2*((SIN((((Inputs!$I$6+(((A200)+1)/2)*(Inputs!$J$6-Inputs!$I$6)))*12.9898+(Inputs!$C$6)*78.233+Inputs!$C$47*37.719))*43758.5453)-INT((SIN((((Inputs!$I$6+(((A200)+1)/2)*(Inputs!$J$6-Inputs!$I$6)))*12.9898+(Inputs!$C$6)*78.233+Inputs!$C$47*37.719))*43758.5453)))-1))),NA())</x:f>
        <x:v>302.8435496777789</x:v>
      </x:c>
      <x:c r="AT200" s="48" t="n">
        <x: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(0.45*SIN(2*PI()*((((Inputs!$I$7+(((A200)+1)/2)*(Inputs!$J$7-Inputs!$I$7)))/Inputs!$C$49)+Inputs!$C$47*0.137))+0.35*COS(2*PI()*(((Inputs!$C$6)/Inputs!$C$50)+Inputs!$C$47*0.173))+0.20*SIN(2*PI()*((((Inputs!$I$7+(((A200)+1)/2)*(Inputs!$J$7-Inputs!$I$7)))+(Inputs!$C$6))/(0.5*(Inputs!$C$49+Inputs!$C$50))+Inputs!$C$47*0.097)))+0.30*(2*((SIN((((Inputs!$I$7+(((A200)+1)/2)*(Inputs!$J$7-Inputs!$I$7)))*12.9898+(Inputs!$C$6)*78.233+Inputs!$C$47*37.719))*43758.5453)-INT((SIN((((Inputs!$I$7+(((A200)+1)/2)*(Inputs!$J$7-Inputs!$I$7)))*12.9898+(Inputs!$C$6)*78.233+Inputs!$C$47*37.719))*43758.5453)))-1))),NA())</x:f>
        <x:v>134.66164099948801</x:v>
      </x:c>
      <x:c r="AU200" s="48" t="n">
        <x: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(0.45*SIN(2*PI()*((((Inputs!$I$8+(((A200)+1)/2)*(Inputs!$J$8-Inputs!$I$8)))/Inputs!$C$49)+Inputs!$C$47*0.137))+0.35*COS(2*PI()*(((Inputs!$C$6)/Inputs!$C$50)+Inputs!$C$47*0.173))+0.20*SIN(2*PI()*((((Inputs!$I$8+(((A200)+1)/2)*(Inputs!$J$8-Inputs!$I$8)))+(Inputs!$C$6))/(0.5*(Inputs!$C$49+Inputs!$C$50))+Inputs!$C$47*0.097)))+0.30*(2*((SIN((((Inputs!$I$8+(((A200)+1)/2)*(Inputs!$J$8-Inputs!$I$8)))*12.9898+(Inputs!$C$6)*78.233+Inputs!$C$47*37.719))*43758.5453)-INT((SIN((((Inputs!$I$8+(((A200)+1)/2)*(Inputs!$J$8-Inputs!$I$8)))*12.9898+(Inputs!$C$6)*78.233+Inputs!$C$47*37.719))*43758.5453)))-1))),NA())</x:f>
        <x:v>150.399514077023</x:v>
      </x:c>
      <x:c r="AV200" s="48" t="n">
        <x: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(0.45*SIN(2*PI()*((((Inputs!$I$9+(((A200)+1)/2)*(Inputs!$J$9-Inputs!$I$9)))/Inputs!$C$49)+Inputs!$C$47*0.137))+0.35*COS(2*PI()*(((Inputs!$C$6)/Inputs!$C$50)+Inputs!$C$47*0.173))+0.20*SIN(2*PI()*((((Inputs!$I$9+(((A200)+1)/2)*(Inputs!$J$9-Inputs!$I$9)))+(Inputs!$C$6))/(0.5*(Inputs!$C$49+Inputs!$C$50))+Inputs!$C$47*0.097)))+0.30*(2*((SIN((((Inputs!$I$9+(((A200)+1)/2)*(Inputs!$J$9-Inputs!$I$9)))*12.9898+(Inputs!$C$6)*78.233+Inputs!$C$47*37.719))*43758.5453)-INT((SIN((((Inputs!$I$9+(((A200)+1)/2)*(Inputs!$J$9-Inputs!$I$9)))*12.9898+(Inputs!$C$6)*78.233+Inputs!$C$47*37.719))*43758.5453)))-1))),NA())</x:f>
        <x:v>150.399514077023</x:v>
      </x:c>
      <x:c r="AW200" s="49"/>
      <x:c r="AX200" s="48" t="n">
        <x:f>A200</x:f>
        <x:v>0.65</x:v>
      </x:c>
      <x:c r="AY200" s="48" t="n">
        <x:f>0</x:f>
        <x:v>0</x:v>
      </x:c>
      <x:c r="AZ200" s="48" t="n">
        <x:f>IF(OR(Inputs!$F$6=TRUE,Inputs!$F$6="TRUE",Inputs!$F$6=1),(Inputs!$H$6+Inputs!$L$6*(((Inputs!$I$6+(((A200)+1)/2)*(Inputs!$J$6-Inputs!$I$6)))/Inputs!$K$6)^2),NA())</x:f>
        <x:v>401.69</x:v>
      </x:c>
      <x:c r="BA200" s="48" t="n">
        <x:f>IF(OR(Inputs!$F$7=TRUE,Inputs!$F$7="TRUE",Inputs!$F$7=1),(Inputs!$H$7+Inputs!$L$7*(((Inputs!$I$7+(((A200)+1)/2)*(Inputs!$J$7-Inputs!$I$7)))/Inputs!$K$7)^2),NA())</x:f>
        <x:v>189.2125</x:v>
      </x:c>
      <x:c r="BB200" s="48" t="n">
        <x:f>IF(OR(Inputs!$F$8=TRUE,Inputs!$F$8="TRUE",Inputs!$F$8=1),(Inputs!$H$8+Inputs!$L$8*(((Inputs!$I$8+(((A200)+1)/2)*(Inputs!$J$8-Inputs!$I$8)))/Inputs!$K$8)^2),NA())</x:f>
        <x:v>442.71250000000003</x:v>
      </x:c>
      <x:c r="BC200" s="48" t="n">
        <x:f>IF(OR(Inputs!$F$9=TRUE,Inputs!$F$9="TRUE",Inputs!$F$9=1),(Inputs!$H$9+Inputs!$L$9*(((Inputs!$I$9+(((A200)+1)/2)*(Inputs!$J$9-Inputs!$I$9)))/Inputs!$K$9)^2),NA())</x:f>
        <x:v>436.93750000000006</x:v>
      </x:c>
      <x:c r="BD200" s="49"/>
      <x:c r="BE200" s="48" t="n">
        <x:f>A200</x:f>
        <x:v>0.65</x:v>
      </x:c>
      <x:c r="BF200" s="48" t="n">
        <x:f>0</x:f>
        <x:v>0</x:v>
      </x:c>
      <x:c r="BG200" s="48"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BH200" s="48"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BI200" s="48"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BJ200" s="48"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row>
    <x:row r="201">
      <x:c r="A201" s="48" t="n">
        <x:f>ROUND(-1+199*2/240,3)</x:f>
        <x:v>0.658</x:v>
      </x:c>
      <x:c r="B201" s="48" t="n">
        <x:f>IF(OR(Inputs!$F$6=TRUE,Inputs!$F$6="TRUE",Inputs!$F$6=1),(Inputs!$H$6+Inputs!$L$6*(((Inputs!$I$6+(((A201)+1)/2)*(Inputs!$J$6-Inputs!$I$6)))/Inputs!$K$6)^2),NA())</x:f>
        <x:v>401.731856</x:v>
      </x:c>
      <x:c r="C201" s="48" t="n">
        <x:f>IF(OR(Inputs!$F$7=TRUE,Inputs!$F$7="TRUE",Inputs!$F$7=1),(Inputs!$H$7+Inputs!$L$7*(((Inputs!$I$7+(((A201)+1)/2)*(Inputs!$J$7-Inputs!$I$7)))/Inputs!$K$7)^2),NA())</x:f>
        <x:v>193.0318599999999</x:v>
      </x:c>
      <x:c r="D201" s="48" t="n">
        <x:f>IF(OR(Inputs!$F$8=TRUE,Inputs!$F$8="TRUE",Inputs!$F$8=1),(Inputs!$H$8+Inputs!$L$8*(((Inputs!$I$8+(((A201)+1)/2)*(Inputs!$J$8-Inputs!$I$8)))/Inputs!$K$8)^2),NA())</x:f>
        <x:v>452.81025999999974</x:v>
      </x:c>
      <x:c r="E201" s="48" t="n">
        <x:f>IF(OR(Inputs!$F$9=TRUE,Inputs!$F$9="TRUE",Inputs!$F$9=1),(Inputs!$H$9+Inputs!$L$9*(((Inputs!$I$9+(((A201)+1)/2)*(Inputs!$J$9-Inputs!$I$9)))/Inputs!$K$9)^2),NA())</x:f>
        <x:v>447.1398999999997</x:v>
      </x:c>
      <x:c r="F201" s="49"/>
      <x:c r="G201" s="48" t="n">
        <x:f>A201</x:f>
        <x:v>0.658</x:v>
      </x:c>
      <x:c r="H201" s="48"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I201" s="48"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J201" s="48"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K201" s="48"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c r="L201" s="49"/>
      <x:c r="M201" s="48" t="n">
        <x:f>A201</x:f>
        <x:v>0.658</x:v>
      </x:c>
      <x:c r="N201" s="48" t="n">
        <x: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x:f>
        <x:v>-335.4576305900754</x:v>
      </x:c>
      <x:c r="O201" s="48" t="n">
        <x: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x:f>
        <x:v>-2601.9965436821303</x:v>
      </x:c>
      <x:c r="P201" s="48" t="n">
        <x: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x:f>
        <x:v>-3260.724326877374</x:v>
      </x:c>
      <x:c r="Q201" s="48" t="n">
        <x: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x:f>
        <x:v>-3274.183649710417</x:v>
      </x:c>
      <x:c r="R201" s="49"/>
      <x:c r="S201" s="48" t="n">
        <x:f>A201</x:f>
        <x:v>0.658</x:v>
      </x:c>
      <x:c r="T201" s="48" t="n">
        <x:f>(Inputs!$I$6+(((A201)+1)/2)*(Inputs!$J$6-Inputs!$I$6))</x:f>
        <x:v>39.47999999999999</x:v>
      </x:c>
      <x:c r="U201" s="48" t="n">
        <x:f>(Inputs!$I$7+(((A201)+1)/2)*(Inputs!$J$7-Inputs!$I$7))</x:f>
        <x:v>263.19999999999993</x:v>
      </x:c>
      <x:c r="V201" s="48" t="n">
        <x:f>(Inputs!$I$8+(((A201)+1)/2)*(Inputs!$J$8-Inputs!$I$8))</x:f>
        <x:v>526.3999999999999</x:v>
      </x:c>
      <x:c r="W201" s="48" t="n">
        <x:f>(Inputs!$I$9+(((A201)+1)/2)*(Inputs!$J$9-Inputs!$I$9))</x:f>
        <x:v>526.3999999999999</x:v>
      </x:c>
      <x:c r="X201" s="49"/>
      <x:c r="Y201" s="48" t="n">
        <x:f>A201</x:f>
        <x:v>0.658</x:v>
      </x:c>
      <x:c r="Z201" s="48" t="n">
        <x:f>(Inputs!$H$6+Inputs!$L$6*(((Inputs!$I$6+(((A201)+1)/2)*(Inputs!$J$6-Inputs!$I$6)))/Inputs!$K$6)^2)</x:f>
        <x:v>401.731856</x:v>
      </x:c>
      <x:c r="AA201" s="48" t="n">
        <x:f>(Inputs!$H$7+Inputs!$L$7*(((Inputs!$I$7+(((A201)+1)/2)*(Inputs!$J$7-Inputs!$I$7)))/Inputs!$K$7)^2)</x:f>
        <x:v>193.0318599999999</x:v>
      </x:c>
      <x:c r="AB201" s="48" t="n">
        <x:f>(Inputs!$H$8+Inputs!$L$8*(((Inputs!$I$8+(((A201)+1)/2)*(Inputs!$J$8-Inputs!$I$8)))/Inputs!$K$8)^2)</x:f>
        <x:v>452.81025999999974</x:v>
      </x:c>
      <x:c r="AC201" s="48" t="n">
        <x:f>(Inputs!$H$9+Inputs!$L$9*(((Inputs!$I$9+(((A201)+1)/2)*(Inputs!$J$9-Inputs!$I$9)))/Inputs!$K$9)^2)</x:f>
        <x:v>447.1398999999997</x:v>
      </x:c>
      <x:c r="AD201" s="49"/>
      <x:c r="AE201" s="48" t="n">
        <x:f>A201</x:f>
        <x:v>0.658</x:v>
      </x:c>
      <x:c r="AF201" s="48" t="n">
        <x:f>(((SQRT((Inputs!$C$52+((Inputs!$H$6+Inputs!$L$6*(((Inputs!$I$6+(((A201)+1)/2)*(Inputs!$J$6-Inputs!$I$6)))/Inputs!$K$6)^2)))^2+Inputs!$C$52^2-2*(Inputs!$C$52+((Inputs!$H$6+Inputs!$L$6*(((Inputs!$I$6+(((A201)+1)/2)*(Inputs!$J$6-Inputs!$I$6)))/Inputs!$K$6)^2)))*Inputs!$C$52*COS(SQRT(((Inputs!$I$6+(((A201)+1)/2)*(Inputs!$J$6-Inputs!$I$6)))^2+Inputs!$C$6^2)/Inputs!$C$52)))-((Inputs!$H$6+Inputs!$L$6*(((Inputs!$I$6+(((A201)+1)/2)*(Inputs!$J$6-Inputs!$I$6)))/Inputs!$K$6)^2)))*1000/Inputs!$C$12)</x:f>
        <x:v>1911.623980866319</x:v>
      </x:c>
      <x:c r="AG201" s="48" t="n">
        <x:f>(((SQRT((Inputs!$C$52+((Inputs!$H$7+Inputs!$L$7*(((Inputs!$I$7+(((A201)+1)/2)*(Inputs!$J$7-Inputs!$I$7)))/Inputs!$K$7)^2)))^2+Inputs!$C$52^2-2*(Inputs!$C$52+((Inputs!$H$7+Inputs!$L$7*(((Inputs!$I$7+(((A201)+1)/2)*(Inputs!$J$7-Inputs!$I$7)))/Inputs!$K$7)^2)))*Inputs!$C$52*COS(SQRT(((Inputs!$I$7+(((A201)+1)/2)*(Inputs!$J$7-Inputs!$I$7)))^2+Inputs!$C$6^2)/Inputs!$C$52)))-((Inputs!$H$7+Inputs!$L$7*(((Inputs!$I$7+(((A201)+1)/2)*(Inputs!$J$7-Inputs!$I$7)))/Inputs!$K$7)^2)))*1000/Inputs!$C$12)</x:f>
        <x:v>82580.9912331691</x:v>
      </x:c>
      <x:c r="AH201" s="48" t="n">
        <x:f>(((SQRT((Inputs!$C$52+((Inputs!$H$8+Inputs!$L$8*(((Inputs!$I$8+(((A201)+1)/2)*(Inputs!$J$8-Inputs!$I$8)))/Inputs!$K$8)^2)))^2+Inputs!$C$52^2-2*(Inputs!$C$52+((Inputs!$H$8+Inputs!$L$8*(((Inputs!$I$8+(((A201)+1)/2)*(Inputs!$J$8-Inputs!$I$8)))/Inputs!$K$8)^2)))*Inputs!$C$52*COS(SQRT(((Inputs!$I$8+(((A201)+1)/2)*(Inputs!$J$8-Inputs!$I$8)))^2+Inputs!$C$6^2)/Inputs!$C$52)))-((Inputs!$H$8+Inputs!$L$8*(((Inputs!$I$8+(((A201)+1)/2)*(Inputs!$J$8-Inputs!$I$8)))/Inputs!$K$8)^2)))*1000/Inputs!$C$12)</x:f>
        <x:v>166000.3398158666</x:v>
      </x:c>
      <x:c r="AI201" s="48" t="n">
        <x:f>(((SQRT((Inputs!$C$52+((Inputs!$H$9+Inputs!$L$9*(((Inputs!$I$9+(((A201)+1)/2)*(Inputs!$J$9-Inputs!$I$9)))/Inputs!$K$9)^2)))^2+Inputs!$C$52^2-2*(Inputs!$C$52+((Inputs!$H$9+Inputs!$L$9*(((Inputs!$I$9+(((A201)+1)/2)*(Inputs!$J$9-Inputs!$I$9)))/Inputs!$K$9)^2)))*Inputs!$C$52*COS(SQRT(((Inputs!$I$9+(((A201)+1)/2)*(Inputs!$J$9-Inputs!$I$9)))^2+Inputs!$C$6^2)/Inputs!$C$52)))-((Inputs!$H$9+Inputs!$L$9*(((Inputs!$I$9+(((A201)+1)/2)*(Inputs!$J$9-Inputs!$I$9)))/Inputs!$K$9)^2)))*1000/Inputs!$C$12)</x:f>
        <x:v>166888.8768706778</x:v>
      </x:c>
      <x:c r="AJ201" s="49"/>
      <x:c r="AK201" s="48" t="n">
        <x:f>A201</x:f>
        <x:v>0.658</x:v>
      </x:c>
      <x:c r="AL201" s="48" t="n">
        <x: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x:f>
        <x:v>-335.4576305900754</x:v>
      </x:c>
      <x:c r="AM201" s="48" t="n">
        <x: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x:f>
        <x:v>-2601.9965436821303</x:v>
      </x:c>
      <x:c r="AN201" s="48" t="n">
        <x: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x:f>
        <x:v>-3260.724326877374</x:v>
      </x:c>
      <x:c r="AO201" s="48" t="n">
        <x: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x:f>
        <x:v>-3274.183649710417</x:v>
      </x:c>
      <x:c r="AP201" s="49"/>
      <x:c r="AQ201" s="48" t="n">
        <x:f>A201</x:f>
        <x:v>0.658</x:v>
      </x:c>
      <x:c r="AR201" s="48" t="n">
        <x:f>0</x:f>
        <x:v>0</x:v>
      </x:c>
      <x:c r="AS201" s="48" t="n">
        <x: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(0.45*SIN(2*PI()*((((Inputs!$I$6+(((A201)+1)/2)*(Inputs!$J$6-Inputs!$I$6)))/Inputs!$C$49)+Inputs!$C$47*0.137))+0.35*COS(2*PI()*(((Inputs!$C$6)/Inputs!$C$50)+Inputs!$C$47*0.173))+0.20*SIN(2*PI()*((((Inputs!$I$6+(((A201)+1)/2)*(Inputs!$J$6-Inputs!$I$6)))+(Inputs!$C$6))/(0.5*(Inputs!$C$49+Inputs!$C$50))+Inputs!$C$47*0.097)))+0.30*(2*((SIN((((Inputs!$I$6+(((A201)+1)/2)*(Inputs!$J$6-Inputs!$I$6)))*12.9898+(Inputs!$C$6)*78.233+Inputs!$C$47*37.719))*43758.5453)-INT((SIN((((Inputs!$I$6+(((A201)+1)/2)*(Inputs!$J$6-Inputs!$I$6)))*12.9898+(Inputs!$C$6)*78.233+Inputs!$C$47*37.719))*43758.5453)))-1))),NA())</x:f>
        <x:v>298.1246265269959</x:v>
      </x:c>
      <x:c r="AT201" s="48" t="n">
        <x: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(0.45*SIN(2*PI()*((((Inputs!$I$7+(((A201)+1)/2)*(Inputs!$J$7-Inputs!$I$7)))/Inputs!$C$49)+Inputs!$C$47*0.137))+0.35*COS(2*PI()*(((Inputs!$C$6)/Inputs!$C$50)+Inputs!$C$47*0.173))+0.20*SIN(2*PI()*((((Inputs!$I$7+(((A201)+1)/2)*(Inputs!$J$7-Inputs!$I$7)))+(Inputs!$C$6))/(0.5*(Inputs!$C$49+Inputs!$C$50))+Inputs!$C$47*0.097)))+0.30*(2*((SIN((((Inputs!$I$7+(((A201)+1)/2)*(Inputs!$J$7-Inputs!$I$7)))*12.9898+(Inputs!$C$6)*78.233+Inputs!$C$47*37.719))*43758.5453)-INT((SIN((((Inputs!$I$7+(((A201)+1)/2)*(Inputs!$J$7-Inputs!$I$7)))*12.9898+(Inputs!$C$6)*78.233+Inputs!$C$47*37.719))*43758.5453)))-1))),NA())</x:f>
        <x:v>95.89669072680768</x:v>
      </x:c>
      <x:c r="AU201" s="48" t="n">
        <x: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(0.45*SIN(2*PI()*((((Inputs!$I$8+(((A201)+1)/2)*(Inputs!$J$8-Inputs!$I$8)))/Inputs!$C$49)+Inputs!$C$47*0.137))+0.35*COS(2*PI()*(((Inputs!$C$6)/Inputs!$C$50)+Inputs!$C$47*0.173))+0.20*SIN(2*PI()*((((Inputs!$I$8+(((A201)+1)/2)*(Inputs!$J$8-Inputs!$I$8)))+(Inputs!$C$6))/(0.5*(Inputs!$C$49+Inputs!$C$50))+Inputs!$C$47*0.097)))+0.30*(2*((SIN((((Inputs!$I$8+(((A201)+1)/2)*(Inputs!$J$8-Inputs!$I$8)))*12.9898+(Inputs!$C$6)*78.233+Inputs!$C$47*37.719))*43758.5453)-INT((SIN((((Inputs!$I$8+(((A201)+1)/2)*(Inputs!$J$8-Inputs!$I$8)))*12.9898+(Inputs!$C$6)*78.233+Inputs!$C$47*37.719))*43758.5453)))-1))),NA())</x:f>
        <x:v>188.5487058552943</x:v>
      </x:c>
      <x:c r="AV201" s="48" t="n">
        <x: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(0.45*SIN(2*PI()*((((Inputs!$I$9+(((A201)+1)/2)*(Inputs!$J$9-Inputs!$I$9)))/Inputs!$C$49)+Inputs!$C$47*0.137))+0.35*COS(2*PI()*(((Inputs!$C$6)/Inputs!$C$50)+Inputs!$C$47*0.173))+0.20*SIN(2*PI()*((((Inputs!$I$9+(((A201)+1)/2)*(Inputs!$J$9-Inputs!$I$9)))+(Inputs!$C$6))/(0.5*(Inputs!$C$49+Inputs!$C$50))+Inputs!$C$47*0.097)))+0.30*(2*((SIN((((Inputs!$I$9+(((A201)+1)/2)*(Inputs!$J$9-Inputs!$I$9)))*12.9898+(Inputs!$C$6)*78.233+Inputs!$C$47*37.719))*43758.5453)-INT((SIN((((Inputs!$I$9+(((A201)+1)/2)*(Inputs!$J$9-Inputs!$I$9)))*12.9898+(Inputs!$C$6)*78.233+Inputs!$C$47*37.719))*43758.5453)))-1))),NA())</x:f>
        <x:v>188.5487058552943</x:v>
      </x:c>
      <x:c r="AW201" s="49"/>
      <x:c r="AX201" s="48" t="n">
        <x:f>A201</x:f>
        <x:v>0.658</x:v>
      </x:c>
      <x:c r="AY201" s="48" t="n">
        <x:f>0</x:f>
        <x:v>0</x:v>
      </x:c>
      <x:c r="AZ201" s="48" t="n">
        <x:f>IF(OR(Inputs!$F$6=TRUE,Inputs!$F$6="TRUE",Inputs!$F$6=1),(Inputs!$H$6+Inputs!$L$6*(((Inputs!$I$6+(((A201)+1)/2)*(Inputs!$J$6-Inputs!$I$6)))/Inputs!$K$6)^2),NA())</x:f>
        <x:v>401.731856</x:v>
      </x:c>
      <x:c r="BA201" s="48" t="n">
        <x:f>IF(OR(Inputs!$F$7=TRUE,Inputs!$F$7="TRUE",Inputs!$F$7=1),(Inputs!$H$7+Inputs!$L$7*(((Inputs!$I$7+(((A201)+1)/2)*(Inputs!$J$7-Inputs!$I$7)))/Inputs!$K$7)^2),NA())</x:f>
        <x:v>193.0318599999999</x:v>
      </x:c>
      <x:c r="BB201" s="48" t="n">
        <x:f>IF(OR(Inputs!$F$8=TRUE,Inputs!$F$8="TRUE",Inputs!$F$8=1),(Inputs!$H$8+Inputs!$L$8*(((Inputs!$I$8+(((A201)+1)/2)*(Inputs!$J$8-Inputs!$I$8)))/Inputs!$K$8)^2),NA())</x:f>
        <x:v>452.81025999999974</x:v>
      </x:c>
      <x:c r="BC201" s="48" t="n">
        <x:f>IF(OR(Inputs!$F$9=TRUE,Inputs!$F$9="TRUE",Inputs!$F$9=1),(Inputs!$H$9+Inputs!$L$9*(((Inputs!$I$9+(((A201)+1)/2)*(Inputs!$J$9-Inputs!$I$9)))/Inputs!$K$9)^2),NA())</x:f>
        <x:v>447.1398999999997</x:v>
      </x:c>
      <x:c r="BD201" s="49"/>
      <x:c r="BE201" s="48" t="n">
        <x:f>A201</x:f>
        <x:v>0.658</x:v>
      </x:c>
      <x:c r="BF201" s="48" t="n">
        <x:f>0</x:f>
        <x:v>0</x:v>
      </x:c>
      <x:c r="BG201" s="48"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BH201" s="48"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BI201" s="48"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BJ201" s="48"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row>
    <x:row r="202">
      <x:c r="A202" s="48" t="n">
        <x:f>ROUND(-1+200*2/240,3)</x:f>
        <x:v>0.667</x:v>
      </x:c>
      <x:c r="B202" s="48" t="n">
        <x:f>IF(OR(Inputs!$F$6=TRUE,Inputs!$F$6="TRUE",Inputs!$F$6=1),(Inputs!$H$6+Inputs!$L$6*(((Inputs!$I$6+(((A202)+1)/2)*(Inputs!$J$6-Inputs!$I$6)))/Inputs!$K$6)^2),NA())</x:f>
        <x:v>401.779556</x:v>
      </x:c>
      <x:c r="C202" s="48" t="n">
        <x:f>IF(OR(Inputs!$F$7=TRUE,Inputs!$F$7="TRUE",Inputs!$F$7=1),(Inputs!$H$7+Inputs!$L$7*(((Inputs!$I$7+(((A202)+1)/2)*(Inputs!$J$7-Inputs!$I$7)))/Inputs!$K$7)^2),NA())</x:f>
        <x:v>197.38448500000007</x:v>
      </x:c>
      <x:c r="D202" s="48" t="n">
        <x:f>IF(OR(Inputs!$F$8=TRUE,Inputs!$F$8="TRUE",Inputs!$F$8=1),(Inputs!$H$8+Inputs!$L$8*(((Inputs!$I$8+(((A202)+1)/2)*(Inputs!$J$8-Inputs!$I$8)))/Inputs!$K$8)^2),NA())</x:f>
        <x:v>464.3178850000002</x:v>
      </x:c>
      <x:c r="E202" s="48" t="n">
        <x:f>IF(OR(Inputs!$F$9=TRUE,Inputs!$F$9="TRUE",Inputs!$F$9=1),(Inputs!$H$9+Inputs!$L$9*(((Inputs!$I$9+(((A202)+1)/2)*(Inputs!$J$9-Inputs!$I$9)))/Inputs!$K$9)^2),NA())</x:f>
        <x:v>458.7667750000002</x:v>
      </x:c>
      <x:c r="F202" s="49"/>
      <x:c r="G202" s="48" t="n">
        <x:f>A202</x:f>
        <x:v>0.667</x:v>
      </x:c>
      <x:c r="H202" s="48"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I202" s="48"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J202" s="48"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K202" s="48"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c r="L202" s="49"/>
      <x:c r="M202" s="48" t="n">
        <x:f>A202</x:f>
        <x:v>0.667</x:v>
      </x:c>
      <x:c r="N202" s="48" t="n">
        <x: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x:f>
        <x:v>-339.9761376292896</x:v>
      </x:c>
      <x:c r="O202" s="48" t="n">
        <x: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x:f>
        <x:v>-2623.9334437903226</x:v>
      </x:c>
      <x:c r="P202" s="48" t="n">
        <x: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x:f>
        <x:v>-3295.686471353228</x:v>
      </x:c>
      <x:c r="Q202" s="48" t="n">
        <x: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x:f>
        <x:v>-3309.7268991103374</x:v>
      </x:c>
      <x:c r="R202" s="49"/>
      <x:c r="S202" s="48" t="n">
        <x:f>A202</x:f>
        <x:v>0.667</x:v>
      </x:c>
      <x:c r="T202" s="48" t="n">
        <x:f>(Inputs!$I$6+(((A202)+1)/2)*(Inputs!$J$6-Inputs!$I$6))</x:f>
        <x:v>40.019999999999996</x:v>
      </x:c>
      <x:c r="U202" s="48" t="n">
        <x:f>(Inputs!$I$7+(((A202)+1)/2)*(Inputs!$J$7-Inputs!$I$7))</x:f>
        <x:v>266.80000000000007</x:v>
      </x:c>
      <x:c r="V202" s="48" t="n">
        <x:f>(Inputs!$I$8+(((A202)+1)/2)*(Inputs!$J$8-Inputs!$I$8))</x:f>
        <x:v>533.6000000000001</x:v>
      </x:c>
      <x:c r="W202" s="48" t="n">
        <x:f>(Inputs!$I$9+(((A202)+1)/2)*(Inputs!$J$9-Inputs!$I$9))</x:f>
        <x:v>533.6000000000001</x:v>
      </x:c>
      <x:c r="X202" s="49"/>
      <x:c r="Y202" s="48" t="n">
        <x:f>A202</x:f>
        <x:v>0.667</x:v>
      </x:c>
      <x:c r="Z202" s="48" t="n">
        <x:f>(Inputs!$H$6+Inputs!$L$6*(((Inputs!$I$6+(((A202)+1)/2)*(Inputs!$J$6-Inputs!$I$6)))/Inputs!$K$6)^2)</x:f>
        <x:v>401.779556</x:v>
      </x:c>
      <x:c r="AA202" s="48" t="n">
        <x:f>(Inputs!$H$7+Inputs!$L$7*(((Inputs!$I$7+(((A202)+1)/2)*(Inputs!$J$7-Inputs!$I$7)))/Inputs!$K$7)^2)</x:f>
        <x:v>197.38448500000007</x:v>
      </x:c>
      <x:c r="AB202" s="48" t="n">
        <x:f>(Inputs!$H$8+Inputs!$L$8*(((Inputs!$I$8+(((A202)+1)/2)*(Inputs!$J$8-Inputs!$I$8)))/Inputs!$K$8)^2)</x:f>
        <x:v>464.3178850000002</x:v>
      </x:c>
      <x:c r="AC202" s="48" t="n">
        <x:f>(Inputs!$H$9+Inputs!$L$9*(((Inputs!$I$9+(((A202)+1)/2)*(Inputs!$J$9-Inputs!$I$9)))/Inputs!$K$9)^2)</x:f>
        <x:v>458.7667750000002</x:v>
      </x:c>
      <x:c r="AD202" s="49"/>
      <x:c r="AE202" s="48" t="n">
        <x:f>A202</x:f>
        <x:v>0.667</x:v>
      </x:c>
      <x:c r="AF202" s="48" t="n">
        <x:f>(((SQRT((Inputs!$C$52+((Inputs!$H$6+Inputs!$L$6*(((Inputs!$I$6+(((A202)+1)/2)*(Inputs!$J$6-Inputs!$I$6)))/Inputs!$K$6)^2)))^2+Inputs!$C$52^2-2*(Inputs!$C$52+((Inputs!$H$6+Inputs!$L$6*(((Inputs!$I$6+(((A202)+1)/2)*(Inputs!$J$6-Inputs!$I$6)))/Inputs!$K$6)^2)))*Inputs!$C$52*COS(SQRT(((Inputs!$I$6+(((A202)+1)/2)*(Inputs!$J$6-Inputs!$I$6)))^2+Inputs!$C$6^2)/Inputs!$C$52)))-((Inputs!$H$6+Inputs!$L$6*(((Inputs!$I$6+(((A202)+1)/2)*(Inputs!$J$6-Inputs!$I$6)))/Inputs!$K$6)^2)))*1000/Inputs!$C$12)</x:f>
        <x:v>1948.8596697604426</x:v>
      </x:c>
      <x:c r="AG202" s="48" t="n">
        <x:f>(((SQRT((Inputs!$C$52+((Inputs!$H$7+Inputs!$L$7*(((Inputs!$I$7+(((A202)+1)/2)*(Inputs!$J$7-Inputs!$I$7)))/Inputs!$K$7)^2)))^2+Inputs!$C$52^2-2*(Inputs!$C$52+((Inputs!$H$7+Inputs!$L$7*(((Inputs!$I$7+(((A202)+1)/2)*(Inputs!$J$7-Inputs!$I$7)))/Inputs!$K$7)^2)))*Inputs!$C$52*COS(SQRT(((Inputs!$I$7+(((A202)+1)/2)*(Inputs!$J$7-Inputs!$I$7)))^2+Inputs!$C$6^2)/Inputs!$C$52)))-((Inputs!$H$7+Inputs!$L$7*(((Inputs!$I$7+(((A202)+1)/2)*(Inputs!$J$7-Inputs!$I$7)))/Inputs!$K$7)^2)))*1000/Inputs!$C$12)</x:f>
        <x:v>83438.58637478719</x:v>
      </x:c>
      <x:c r="AH202" s="48" t="n">
        <x:f>(((SQRT((Inputs!$C$52+((Inputs!$H$8+Inputs!$L$8*(((Inputs!$I$8+(((A202)+1)/2)*(Inputs!$J$8-Inputs!$I$8)))/Inputs!$K$8)^2)))^2+Inputs!$C$52^2-2*(Inputs!$C$52+((Inputs!$H$8+Inputs!$L$8*(((Inputs!$I$8+(((A202)+1)/2)*(Inputs!$J$8-Inputs!$I$8)))/Inputs!$K$8)^2)))*Inputs!$C$52*COS(SQRT(((Inputs!$I$8+(((A202)+1)/2)*(Inputs!$J$8-Inputs!$I$8)))^2+Inputs!$C$6^2)/Inputs!$C$52)))-((Inputs!$H$8+Inputs!$L$8*(((Inputs!$I$8+(((A202)+1)/2)*(Inputs!$J$8-Inputs!$I$8)))/Inputs!$K$8)^2)))*1000/Inputs!$C$12)</x:f>
        <x:v>167822.94660199175</x:v>
      </x:c>
      <x:c r="AI202" s="48" t="n">
        <x:f>(((SQRT((Inputs!$C$52+((Inputs!$H$9+Inputs!$L$9*(((Inputs!$I$9+(((A202)+1)/2)*(Inputs!$J$9-Inputs!$I$9)))/Inputs!$K$9)^2)))^2+Inputs!$C$52^2-2*(Inputs!$C$52+((Inputs!$H$9+Inputs!$L$9*(((Inputs!$I$9+(((A202)+1)/2)*(Inputs!$J$9-Inputs!$I$9)))/Inputs!$K$9)^2)))*Inputs!$C$52*COS(SQRT(((Inputs!$I$9+(((A202)+1)/2)*(Inputs!$J$9-Inputs!$I$9)))^2+Inputs!$C$6^2)/Inputs!$C$52)))-((Inputs!$H$9+Inputs!$L$9*(((Inputs!$I$9+(((A202)+1)/2)*(Inputs!$J$9-Inputs!$I$9)))/Inputs!$K$9)^2)))*1000/Inputs!$C$12)</x:f>
        <x:v>168679.25062872327</x:v>
      </x:c>
      <x:c r="AJ202" s="49"/>
      <x:c r="AK202" s="48" t="n">
        <x:f>A202</x:f>
        <x:v>0.667</x:v>
      </x:c>
      <x:c r="AL202" s="48" t="n">
        <x: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x:f>
        <x:v>-339.9761376292896</x:v>
      </x:c>
      <x:c r="AM202" s="48" t="n">
        <x: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x:f>
        <x:v>-2623.9334437903226</x:v>
      </x:c>
      <x:c r="AN202" s="48" t="n">
        <x: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x:f>
        <x:v>-3295.686471353228</x:v>
      </x:c>
      <x:c r="AO202" s="48" t="n">
        <x: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x:f>
        <x:v>-3309.7268991103374</x:v>
      </x:c>
      <x:c r="AP202" s="49"/>
      <x:c r="AQ202" s="48" t="n">
        <x:f>A202</x:f>
        <x:v>0.667</x:v>
      </x:c>
      <x:c r="AR202" s="48" t="n">
        <x:f>0</x:f>
        <x:v>0</x:v>
      </x:c>
      <x:c r="AS202" s="48" t="n">
        <x: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(0.45*SIN(2*PI()*((((Inputs!$I$6+(((A202)+1)/2)*(Inputs!$J$6-Inputs!$I$6)))/Inputs!$C$49)+Inputs!$C$47*0.137))+0.35*COS(2*PI()*(((Inputs!$C$6)/Inputs!$C$50)+Inputs!$C$47*0.173))+0.20*SIN(2*PI()*((((Inputs!$I$6+(((A202)+1)/2)*(Inputs!$J$6-Inputs!$I$6)))+(Inputs!$C$6))/(0.5*(Inputs!$C$49+Inputs!$C$50))+Inputs!$C$47*0.097)))+0.30*(2*((SIN((((Inputs!$I$6+(((A202)+1)/2)*(Inputs!$J$6-Inputs!$I$6)))*12.9898+(Inputs!$C$6)*78.233+Inputs!$C$47*37.719))*43758.5453)-INT((SIN((((Inputs!$I$6+(((A202)+1)/2)*(Inputs!$J$6-Inputs!$I$6)))*12.9898+(Inputs!$C$6)*78.233+Inputs!$C$47*37.719))*43758.5453)))-1))),NA())</x:f>
        <x:v>289.9754467837871</x:v>
      </x:c>
      <x:c r="AT202" s="48" t="n">
        <x: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(0.45*SIN(2*PI()*((((Inputs!$I$7+(((A202)+1)/2)*(Inputs!$J$7-Inputs!$I$7)))/Inputs!$C$49)+Inputs!$C$47*0.137))+0.35*COS(2*PI()*(((Inputs!$C$6)/Inputs!$C$50)+Inputs!$C$47*0.173))+0.20*SIN(2*PI()*((((Inputs!$I$7+(((A202)+1)/2)*(Inputs!$J$7-Inputs!$I$7)))+(Inputs!$C$6))/(0.5*(Inputs!$C$49+Inputs!$C$50))+Inputs!$C$47*0.097)))+0.30*(2*((SIN((((Inputs!$I$7+(((A202)+1)/2)*(Inputs!$J$7-Inputs!$I$7)))*12.9898+(Inputs!$C$6)*78.233+Inputs!$C$47*37.719))*43758.5453)-INT((SIN((((Inputs!$I$7+(((A202)+1)/2)*(Inputs!$J$7-Inputs!$I$7)))*12.9898+(Inputs!$C$6)*78.233+Inputs!$C$47*37.719))*43758.5453)))-1))),NA())</x:f>
        <x:v>109.33064948267874</x:v>
      </x:c>
      <x:c r="AU202" s="48" t="n">
        <x: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(0.45*SIN(2*PI()*((((Inputs!$I$8+(((A202)+1)/2)*(Inputs!$J$8-Inputs!$I$8)))/Inputs!$C$49)+Inputs!$C$47*0.137))+0.35*COS(2*PI()*(((Inputs!$C$6)/Inputs!$C$50)+Inputs!$C$47*0.173))+0.20*SIN(2*PI()*((((Inputs!$I$8+(((A202)+1)/2)*(Inputs!$J$8-Inputs!$I$8)))+(Inputs!$C$6))/(0.5*(Inputs!$C$49+Inputs!$C$50))+Inputs!$C$47*0.097)))+0.30*(2*((SIN((((Inputs!$I$8+(((A202)+1)/2)*(Inputs!$J$8-Inputs!$I$8)))*12.9898+(Inputs!$C$6)*78.233+Inputs!$C$47*37.719))*43758.5453)-INT((SIN((((Inputs!$I$8+(((A202)+1)/2)*(Inputs!$J$8-Inputs!$I$8)))*12.9898+(Inputs!$C$6)*78.233+Inputs!$C$47*37.719))*43758.5453)))-1))),NA())</x:f>
        <x:v>107.54564181018011</x:v>
      </x:c>
      <x:c r="AV202" s="48" t="n">
        <x: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(0.45*SIN(2*PI()*((((Inputs!$I$9+(((A202)+1)/2)*(Inputs!$J$9-Inputs!$I$9)))/Inputs!$C$49)+Inputs!$C$47*0.137))+0.35*COS(2*PI()*(((Inputs!$C$6)/Inputs!$C$50)+Inputs!$C$47*0.173))+0.20*SIN(2*PI()*((((Inputs!$I$9+(((A202)+1)/2)*(Inputs!$J$9-Inputs!$I$9)))+(Inputs!$C$6))/(0.5*(Inputs!$C$49+Inputs!$C$50))+Inputs!$C$47*0.097)))+0.30*(2*((SIN((((Inputs!$I$9+(((A202)+1)/2)*(Inputs!$J$9-Inputs!$I$9)))*12.9898+(Inputs!$C$6)*78.233+Inputs!$C$47*37.719))*43758.5453)-INT((SIN((((Inputs!$I$9+(((A202)+1)/2)*(Inputs!$J$9-Inputs!$I$9)))*12.9898+(Inputs!$C$6)*78.233+Inputs!$C$47*37.719))*43758.5453)))-1))),NA())</x:f>
        <x:v>107.54564181018011</x:v>
      </x:c>
      <x:c r="AW202" s="49"/>
      <x:c r="AX202" s="48" t="n">
        <x:f>A202</x:f>
        <x:v>0.667</x:v>
      </x:c>
      <x:c r="AY202" s="48" t="n">
        <x:f>0</x:f>
        <x:v>0</x:v>
      </x:c>
      <x:c r="AZ202" s="48" t="n">
        <x:f>IF(OR(Inputs!$F$6=TRUE,Inputs!$F$6="TRUE",Inputs!$F$6=1),(Inputs!$H$6+Inputs!$L$6*(((Inputs!$I$6+(((A202)+1)/2)*(Inputs!$J$6-Inputs!$I$6)))/Inputs!$K$6)^2),NA())</x:f>
        <x:v>401.779556</x:v>
      </x:c>
      <x:c r="BA202" s="48" t="n">
        <x:f>IF(OR(Inputs!$F$7=TRUE,Inputs!$F$7="TRUE",Inputs!$F$7=1),(Inputs!$H$7+Inputs!$L$7*(((Inputs!$I$7+(((A202)+1)/2)*(Inputs!$J$7-Inputs!$I$7)))/Inputs!$K$7)^2),NA())</x:f>
        <x:v>197.38448500000007</x:v>
      </x:c>
      <x:c r="BB202" s="48" t="n">
        <x:f>IF(OR(Inputs!$F$8=TRUE,Inputs!$F$8="TRUE",Inputs!$F$8=1),(Inputs!$H$8+Inputs!$L$8*(((Inputs!$I$8+(((A202)+1)/2)*(Inputs!$J$8-Inputs!$I$8)))/Inputs!$K$8)^2),NA())</x:f>
        <x:v>464.3178850000002</x:v>
      </x:c>
      <x:c r="BC202" s="48" t="n">
        <x:f>IF(OR(Inputs!$F$9=TRUE,Inputs!$F$9="TRUE",Inputs!$F$9=1),(Inputs!$H$9+Inputs!$L$9*(((Inputs!$I$9+(((A202)+1)/2)*(Inputs!$J$9-Inputs!$I$9)))/Inputs!$K$9)^2),NA())</x:f>
        <x:v>458.7667750000002</x:v>
      </x:c>
      <x:c r="BD202" s="49"/>
      <x:c r="BE202" s="48" t="n">
        <x:f>A202</x:f>
        <x:v>0.667</x:v>
      </x:c>
      <x:c r="BF202" s="48" t="n">
        <x:f>0</x:f>
        <x:v>0</x:v>
      </x:c>
      <x:c r="BG202" s="48"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BH202" s="48"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BI202" s="48"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BJ202" s="48"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row>
    <x:row r="203">
      <x:c r="A203" s="48" t="n">
        <x:f>ROUND(-1+201*2/240,3)</x:f>
        <x:v>0.675</x:v>
      </x:c>
      <x:c r="B203" s="48" t="n">
        <x:f>IF(OR(Inputs!$F$6=TRUE,Inputs!$F$6="TRUE",Inputs!$F$6=1),(Inputs!$H$6+Inputs!$L$6*(((Inputs!$I$6+(((A203)+1)/2)*(Inputs!$J$6-Inputs!$I$6)))/Inputs!$K$6)^2),NA())</x:f>
        <x:v>401.8225</x:v>
      </x:c>
      <x:c r="C203" s="48" t="n">
        <x:f>IF(OR(Inputs!$F$7=TRUE,Inputs!$F$7="TRUE",Inputs!$F$7=1),(Inputs!$H$7+Inputs!$L$7*(((Inputs!$I$7+(((A203)+1)/2)*(Inputs!$J$7-Inputs!$I$7)))/Inputs!$K$7)^2),NA())</x:f>
        <x:v>201.30312500000002</x:v>
      </x:c>
      <x:c r="D203" s="48" t="n">
        <x:f>IF(OR(Inputs!$F$8=TRUE,Inputs!$F$8="TRUE",Inputs!$F$8=1),(Inputs!$H$8+Inputs!$L$8*(((Inputs!$I$8+(((A203)+1)/2)*(Inputs!$J$8-Inputs!$I$8)))/Inputs!$K$8)^2),NA())</x:f>
        <x:v>474.6781250000001</x:v>
      </x:c>
      <x:c r="E203" s="48" t="n">
        <x:f>IF(OR(Inputs!$F$9=TRUE,Inputs!$F$9="TRUE",Inputs!$F$9=1),(Inputs!$H$9+Inputs!$L$9*(((Inputs!$I$9+(((A203)+1)/2)*(Inputs!$J$9-Inputs!$I$9)))/Inputs!$K$9)^2),NA())</x:f>
        <x:v>469.23437500000006</x:v>
      </x:c>
      <x:c r="F203" s="49"/>
      <x:c r="G203" s="48" t="n">
        <x:f>A203</x:f>
        <x:v>0.675</x:v>
      </x:c>
      <x:c r="H203" s="48"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I203" s="48"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J203" s="48"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K203" s="48"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c r="L203" s="49"/>
      <x:c r="M203" s="48" t="n">
        <x:f>A203</x:f>
        <x:v>0.675</x:v>
      </x:c>
      <x:c r="N203" s="48" t="n">
        <x: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x:f>
        <x:v>-343.9902516791356</x:v>
      </x:c>
      <x:c r="O203" s="48" t="n">
        <x: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x:f>
        <x:v>-2643.5524520105528</x:v>
      </x:c>
      <x:c r="P203" s="48" t="n">
        <x: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x:f>
        <x:v>-3326.8945526195994</x:v>
      </x:c>
      <x:c r="Q203" s="48" t="n">
        <x: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x:f>
        <x:v>-3341.4497476034194</x:v>
      </x:c>
      <x:c r="R203" s="49"/>
      <x:c r="S203" s="48" t="n">
        <x:f>A203</x:f>
        <x:v>0.675</x:v>
      </x:c>
      <x:c r="T203" s="48" t="n">
        <x:f>(Inputs!$I$6+(((A203)+1)/2)*(Inputs!$J$6-Inputs!$I$6))</x:f>
        <x:v>40.5</x:v>
      </x:c>
      <x:c r="U203" s="48" t="n">
        <x:f>(Inputs!$I$7+(((A203)+1)/2)*(Inputs!$J$7-Inputs!$I$7))</x:f>
        <x:v>270</x:v>
      </x:c>
      <x:c r="V203" s="48" t="n">
        <x:f>(Inputs!$I$8+(((A203)+1)/2)*(Inputs!$J$8-Inputs!$I$8))</x:f>
        <x:v>540</x:v>
      </x:c>
      <x:c r="W203" s="48" t="n">
        <x:f>(Inputs!$I$9+(((A203)+1)/2)*(Inputs!$J$9-Inputs!$I$9))</x:f>
        <x:v>540</x:v>
      </x:c>
      <x:c r="X203" s="49"/>
      <x:c r="Y203" s="48" t="n">
        <x:f>A203</x:f>
        <x:v>0.675</x:v>
      </x:c>
      <x:c r="Z203" s="48" t="n">
        <x:f>(Inputs!$H$6+Inputs!$L$6*(((Inputs!$I$6+(((A203)+1)/2)*(Inputs!$J$6-Inputs!$I$6)))/Inputs!$K$6)^2)</x:f>
        <x:v>401.8225</x:v>
      </x:c>
      <x:c r="AA203" s="48" t="n">
        <x:f>(Inputs!$H$7+Inputs!$L$7*(((Inputs!$I$7+(((A203)+1)/2)*(Inputs!$J$7-Inputs!$I$7)))/Inputs!$K$7)^2)</x:f>
        <x:v>201.30312500000002</x:v>
      </x:c>
      <x:c r="AB203" s="48" t="n">
        <x:f>(Inputs!$H$8+Inputs!$L$8*(((Inputs!$I$8+(((A203)+1)/2)*(Inputs!$J$8-Inputs!$I$8)))/Inputs!$K$8)^2)</x:f>
        <x:v>474.6781250000001</x:v>
      </x:c>
      <x:c r="AC203" s="48" t="n">
        <x:f>(Inputs!$H$9+Inputs!$L$9*(((Inputs!$I$9+(((A203)+1)/2)*(Inputs!$J$9-Inputs!$I$9)))/Inputs!$K$9)^2)</x:f>
        <x:v>469.23437500000006</x:v>
      </x:c>
      <x:c r="AD203" s="49"/>
      <x:c r="AE203" s="48" t="n">
        <x:f>A203</x:f>
        <x:v>0.675</x:v>
      </x:c>
      <x:c r="AF203" s="48" t="n">
        <x:f>(((SQRT((Inputs!$C$52+((Inputs!$H$6+Inputs!$L$6*(((Inputs!$I$6+(((A203)+1)/2)*(Inputs!$J$6-Inputs!$I$6)))/Inputs!$K$6)^2)))^2+Inputs!$C$52^2-2*(Inputs!$C$52+((Inputs!$H$6+Inputs!$L$6*(((Inputs!$I$6+(((A203)+1)/2)*(Inputs!$J$6-Inputs!$I$6)))/Inputs!$K$6)^2)))*Inputs!$C$52*COS(SQRT(((Inputs!$I$6+(((A203)+1)/2)*(Inputs!$J$6-Inputs!$I$6)))^2+Inputs!$C$6^2)/Inputs!$C$52)))-((Inputs!$H$6+Inputs!$L$6*(((Inputs!$I$6+(((A203)+1)/2)*(Inputs!$J$6-Inputs!$I$6)))/Inputs!$K$6)^2)))*1000/Inputs!$C$12)</x:f>
        <x:v>1982.3714752072171</x:v>
      </x:c>
      <x:c r="AG203" s="48" t="n">
        <x:f>(((SQRT((Inputs!$C$52+((Inputs!$H$7+Inputs!$L$7*(((Inputs!$I$7+(((A203)+1)/2)*(Inputs!$J$7-Inputs!$I$7)))/Inputs!$K$7)^2)))^2+Inputs!$C$52^2-2*(Inputs!$C$52+((Inputs!$H$7+Inputs!$L$7*(((Inputs!$I$7+(((A203)+1)/2)*(Inputs!$J$7-Inputs!$I$7)))/Inputs!$K$7)^2)))*Inputs!$C$52*COS(SQRT(((Inputs!$I$7+(((A203)+1)/2)*(Inputs!$J$7-Inputs!$I$7)))^2+Inputs!$C$6^2)/Inputs!$C$52)))-((Inputs!$H$7+Inputs!$L$7*(((Inputs!$I$7+(((A203)+1)/2)*(Inputs!$J$7-Inputs!$I$7)))/Inputs!$K$7)^2)))*1000/Inputs!$C$12)</x:f>
        <x:v>84196.35450937593</x:v>
      </x:c>
      <x:c r="AH203" s="48" t="n">
        <x:f>(((SQRT((Inputs!$C$52+((Inputs!$H$8+Inputs!$L$8*(((Inputs!$I$8+(((A203)+1)/2)*(Inputs!$J$8-Inputs!$I$8)))/Inputs!$K$8)^2)))^2+Inputs!$C$52^2-2*(Inputs!$C$52+((Inputs!$H$8+Inputs!$L$8*(((Inputs!$I$8+(((A203)+1)/2)*(Inputs!$J$8-Inputs!$I$8)))/Inputs!$K$8)^2)))*Inputs!$C$52*COS(SQRT(((Inputs!$I$8+(((A203)+1)/2)*(Inputs!$J$8-Inputs!$I$8)))^2+Inputs!$C$6^2)/Inputs!$C$52)))-((Inputs!$H$8+Inputs!$L$8*(((Inputs!$I$8+(((A203)+1)/2)*(Inputs!$J$8-Inputs!$I$8)))/Inputs!$K$8)^2)))*1000/Inputs!$C$12)</x:f>
        <x:v>169443.66665855987</x:v>
      </x:c>
      <x:c r="AI203" s="48" t="n">
        <x:f>(((SQRT((Inputs!$C$52+((Inputs!$H$9+Inputs!$L$9*(((Inputs!$I$9+(((A203)+1)/2)*(Inputs!$J$9-Inputs!$I$9)))/Inputs!$K$9)^2)))^2+Inputs!$C$52^2-2*(Inputs!$C$52+((Inputs!$H$9+Inputs!$L$9*(((Inputs!$I$9+(((A203)+1)/2)*(Inputs!$J$9-Inputs!$I$9)))/Inputs!$K$9)^2)))*Inputs!$C$52*COS(SQRT(((Inputs!$I$9+(((A203)+1)/2)*(Inputs!$J$9-Inputs!$I$9)))^2+Inputs!$C$6^2)/Inputs!$C$52)))-((Inputs!$H$9+Inputs!$L$9*(((Inputs!$I$9+(((A203)+1)/2)*(Inputs!$J$9-Inputs!$I$9)))/Inputs!$K$9)^2)))*1000/Inputs!$C$12)</x:f>
        <x:v>170271.78631163717</x:v>
      </x:c>
      <x:c r="AJ203" s="49"/>
      <x:c r="AK203" s="48" t="n">
        <x:f>A203</x:f>
        <x:v>0.675</x:v>
      </x:c>
      <x:c r="AL203" s="48" t="n">
        <x: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x:f>
        <x:v>-343.9902516791356</x:v>
      </x:c>
      <x:c r="AM203" s="48" t="n">
        <x: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x:f>
        <x:v>-2643.5524520105528</x:v>
      </x:c>
      <x:c r="AN203" s="48" t="n">
        <x: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x:f>
        <x:v>-3326.8945526195994</x:v>
      </x:c>
      <x:c r="AO203" s="48" t="n">
        <x: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x:f>
        <x:v>-3341.4497476034194</x:v>
      </x:c>
      <x:c r="AP203" s="49"/>
      <x:c r="AQ203" s="48" t="n">
        <x:f>A203</x:f>
        <x:v>0.675</x:v>
      </x:c>
      <x:c r="AR203" s="48" t="n">
        <x:f>0</x:f>
        <x:v>0</x:v>
      </x:c>
      <x:c r="AS203" s="48" t="n">
        <x: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(0.45*SIN(2*PI()*((((Inputs!$I$6+(((A203)+1)/2)*(Inputs!$J$6-Inputs!$I$6)))/Inputs!$C$49)+Inputs!$C$47*0.137))+0.35*COS(2*PI()*(((Inputs!$C$6)/Inputs!$C$50)+Inputs!$C$47*0.173))+0.20*SIN(2*PI()*((((Inputs!$I$6+(((A203)+1)/2)*(Inputs!$J$6-Inputs!$I$6)))+(Inputs!$C$6))/(0.5*(Inputs!$C$49+Inputs!$C$50))+Inputs!$C$47*0.097)))+0.30*(2*((SIN((((Inputs!$I$6+(((A203)+1)/2)*(Inputs!$J$6-Inputs!$I$6)))*12.9898+(Inputs!$C$6)*78.233+Inputs!$C$47*37.719))*43758.5453)-INT((SIN((((Inputs!$I$6+(((A203)+1)/2)*(Inputs!$J$6-Inputs!$I$6)))*12.9898+(Inputs!$C$6)*78.233+Inputs!$C$47*37.719))*43758.5453)))-1))),NA())</x:f>
        <x:v>300.6975060152245</x:v>
      </x:c>
      <x:c r="AT203" s="48" t="n">
        <x: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(0.45*SIN(2*PI()*((((Inputs!$I$7+(((A203)+1)/2)*(Inputs!$J$7-Inputs!$I$7)))/Inputs!$C$49)+Inputs!$C$47*0.137))+0.35*COS(2*PI()*(((Inputs!$C$6)/Inputs!$C$50)+Inputs!$C$47*0.173))+0.20*SIN(2*PI()*((((Inputs!$I$7+(((A203)+1)/2)*(Inputs!$J$7-Inputs!$I$7)))+(Inputs!$C$6))/(0.5*(Inputs!$C$49+Inputs!$C$50))+Inputs!$C$47*0.097)))+0.30*(2*((SIN((((Inputs!$I$7+(((A203)+1)/2)*(Inputs!$J$7-Inputs!$I$7)))*12.9898+(Inputs!$C$6)*78.233+Inputs!$C$47*37.719))*43758.5453)-INT((SIN((((Inputs!$I$7+(((A203)+1)/2)*(Inputs!$J$7-Inputs!$I$7)))*12.9898+(Inputs!$C$6)*78.233+Inputs!$C$47*37.719))*43758.5453)))-1))),NA())</x:f>
        <x:v>112.61223727911373</x:v>
      </x:c>
      <x:c r="AU203" s="48" t="n">
        <x: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(0.45*SIN(2*PI()*((((Inputs!$I$8+(((A203)+1)/2)*(Inputs!$J$8-Inputs!$I$8)))/Inputs!$C$49)+Inputs!$C$47*0.137))+0.35*COS(2*PI()*(((Inputs!$C$6)/Inputs!$C$50)+Inputs!$C$47*0.173))+0.20*SIN(2*PI()*((((Inputs!$I$8+(((A203)+1)/2)*(Inputs!$J$8-Inputs!$I$8)))+(Inputs!$C$6))/(0.5*(Inputs!$C$49+Inputs!$C$50))+Inputs!$C$47*0.097)))+0.30*(2*((SIN((((Inputs!$I$8+(((A203)+1)/2)*(Inputs!$J$8-Inputs!$I$8)))*12.9898+(Inputs!$C$6)*78.233+Inputs!$C$47*37.719))*43758.5453)-INT((SIN((((Inputs!$I$8+(((A203)+1)/2)*(Inputs!$J$8-Inputs!$I$8)))*12.9898+(Inputs!$C$6)*78.233+Inputs!$C$47*37.719))*43758.5453)))-1))),NA())</x:f>
        <x:v>107.49826996155427</x:v>
      </x:c>
      <x:c r="AV203" s="48" t="n">
        <x: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(0.45*SIN(2*PI()*((((Inputs!$I$9+(((A203)+1)/2)*(Inputs!$J$9-Inputs!$I$9)))/Inputs!$C$49)+Inputs!$C$47*0.137))+0.35*COS(2*PI()*(((Inputs!$C$6)/Inputs!$C$50)+Inputs!$C$47*0.173))+0.20*SIN(2*PI()*((((Inputs!$I$9+(((A203)+1)/2)*(Inputs!$J$9-Inputs!$I$9)))+(Inputs!$C$6))/(0.5*(Inputs!$C$49+Inputs!$C$50))+Inputs!$C$47*0.097)))+0.30*(2*((SIN((((Inputs!$I$9+(((A203)+1)/2)*(Inputs!$J$9-Inputs!$I$9)))*12.9898+(Inputs!$C$6)*78.233+Inputs!$C$47*37.719))*43758.5453)-INT((SIN((((Inputs!$I$9+(((A203)+1)/2)*(Inputs!$J$9-Inputs!$I$9)))*12.9898+(Inputs!$C$6)*78.233+Inputs!$C$47*37.719))*43758.5453)))-1))),NA())</x:f>
        <x:v>107.49826996155427</x:v>
      </x:c>
      <x:c r="AW203" s="49"/>
      <x:c r="AX203" s="48" t="n">
        <x:f>A203</x:f>
        <x:v>0.675</x:v>
      </x:c>
      <x:c r="AY203" s="48" t="n">
        <x:f>0</x:f>
        <x:v>0</x:v>
      </x:c>
      <x:c r="AZ203" s="48" t="n">
        <x:f>IF(OR(Inputs!$F$6=TRUE,Inputs!$F$6="TRUE",Inputs!$F$6=1),(Inputs!$H$6+Inputs!$L$6*(((Inputs!$I$6+(((A203)+1)/2)*(Inputs!$J$6-Inputs!$I$6)))/Inputs!$K$6)^2),NA())</x:f>
        <x:v>401.8225</x:v>
      </x:c>
      <x:c r="BA203" s="48" t="n">
        <x:f>IF(OR(Inputs!$F$7=TRUE,Inputs!$F$7="TRUE",Inputs!$F$7=1),(Inputs!$H$7+Inputs!$L$7*(((Inputs!$I$7+(((A203)+1)/2)*(Inputs!$J$7-Inputs!$I$7)))/Inputs!$K$7)^2),NA())</x:f>
        <x:v>201.30312500000002</x:v>
      </x:c>
      <x:c r="BB203" s="48" t="n">
        <x:f>IF(OR(Inputs!$F$8=TRUE,Inputs!$F$8="TRUE",Inputs!$F$8=1),(Inputs!$H$8+Inputs!$L$8*(((Inputs!$I$8+(((A203)+1)/2)*(Inputs!$J$8-Inputs!$I$8)))/Inputs!$K$8)^2),NA())</x:f>
        <x:v>474.6781250000001</x:v>
      </x:c>
      <x:c r="BC203" s="48" t="n">
        <x:f>IF(OR(Inputs!$F$9=TRUE,Inputs!$F$9="TRUE",Inputs!$F$9=1),(Inputs!$H$9+Inputs!$L$9*(((Inputs!$I$9+(((A203)+1)/2)*(Inputs!$J$9-Inputs!$I$9)))/Inputs!$K$9)^2),NA())</x:f>
        <x:v>469.23437500000006</x:v>
      </x:c>
      <x:c r="BD203" s="49"/>
      <x:c r="BE203" s="48" t="n">
        <x:f>A203</x:f>
        <x:v>0.675</x:v>
      </x:c>
      <x:c r="BF203" s="48" t="n">
        <x:f>0</x:f>
        <x:v>0</x:v>
      </x:c>
      <x:c r="BG203" s="48"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BH203" s="48"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BI203" s="48"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BJ203" s="48"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row>
    <x:row r="204">
      <x:c r="A204" s="48" t="n">
        <x:f>ROUND(-1+202*2/240,3)</x:f>
        <x:v>0.683</x:v>
      </x:c>
      <x:c r="B204" s="48" t="n">
        <x:f>IF(OR(Inputs!$F$6=TRUE,Inputs!$F$6="TRUE",Inputs!$F$6=1),(Inputs!$H$6+Inputs!$L$6*(((Inputs!$I$6+(((A204)+1)/2)*(Inputs!$J$6-Inputs!$I$6)))/Inputs!$K$6)^2),NA())</x:f>
        <x:v>401.865956</x:v>
      </x:c>
      <x:c r="C204" s="48" t="n">
        <x:f>IF(OR(Inputs!$F$7=TRUE,Inputs!$F$7="TRUE",Inputs!$F$7=1),(Inputs!$H$7+Inputs!$L$7*(((Inputs!$I$7+(((A204)+1)/2)*(Inputs!$J$7-Inputs!$I$7)))/Inputs!$K$7)^2),NA())</x:f>
        <x:v>205.26848500000008</x:v>
      </x:c>
      <x:c r="D204" s="48" t="n">
        <x:f>IF(OR(Inputs!$F$8=TRUE,Inputs!$F$8="TRUE",Inputs!$F$8=1),(Inputs!$H$8+Inputs!$L$8*(((Inputs!$I$8+(((A204)+1)/2)*(Inputs!$J$8-Inputs!$I$8)))/Inputs!$K$8)^2),NA())</x:f>
        <x:v>485.1618850000002</x:v>
      </x:c>
      <x:c r="E204" s="48" t="n">
        <x:f>IF(OR(Inputs!$F$9=TRUE,Inputs!$F$9="TRUE",Inputs!$F$9=1),(Inputs!$H$9+Inputs!$L$9*(((Inputs!$I$9+(((A204)+1)/2)*(Inputs!$J$9-Inputs!$I$9)))/Inputs!$K$9)^2),NA())</x:f>
        <x:v>479.8267750000002</x:v>
      </x:c>
      <x:c r="F204" s="49"/>
      <x:c r="G204" s="48" t="n">
        <x:f>A204</x:f>
        <x:v>0.683</x:v>
      </x:c>
      <x:c r="H204" s="48"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I204" s="48"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J204" s="48"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K204" s="48"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c r="L204" s="49"/>
      <x:c r="M204" s="48" t="n">
        <x:f>A204</x:f>
        <x:v>0.683</x:v>
      </x:c>
      <x:c r="N204" s="48" t="n">
        <x: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x:f>
        <x:v>-348.0021419706819</x:v>
      </x:c>
      <x:c r="O204" s="48" t="n">
        <x: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x:f>
        <x:v>-2663.282402379088</x:v>
      </x:c>
      <x:c r="P204" s="48" t="n">
        <x: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x:f>
        <x:v>-3358.2219579859257</x:v>
      </x:c>
      <x:c r="Q204" s="48" t="n">
        <x: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x:f>
        <x:v>-3373.290176154214</x:v>
      </x:c>
      <x:c r="R204" s="49"/>
      <x:c r="S204" s="48" t="n">
        <x:f>A204</x:f>
        <x:v>0.683</x:v>
      </x:c>
      <x:c r="T204" s="48" t="n">
        <x:f>(Inputs!$I$6+(((A204)+1)/2)*(Inputs!$J$6-Inputs!$I$6))</x:f>
        <x:v>40.980000000000004</x:v>
      </x:c>
      <x:c r="U204" s="48" t="n">
        <x:f>(Inputs!$I$7+(((A204)+1)/2)*(Inputs!$J$7-Inputs!$I$7))</x:f>
        <x:v>273.20000000000005</x:v>
      </x:c>
      <x:c r="V204" s="48" t="n">
        <x:f>(Inputs!$I$8+(((A204)+1)/2)*(Inputs!$J$8-Inputs!$I$8))</x:f>
        <x:v>546.4000000000001</x:v>
      </x:c>
      <x:c r="W204" s="48" t="n">
        <x:f>(Inputs!$I$9+(((A204)+1)/2)*(Inputs!$J$9-Inputs!$I$9))</x:f>
        <x:v>546.4000000000001</x:v>
      </x:c>
      <x:c r="X204" s="49"/>
      <x:c r="Y204" s="48" t="n">
        <x:f>A204</x:f>
        <x:v>0.683</x:v>
      </x:c>
      <x:c r="Z204" s="48" t="n">
        <x:f>(Inputs!$H$6+Inputs!$L$6*(((Inputs!$I$6+(((A204)+1)/2)*(Inputs!$J$6-Inputs!$I$6)))/Inputs!$K$6)^2)</x:f>
        <x:v>401.865956</x:v>
      </x:c>
      <x:c r="AA204" s="48" t="n">
        <x:f>(Inputs!$H$7+Inputs!$L$7*(((Inputs!$I$7+(((A204)+1)/2)*(Inputs!$J$7-Inputs!$I$7)))/Inputs!$K$7)^2)</x:f>
        <x:v>205.26848500000008</x:v>
      </x:c>
      <x:c r="AB204" s="48" t="n">
        <x:f>(Inputs!$H$8+Inputs!$L$8*(((Inputs!$I$8+(((A204)+1)/2)*(Inputs!$J$8-Inputs!$I$8)))/Inputs!$K$8)^2)</x:f>
        <x:v>485.1618850000002</x:v>
      </x:c>
      <x:c r="AC204" s="48" t="n">
        <x:f>(Inputs!$H$9+Inputs!$L$9*(((Inputs!$I$9+(((A204)+1)/2)*(Inputs!$J$9-Inputs!$I$9)))/Inputs!$K$9)^2)</x:f>
        <x:v>479.8267750000002</x:v>
      </x:c>
      <x:c r="AD204" s="49"/>
      <x:c r="AE204" s="48" t="n">
        <x:f>A204</x:f>
        <x:v>0.683</x:v>
      </x:c>
      <x:c r="AF204" s="48" t="n">
        <x:f>(((SQRT((Inputs!$C$52+((Inputs!$H$6+Inputs!$L$6*(((Inputs!$I$6+(((A204)+1)/2)*(Inputs!$J$6-Inputs!$I$6)))/Inputs!$K$6)^2)))^2+Inputs!$C$52^2-2*(Inputs!$C$52+((Inputs!$H$6+Inputs!$L$6*(((Inputs!$I$6+(((A204)+1)/2)*(Inputs!$J$6-Inputs!$I$6)))/Inputs!$K$6)^2)))*Inputs!$C$52*COS(SQRT(((Inputs!$I$6+(((A204)+1)/2)*(Inputs!$J$6-Inputs!$I$6)))^2+Inputs!$C$6^2)/Inputs!$C$52)))-((Inputs!$H$6+Inputs!$L$6*(((Inputs!$I$6+(((A204)+1)/2)*(Inputs!$J$6-Inputs!$I$6)))/Inputs!$K$6)^2)))*1000/Inputs!$C$12)</x:f>
        <x:v>2016.2719892159032</x:v>
      </x:c>
      <x:c r="AG204" s="48" t="n">
        <x:f>(((SQRT((Inputs!$C$52+((Inputs!$H$7+Inputs!$L$7*(((Inputs!$I$7+(((A204)+1)/2)*(Inputs!$J$7-Inputs!$I$7)))/Inputs!$K$7)^2)))^2+Inputs!$C$52^2-2*(Inputs!$C$52+((Inputs!$H$7+Inputs!$L$7*(((Inputs!$I$7+(((A204)+1)/2)*(Inputs!$J$7-Inputs!$I$7)))/Inputs!$K$7)^2)))*Inputs!$C$52*COS(SQRT(((Inputs!$I$7+(((A204)+1)/2)*(Inputs!$J$7-Inputs!$I$7)))^2+Inputs!$C$6^2)/Inputs!$C$52)))-((Inputs!$H$7+Inputs!$L$7*(((Inputs!$I$7+(((A204)+1)/2)*(Inputs!$J$7-Inputs!$I$7)))/Inputs!$K$7)^2)))*1000/Inputs!$C$12)</x:f>
        <x:v>84949.98175105538</x:v>
      </x:c>
      <x:c r="AH204" s="48" t="n">
        <x:f>(((SQRT((Inputs!$C$52+((Inputs!$H$8+Inputs!$L$8*(((Inputs!$I$8+(((A204)+1)/2)*(Inputs!$J$8-Inputs!$I$8)))/Inputs!$K$8)^2)))^2+Inputs!$C$52^2-2*(Inputs!$C$52+((Inputs!$H$8+Inputs!$L$8*(((Inputs!$I$8+(((A204)+1)/2)*(Inputs!$J$8-Inputs!$I$8)))/Inputs!$K$8)^2)))*Inputs!$C$52*COS(SQRT(((Inputs!$I$8+(((A204)+1)/2)*(Inputs!$J$8-Inputs!$I$8)))^2+Inputs!$C$6^2)/Inputs!$C$52)))-((Inputs!$H$8+Inputs!$L$8*(((Inputs!$I$8+(((A204)+1)/2)*(Inputs!$J$8-Inputs!$I$8)))/Inputs!$K$8)^2)))*1000/Inputs!$C$12)</x:f>
        <x:v>171065.2586897404</x:v>
      </x:c>
      <x:c r="AI204" s="48" t="n">
        <x:f>(((SQRT((Inputs!$C$52+((Inputs!$H$9+Inputs!$L$9*(((Inputs!$I$9+(((A204)+1)/2)*(Inputs!$J$9-Inputs!$I$9)))/Inputs!$K$9)^2)))^2+Inputs!$C$52^2-2*(Inputs!$C$52+((Inputs!$H$9+Inputs!$L$9*(((Inputs!$I$9+(((A204)+1)/2)*(Inputs!$J$9-Inputs!$I$9)))/Inputs!$K$9)^2)))*Inputs!$C$52*COS(SQRT(((Inputs!$I$9+(((A204)+1)/2)*(Inputs!$J$9-Inputs!$I$9)))^2+Inputs!$C$6^2)/Inputs!$C$52)))-((Inputs!$H$9+Inputs!$L$9*(((Inputs!$I$9+(((A204)+1)/2)*(Inputs!$J$9-Inputs!$I$9)))/Inputs!$K$9)^2)))*1000/Inputs!$C$12)</x:f>
        <x:v>171865.62970195324</x:v>
      </x:c>
      <x:c r="AJ204" s="49"/>
      <x:c r="AK204" s="48" t="n">
        <x:f>A204</x:f>
        <x:v>0.683</x:v>
      </x:c>
      <x:c r="AL204" s="48" t="n">
        <x: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x:f>
        <x:v>-348.0021419706819</x:v>
      </x:c>
      <x:c r="AM204" s="48" t="n">
        <x: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x:f>
        <x:v>-2663.282402379088</x:v>
      </x:c>
      <x:c r="AN204" s="48" t="n">
        <x: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x:f>
        <x:v>-3358.2219579859257</x:v>
      </x:c>
      <x:c r="AO204" s="48" t="n">
        <x: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x:f>
        <x:v>-3373.290176154214</x:v>
      </x:c>
      <x:c r="AP204" s="49"/>
      <x:c r="AQ204" s="48" t="n">
        <x:f>A204</x:f>
        <x:v>0.683</x:v>
      </x:c>
      <x:c r="AR204" s="48" t="n">
        <x:f>0</x:f>
        <x:v>0</x:v>
      </x:c>
      <x:c r="AS204" s="48" t="n">
        <x: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(0.45*SIN(2*PI()*((((Inputs!$I$6+(((A204)+1)/2)*(Inputs!$J$6-Inputs!$I$6)))/Inputs!$C$49)+Inputs!$C$47*0.137))+0.35*COS(2*PI()*(((Inputs!$C$6)/Inputs!$C$50)+Inputs!$C$47*0.173))+0.20*SIN(2*PI()*((((Inputs!$I$6+(((A204)+1)/2)*(Inputs!$J$6-Inputs!$I$6)))+(Inputs!$C$6))/(0.5*(Inputs!$C$49+Inputs!$C$50))+Inputs!$C$47*0.097)))+0.30*(2*((SIN((((Inputs!$I$6+(((A204)+1)/2)*(Inputs!$J$6-Inputs!$I$6)))*12.9898+(Inputs!$C$6)*78.233+Inputs!$C$47*37.719))*43758.5453)-INT((SIN((((Inputs!$I$6+(((A204)+1)/2)*(Inputs!$J$6-Inputs!$I$6)))*12.9898+(Inputs!$C$6)*78.233+Inputs!$C$47*37.719))*43758.5453)))-1))),NA())</x:f>
        <x:v>298.5295338306238</x:v>
      </x:c>
      <x:c r="AT204" s="48" t="n">
        <x: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(0.45*SIN(2*PI()*((((Inputs!$I$7+(((A204)+1)/2)*(Inputs!$J$7-Inputs!$I$7)))/Inputs!$C$49)+Inputs!$C$47*0.137))+0.35*COS(2*PI()*(((Inputs!$C$6)/Inputs!$C$50)+Inputs!$C$47*0.173))+0.20*SIN(2*PI()*((((Inputs!$I$7+(((A204)+1)/2)*(Inputs!$J$7-Inputs!$I$7)))+(Inputs!$C$6))/(0.5*(Inputs!$C$49+Inputs!$C$50))+Inputs!$C$47*0.097)))+0.30*(2*((SIN((((Inputs!$I$7+(((A204)+1)/2)*(Inputs!$J$7-Inputs!$I$7)))*12.9898+(Inputs!$C$6)*78.233+Inputs!$C$47*37.719))*43758.5453)-INT((SIN((((Inputs!$I$7+(((A204)+1)/2)*(Inputs!$J$7-Inputs!$I$7)))*12.9898+(Inputs!$C$6)*78.233+Inputs!$C$47*37.719))*43758.5453)))-1))),NA())</x:f>
        <x:v>176.70490916263046</x:v>
      </x:c>
      <x:c r="AU204" s="48" t="n">
        <x: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(0.45*SIN(2*PI()*((((Inputs!$I$8+(((A204)+1)/2)*(Inputs!$J$8-Inputs!$I$8)))/Inputs!$C$49)+Inputs!$C$47*0.137))+0.35*COS(2*PI()*(((Inputs!$C$6)/Inputs!$C$50)+Inputs!$C$47*0.173))+0.20*SIN(2*PI()*((((Inputs!$I$8+(((A204)+1)/2)*(Inputs!$J$8-Inputs!$I$8)))+(Inputs!$C$6))/(0.5*(Inputs!$C$49+Inputs!$C$50))+Inputs!$C$47*0.097)))+0.30*(2*((SIN((((Inputs!$I$8+(((A204)+1)/2)*(Inputs!$J$8-Inputs!$I$8)))*12.9898+(Inputs!$C$6)*78.233+Inputs!$C$47*37.719))*43758.5453)-INT((SIN((((Inputs!$I$8+(((A204)+1)/2)*(Inputs!$J$8-Inputs!$I$8)))*12.9898+(Inputs!$C$6)*78.233+Inputs!$C$47*37.719))*43758.5453)))-1))),NA())</x:f>
        <x:v>180.5130458668658</x:v>
      </x:c>
      <x:c r="AV204" s="48" t="n">
        <x: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(0.45*SIN(2*PI()*((((Inputs!$I$9+(((A204)+1)/2)*(Inputs!$J$9-Inputs!$I$9)))/Inputs!$C$49)+Inputs!$C$47*0.137))+0.35*COS(2*PI()*(((Inputs!$C$6)/Inputs!$C$50)+Inputs!$C$47*0.173))+0.20*SIN(2*PI()*((((Inputs!$I$9+(((A204)+1)/2)*(Inputs!$J$9-Inputs!$I$9)))+(Inputs!$C$6))/(0.5*(Inputs!$C$49+Inputs!$C$50))+Inputs!$C$47*0.097)))+0.30*(2*((SIN((((Inputs!$I$9+(((A204)+1)/2)*(Inputs!$J$9-Inputs!$I$9)))*12.9898+(Inputs!$C$6)*78.233+Inputs!$C$47*37.719))*43758.5453)-INT((SIN((((Inputs!$I$9+(((A204)+1)/2)*(Inputs!$J$9-Inputs!$I$9)))*12.9898+(Inputs!$C$6)*78.233+Inputs!$C$47*37.719))*43758.5453)))-1))),NA())</x:f>
        <x:v>180.5130458668658</x:v>
      </x:c>
      <x:c r="AW204" s="49"/>
      <x:c r="AX204" s="48" t="n">
        <x:f>A204</x:f>
        <x:v>0.683</x:v>
      </x:c>
      <x:c r="AY204" s="48" t="n">
        <x:f>0</x:f>
        <x:v>0</x:v>
      </x:c>
      <x:c r="AZ204" s="48" t="n">
        <x:f>IF(OR(Inputs!$F$6=TRUE,Inputs!$F$6="TRUE",Inputs!$F$6=1),(Inputs!$H$6+Inputs!$L$6*(((Inputs!$I$6+(((A204)+1)/2)*(Inputs!$J$6-Inputs!$I$6)))/Inputs!$K$6)^2),NA())</x:f>
        <x:v>401.865956</x:v>
      </x:c>
      <x:c r="BA204" s="48" t="n">
        <x:f>IF(OR(Inputs!$F$7=TRUE,Inputs!$F$7="TRUE",Inputs!$F$7=1),(Inputs!$H$7+Inputs!$L$7*(((Inputs!$I$7+(((A204)+1)/2)*(Inputs!$J$7-Inputs!$I$7)))/Inputs!$K$7)^2),NA())</x:f>
        <x:v>205.26848500000008</x:v>
      </x:c>
      <x:c r="BB204" s="48" t="n">
        <x:f>IF(OR(Inputs!$F$8=TRUE,Inputs!$F$8="TRUE",Inputs!$F$8=1),(Inputs!$H$8+Inputs!$L$8*(((Inputs!$I$8+(((A204)+1)/2)*(Inputs!$J$8-Inputs!$I$8)))/Inputs!$K$8)^2),NA())</x:f>
        <x:v>485.1618850000002</x:v>
      </x:c>
      <x:c r="BC204" s="48" t="n">
        <x:f>IF(OR(Inputs!$F$9=TRUE,Inputs!$F$9="TRUE",Inputs!$F$9=1),(Inputs!$H$9+Inputs!$L$9*(((Inputs!$I$9+(((A204)+1)/2)*(Inputs!$J$9-Inputs!$I$9)))/Inputs!$K$9)^2),NA())</x:f>
        <x:v>479.8267750000002</x:v>
      </x:c>
      <x:c r="BD204" s="49"/>
      <x:c r="BE204" s="48" t="n">
        <x:f>A204</x:f>
        <x:v>0.683</x:v>
      </x:c>
      <x:c r="BF204" s="48" t="n">
        <x:f>0</x:f>
        <x:v>0</x:v>
      </x:c>
      <x:c r="BG204" s="48"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BH204" s="48"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BI204" s="48"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BJ204" s="48"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row>
    <x:row r="205">
      <x:c r="A205" s="48" t="n">
        <x:f>ROUND(-1+203*2/240,3)</x:f>
        <x:v>0.692</x:v>
      </x:c>
      <x:c r="B205" s="48" t="n">
        <x:f>IF(OR(Inputs!$F$6=TRUE,Inputs!$F$6="TRUE",Inputs!$F$6=1),(Inputs!$H$6+Inputs!$L$6*(((Inputs!$I$6+(((A205)+1)/2)*(Inputs!$J$6-Inputs!$I$6)))/Inputs!$K$6)^2),NA())</x:f>
        <x:v>401.915456</x:v>
      </x:c>
      <x:c r="C205" s="48" t="n">
        <x:f>IF(OR(Inputs!$F$7=TRUE,Inputs!$F$7="TRUE",Inputs!$F$7=1),(Inputs!$H$7+Inputs!$L$7*(((Inputs!$I$7+(((A205)+1)/2)*(Inputs!$J$7-Inputs!$I$7)))/Inputs!$K$7)^2),NA())</x:f>
        <x:v>209.7853599999999</x:v>
      </x:c>
      <x:c r="D205" s="48" t="n">
        <x:f>IF(OR(Inputs!$F$8=TRUE,Inputs!$F$8="TRUE",Inputs!$F$8=1),(Inputs!$H$8+Inputs!$L$8*(((Inputs!$I$8+(((A205)+1)/2)*(Inputs!$J$8-Inputs!$I$8)))/Inputs!$K$8)^2),NA())</x:f>
        <x:v>497.1037599999998</x:v>
      </x:c>
      <x:c r="E205" s="48" t="n">
        <x:f>IF(OR(Inputs!$F$9=TRUE,Inputs!$F$9="TRUE",Inputs!$F$9=1),(Inputs!$H$9+Inputs!$L$9*(((Inputs!$I$9+(((A205)+1)/2)*(Inputs!$J$9-Inputs!$I$9)))/Inputs!$K$9)^2),NA())</x:f>
        <x:v>491.8923999999998</x:v>
      </x:c>
      <x:c r="F205" s="49"/>
      <x:c r="G205" s="48" t="n">
        <x:f>A205</x:f>
        <x:v>0.692</x:v>
      </x:c>
      <x:c r="H205" s="48"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I205" s="48"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J205" s="48"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K205" s="48"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c r="L205" s="49"/>
      <x:c r="M205" s="48" t="n">
        <x:f>A205</x:f>
        <x:v>0.692</x:v>
      </x:c>
      <x:c r="N205" s="48" t="n">
        <x: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x:f>
        <x:v>-352.5128312365168</x:v>
      </x:c>
      <x:c r="O205" s="48" t="n">
        <x: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x:f>
        <x:v>-2685.6093165580623</x:v>
      </x:c>
      <x:c r="P205" s="48" t="n">
        <x: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x:f>
        <x:v>-3393.603707342725</x:v>
      </x:c>
      <x:c r="Q205" s="48" t="n">
        <x: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x:f>
        <x:v>-3409.246908678154</x:v>
      </x:c>
      <x:c r="R205" s="49"/>
      <x:c r="S205" s="48" t="n">
        <x:f>A205</x:f>
        <x:v>0.692</x:v>
      </x:c>
      <x:c r="T205" s="48" t="n">
        <x:f>(Inputs!$I$6+(((A205)+1)/2)*(Inputs!$J$6-Inputs!$I$6))</x:f>
        <x:v>41.519999999999996</x:v>
      </x:c>
      <x:c r="U205" s="48" t="n">
        <x:f>(Inputs!$I$7+(((A205)+1)/2)*(Inputs!$J$7-Inputs!$I$7))</x:f>
        <x:v>276.79999999999995</x:v>
      </x:c>
      <x:c r="V205" s="48" t="n">
        <x:f>(Inputs!$I$8+(((A205)+1)/2)*(Inputs!$J$8-Inputs!$I$8))</x:f>
        <x:v>553.5999999999999</x:v>
      </x:c>
      <x:c r="W205" s="48" t="n">
        <x:f>(Inputs!$I$9+(((A205)+1)/2)*(Inputs!$J$9-Inputs!$I$9))</x:f>
        <x:v>553.5999999999999</x:v>
      </x:c>
      <x:c r="X205" s="49"/>
      <x:c r="Y205" s="48" t="n">
        <x:f>A205</x:f>
        <x:v>0.692</x:v>
      </x:c>
      <x:c r="Z205" s="48" t="n">
        <x:f>(Inputs!$H$6+Inputs!$L$6*(((Inputs!$I$6+(((A205)+1)/2)*(Inputs!$J$6-Inputs!$I$6)))/Inputs!$K$6)^2)</x:f>
        <x:v>401.915456</x:v>
      </x:c>
      <x:c r="AA205" s="48" t="n">
        <x:f>(Inputs!$H$7+Inputs!$L$7*(((Inputs!$I$7+(((A205)+1)/2)*(Inputs!$J$7-Inputs!$I$7)))/Inputs!$K$7)^2)</x:f>
        <x:v>209.7853599999999</x:v>
      </x:c>
      <x:c r="AB205" s="48" t="n">
        <x:f>(Inputs!$H$8+Inputs!$L$8*(((Inputs!$I$8+(((A205)+1)/2)*(Inputs!$J$8-Inputs!$I$8)))/Inputs!$K$8)^2)</x:f>
        <x:v>497.1037599999998</x:v>
      </x:c>
      <x:c r="AC205" s="48" t="n">
        <x:f>(Inputs!$H$9+Inputs!$L$9*(((Inputs!$I$9+(((A205)+1)/2)*(Inputs!$J$9-Inputs!$I$9)))/Inputs!$K$9)^2)</x:f>
        <x:v>491.8923999999998</x:v>
      </x:c>
      <x:c r="AD205" s="49"/>
      <x:c r="AE205" s="48" t="n">
        <x:f>A205</x:f>
        <x:v>0.692</x:v>
      </x:c>
      <x:c r="AF205" s="48" t="n">
        <x:f>(((SQRT((Inputs!$C$52+((Inputs!$H$6+Inputs!$L$6*(((Inputs!$I$6+(((A205)+1)/2)*(Inputs!$J$6-Inputs!$I$6)))/Inputs!$K$6)^2)))^2+Inputs!$C$52^2-2*(Inputs!$C$52+((Inputs!$H$6+Inputs!$L$6*(((Inputs!$I$6+(((A205)+1)/2)*(Inputs!$J$6-Inputs!$I$6)))/Inputs!$K$6)^2)))*Inputs!$C$52*COS(SQRT(((Inputs!$I$6+(((A205)+1)/2)*(Inputs!$J$6-Inputs!$I$6)))^2+Inputs!$C$6^2)/Inputs!$C$52)))-((Inputs!$H$6+Inputs!$L$6*(((Inputs!$I$6+(((A205)+1)/2)*(Inputs!$J$6-Inputs!$I$6)))/Inputs!$K$6)^2)))*1000/Inputs!$C$12)</x:f>
        <x:v>2054.874226401677</x:v>
      </x:c>
      <x:c r="AG205" s="48" t="n">
        <x:f>(((SQRT((Inputs!$C$52+((Inputs!$H$7+Inputs!$L$7*(((Inputs!$I$7+(((A205)+1)/2)*(Inputs!$J$7-Inputs!$I$7)))/Inputs!$K$7)^2)))^2+Inputs!$C$52^2-2*(Inputs!$C$52+((Inputs!$H$7+Inputs!$L$7*(((Inputs!$I$7+(((A205)+1)/2)*(Inputs!$J$7-Inputs!$I$7)))/Inputs!$K$7)^2)))*Inputs!$C$52*COS(SQRT(((Inputs!$I$7+(((A205)+1)/2)*(Inputs!$J$7-Inputs!$I$7)))^2+Inputs!$C$6^2)/Inputs!$C$52)))-((Inputs!$H$7+Inputs!$L$7*(((Inputs!$I$7+(((A205)+1)/2)*(Inputs!$J$7-Inputs!$I$7)))/Inputs!$K$7)^2)))*1000/Inputs!$C$12)</x:f>
        <x:v>85793.0168187823</x:v>
      </x:c>
      <x:c r="AH205" s="48" t="n">
        <x:f>(((SQRT((Inputs!$C$52+((Inputs!$H$8+Inputs!$L$8*(((Inputs!$I$8+(((A205)+1)/2)*(Inputs!$J$8-Inputs!$I$8)))/Inputs!$K$8)^2)))^2+Inputs!$C$52^2-2*(Inputs!$C$52+((Inputs!$H$8+Inputs!$L$8*(((Inputs!$I$8+(((A205)+1)/2)*(Inputs!$J$8-Inputs!$I$8)))/Inputs!$K$8)^2)))*Inputs!$C$52*COS(SQRT(((Inputs!$I$8+(((A205)+1)/2)*(Inputs!$J$8-Inputs!$I$8)))^2+Inputs!$C$6^2)/Inputs!$C$52)))-((Inputs!$H$8+Inputs!$L$8*(((Inputs!$I$8+(((A205)+1)/2)*(Inputs!$J$8-Inputs!$I$8)))/Inputs!$K$8)^2)))*1000/Inputs!$C$12)</x:f>
        <x:v>172890.9208302182</x:v>
      </x:c>
      <x:c r="AI205" s="48" t="n">
        <x:f>(((SQRT((Inputs!$C$52+((Inputs!$H$9+Inputs!$L$9*(((Inputs!$I$9+(((A205)+1)/2)*(Inputs!$J$9-Inputs!$I$9)))/Inputs!$K$9)^2)))^2+Inputs!$C$52^2-2*(Inputs!$C$52+((Inputs!$H$9+Inputs!$L$9*(((Inputs!$I$9+(((A205)+1)/2)*(Inputs!$J$9-Inputs!$I$9)))/Inputs!$K$9)^2)))*Inputs!$C$52*COS(SQRT(((Inputs!$I$9+(((A205)+1)/2)*(Inputs!$J$9-Inputs!$I$9)))^2+Inputs!$C$6^2)/Inputs!$C$52)))-((Inputs!$H$9+Inputs!$L$9*(((Inputs!$I$9+(((A205)+1)/2)*(Inputs!$J$9-Inputs!$I$9)))/Inputs!$K$9)^2)))*1000/Inputs!$C$12)</x:f>
        <x:v>173660.5904773087</x:v>
      </x:c>
      <x:c r="AJ205" s="49"/>
      <x:c r="AK205" s="48" t="n">
        <x:f>A205</x:f>
        <x:v>0.692</x:v>
      </x:c>
      <x:c r="AL205" s="48" t="n">
        <x: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x:f>
        <x:v>-352.5128312365168</x:v>
      </x:c>
      <x:c r="AM205" s="48" t="n">
        <x: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x:f>
        <x:v>-2685.6093165580623</x:v>
      </x:c>
      <x:c r="AN205" s="48" t="n">
        <x: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x:f>
        <x:v>-3393.603707342725</x:v>
      </x:c>
      <x:c r="AO205" s="48" t="n">
        <x: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x:f>
        <x:v>-3409.246908678154</x:v>
      </x:c>
      <x:c r="AP205" s="49"/>
      <x:c r="AQ205" s="48" t="n">
        <x:f>A205</x:f>
        <x:v>0.692</x:v>
      </x:c>
      <x:c r="AR205" s="48" t="n">
        <x:f>0</x:f>
        <x:v>0</x:v>
      </x:c>
      <x:c r="AS205" s="48" t="n">
        <x: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(0.45*SIN(2*PI()*((((Inputs!$I$6+(((A205)+1)/2)*(Inputs!$J$6-Inputs!$I$6)))/Inputs!$C$49)+Inputs!$C$47*0.137))+0.35*COS(2*PI()*(((Inputs!$C$6)/Inputs!$C$50)+Inputs!$C$47*0.173))+0.20*SIN(2*PI()*((((Inputs!$I$6+(((A205)+1)/2)*(Inputs!$J$6-Inputs!$I$6)))+(Inputs!$C$6))/(0.5*(Inputs!$C$49+Inputs!$C$50))+Inputs!$C$47*0.097)))+0.30*(2*((SIN((((Inputs!$I$6+(((A205)+1)/2)*(Inputs!$J$6-Inputs!$I$6)))*12.9898+(Inputs!$C$6)*78.233+Inputs!$C$47*37.719))*43758.5453)-INT((SIN((((Inputs!$I$6+(((A205)+1)/2)*(Inputs!$J$6-Inputs!$I$6)))*12.9898+(Inputs!$C$6)*78.233+Inputs!$C$47*37.719))*43758.5453)))-1))),NA())</x:f>
        <x:v>285.413102267198</x:v>
      </x:c>
      <x:c r="AT205" s="48" t="n">
        <x: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(0.45*SIN(2*PI()*((((Inputs!$I$7+(((A205)+1)/2)*(Inputs!$J$7-Inputs!$I$7)))/Inputs!$C$49)+Inputs!$C$47*0.137))+0.35*COS(2*PI()*(((Inputs!$C$6)/Inputs!$C$50)+Inputs!$C$47*0.173))+0.20*SIN(2*PI()*((((Inputs!$I$7+(((A205)+1)/2)*(Inputs!$J$7-Inputs!$I$7)))+(Inputs!$C$6))/(0.5*(Inputs!$C$49+Inputs!$C$50))+Inputs!$C$47*0.097)))+0.30*(2*((SIN((((Inputs!$I$7+(((A205)+1)/2)*(Inputs!$J$7-Inputs!$I$7)))*12.9898+(Inputs!$C$6)*78.233+Inputs!$C$47*37.719))*43758.5453)-INT((SIN((((Inputs!$I$7+(((A205)+1)/2)*(Inputs!$J$7-Inputs!$I$7)))*12.9898+(Inputs!$C$6)*78.233+Inputs!$C$47*37.719))*43758.5453)))-1))),NA())</x:f>
        <x:v>197.15245723927592</x:v>
      </x:c>
      <x:c r="AU205" s="48" t="n">
        <x: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(0.45*SIN(2*PI()*((((Inputs!$I$8+(((A205)+1)/2)*(Inputs!$J$8-Inputs!$I$8)))/Inputs!$C$49)+Inputs!$C$47*0.137))+0.35*COS(2*PI()*(((Inputs!$C$6)/Inputs!$C$50)+Inputs!$C$47*0.173))+0.20*SIN(2*PI()*((((Inputs!$I$8+(((A205)+1)/2)*(Inputs!$J$8-Inputs!$I$8)))+(Inputs!$C$6))/(0.5*(Inputs!$C$49+Inputs!$C$50))+Inputs!$C$47*0.097)))+0.30*(2*((SIN((((Inputs!$I$8+(((A205)+1)/2)*(Inputs!$J$8-Inputs!$I$8)))*12.9898+(Inputs!$C$6)*78.233+Inputs!$C$47*37.719))*43758.5453)-INT((SIN((((Inputs!$I$8+(((A205)+1)/2)*(Inputs!$J$8-Inputs!$I$8)))*12.9898+(Inputs!$C$6)*78.233+Inputs!$C$47*37.719))*43758.5453)))-1))),NA())</x:f>
        <x:v>72.78326795030202</x:v>
      </x:c>
      <x:c r="AV205" s="48" t="n">
        <x: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(0.45*SIN(2*PI()*((((Inputs!$I$9+(((A205)+1)/2)*(Inputs!$J$9-Inputs!$I$9)))/Inputs!$C$49)+Inputs!$C$47*0.137))+0.35*COS(2*PI()*(((Inputs!$C$6)/Inputs!$C$50)+Inputs!$C$47*0.173))+0.20*SIN(2*PI()*((((Inputs!$I$9+(((A205)+1)/2)*(Inputs!$J$9-Inputs!$I$9)))+(Inputs!$C$6))/(0.5*(Inputs!$C$49+Inputs!$C$50))+Inputs!$C$47*0.097)))+0.30*(2*((SIN((((Inputs!$I$9+(((A205)+1)/2)*(Inputs!$J$9-Inputs!$I$9)))*12.9898+(Inputs!$C$6)*78.233+Inputs!$C$47*37.719))*43758.5453)-INT((SIN((((Inputs!$I$9+(((A205)+1)/2)*(Inputs!$J$9-Inputs!$I$9)))*12.9898+(Inputs!$C$6)*78.233+Inputs!$C$47*37.719))*43758.5453)))-1))),NA())</x:f>
        <x:v>72.78326795030202</x:v>
      </x:c>
      <x:c r="AW205" s="49"/>
      <x:c r="AX205" s="48" t="n">
        <x:f>A205</x:f>
        <x:v>0.692</x:v>
      </x:c>
      <x:c r="AY205" s="48" t="n">
        <x:f>0</x:f>
        <x:v>0</x:v>
      </x:c>
      <x:c r="AZ205" s="48" t="n">
        <x:f>IF(OR(Inputs!$F$6=TRUE,Inputs!$F$6="TRUE",Inputs!$F$6=1),(Inputs!$H$6+Inputs!$L$6*(((Inputs!$I$6+(((A205)+1)/2)*(Inputs!$J$6-Inputs!$I$6)))/Inputs!$K$6)^2),NA())</x:f>
        <x:v>401.915456</x:v>
      </x:c>
      <x:c r="BA205" s="48" t="n">
        <x:f>IF(OR(Inputs!$F$7=TRUE,Inputs!$F$7="TRUE",Inputs!$F$7=1),(Inputs!$H$7+Inputs!$L$7*(((Inputs!$I$7+(((A205)+1)/2)*(Inputs!$J$7-Inputs!$I$7)))/Inputs!$K$7)^2),NA())</x:f>
        <x:v>209.7853599999999</x:v>
      </x:c>
      <x:c r="BB205" s="48" t="n">
        <x:f>IF(OR(Inputs!$F$8=TRUE,Inputs!$F$8="TRUE",Inputs!$F$8=1),(Inputs!$H$8+Inputs!$L$8*(((Inputs!$I$8+(((A205)+1)/2)*(Inputs!$J$8-Inputs!$I$8)))/Inputs!$K$8)^2),NA())</x:f>
        <x:v>497.1037599999998</x:v>
      </x:c>
      <x:c r="BC205" s="48" t="n">
        <x:f>IF(OR(Inputs!$F$9=TRUE,Inputs!$F$9="TRUE",Inputs!$F$9=1),(Inputs!$H$9+Inputs!$L$9*(((Inputs!$I$9+(((A205)+1)/2)*(Inputs!$J$9-Inputs!$I$9)))/Inputs!$K$9)^2),NA())</x:f>
        <x:v>491.8923999999998</x:v>
      </x:c>
      <x:c r="BD205" s="49"/>
      <x:c r="BE205" s="48" t="n">
        <x:f>A205</x:f>
        <x:v>0.692</x:v>
      </x:c>
      <x:c r="BF205" s="48" t="n">
        <x:f>0</x:f>
        <x:v>0</x:v>
      </x:c>
      <x:c r="BG205" s="48"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BH205" s="48"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BI205" s="48"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BJ205" s="48"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row>
    <x:row r="206">
      <x:c r="A206" s="48" t="n">
        <x:f>ROUND(-1+204*2/240,3)</x:f>
        <x:v>0.7</x:v>
      </x:c>
      <x:c r="B206" s="48" t="n">
        <x:f>IF(OR(Inputs!$F$6=TRUE,Inputs!$F$6="TRUE",Inputs!$F$6=1),(Inputs!$H$6+Inputs!$L$6*(((Inputs!$I$6+(((A206)+1)/2)*(Inputs!$J$6-Inputs!$I$6)))/Inputs!$K$6)^2),NA())</x:f>
        <x:v>401.96</x:v>
      </x:c>
      <x:c r="C206" s="48" t="n">
        <x:f>IF(OR(Inputs!$F$7=TRUE,Inputs!$F$7="TRUE",Inputs!$F$7=1),(Inputs!$H$7+Inputs!$L$7*(((Inputs!$I$7+(((A206)+1)/2)*(Inputs!$J$7-Inputs!$I$7)))/Inputs!$K$7)^2),NA())</x:f>
        <x:v>213.84999999999997</x:v>
      </x:c>
      <x:c r="D206" s="48" t="n">
        <x:f>IF(OR(Inputs!$F$8=TRUE,Inputs!$F$8="TRUE",Inputs!$F$8=1),(Inputs!$H$8+Inputs!$L$8*(((Inputs!$I$8+(((A206)+1)/2)*(Inputs!$J$8-Inputs!$I$8)))/Inputs!$K$8)^2),NA())</x:f>
        <x:v>507.84999999999997</x:v>
      </x:c>
      <x:c r="E206" s="48" t="n">
        <x:f>IF(OR(Inputs!$F$9=TRUE,Inputs!$F$9="TRUE",Inputs!$F$9=1),(Inputs!$H$9+Inputs!$L$9*(((Inputs!$I$9+(((A206)+1)/2)*(Inputs!$J$9-Inputs!$I$9)))/Inputs!$K$9)^2),NA())</x:f>
        <x:v>502.74999999999994</x:v>
      </x:c>
      <x:c r="F206" s="49"/>
      <x:c r="G206" s="48" t="n">
        <x:f>A206</x:f>
        <x:v>0.7</x:v>
      </x:c>
      <x:c r="H206" s="48"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I206" s="48"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J206" s="48"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K206" s="48"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c r="L206" s="49"/>
      <x:c r="M206" s="48" t="n">
        <x:f>A206</x:f>
        <x:v>0.7</x:v>
      </x:c>
      <x:c r="N206" s="48" t="n">
        <x: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x:f>
        <x:v>-356.519918216019</x:v>
      </x:c>
      <x:c r="O206" s="48" t="n">
        <x: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x:f>
        <x:v>-2705.5699664091653</x:v>
      </x:c>
      <x:c r="P206" s="48" t="n">
        <x: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x:f>
        <x:v>-3425.173536730178</x:v>
      </x:c>
      <x:c r="Q206" s="48" t="n">
        <x: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x:f>
        <x:v>-3441.3258409617547</x:v>
      </x:c>
      <x:c r="R206" s="49"/>
      <x:c r="S206" s="48" t="n">
        <x:f>A206</x:f>
        <x:v>0.7</x:v>
      </x:c>
      <x:c r="T206" s="48" t="n">
        <x:f>(Inputs!$I$6+(((A206)+1)/2)*(Inputs!$J$6-Inputs!$I$6))</x:f>
        <x:v>42</x:v>
      </x:c>
      <x:c r="U206" s="48" t="n">
        <x:f>(Inputs!$I$7+(((A206)+1)/2)*(Inputs!$J$7-Inputs!$I$7))</x:f>
        <x:v>280</x:v>
      </x:c>
      <x:c r="V206" s="48" t="n">
        <x:f>(Inputs!$I$8+(((A206)+1)/2)*(Inputs!$J$8-Inputs!$I$8))</x:f>
        <x:v>560</x:v>
      </x:c>
      <x:c r="W206" s="48" t="n">
        <x:f>(Inputs!$I$9+(((A206)+1)/2)*(Inputs!$J$9-Inputs!$I$9))</x:f>
        <x:v>560</x:v>
      </x:c>
      <x:c r="X206" s="49"/>
      <x:c r="Y206" s="48" t="n">
        <x:f>A206</x:f>
        <x:v>0.7</x:v>
      </x:c>
      <x:c r="Z206" s="48" t="n">
        <x:f>(Inputs!$H$6+Inputs!$L$6*(((Inputs!$I$6+(((A206)+1)/2)*(Inputs!$J$6-Inputs!$I$6)))/Inputs!$K$6)^2)</x:f>
        <x:v>401.96</x:v>
      </x:c>
      <x:c r="AA206" s="48" t="n">
        <x:f>(Inputs!$H$7+Inputs!$L$7*(((Inputs!$I$7+(((A206)+1)/2)*(Inputs!$J$7-Inputs!$I$7)))/Inputs!$K$7)^2)</x:f>
        <x:v>213.84999999999997</x:v>
      </x:c>
      <x:c r="AB206" s="48" t="n">
        <x:f>(Inputs!$H$8+Inputs!$L$8*(((Inputs!$I$8+(((A206)+1)/2)*(Inputs!$J$8-Inputs!$I$8)))/Inputs!$K$8)^2)</x:f>
        <x:v>507.84999999999997</x:v>
      </x:c>
      <x:c r="AC206" s="48" t="n">
        <x:f>(Inputs!$H$9+Inputs!$L$9*(((Inputs!$I$9+(((A206)+1)/2)*(Inputs!$J$9-Inputs!$I$9)))/Inputs!$K$9)^2)</x:f>
        <x:v>502.74999999999994</x:v>
      </x:c>
      <x:c r="AD206" s="49"/>
      <x:c r="AE206" s="48" t="n">
        <x:f>A206</x:f>
        <x:v>0.7</x:v>
      </x:c>
      <x:c r="AF206" s="48" t="n">
        <x:f>(((SQRT((Inputs!$C$52+((Inputs!$H$6+Inputs!$L$6*(((Inputs!$I$6+(((A206)+1)/2)*(Inputs!$J$6-Inputs!$I$6)))/Inputs!$K$6)^2)))^2+Inputs!$C$52^2-2*(Inputs!$C$52+((Inputs!$H$6+Inputs!$L$6*(((Inputs!$I$6+(((A206)+1)/2)*(Inputs!$J$6-Inputs!$I$6)))/Inputs!$K$6)^2)))*Inputs!$C$52*COS(SQRT(((Inputs!$I$6+(((A206)+1)/2)*(Inputs!$J$6-Inputs!$I$6)))^2+Inputs!$C$6^2)/Inputs!$C$52)))-((Inputs!$H$6+Inputs!$L$6*(((Inputs!$I$6+(((A206)+1)/2)*(Inputs!$J$6-Inputs!$I$6)))/Inputs!$K$6)^2)))*1000/Inputs!$C$12)</x:f>
        <x:v>2089.5994901917893</x:v>
      </x:c>
      <x:c r="AG206" s="48" t="n">
        <x:f>(((SQRT((Inputs!$C$52+((Inputs!$H$7+Inputs!$L$7*(((Inputs!$I$7+(((A206)+1)/2)*(Inputs!$J$7-Inputs!$I$7)))/Inputs!$K$7)^2)))^2+Inputs!$C$52^2-2*(Inputs!$C$52+((Inputs!$H$7+Inputs!$L$7*(((Inputs!$I$7+(((A206)+1)/2)*(Inputs!$J$7-Inputs!$I$7)))/Inputs!$K$7)^2)))*Inputs!$C$52*COS(SQRT(((Inputs!$I$7+(((A206)+1)/2)*(Inputs!$J$7-Inputs!$I$7)))^2+Inputs!$C$6^2)/Inputs!$C$52)))-((Inputs!$H$7+Inputs!$L$7*(((Inputs!$I$7+(((A206)+1)/2)*(Inputs!$J$7-Inputs!$I$7)))/Inputs!$K$7)^2)))*1000/Inputs!$C$12)</x:f>
        <x:v>86538.25359407694</x:v>
      </x:c>
      <x:c r="AH206" s="48" t="n">
        <x:f>(((SQRT((Inputs!$C$52+((Inputs!$H$8+Inputs!$L$8*(((Inputs!$I$8+(((A206)+1)/2)*(Inputs!$J$8-Inputs!$I$8)))/Inputs!$K$8)^2)))^2+Inputs!$C$52^2-2*(Inputs!$C$52+((Inputs!$H$8+Inputs!$L$8*(((Inputs!$I$8+(((A206)+1)/2)*(Inputs!$J$8-Inputs!$I$8)))/Inputs!$K$8)^2)))*Inputs!$C$52*COS(SQRT(((Inputs!$I$8+(((A206)+1)/2)*(Inputs!$J$8-Inputs!$I$8)))^2+Inputs!$C$6^2)/Inputs!$C$52)))-((Inputs!$H$8+Inputs!$L$8*(((Inputs!$I$8+(((A206)+1)/2)*(Inputs!$J$8-Inputs!$I$8)))/Inputs!$K$8)^2)))*1000/Inputs!$C$12)</x:f>
        <x:v>174515.23410010958</x:v>
      </x:c>
      <x:c r="AI206" s="48" t="n">
        <x:f>(((SQRT((Inputs!$C$52+((Inputs!$H$9+Inputs!$L$9*(((Inputs!$I$9+(((A206)+1)/2)*(Inputs!$J$9-Inputs!$I$9)))/Inputs!$K$9)^2)))^2+Inputs!$C$52^2-2*(Inputs!$C$52+((Inputs!$H$9+Inputs!$L$9*(((Inputs!$I$9+(((A206)+1)/2)*(Inputs!$J$9-Inputs!$I$9)))/Inputs!$K$9)^2)))*Inputs!$C$52*COS(SQRT(((Inputs!$I$9+(((A206)+1)/2)*(Inputs!$J$9-Inputs!$I$9)))^2+Inputs!$C$6^2)/Inputs!$C$52)))-((Inputs!$H$9+Inputs!$L$9*(((Inputs!$I$9+(((A206)+1)/2)*(Inputs!$J$9-Inputs!$I$9)))/Inputs!$K$9)^2)))*1000/Inputs!$C$12)</x:f>
        <x:v>175258.06759354385</x:v>
      </x:c>
      <x:c r="AJ206" s="49"/>
      <x:c r="AK206" s="48" t="n">
        <x:f>A206</x:f>
        <x:v>0.7</x:v>
      </x:c>
      <x:c r="AL206" s="48" t="n">
        <x: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x:f>
        <x:v>-356.519918216019</x:v>
      </x:c>
      <x:c r="AM206" s="48" t="n">
        <x: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x:f>
        <x:v>-2705.5699664091653</x:v>
      </x:c>
      <x:c r="AN206" s="48" t="n">
        <x: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x:f>
        <x:v>-3425.173536730178</x:v>
      </x:c>
      <x:c r="AO206" s="48" t="n">
        <x: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x:f>
        <x:v>-3441.3258409617547</x:v>
      </x:c>
      <x:c r="AP206" s="49"/>
      <x:c r="AQ206" s="48" t="n">
        <x:f>A206</x:f>
        <x:v>0.7</x:v>
      </x:c>
      <x:c r="AR206" s="48" t="n">
        <x:f>0</x:f>
        <x:v>0</x:v>
      </x:c>
      <x:c r="AS206" s="48" t="n">
        <x: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(0.45*SIN(2*PI()*((((Inputs!$I$6+(((A206)+1)/2)*(Inputs!$J$6-Inputs!$I$6)))/Inputs!$C$49)+Inputs!$C$47*0.137))+0.35*COS(2*PI()*(((Inputs!$C$6)/Inputs!$C$50)+Inputs!$C$47*0.173))+0.20*SIN(2*PI()*((((Inputs!$I$6+(((A206)+1)/2)*(Inputs!$J$6-Inputs!$I$6)))+(Inputs!$C$6))/(0.5*(Inputs!$C$49+Inputs!$C$50))+Inputs!$C$47*0.097)))+0.30*(2*((SIN((((Inputs!$I$6+(((A206)+1)/2)*(Inputs!$J$6-Inputs!$I$6)))*12.9898+(Inputs!$C$6)*78.233+Inputs!$C$47*37.719))*43758.5453)-INT((SIN((((Inputs!$I$6+(((A206)+1)/2)*(Inputs!$J$6-Inputs!$I$6)))*12.9898+(Inputs!$C$6)*78.233+Inputs!$C$47*37.719))*43758.5453)))-1))),NA())</x:f>
        <x:v>271.1262021129023</x:v>
      </x:c>
      <x:c r="AT206" s="48" t="n">
        <x: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(0.45*SIN(2*PI()*((((Inputs!$I$7+(((A206)+1)/2)*(Inputs!$J$7-Inputs!$I$7)))/Inputs!$C$49)+Inputs!$C$47*0.137))+0.35*COS(2*PI()*(((Inputs!$C$6)/Inputs!$C$50)+Inputs!$C$47*0.173))+0.20*SIN(2*PI()*((((Inputs!$I$7+(((A206)+1)/2)*(Inputs!$J$7-Inputs!$I$7)))+(Inputs!$C$6))/(0.5*(Inputs!$C$49+Inputs!$C$50))+Inputs!$C$47*0.097)))+0.30*(2*((SIN((((Inputs!$I$7+(((A206)+1)/2)*(Inputs!$J$7-Inputs!$I$7)))*12.9898+(Inputs!$C$6)*78.233+Inputs!$C$47*37.719))*43758.5453)-INT((SIN((((Inputs!$I$7+(((A206)+1)/2)*(Inputs!$J$7-Inputs!$I$7)))*12.9898+(Inputs!$C$6)*78.233+Inputs!$C$47*37.719))*43758.5453)))-1))),NA())</x:f>
        <x:v>136.6689269288142</x:v>
      </x:c>
      <x:c r="AU206" s="48" t="n">
        <x: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(0.45*SIN(2*PI()*((((Inputs!$I$8+(((A206)+1)/2)*(Inputs!$J$8-Inputs!$I$8)))/Inputs!$C$49)+Inputs!$C$47*0.137))+0.35*COS(2*PI()*(((Inputs!$C$6)/Inputs!$C$50)+Inputs!$C$47*0.173))+0.20*SIN(2*PI()*((((Inputs!$I$8+(((A206)+1)/2)*(Inputs!$J$8-Inputs!$I$8)))+(Inputs!$C$6))/(0.5*(Inputs!$C$49+Inputs!$C$50))+Inputs!$C$47*0.097)))+0.30*(2*((SIN((((Inputs!$I$8+(((A206)+1)/2)*(Inputs!$J$8-Inputs!$I$8)))*12.9898+(Inputs!$C$6)*78.233+Inputs!$C$47*37.719))*43758.5453)-INT((SIN((((Inputs!$I$8+(((A206)+1)/2)*(Inputs!$J$8-Inputs!$I$8)))*12.9898+(Inputs!$C$6)*78.233+Inputs!$C$47*37.719))*43758.5453)))-1))),NA())</x:f>
        <x:v>162.4877576725972</x:v>
      </x:c>
      <x:c r="AV206" s="48" t="n">
        <x: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(0.45*SIN(2*PI()*((((Inputs!$I$9+(((A206)+1)/2)*(Inputs!$J$9-Inputs!$I$9)))/Inputs!$C$49)+Inputs!$C$47*0.137))+0.35*COS(2*PI()*(((Inputs!$C$6)/Inputs!$C$50)+Inputs!$C$47*0.173))+0.20*SIN(2*PI()*((((Inputs!$I$9+(((A206)+1)/2)*(Inputs!$J$9-Inputs!$I$9)))+(Inputs!$C$6))/(0.5*(Inputs!$C$49+Inputs!$C$50))+Inputs!$C$47*0.097)))+0.30*(2*((SIN((((Inputs!$I$9+(((A206)+1)/2)*(Inputs!$J$9-Inputs!$I$9)))*12.9898+(Inputs!$C$6)*78.233+Inputs!$C$47*37.719))*43758.5453)-INT((SIN((((Inputs!$I$9+(((A206)+1)/2)*(Inputs!$J$9-Inputs!$I$9)))*12.9898+(Inputs!$C$6)*78.233+Inputs!$C$47*37.719))*43758.5453)))-1))),NA())</x:f>
        <x:v>162.4877576725972</x:v>
      </x:c>
      <x:c r="AW206" s="49"/>
      <x:c r="AX206" s="48" t="n">
        <x:f>A206</x:f>
        <x:v>0.7</x:v>
      </x:c>
      <x:c r="AY206" s="48" t="n">
        <x:f>0</x:f>
        <x:v>0</x:v>
      </x:c>
      <x:c r="AZ206" s="48" t="n">
        <x:f>IF(OR(Inputs!$F$6=TRUE,Inputs!$F$6="TRUE",Inputs!$F$6=1),(Inputs!$H$6+Inputs!$L$6*(((Inputs!$I$6+(((A206)+1)/2)*(Inputs!$J$6-Inputs!$I$6)))/Inputs!$K$6)^2),NA())</x:f>
        <x:v>401.96</x:v>
      </x:c>
      <x:c r="BA206" s="48" t="n">
        <x:f>IF(OR(Inputs!$F$7=TRUE,Inputs!$F$7="TRUE",Inputs!$F$7=1),(Inputs!$H$7+Inputs!$L$7*(((Inputs!$I$7+(((A206)+1)/2)*(Inputs!$J$7-Inputs!$I$7)))/Inputs!$K$7)^2),NA())</x:f>
        <x:v>213.84999999999997</x:v>
      </x:c>
      <x:c r="BB206" s="48" t="n">
        <x:f>IF(OR(Inputs!$F$8=TRUE,Inputs!$F$8="TRUE",Inputs!$F$8=1),(Inputs!$H$8+Inputs!$L$8*(((Inputs!$I$8+(((A206)+1)/2)*(Inputs!$J$8-Inputs!$I$8)))/Inputs!$K$8)^2),NA())</x:f>
        <x:v>507.84999999999997</x:v>
      </x:c>
      <x:c r="BC206" s="48" t="n">
        <x:f>IF(OR(Inputs!$F$9=TRUE,Inputs!$F$9="TRUE",Inputs!$F$9=1),(Inputs!$H$9+Inputs!$L$9*(((Inputs!$I$9+(((A206)+1)/2)*(Inputs!$J$9-Inputs!$I$9)))/Inputs!$K$9)^2),NA())</x:f>
        <x:v>502.74999999999994</x:v>
      </x:c>
      <x:c r="BD206" s="49"/>
      <x:c r="BE206" s="48" t="n">
        <x:f>A206</x:f>
        <x:v>0.7</x:v>
      </x:c>
      <x:c r="BF206" s="48" t="n">
        <x:f>0</x:f>
        <x:v>0</x:v>
      </x:c>
      <x:c r="BG206" s="48"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BH206" s="48"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BI206" s="48"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BJ206" s="48"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row>
    <x:row r="207">
      <x:c r="A207" s="48" t="n">
        <x:f>ROUND(-1+205*2/240,3)</x:f>
        <x:v>0.708</x:v>
      </x:c>
      <x:c r="B207" s="48" t="n">
        <x:f>IF(OR(Inputs!$F$6=TRUE,Inputs!$F$6="TRUE",Inputs!$F$6=1),(Inputs!$H$6+Inputs!$L$6*(((Inputs!$I$6+(((A207)+1)/2)*(Inputs!$J$6-Inputs!$I$6)))/Inputs!$K$6)^2),NA())</x:f>
        <x:v>402.005056</x:v>
      </x:c>
      <x:c r="C207" s="48" t="n">
        <x:f>IF(OR(Inputs!$F$7=TRUE,Inputs!$F$7="TRUE",Inputs!$F$7=1),(Inputs!$H$7+Inputs!$L$7*(((Inputs!$I$7+(((A207)+1)/2)*(Inputs!$J$7-Inputs!$I$7)))/Inputs!$K$7)^2),NA())</x:f>
        <x:v>217.96135999999993</x:v>
      </x:c>
      <x:c r="D207" s="48" t="n">
        <x:f>IF(OR(Inputs!$F$8=TRUE,Inputs!$F$8="TRUE",Inputs!$F$8=1),(Inputs!$H$8+Inputs!$L$8*(((Inputs!$I$8+(((A207)+1)/2)*(Inputs!$J$8-Inputs!$I$8)))/Inputs!$K$8)^2),NA())</x:f>
        <x:v>518.7197599999998</x:v>
      </x:c>
      <x:c r="E207" s="48" t="n">
        <x:f>IF(OR(Inputs!$F$9=TRUE,Inputs!$F$9="TRUE",Inputs!$F$9=1),(Inputs!$H$9+Inputs!$L$9*(((Inputs!$I$9+(((A207)+1)/2)*(Inputs!$J$9-Inputs!$I$9)))/Inputs!$K$9)^2),NA())</x:f>
        <x:v>513.7323999999999</x:v>
      </x:c>
      <x:c r="F207" s="49"/>
      <x:c r="G207" s="48" t="n">
        <x:f>A207</x:f>
        <x:v>0.708</x:v>
      </x:c>
      <x:c r="H207" s="48"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I207" s="48"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J207" s="48"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K207" s="48"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c r="L207" s="49"/>
      <x:c r="M207" s="48" t="n">
        <x:f>A207</x:f>
        <x:v>0.708</x:v>
      </x:c>
      <x:c r="N207" s="48" t="n">
        <x: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x:f>
        <x:v>-360.5247083984869</x:v>
      </x:c>
      <x:c r="O207" s="48" t="n">
        <x: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x:f>
        <x:v>-2725.636784841162</x:v>
      </x:c>
      <x:c r="P207" s="48" t="n">
        <x: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x:f>
        <x:v>-3456.8523747265035</x:v>
      </x:c>
      <x:c r="Q207" s="48" t="n">
        <x: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x:f>
        <x:v>-3473.5118503776707</x:v>
      </x:c>
      <x:c r="R207" s="49"/>
      <x:c r="S207" s="48" t="n">
        <x:f>A207</x:f>
        <x:v>0.708</x:v>
      </x:c>
      <x:c r="T207" s="48" t="n">
        <x:f>(Inputs!$I$6+(((A207)+1)/2)*(Inputs!$J$6-Inputs!$I$6))</x:f>
        <x:v>42.480000000000004</x:v>
      </x:c>
      <x:c r="U207" s="48" t="n">
        <x:f>(Inputs!$I$7+(((A207)+1)/2)*(Inputs!$J$7-Inputs!$I$7))</x:f>
        <x:v>283.19999999999993</x:v>
      </x:c>
      <x:c r="V207" s="48" t="n">
        <x:f>(Inputs!$I$8+(((A207)+1)/2)*(Inputs!$J$8-Inputs!$I$8))</x:f>
        <x:v>566.3999999999999</x:v>
      </x:c>
      <x:c r="W207" s="48" t="n">
        <x:f>(Inputs!$I$9+(((A207)+1)/2)*(Inputs!$J$9-Inputs!$I$9))</x:f>
        <x:v>566.3999999999999</x:v>
      </x:c>
      <x:c r="X207" s="49"/>
      <x:c r="Y207" s="48" t="n">
        <x:f>A207</x:f>
        <x:v>0.708</x:v>
      </x:c>
      <x:c r="Z207" s="48" t="n">
        <x:f>(Inputs!$H$6+Inputs!$L$6*(((Inputs!$I$6+(((A207)+1)/2)*(Inputs!$J$6-Inputs!$I$6)))/Inputs!$K$6)^2)</x:f>
        <x:v>402.005056</x:v>
      </x:c>
      <x:c r="AA207" s="48" t="n">
        <x:f>(Inputs!$H$7+Inputs!$L$7*(((Inputs!$I$7+(((A207)+1)/2)*(Inputs!$J$7-Inputs!$I$7)))/Inputs!$K$7)^2)</x:f>
        <x:v>217.96135999999993</x:v>
      </x:c>
      <x:c r="AB207" s="48" t="n">
        <x:f>(Inputs!$H$8+Inputs!$L$8*(((Inputs!$I$8+(((A207)+1)/2)*(Inputs!$J$8-Inputs!$I$8)))/Inputs!$K$8)^2)</x:f>
        <x:v>518.7197599999998</x:v>
      </x:c>
      <x:c r="AC207" s="48" t="n">
        <x:f>(Inputs!$H$9+Inputs!$L$9*(((Inputs!$I$9+(((A207)+1)/2)*(Inputs!$J$9-Inputs!$I$9)))/Inputs!$K$9)^2)</x:f>
        <x:v>513.7323999999999</x:v>
      </x:c>
      <x:c r="AD207" s="49"/>
      <x:c r="AE207" s="48" t="n">
        <x:f>A207</x:f>
        <x:v>0.708</x:v>
      </x:c>
      <x:c r="AF207" s="48" t="n">
        <x:f>(((SQRT((Inputs!$C$52+((Inputs!$H$6+Inputs!$L$6*(((Inputs!$I$6+(((A207)+1)/2)*(Inputs!$J$6-Inputs!$I$6)))/Inputs!$K$6)^2)))^2+Inputs!$C$52^2-2*(Inputs!$C$52+((Inputs!$H$6+Inputs!$L$6*(((Inputs!$I$6+(((A207)+1)/2)*(Inputs!$J$6-Inputs!$I$6)))/Inputs!$K$6)^2)))*Inputs!$C$52*COS(SQRT(((Inputs!$I$6+(((A207)+1)/2)*(Inputs!$J$6-Inputs!$I$6)))^2+Inputs!$C$6^2)/Inputs!$C$52)))-((Inputs!$H$6+Inputs!$L$6*(((Inputs!$I$6+(((A207)+1)/2)*(Inputs!$J$6-Inputs!$I$6)))/Inputs!$K$6)^2)))*1000/Inputs!$C$12)</x:f>
        <x:v>2124.712272046672</x:v>
      </x:c>
      <x:c r="AG207" s="48" t="n">
        <x:f>(((SQRT((Inputs!$C$52+((Inputs!$H$7+Inputs!$L$7*(((Inputs!$I$7+(((A207)+1)/2)*(Inputs!$J$7-Inputs!$I$7)))/Inputs!$K$7)^2)))^2+Inputs!$C$52^2-2*(Inputs!$C$52+((Inputs!$H$7+Inputs!$L$7*(((Inputs!$I$7+(((A207)+1)/2)*(Inputs!$J$7-Inputs!$I$7)))/Inputs!$K$7)^2)))*Inputs!$C$52*COS(SQRT(((Inputs!$I$7+(((A207)+1)/2)*(Inputs!$J$7-Inputs!$I$7)))^2+Inputs!$C$6^2)/Inputs!$C$52)))-((Inputs!$H$7+Inputs!$L$7*(((Inputs!$I$7+(((A207)+1)/2)*(Inputs!$J$7-Inputs!$I$7)))/Inputs!$K$7)^2)))*1000/Inputs!$C$12)</x:f>
        <x:v>87279.73066416998</x:v>
      </x:c>
      <x:c r="AH207" s="48" t="n">
        <x:f>(((SQRT((Inputs!$C$52+((Inputs!$H$8+Inputs!$L$8*(((Inputs!$I$8+(((A207)+1)/2)*(Inputs!$J$8-Inputs!$I$8)))/Inputs!$K$8)^2)))^2+Inputs!$C$52^2-2*(Inputs!$C$52+((Inputs!$H$8+Inputs!$L$8*(((Inputs!$I$8+(((A207)+1)/2)*(Inputs!$J$8-Inputs!$I$8)))/Inputs!$K$8)^2)))*Inputs!$C$52*COS(SQRT(((Inputs!$I$8+(((A207)+1)/2)*(Inputs!$J$8-Inputs!$I$8)))^2+Inputs!$C$6^2)/Inputs!$C$52)))-((Inputs!$H$8+Inputs!$L$8*(((Inputs!$I$8+(((A207)+1)/2)*(Inputs!$J$8-Inputs!$I$8)))/Inputs!$K$8)^2)))*1000/Inputs!$C$12)</x:f>
        <x:v>176141.22062529347</x:v>
      </x:c>
      <x:c r="AI207" s="48" t="n">
        <x:f>(((SQRT((Inputs!$C$52+((Inputs!$H$9+Inputs!$L$9*(((Inputs!$I$9+(((A207)+1)/2)*(Inputs!$J$9-Inputs!$I$9)))/Inputs!$K$9)^2)))^2+Inputs!$C$52^2-2*(Inputs!$C$52+((Inputs!$H$9+Inputs!$L$9*(((Inputs!$I$9+(((A207)+1)/2)*(Inputs!$J$9-Inputs!$I$9)))/Inputs!$K$9)^2)))*Inputs!$C$52*COS(SQRT(((Inputs!$I$9+(((A207)+1)/2)*(Inputs!$J$9-Inputs!$I$9)))^2+Inputs!$C$6^2)/Inputs!$C$52)))-((Inputs!$H$9+Inputs!$L$9*(((Inputs!$I$9+(((A207)+1)/2)*(Inputs!$J$9-Inputs!$I$9)))/Inputs!$K$9)^2)))*1000/Inputs!$C$12)</x:f>
        <x:v>176857.64075456728</x:v>
      </x:c>
      <x:c r="AJ207" s="49"/>
      <x:c r="AK207" s="48" t="n">
        <x:f>A207</x:f>
        <x:v>0.708</x:v>
      </x:c>
      <x:c r="AL207" s="48" t="n">
        <x: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x:f>
        <x:v>-360.5247083984869</x:v>
      </x:c>
      <x:c r="AM207" s="48" t="n">
        <x: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x:f>
        <x:v>-2725.636784841162</x:v>
      </x:c>
      <x:c r="AN207" s="48" t="n">
        <x: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x:f>
        <x:v>-3456.8523747265035</x:v>
      </x:c>
      <x:c r="AO207" s="48" t="n">
        <x: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x:f>
        <x:v>-3473.5118503776707</x:v>
      </x:c>
      <x:c r="AP207" s="49"/>
      <x:c r="AQ207" s="48" t="n">
        <x:f>A207</x:f>
        <x:v>0.708</x:v>
      </x:c>
      <x:c r="AR207" s="48" t="n">
        <x:f>0</x:f>
        <x:v>0</x:v>
      </x:c>
      <x:c r="AS207" s="48" t="n">
        <x: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(0.45*SIN(2*PI()*((((Inputs!$I$6+(((A207)+1)/2)*(Inputs!$J$6-Inputs!$I$6)))/Inputs!$C$49)+Inputs!$C$47*0.137))+0.35*COS(2*PI()*(((Inputs!$C$6)/Inputs!$C$50)+Inputs!$C$47*0.173))+0.20*SIN(2*PI()*((((Inputs!$I$6+(((A207)+1)/2)*(Inputs!$J$6-Inputs!$I$6)))+(Inputs!$C$6))/(0.5*(Inputs!$C$49+Inputs!$C$50))+Inputs!$C$47*0.097)))+0.30*(2*((SIN((((Inputs!$I$6+(((A207)+1)/2)*(Inputs!$J$6-Inputs!$I$6)))*12.9898+(Inputs!$C$6)*78.233+Inputs!$C$47*37.719))*43758.5453)-INT((SIN((((Inputs!$I$6+(((A207)+1)/2)*(Inputs!$J$6-Inputs!$I$6)))*12.9898+(Inputs!$C$6)*78.233+Inputs!$C$47*37.719))*43758.5453)))-1))),NA())</x:f>
        <x:v>268.50313597712363</x:v>
      </x:c>
      <x:c r="AT207" s="48" t="n">
        <x: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(0.45*SIN(2*PI()*((((Inputs!$I$7+(((A207)+1)/2)*(Inputs!$J$7-Inputs!$I$7)))/Inputs!$C$49)+Inputs!$C$47*0.137))+0.35*COS(2*PI()*(((Inputs!$C$6)/Inputs!$C$50)+Inputs!$C$47*0.173))+0.20*SIN(2*PI()*((((Inputs!$I$7+(((A207)+1)/2)*(Inputs!$J$7-Inputs!$I$7)))+(Inputs!$C$6))/(0.5*(Inputs!$C$49+Inputs!$C$50))+Inputs!$C$47*0.097)))+0.30*(2*((SIN((((Inputs!$I$7+(((A207)+1)/2)*(Inputs!$J$7-Inputs!$I$7)))*12.9898+(Inputs!$C$6)*78.233+Inputs!$C$47*37.719))*43758.5453)-INT((SIN((((Inputs!$I$7+(((A207)+1)/2)*(Inputs!$J$7-Inputs!$I$7)))*12.9898+(Inputs!$C$6)*78.233+Inputs!$C$47*37.719))*43758.5453)))-1))),NA())</x:f>
        <x:v>89.51088137188027</x:v>
      </x:c>
      <x:c r="AU207" s="48" t="n">
        <x: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(0.45*SIN(2*PI()*((((Inputs!$I$8+(((A207)+1)/2)*(Inputs!$J$8-Inputs!$I$8)))/Inputs!$C$49)+Inputs!$C$47*0.137))+0.35*COS(2*PI()*(((Inputs!$C$6)/Inputs!$C$50)+Inputs!$C$47*0.173))+0.20*SIN(2*PI()*((((Inputs!$I$8+(((A207)+1)/2)*(Inputs!$J$8-Inputs!$I$8)))+(Inputs!$C$6))/(0.5*(Inputs!$C$49+Inputs!$C$50))+Inputs!$C$47*0.097)))+0.30*(2*((SIN((((Inputs!$I$8+(((A207)+1)/2)*(Inputs!$J$8-Inputs!$I$8)))*12.9898+(Inputs!$C$6)*78.233+Inputs!$C$47*37.719))*43758.5453)-INT((SIN((((Inputs!$I$8+(((A207)+1)/2)*(Inputs!$J$8-Inputs!$I$8)))*12.9898+(Inputs!$C$6)*78.233+Inputs!$C$47*37.719))*43758.5453)))-1))),NA())</x:f>
        <x:v>176.90824782568845</x:v>
      </x:c>
      <x:c r="AV207" s="48" t="n">
        <x: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(0.45*SIN(2*PI()*((((Inputs!$I$9+(((A207)+1)/2)*(Inputs!$J$9-Inputs!$I$9)))/Inputs!$C$49)+Inputs!$C$47*0.137))+0.35*COS(2*PI()*(((Inputs!$C$6)/Inputs!$C$50)+Inputs!$C$47*0.173))+0.20*SIN(2*PI()*((((Inputs!$I$9+(((A207)+1)/2)*(Inputs!$J$9-Inputs!$I$9)))+(Inputs!$C$6))/(0.5*(Inputs!$C$49+Inputs!$C$50))+Inputs!$C$47*0.097)))+0.30*(2*((SIN((((Inputs!$I$9+(((A207)+1)/2)*(Inputs!$J$9-Inputs!$I$9)))*12.9898+(Inputs!$C$6)*78.233+Inputs!$C$47*37.719))*43758.5453)-INT((SIN((((Inputs!$I$9+(((A207)+1)/2)*(Inputs!$J$9-Inputs!$I$9)))*12.9898+(Inputs!$C$6)*78.233+Inputs!$C$47*37.719))*43758.5453)))-1))),NA())</x:f>
        <x:v>176.90824782568845</x:v>
      </x:c>
      <x:c r="AW207" s="49"/>
      <x:c r="AX207" s="48" t="n">
        <x:f>A207</x:f>
        <x:v>0.708</x:v>
      </x:c>
      <x:c r="AY207" s="48" t="n">
        <x:f>0</x:f>
        <x:v>0</x:v>
      </x:c>
      <x:c r="AZ207" s="48" t="n">
        <x:f>IF(OR(Inputs!$F$6=TRUE,Inputs!$F$6="TRUE",Inputs!$F$6=1),(Inputs!$H$6+Inputs!$L$6*(((Inputs!$I$6+(((A207)+1)/2)*(Inputs!$J$6-Inputs!$I$6)))/Inputs!$K$6)^2),NA())</x:f>
        <x:v>402.005056</x:v>
      </x:c>
      <x:c r="BA207" s="48" t="n">
        <x:f>IF(OR(Inputs!$F$7=TRUE,Inputs!$F$7="TRUE",Inputs!$F$7=1),(Inputs!$H$7+Inputs!$L$7*(((Inputs!$I$7+(((A207)+1)/2)*(Inputs!$J$7-Inputs!$I$7)))/Inputs!$K$7)^2),NA())</x:f>
        <x:v>217.96135999999993</x:v>
      </x:c>
      <x:c r="BB207" s="48" t="n">
        <x:f>IF(OR(Inputs!$F$8=TRUE,Inputs!$F$8="TRUE",Inputs!$F$8=1),(Inputs!$H$8+Inputs!$L$8*(((Inputs!$I$8+(((A207)+1)/2)*(Inputs!$J$8-Inputs!$I$8)))/Inputs!$K$8)^2),NA())</x:f>
        <x:v>518.7197599999998</x:v>
      </x:c>
      <x:c r="BC207" s="48" t="n">
        <x:f>IF(OR(Inputs!$F$9=TRUE,Inputs!$F$9="TRUE",Inputs!$F$9=1),(Inputs!$H$9+Inputs!$L$9*(((Inputs!$I$9+(((A207)+1)/2)*(Inputs!$J$9-Inputs!$I$9)))/Inputs!$K$9)^2),NA())</x:f>
        <x:v>513.7323999999999</x:v>
      </x:c>
      <x:c r="BD207" s="49"/>
      <x:c r="BE207" s="48" t="n">
        <x:f>A207</x:f>
        <x:v>0.708</x:v>
      </x:c>
      <x:c r="BF207" s="48" t="n">
        <x:f>0</x:f>
        <x:v>0</x:v>
      </x:c>
      <x:c r="BG207" s="48"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BH207" s="48"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BI207" s="48"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BJ207" s="48"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row>
    <x:row r="208">
      <x:c r="A208" s="48" t="n">
        <x:f>ROUND(-1+206*2/240,3)</x:f>
        <x:v>0.717</x:v>
      </x:c>
      <x:c r="B208" s="48" t="n">
        <x:f>IF(OR(Inputs!$F$6=TRUE,Inputs!$F$6="TRUE",Inputs!$F$6=1),(Inputs!$H$6+Inputs!$L$6*(((Inputs!$I$6+(((A208)+1)/2)*(Inputs!$J$6-Inputs!$I$6)))/Inputs!$K$6)^2),NA())</x:f>
        <x:v>402.056356</x:v>
      </x:c>
      <x:c r="C208" s="48" t="n">
        <x:f>IF(OR(Inputs!$F$7=TRUE,Inputs!$F$7="TRUE",Inputs!$F$7=1),(Inputs!$H$7+Inputs!$L$7*(((Inputs!$I$7+(((A208)+1)/2)*(Inputs!$J$7-Inputs!$I$7)))/Inputs!$K$7)^2),NA())</x:f>
        <x:v>222.64248500000008</x:v>
      </x:c>
      <x:c r="D208" s="48" t="n">
        <x:f>IF(OR(Inputs!$F$8=TRUE,Inputs!$F$8="TRUE",Inputs!$F$8=1),(Inputs!$H$8+Inputs!$L$8*(((Inputs!$I$8+(((A208)+1)/2)*(Inputs!$J$8-Inputs!$I$8)))/Inputs!$K$8)^2),NA())</x:f>
        <x:v>531.0958850000002</x:v>
      </x:c>
      <x:c r="E208" s="48" t="n">
        <x:f>IF(OR(Inputs!$F$9=TRUE,Inputs!$F$9="TRUE",Inputs!$F$9=1),(Inputs!$H$9+Inputs!$L$9*(((Inputs!$I$9+(((A208)+1)/2)*(Inputs!$J$9-Inputs!$I$9)))/Inputs!$K$9)^2),NA())</x:f>
        <x:v>526.2367750000003</x:v>
      </x:c>
      <x:c r="F208" s="49"/>
      <x:c r="G208" s="48" t="n">
        <x:f>A208</x:f>
        <x:v>0.717</x:v>
      </x:c>
      <x:c r="H208" s="48"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I208" s="48"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J208" s="48"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K208" s="48"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c r="L208" s="49"/>
      <x:c r="M208" s="48" t="n">
        <x:f>A208</x:f>
        <x:v>0.717</x:v>
      </x:c>
      <x:c r="N208" s="48" t="n">
        <x: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x:f>
        <x:v>-365.027323117655</x:v>
      </x:c>
      <x:c r="O208" s="48" t="n">
        <x: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x:f>
        <x:v>-2748.3369418124944</x:v>
      </x:c>
      <x:c r="P208" s="48" t="n">
        <x: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x:f>
        <x:v>-3492.617459218544</x:v>
      </x:c>
      <x:c r="Q208" s="48" t="n">
        <x: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x:f>
        <x:v>-3509.8451355639663</x:v>
      </x:c>
      <x:c r="R208" s="49"/>
      <x:c r="S208" s="48" t="n">
        <x:f>A208</x:f>
        <x:v>0.717</x:v>
      </x:c>
      <x:c r="T208" s="48" t="n">
        <x:f>(Inputs!$I$6+(((A208)+1)/2)*(Inputs!$J$6-Inputs!$I$6))</x:f>
        <x:v>43.02000000000001</x:v>
      </x:c>
      <x:c r="U208" s="48" t="n">
        <x:f>(Inputs!$I$7+(((A208)+1)/2)*(Inputs!$J$7-Inputs!$I$7))</x:f>
        <x:v>286.80000000000007</x:v>
      </x:c>
      <x:c r="V208" s="48" t="n">
        <x:f>(Inputs!$I$8+(((A208)+1)/2)*(Inputs!$J$8-Inputs!$I$8))</x:f>
        <x:v>573.6000000000001</x:v>
      </x:c>
      <x:c r="W208" s="48" t="n">
        <x:f>(Inputs!$I$9+(((A208)+1)/2)*(Inputs!$J$9-Inputs!$I$9))</x:f>
        <x:v>573.6000000000001</x:v>
      </x:c>
      <x:c r="X208" s="49"/>
      <x:c r="Y208" s="48" t="n">
        <x:f>A208</x:f>
        <x:v>0.717</x:v>
      </x:c>
      <x:c r="Z208" s="48" t="n">
        <x:f>(Inputs!$H$6+Inputs!$L$6*(((Inputs!$I$6+(((A208)+1)/2)*(Inputs!$J$6-Inputs!$I$6)))/Inputs!$K$6)^2)</x:f>
        <x:v>402.056356</x:v>
      </x:c>
      <x:c r="AA208" s="48" t="n">
        <x:f>(Inputs!$H$7+Inputs!$L$7*(((Inputs!$I$7+(((A208)+1)/2)*(Inputs!$J$7-Inputs!$I$7)))/Inputs!$K$7)^2)</x:f>
        <x:v>222.64248500000008</x:v>
      </x:c>
      <x:c r="AB208" s="48" t="n">
        <x:f>(Inputs!$H$8+Inputs!$L$8*(((Inputs!$I$8+(((A208)+1)/2)*(Inputs!$J$8-Inputs!$I$8)))/Inputs!$K$8)^2)</x:f>
        <x:v>531.0958850000002</x:v>
      </x:c>
      <x:c r="AC208" s="48" t="n">
        <x:f>(Inputs!$H$9+Inputs!$L$9*(((Inputs!$I$9+(((A208)+1)/2)*(Inputs!$J$9-Inputs!$I$9)))/Inputs!$K$9)^2)</x:f>
        <x:v>526.2367750000003</x:v>
      </x:c>
      <x:c r="AD208" s="49"/>
      <x:c r="AE208" s="48" t="n">
        <x:f>A208</x:f>
        <x:v>0.717</x:v>
      </x:c>
      <x:c r="AF208" s="48" t="n">
        <x:f>(((SQRT((Inputs!$C$52+((Inputs!$H$6+Inputs!$L$6*(((Inputs!$I$6+(((A208)+1)/2)*(Inputs!$J$6-Inputs!$I$6)))/Inputs!$K$6)^2)))^2+Inputs!$C$52^2-2*(Inputs!$C$52+((Inputs!$H$6+Inputs!$L$6*(((Inputs!$I$6+(((A208)+1)/2)*(Inputs!$J$6-Inputs!$I$6)))/Inputs!$K$6)^2)))*Inputs!$C$52*COS(SQRT(((Inputs!$I$6+(((A208)+1)/2)*(Inputs!$J$6-Inputs!$I$6)))^2+Inputs!$C$6^2)/Inputs!$C$52)))-((Inputs!$H$6+Inputs!$L$6*(((Inputs!$I$6+(((A208)+1)/2)*(Inputs!$J$6-Inputs!$I$6)))/Inputs!$K$6)^2)))*1000/Inputs!$C$12)</x:f>
        <x:v>2164.6768722505935</x:v>
      </x:c>
      <x:c r="AG208" s="48" t="n">
        <x:f>(((SQRT((Inputs!$C$52+((Inputs!$H$7+Inputs!$L$7*(((Inputs!$I$7+(((A208)+1)/2)*(Inputs!$J$7-Inputs!$I$7)))/Inputs!$K$7)^2)))^2+Inputs!$C$52^2-2*(Inputs!$C$52+((Inputs!$H$7+Inputs!$L$7*(((Inputs!$I$7+(((A208)+1)/2)*(Inputs!$J$7-Inputs!$I$7)))/Inputs!$K$7)^2)))*Inputs!$C$52*COS(SQRT(((Inputs!$I$7+(((A208)+1)/2)*(Inputs!$J$7-Inputs!$I$7)))^2+Inputs!$C$6^2)/Inputs!$C$52)))-((Inputs!$H$7+Inputs!$L$7*(((Inputs!$I$7+(((A208)+1)/2)*(Inputs!$J$7-Inputs!$I$7)))/Inputs!$K$7)^2)))*1000/Inputs!$C$12)</x:f>
        <x:v>88109.54573142262</x:v>
      </x:c>
      <x:c r="AH208" s="48" t="n">
        <x:f>(((SQRT((Inputs!$C$52+((Inputs!$H$8+Inputs!$L$8*(((Inputs!$I$8+(((A208)+1)/2)*(Inputs!$J$8-Inputs!$I$8)))/Inputs!$K$8)^2)))^2+Inputs!$C$52^2-2*(Inputs!$C$52+((Inputs!$H$8+Inputs!$L$8*(((Inputs!$I$8+(((A208)+1)/2)*(Inputs!$J$8-Inputs!$I$8)))/Inputs!$K$8)^2)))*Inputs!$C$52*COS(SQRT(((Inputs!$I$8+(((A208)+1)/2)*(Inputs!$J$8-Inputs!$I$8)))^2+Inputs!$C$6^2)/Inputs!$C$52)))-((Inputs!$H$8+Inputs!$L$8*(((Inputs!$I$8+(((A208)+1)/2)*(Inputs!$J$8-Inputs!$I$8)))/Inputs!$K$8)^2)))*1000/Inputs!$C$12)</x:f>
        <x:v>177972.75585280065</x:v>
      </x:c>
      <x:c r="AI208" s="48" t="n">
        <x:f>(((SQRT((Inputs!$C$52+((Inputs!$H$9+Inputs!$L$9*(((Inputs!$I$9+(((A208)+1)/2)*(Inputs!$J$9-Inputs!$I$9)))/Inputs!$K$9)^2)))^2+Inputs!$C$52^2-2*(Inputs!$C$52+((Inputs!$H$9+Inputs!$L$9*(((Inputs!$I$9+(((A208)+1)/2)*(Inputs!$J$9-Inputs!$I$9)))/Inputs!$K$9)^2)))*Inputs!$C$52*COS(SQRT(((Inputs!$I$9+(((A208)+1)/2)*(Inputs!$J$9-Inputs!$I$9)))^2+Inputs!$C$6^2)/Inputs!$C$52)))-((Inputs!$H$9+Inputs!$L$9*(((Inputs!$I$9+(((A208)+1)/2)*(Inputs!$J$9-Inputs!$I$9)))/Inputs!$K$9)^2)))*1000/Inputs!$C$12)</x:f>
        <x:v>178659.96083745718</x:v>
      </x:c>
      <x:c r="AJ208" s="49"/>
      <x:c r="AK208" s="48" t="n">
        <x:f>A208</x:f>
        <x:v>0.717</x:v>
      </x:c>
      <x:c r="AL208" s="48" t="n">
        <x: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x:f>
        <x:v>-365.027323117655</x:v>
      </x:c>
      <x:c r="AM208" s="48" t="n">
        <x: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x:f>
        <x:v>-2748.3369418124944</x:v>
      </x:c>
      <x:c r="AN208" s="48" t="n">
        <x: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x:f>
        <x:v>-3492.617459218544</x:v>
      </x:c>
      <x:c r="AO208" s="48" t="n">
        <x: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x:f>
        <x:v>-3509.8451355639663</x:v>
      </x:c>
      <x:c r="AP208" s="49"/>
      <x:c r="AQ208" s="48" t="n">
        <x:f>A208</x:f>
        <x:v>0.717</x:v>
      </x:c>
      <x:c r="AR208" s="48" t="n">
        <x:f>0</x:f>
        <x:v>0</x:v>
      </x:c>
      <x:c r="AS208" s="48" t="n">
        <x: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(0.45*SIN(2*PI()*((((Inputs!$I$6+(((A208)+1)/2)*(Inputs!$J$6-Inputs!$I$6)))/Inputs!$C$49)+Inputs!$C$47*0.137))+0.35*COS(2*PI()*(((Inputs!$C$6)/Inputs!$C$50)+Inputs!$C$47*0.173))+0.20*SIN(2*PI()*((((Inputs!$I$6+(((A208)+1)/2)*(Inputs!$J$6-Inputs!$I$6)))+(Inputs!$C$6))/(0.5*(Inputs!$C$49+Inputs!$C$50))+Inputs!$C$47*0.097)))+0.30*(2*((SIN((((Inputs!$I$6+(((A208)+1)/2)*(Inputs!$J$6-Inputs!$I$6)))*12.9898+(Inputs!$C$6)*78.233+Inputs!$C$47*37.719))*43758.5453)-INT((SIN((((Inputs!$I$6+(((A208)+1)/2)*(Inputs!$J$6-Inputs!$I$6)))*12.9898+(Inputs!$C$6)*78.233+Inputs!$C$47*37.719))*43758.5453)))-1))),NA())</x:f>
        <x:v>228.73323738958655</x:v>
      </x:c>
      <x:c r="AT208" s="48" t="n">
        <x: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(0.45*SIN(2*PI()*((((Inputs!$I$7+(((A208)+1)/2)*(Inputs!$J$7-Inputs!$I$7)))/Inputs!$C$49)+Inputs!$C$47*0.137))+0.35*COS(2*PI()*(((Inputs!$C$6)/Inputs!$C$50)+Inputs!$C$47*0.173))+0.20*SIN(2*PI()*((((Inputs!$I$7+(((A208)+1)/2)*(Inputs!$J$7-Inputs!$I$7)))+(Inputs!$C$6))/(0.5*(Inputs!$C$49+Inputs!$C$50))+Inputs!$C$47*0.097)))+0.30*(2*((SIN((((Inputs!$I$7+(((A208)+1)/2)*(Inputs!$J$7-Inputs!$I$7)))*12.9898+(Inputs!$C$6)*78.233+Inputs!$C$47*37.719))*43758.5453)-INT((SIN((((Inputs!$I$7+(((A208)+1)/2)*(Inputs!$J$7-Inputs!$I$7)))*12.9898+(Inputs!$C$6)*78.233+Inputs!$C$47*37.719))*43758.5453)))-1))),NA())</x:f>
        <x:v>132.01989806599863</x:v>
      </x:c>
      <x:c r="AU208" s="48" t="n">
        <x: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(0.45*SIN(2*PI()*((((Inputs!$I$8+(((A208)+1)/2)*(Inputs!$J$8-Inputs!$I$8)))/Inputs!$C$49)+Inputs!$C$47*0.137))+0.35*COS(2*PI()*(((Inputs!$C$6)/Inputs!$C$50)+Inputs!$C$47*0.173))+0.20*SIN(2*PI()*((((Inputs!$I$8+(((A208)+1)/2)*(Inputs!$J$8-Inputs!$I$8)))+(Inputs!$C$6))/(0.5*(Inputs!$C$49+Inputs!$C$50))+Inputs!$C$47*0.097)))+0.30*(2*((SIN((((Inputs!$I$8+(((A208)+1)/2)*(Inputs!$J$8-Inputs!$I$8)))*12.9898+(Inputs!$C$6)*78.233+Inputs!$C$47*37.719))*43758.5453)-INT((SIN((((Inputs!$I$8+(((A208)+1)/2)*(Inputs!$J$8-Inputs!$I$8)))*12.9898+(Inputs!$C$6)*78.233+Inputs!$C$47*37.719))*43758.5453)))-1))),NA())</x:f>
        <x:v>79.48808163669973</x:v>
      </x:c>
      <x:c r="AV208" s="48" t="n">
        <x: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(0.45*SIN(2*PI()*((((Inputs!$I$9+(((A208)+1)/2)*(Inputs!$J$9-Inputs!$I$9)))/Inputs!$C$49)+Inputs!$C$47*0.137))+0.35*COS(2*PI()*(((Inputs!$C$6)/Inputs!$C$50)+Inputs!$C$47*0.173))+0.20*SIN(2*PI()*((((Inputs!$I$9+(((A208)+1)/2)*(Inputs!$J$9-Inputs!$I$9)))+(Inputs!$C$6))/(0.5*(Inputs!$C$49+Inputs!$C$50))+Inputs!$C$47*0.097)))+0.30*(2*((SIN((((Inputs!$I$9+(((A208)+1)/2)*(Inputs!$J$9-Inputs!$I$9)))*12.9898+(Inputs!$C$6)*78.233+Inputs!$C$47*37.719))*43758.5453)-INT((SIN((((Inputs!$I$9+(((A208)+1)/2)*(Inputs!$J$9-Inputs!$I$9)))*12.9898+(Inputs!$C$6)*78.233+Inputs!$C$47*37.719))*43758.5453)))-1))),NA())</x:f>
        <x:v>79.48808163669973</x:v>
      </x:c>
      <x:c r="AW208" s="49"/>
      <x:c r="AX208" s="48" t="n">
        <x:f>A208</x:f>
        <x:v>0.717</x:v>
      </x:c>
      <x:c r="AY208" s="48" t="n">
        <x:f>0</x:f>
        <x:v>0</x:v>
      </x:c>
      <x:c r="AZ208" s="48" t="n">
        <x:f>IF(OR(Inputs!$F$6=TRUE,Inputs!$F$6="TRUE",Inputs!$F$6=1),(Inputs!$H$6+Inputs!$L$6*(((Inputs!$I$6+(((A208)+1)/2)*(Inputs!$J$6-Inputs!$I$6)))/Inputs!$K$6)^2),NA())</x:f>
        <x:v>402.056356</x:v>
      </x:c>
      <x:c r="BA208" s="48" t="n">
        <x:f>IF(OR(Inputs!$F$7=TRUE,Inputs!$F$7="TRUE",Inputs!$F$7=1),(Inputs!$H$7+Inputs!$L$7*(((Inputs!$I$7+(((A208)+1)/2)*(Inputs!$J$7-Inputs!$I$7)))/Inputs!$K$7)^2),NA())</x:f>
        <x:v>222.64248500000008</x:v>
      </x:c>
      <x:c r="BB208" s="48" t="n">
        <x:f>IF(OR(Inputs!$F$8=TRUE,Inputs!$F$8="TRUE",Inputs!$F$8=1),(Inputs!$H$8+Inputs!$L$8*(((Inputs!$I$8+(((A208)+1)/2)*(Inputs!$J$8-Inputs!$I$8)))/Inputs!$K$8)^2),NA())</x:f>
        <x:v>531.0958850000002</x:v>
      </x:c>
      <x:c r="BC208" s="48" t="n">
        <x:f>IF(OR(Inputs!$F$9=TRUE,Inputs!$F$9="TRUE",Inputs!$F$9=1),(Inputs!$H$9+Inputs!$L$9*(((Inputs!$I$9+(((A208)+1)/2)*(Inputs!$J$9-Inputs!$I$9)))/Inputs!$K$9)^2),NA())</x:f>
        <x:v>526.2367750000003</x:v>
      </x:c>
      <x:c r="BD208" s="49"/>
      <x:c r="BE208" s="48" t="n">
        <x:f>A208</x:f>
        <x:v>0.717</x:v>
      </x:c>
      <x:c r="BF208" s="48" t="n">
        <x:f>0</x:f>
        <x:v>0</x:v>
      </x:c>
      <x:c r="BG208" s="48"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BH208" s="48"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BI208" s="48"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BJ208" s="48"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row>
    <x:row r="209">
      <x:c r="A209" s="48" t="n">
        <x:f>ROUND(-1+207*2/240,3)</x:f>
        <x:v>0.725</x:v>
      </x:c>
      <x:c r="B209" s="48" t="n">
        <x:f>IF(OR(Inputs!$F$6=TRUE,Inputs!$F$6="TRUE",Inputs!$F$6=1),(Inputs!$H$6+Inputs!$L$6*(((Inputs!$I$6+(((A209)+1)/2)*(Inputs!$J$6-Inputs!$I$6)))/Inputs!$K$6)^2),NA())</x:f>
        <x:v>402.1025</x:v>
      </x:c>
      <x:c r="C209" s="48" t="n">
        <x:f>IF(OR(Inputs!$F$7=TRUE,Inputs!$F$7="TRUE",Inputs!$F$7=1),(Inputs!$H$7+Inputs!$L$7*(((Inputs!$I$7+(((A209)+1)/2)*(Inputs!$J$7-Inputs!$I$7)))/Inputs!$K$7)^2),NA())</x:f>
        <x:v>226.853125</x:v>
      </x:c>
      <x:c r="D209" s="48" t="n">
        <x:f>IF(OR(Inputs!$F$8=TRUE,Inputs!$F$8="TRUE",Inputs!$F$8=1),(Inputs!$H$8+Inputs!$L$8*(((Inputs!$I$8+(((A209)+1)/2)*(Inputs!$J$8-Inputs!$I$8)))/Inputs!$K$8)^2),NA())</x:f>
        <x:v>542.2281250000001</x:v>
      </x:c>
      <x:c r="E209" s="48" t="n">
        <x:f>IF(OR(Inputs!$F$9=TRUE,Inputs!$F$9="TRUE",Inputs!$F$9=1),(Inputs!$H$9+Inputs!$L$9*(((Inputs!$I$9+(((A209)+1)/2)*(Inputs!$J$9-Inputs!$I$9)))/Inputs!$K$9)^2),NA())</x:f>
        <x:v>537.484375</x:v>
      </x:c>
      <x:c r="F209" s="49"/>
      <x:c r="G209" s="48" t="n">
        <x:f>A209</x:f>
        <x:v>0.725</x:v>
      </x:c>
      <x:c r="H209" s="48"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I209" s="48"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J209" s="48"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K209" s="48"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c r="L209" s="49"/>
      <x:c r="M209" s="48" t="n">
        <x:f>A209</x:f>
        <x:v>0.725</x:v>
      </x:c>
      <x:c r="N209" s="48" t="n">
        <x: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x:f>
        <x:v>-369.027155797523</x:v>
      </x:c>
      <x:c r="O209" s="48" t="n">
        <x: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x:f>
        <x:v>-2768.6242500880076</x:v>
      </x:c>
      <x:c r="P209" s="48" t="n">
        <x: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x:f>
        <x:v>-3524.5176065915875</x:v>
      </x:c>
      <x:c r="Q209" s="48" t="n">
        <x: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x:f>
        <x:v>-3542.248200483351</x:v>
      </x:c>
      <x:c r="R209" s="49"/>
      <x:c r="S209" s="48" t="n">
        <x:f>A209</x:f>
        <x:v>0.725</x:v>
      </x:c>
      <x:c r="T209" s="48" t="n">
        <x:f>(Inputs!$I$6+(((A209)+1)/2)*(Inputs!$J$6-Inputs!$I$6))</x:f>
        <x:v>43.5</x:v>
      </x:c>
      <x:c r="U209" s="48" t="n">
        <x:f>(Inputs!$I$7+(((A209)+1)/2)*(Inputs!$J$7-Inputs!$I$7))</x:f>
        <x:v>290</x:v>
      </x:c>
      <x:c r="V209" s="48" t="n">
        <x:f>(Inputs!$I$8+(((A209)+1)/2)*(Inputs!$J$8-Inputs!$I$8))</x:f>
        <x:v>580</x:v>
      </x:c>
      <x:c r="W209" s="48" t="n">
        <x:f>(Inputs!$I$9+(((A209)+1)/2)*(Inputs!$J$9-Inputs!$I$9))</x:f>
        <x:v>580</x:v>
      </x:c>
      <x:c r="X209" s="49"/>
      <x:c r="Y209" s="48" t="n">
        <x:f>A209</x:f>
        <x:v>0.725</x:v>
      </x:c>
      <x:c r="Z209" s="48" t="n">
        <x:f>(Inputs!$H$6+Inputs!$L$6*(((Inputs!$I$6+(((A209)+1)/2)*(Inputs!$J$6-Inputs!$I$6)))/Inputs!$K$6)^2)</x:f>
        <x:v>402.1025</x:v>
      </x:c>
      <x:c r="AA209" s="48" t="n">
        <x:f>(Inputs!$H$7+Inputs!$L$7*(((Inputs!$I$7+(((A209)+1)/2)*(Inputs!$J$7-Inputs!$I$7)))/Inputs!$K$7)^2)</x:f>
        <x:v>226.853125</x:v>
      </x:c>
      <x:c r="AB209" s="48" t="n">
        <x:f>(Inputs!$H$8+Inputs!$L$8*(((Inputs!$I$8+(((A209)+1)/2)*(Inputs!$J$8-Inputs!$I$8)))/Inputs!$K$8)^2)</x:f>
        <x:v>542.2281250000001</x:v>
      </x:c>
      <x:c r="AC209" s="48" t="n">
        <x:f>(Inputs!$H$9+Inputs!$L$9*(((Inputs!$I$9+(((A209)+1)/2)*(Inputs!$J$9-Inputs!$I$9)))/Inputs!$K$9)^2)</x:f>
        <x:v>537.484375</x:v>
      </x:c>
      <x:c r="AD209" s="49"/>
      <x:c r="AE209" s="48" t="n">
        <x:f>A209</x:f>
        <x:v>0.725</x:v>
      </x:c>
      <x:c r="AF209" s="48" t="n">
        <x:f>(((SQRT((Inputs!$C$52+((Inputs!$H$6+Inputs!$L$6*(((Inputs!$I$6+(((A209)+1)/2)*(Inputs!$J$6-Inputs!$I$6)))/Inputs!$K$6)^2)))^2+Inputs!$C$52^2-2*(Inputs!$C$52+((Inputs!$H$6+Inputs!$L$6*(((Inputs!$I$6+(((A209)+1)/2)*(Inputs!$J$6-Inputs!$I$6)))/Inputs!$K$6)^2)))*Inputs!$C$52*COS(SQRT(((Inputs!$I$6+(((A209)+1)/2)*(Inputs!$J$6-Inputs!$I$6)))^2+Inputs!$C$6^2)/Inputs!$C$52)))-((Inputs!$H$6+Inputs!$L$6*(((Inputs!$I$6+(((A209)+1)/2)*(Inputs!$J$6-Inputs!$I$6)))/Inputs!$K$6)^2)))*1000/Inputs!$C$12)</x:f>
        <x:v>2200.611833358587</x:v>
      </x:c>
      <x:c r="AG209" s="48" t="n">
        <x:f>(((SQRT((Inputs!$C$52+((Inputs!$H$7+Inputs!$L$7*(((Inputs!$I$7+(((A209)+1)/2)*(Inputs!$J$7-Inputs!$I$7)))/Inputs!$K$7)^2)))^2+Inputs!$C$52^2-2*(Inputs!$C$52+((Inputs!$H$7+Inputs!$L$7*(((Inputs!$I$7+(((A209)+1)/2)*(Inputs!$J$7-Inputs!$I$7)))/Inputs!$K$7)^2)))*Inputs!$C$52*COS(SQRT(((Inputs!$I$7+(((A209)+1)/2)*(Inputs!$J$7-Inputs!$I$7)))^2+Inputs!$C$6^2)/Inputs!$C$52)))-((Inputs!$H$7+Inputs!$L$7*(((Inputs!$I$7+(((A209)+1)/2)*(Inputs!$J$7-Inputs!$I$7)))/Inputs!$K$7)^2)))*1000/Inputs!$C$12)</x:f>
        <x:v>88843.4244796781</x:v>
      </x:c>
      <x:c r="AH209" s="48" t="n">
        <x:f>(((SQRT((Inputs!$C$52+((Inputs!$H$8+Inputs!$L$8*(((Inputs!$I$8+(((A209)+1)/2)*(Inputs!$J$8-Inputs!$I$8)))/Inputs!$K$8)^2)))^2+Inputs!$C$52^2-2*(Inputs!$C$52+((Inputs!$H$8+Inputs!$L$8*(((Inputs!$I$8+(((A209)+1)/2)*(Inputs!$J$8-Inputs!$I$8)))/Inputs!$K$8)^2)))*Inputs!$C$52*COS(SQRT(((Inputs!$I$8+(((A209)+1)/2)*(Inputs!$J$8-Inputs!$I$8)))^2+Inputs!$C$6^2)/Inputs!$C$52)))-((Inputs!$H$8+Inputs!$L$8*(((Inputs!$I$8+(((A209)+1)/2)*(Inputs!$J$8-Inputs!$I$8)))/Inputs!$K$8)^2)))*1000/Inputs!$C$12)</x:f>
        <x:v>179603.0909602836</x:v>
      </x:c>
      <x:c r="AI209" s="48" t="n">
        <x:f>(((SQRT((Inputs!$C$52+((Inputs!$H$9+Inputs!$L$9*(((Inputs!$I$9+(((A209)+1)/2)*(Inputs!$J$9-Inputs!$I$9)))/Inputs!$K$9)^2)))^2+Inputs!$C$52^2-2*(Inputs!$C$52+((Inputs!$H$9+Inputs!$L$9*(((Inputs!$I$9+(((A209)+1)/2)*(Inputs!$J$9-Inputs!$I$9)))/Inputs!$K$9)^2)))*Inputs!$C$52*COS(SQRT(((Inputs!$I$9+(((A209)+1)/2)*(Inputs!$J$9-Inputs!$I$9)))^2+Inputs!$C$6^2)/Inputs!$C$52)))-((Inputs!$H$9+Inputs!$L$9*(((Inputs!$I$9+(((A209)+1)/2)*(Inputs!$J$9-Inputs!$I$9)))/Inputs!$K$9)^2)))*1000/Inputs!$C$12)</x:f>
        <x:v>180264.76629421336</x:v>
      </x:c>
      <x:c r="AJ209" s="49"/>
      <x:c r="AK209" s="48" t="n">
        <x:f>A209</x:f>
        <x:v>0.725</x:v>
      </x:c>
      <x:c r="AL209" s="48" t="n">
        <x: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x:f>
        <x:v>-369.027155797523</x:v>
      </x:c>
      <x:c r="AM209" s="48" t="n">
        <x: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x:f>
        <x:v>-2768.6242500880076</x:v>
      </x:c>
      <x:c r="AN209" s="48" t="n">
        <x: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x:f>
        <x:v>-3524.5176065915875</x:v>
      </x:c>
      <x:c r="AO209" s="48" t="n">
        <x: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x:f>
        <x:v>-3542.248200483351</x:v>
      </x:c>
      <x:c r="AP209" s="49"/>
      <x:c r="AQ209" s="48" t="n">
        <x:f>A209</x:f>
        <x:v>0.725</x:v>
      </x:c>
      <x:c r="AR209" s="48" t="n">
        <x:f>0</x:f>
        <x:v>0</x:v>
      </x:c>
      <x:c r="AS209" s="48" t="n">
        <x: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(0.45*SIN(2*PI()*((((Inputs!$I$6+(((A209)+1)/2)*(Inputs!$J$6-Inputs!$I$6)))/Inputs!$C$49)+Inputs!$C$47*0.137))+0.35*COS(2*PI()*(((Inputs!$C$6)/Inputs!$C$50)+Inputs!$C$47*0.173))+0.20*SIN(2*PI()*((((Inputs!$I$6+(((A209)+1)/2)*(Inputs!$J$6-Inputs!$I$6)))+(Inputs!$C$6))/(0.5*(Inputs!$C$49+Inputs!$C$50))+Inputs!$C$47*0.097)))+0.30*(2*((SIN((((Inputs!$I$6+(((A209)+1)/2)*(Inputs!$J$6-Inputs!$I$6)))*12.9898+(Inputs!$C$6)*78.233+Inputs!$C$47*37.719))*43758.5453)-INT((SIN((((Inputs!$I$6+(((A209)+1)/2)*(Inputs!$J$6-Inputs!$I$6)))*12.9898+(Inputs!$C$6)*78.233+Inputs!$C$47*37.719))*43758.5453)))-1))),NA())</x:f>
        <x:v>225.35528260314678</x:v>
      </x:c>
      <x:c r="AT209" s="48" t="n">
        <x: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(0.45*SIN(2*PI()*((((Inputs!$I$7+(((A209)+1)/2)*(Inputs!$J$7-Inputs!$I$7)))/Inputs!$C$49)+Inputs!$C$47*0.137))+0.35*COS(2*PI()*(((Inputs!$C$6)/Inputs!$C$50)+Inputs!$C$47*0.173))+0.20*SIN(2*PI()*((((Inputs!$I$7+(((A209)+1)/2)*(Inputs!$J$7-Inputs!$I$7)))+(Inputs!$C$6))/(0.5*(Inputs!$C$49+Inputs!$C$50))+Inputs!$C$47*0.097)))+0.30*(2*((SIN((((Inputs!$I$7+(((A209)+1)/2)*(Inputs!$J$7-Inputs!$I$7)))*12.9898+(Inputs!$C$6)*78.233+Inputs!$C$47*37.719))*43758.5453)-INT((SIN((((Inputs!$I$7+(((A209)+1)/2)*(Inputs!$J$7-Inputs!$I$7)))*12.9898+(Inputs!$C$6)*78.233+Inputs!$C$47*37.719))*43758.5453)))-1))),NA())</x:f>
        <x:v>196.05503611504167</x:v>
      </x:c>
      <x:c r="AU209" s="48" t="n">
        <x: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(0.45*SIN(2*PI()*((((Inputs!$I$8+(((A209)+1)/2)*(Inputs!$J$8-Inputs!$I$8)))/Inputs!$C$49)+Inputs!$C$47*0.137))+0.35*COS(2*PI()*(((Inputs!$C$6)/Inputs!$C$50)+Inputs!$C$47*0.173))+0.20*SIN(2*PI()*((((Inputs!$I$8+(((A209)+1)/2)*(Inputs!$J$8-Inputs!$I$8)))+(Inputs!$C$6))/(0.5*(Inputs!$C$49+Inputs!$C$50))+Inputs!$C$47*0.097)))+0.30*(2*((SIN((((Inputs!$I$8+(((A209)+1)/2)*(Inputs!$J$8-Inputs!$I$8)))*12.9898+(Inputs!$C$6)*78.233+Inputs!$C$47*37.719))*43758.5453)-INT((SIN((((Inputs!$I$8+(((A209)+1)/2)*(Inputs!$J$8-Inputs!$I$8)))*12.9898+(Inputs!$C$6)*78.233+Inputs!$C$47*37.719))*43758.5453)))-1))),NA())</x:f>
        <x:v>248.04878603012355</x:v>
      </x:c>
      <x:c r="AV209" s="48" t="n">
        <x: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(0.45*SIN(2*PI()*((((Inputs!$I$9+(((A209)+1)/2)*(Inputs!$J$9-Inputs!$I$9)))/Inputs!$C$49)+Inputs!$C$47*0.137))+0.35*COS(2*PI()*(((Inputs!$C$6)/Inputs!$C$50)+Inputs!$C$47*0.173))+0.20*SIN(2*PI()*((((Inputs!$I$9+(((A209)+1)/2)*(Inputs!$J$9-Inputs!$I$9)))+(Inputs!$C$6))/(0.5*(Inputs!$C$49+Inputs!$C$50))+Inputs!$C$47*0.097)))+0.30*(2*((SIN((((Inputs!$I$9+(((A209)+1)/2)*(Inputs!$J$9-Inputs!$I$9)))*12.9898+(Inputs!$C$6)*78.233+Inputs!$C$47*37.719))*43758.5453)-INT((SIN((((Inputs!$I$9+(((A209)+1)/2)*(Inputs!$J$9-Inputs!$I$9)))*12.9898+(Inputs!$C$6)*78.233+Inputs!$C$47*37.719))*43758.5453)))-1))),NA())</x:f>
        <x:v>248.04878603012355</x:v>
      </x:c>
      <x:c r="AW209" s="49"/>
      <x:c r="AX209" s="48" t="n">
        <x:f>A209</x:f>
        <x:v>0.725</x:v>
      </x:c>
      <x:c r="AY209" s="48" t="n">
        <x:f>0</x:f>
        <x:v>0</x:v>
      </x:c>
      <x:c r="AZ209" s="48" t="n">
        <x:f>IF(OR(Inputs!$F$6=TRUE,Inputs!$F$6="TRUE",Inputs!$F$6=1),(Inputs!$H$6+Inputs!$L$6*(((Inputs!$I$6+(((A209)+1)/2)*(Inputs!$J$6-Inputs!$I$6)))/Inputs!$K$6)^2),NA())</x:f>
        <x:v>402.1025</x:v>
      </x:c>
      <x:c r="BA209" s="48" t="n">
        <x:f>IF(OR(Inputs!$F$7=TRUE,Inputs!$F$7="TRUE",Inputs!$F$7=1),(Inputs!$H$7+Inputs!$L$7*(((Inputs!$I$7+(((A209)+1)/2)*(Inputs!$J$7-Inputs!$I$7)))/Inputs!$K$7)^2),NA())</x:f>
        <x:v>226.853125</x:v>
      </x:c>
      <x:c r="BB209" s="48" t="n">
        <x:f>IF(OR(Inputs!$F$8=TRUE,Inputs!$F$8="TRUE",Inputs!$F$8=1),(Inputs!$H$8+Inputs!$L$8*(((Inputs!$I$8+(((A209)+1)/2)*(Inputs!$J$8-Inputs!$I$8)))/Inputs!$K$8)^2),NA())</x:f>
        <x:v>542.2281250000001</x:v>
      </x:c>
      <x:c r="BC209" s="48" t="n">
        <x:f>IF(OR(Inputs!$F$9=TRUE,Inputs!$F$9="TRUE",Inputs!$F$9=1),(Inputs!$H$9+Inputs!$L$9*(((Inputs!$I$9+(((A209)+1)/2)*(Inputs!$J$9-Inputs!$I$9)))/Inputs!$K$9)^2),NA())</x:f>
        <x:v>537.484375</x:v>
      </x:c>
      <x:c r="BD209" s="49"/>
      <x:c r="BE209" s="48" t="n">
        <x:f>A209</x:f>
        <x:v>0.725</x:v>
      </x:c>
      <x:c r="BF209" s="48" t="n">
        <x:f>0</x:f>
        <x:v>0</x:v>
      </x:c>
      <x:c r="BG209" s="48"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BH209" s="48"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BI209" s="48"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BJ209" s="48"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row>
    <x:row r="210">
      <x:c r="A210" s="48" t="n">
        <x:f>ROUND(-1+208*2/240,3)</x:f>
        <x:v>0.733</x:v>
      </x:c>
      <x:c r="B210" s="48" t="n">
        <x:f>IF(OR(Inputs!$F$6=TRUE,Inputs!$F$6="TRUE",Inputs!$F$6=1),(Inputs!$H$6+Inputs!$L$6*(((Inputs!$I$6+(((A210)+1)/2)*(Inputs!$J$6-Inputs!$I$6)))/Inputs!$K$6)^2),NA())</x:f>
        <x:v>402.149156</x:v>
      </x:c>
      <x:c r="C210" s="48" t="n">
        <x:f>IF(OR(Inputs!$F$7=TRUE,Inputs!$F$7="TRUE",Inputs!$F$7=1),(Inputs!$H$7+Inputs!$L$7*(((Inputs!$I$7+(((A210)+1)/2)*(Inputs!$J$7-Inputs!$I$7)))/Inputs!$K$7)^2),NA())</x:f>
        <x:v>231.11048500000004</x:v>
      </x:c>
      <x:c r="D210" s="48" t="n">
        <x:f>IF(OR(Inputs!$F$8=TRUE,Inputs!$F$8="TRUE",Inputs!$F$8=1),(Inputs!$H$8+Inputs!$L$8*(((Inputs!$I$8+(((A210)+1)/2)*(Inputs!$J$8-Inputs!$I$8)))/Inputs!$K$8)^2),NA())</x:f>
        <x:v>553.4838850000001</x:v>
      </x:c>
      <x:c r="E210" s="48" t="n">
        <x:f>IF(OR(Inputs!$F$9=TRUE,Inputs!$F$9="TRUE",Inputs!$F$9=1),(Inputs!$H$9+Inputs!$L$9*(((Inputs!$I$9+(((A210)+1)/2)*(Inputs!$J$9-Inputs!$I$9)))/Inputs!$K$9)^2),NA())</x:f>
        <x:v>548.8567750000001</x:v>
      </x:c>
      <x:c r="F210" s="49"/>
      <x:c r="G210" s="48" t="n">
        <x:f>A210</x:f>
        <x:v>0.733</x:v>
      </x:c>
      <x:c r="H210" s="48"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I210" s="48"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J210" s="48"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K210" s="48"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c r="L210" s="49"/>
      <x:c r="M210" s="48" t="n">
        <x:f>A210</x:f>
        <x:v>0.733</x:v>
      </x:c>
      <x:c r="N210" s="48" t="n">
        <x: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x:f>
        <x:v>-373.02461960418356</x:v>
      </x:c>
      <x:c r="O210" s="48" t="n">
        <x: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x:f>
        <x:v>-2789.0129068157057</x:v>
      </x:c>
      <x:c r="P210" s="48" t="n">
        <x: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x:f>
        <x:v>-3556.5171977561395</x:v>
      </x:c>
      <x:c r="Q210" s="48" t="n">
        <x: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x:f>
        <x:v>-3574.7486485680465</x:v>
      </x:c>
      <x:c r="R210" s="49"/>
      <x:c r="S210" s="48" t="n">
        <x:f>A210</x:f>
        <x:v>0.733</x:v>
      </x:c>
      <x:c r="T210" s="48" t="n">
        <x:f>(Inputs!$I$6+(((A210)+1)/2)*(Inputs!$J$6-Inputs!$I$6))</x:f>
        <x:v>43.980000000000004</x:v>
      </x:c>
      <x:c r="U210" s="48" t="n">
        <x:f>(Inputs!$I$7+(((A210)+1)/2)*(Inputs!$J$7-Inputs!$I$7))</x:f>
        <x:v>293.20000000000005</x:v>
      </x:c>
      <x:c r="V210" s="48" t="n">
        <x:f>(Inputs!$I$8+(((A210)+1)/2)*(Inputs!$J$8-Inputs!$I$8))</x:f>
        <x:v>586.4000000000001</x:v>
      </x:c>
      <x:c r="W210" s="48" t="n">
        <x:f>(Inputs!$I$9+(((A210)+1)/2)*(Inputs!$J$9-Inputs!$I$9))</x:f>
        <x:v>586.4000000000001</x:v>
      </x:c>
      <x:c r="X210" s="49"/>
      <x:c r="Y210" s="48" t="n">
        <x:f>A210</x:f>
        <x:v>0.733</x:v>
      </x:c>
      <x:c r="Z210" s="48" t="n">
        <x:f>(Inputs!$H$6+Inputs!$L$6*(((Inputs!$I$6+(((A210)+1)/2)*(Inputs!$J$6-Inputs!$I$6)))/Inputs!$K$6)^2)</x:f>
        <x:v>402.149156</x:v>
      </x:c>
      <x:c r="AA210" s="48" t="n">
        <x:f>(Inputs!$H$7+Inputs!$L$7*(((Inputs!$I$7+(((A210)+1)/2)*(Inputs!$J$7-Inputs!$I$7)))/Inputs!$K$7)^2)</x:f>
        <x:v>231.11048500000004</x:v>
      </x:c>
      <x:c r="AB210" s="48" t="n">
        <x:f>(Inputs!$H$8+Inputs!$L$8*(((Inputs!$I$8+(((A210)+1)/2)*(Inputs!$J$8-Inputs!$I$8)))/Inputs!$K$8)^2)</x:f>
        <x:v>553.4838850000001</x:v>
      </x:c>
      <x:c r="AC210" s="48" t="n">
        <x:f>(Inputs!$H$9+Inputs!$L$9*(((Inputs!$I$9+(((A210)+1)/2)*(Inputs!$J$9-Inputs!$I$9)))/Inputs!$K$9)^2)</x:f>
        <x:v>548.8567750000001</x:v>
      </x:c>
      <x:c r="AD210" s="49"/>
      <x:c r="AE210" s="48" t="n">
        <x:f>A210</x:f>
        <x:v>0.733</x:v>
      </x:c>
      <x:c r="AF210" s="48" t="n">
        <x:f>(((SQRT((Inputs!$C$52+((Inputs!$H$6+Inputs!$L$6*(((Inputs!$I$6+(((A210)+1)/2)*(Inputs!$J$6-Inputs!$I$6)))/Inputs!$K$6)^2)))^2+Inputs!$C$52^2-2*(Inputs!$C$52+((Inputs!$H$6+Inputs!$L$6*(((Inputs!$I$6+(((A210)+1)/2)*(Inputs!$J$6-Inputs!$I$6)))/Inputs!$K$6)^2)))*Inputs!$C$52*COS(SQRT(((Inputs!$I$6+(((A210)+1)/2)*(Inputs!$J$6-Inputs!$I$6)))^2+Inputs!$C$6^2)/Inputs!$C$52)))-((Inputs!$H$6+Inputs!$L$6*(((Inputs!$I$6+(((A210)+1)/2)*(Inputs!$J$6-Inputs!$I$6)))/Inputs!$K$6)^2)))*1000/Inputs!$C$12)</x:f>
        <x:v>2236.9330838177084</x:v>
      </x:c>
      <x:c r="AG210" s="48" t="n">
        <x:f>(((SQRT((Inputs!$C$52+((Inputs!$H$7+Inputs!$L$7*(((Inputs!$I$7+(((A210)+1)/2)*(Inputs!$J$7-Inputs!$I$7)))/Inputs!$K$7)^2)))^2+Inputs!$C$52^2-2*(Inputs!$C$52+((Inputs!$H$7+Inputs!$L$7*(((Inputs!$I$7+(((A210)+1)/2)*(Inputs!$J$7-Inputs!$I$7)))/Inputs!$K$7)^2)))*Inputs!$C$52*COS(SQRT(((Inputs!$I$7+(((A210)+1)/2)*(Inputs!$J$7-Inputs!$I$7)))^2+Inputs!$C$6^2)/Inputs!$C$52)))-((Inputs!$H$7+Inputs!$L$7*(((Inputs!$I$7+(((A210)+1)/2)*(Inputs!$J$7-Inputs!$I$7)))/Inputs!$K$7)^2)))*1000/Inputs!$C$12)</x:f>
        <x:v>89573.90784712478</x:v>
      </x:c>
      <x:c r="AH210" s="48" t="n">
        <x:f>(((SQRT((Inputs!$C$52+((Inputs!$H$8+Inputs!$L$8*(((Inputs!$I$8+(((A210)+1)/2)*(Inputs!$J$8-Inputs!$I$8)))/Inputs!$K$8)^2)))^2+Inputs!$C$52^2-2*(Inputs!$C$52+((Inputs!$H$8+Inputs!$L$8*(((Inputs!$I$8+(((A210)+1)/2)*(Inputs!$J$8-Inputs!$I$8)))/Inputs!$K$8)^2)))*Inputs!$C$52*COS(SQRT(((Inputs!$I$8+(((A210)+1)/2)*(Inputs!$J$8-Inputs!$I$8)))^2+Inputs!$C$6^2)/Inputs!$C$52)))-((Inputs!$H$8+Inputs!$L$8*(((Inputs!$I$8+(((A210)+1)/2)*(Inputs!$J$8-Inputs!$I$8)))/Inputs!$K$8)^2)))*1000/Inputs!$C$12)</x:f>
        <x:v>181235.83081977055</x:v>
      </x:c>
      <x:c r="AI210" s="48" t="n">
        <x:f>(((SQRT((Inputs!$C$52+((Inputs!$H$9+Inputs!$L$9*(((Inputs!$I$9+(((A210)+1)/2)*(Inputs!$J$9-Inputs!$I$9)))/Inputs!$K$9)^2)))^2+Inputs!$C$52^2-2*(Inputs!$C$52+((Inputs!$H$9+Inputs!$L$9*(((Inputs!$I$9+(((A210)+1)/2)*(Inputs!$J$9-Inputs!$I$9)))/Inputs!$K$9)^2)))*Inputs!$C$52*COS(SQRT(((Inputs!$I$9+(((A210)+1)/2)*(Inputs!$J$9-Inputs!$I$9)))^2+Inputs!$C$6^2)/Inputs!$C$52)))-((Inputs!$H$9+Inputs!$L$9*(((Inputs!$I$9+(((A210)+1)/2)*(Inputs!$J$9-Inputs!$I$9)))/Inputs!$K$9)^2)))*1000/Inputs!$C$12)</x:f>
        <x:v>181872.38524454914</x:v>
      </x:c>
      <x:c r="AJ210" s="49"/>
      <x:c r="AK210" s="48" t="n">
        <x:f>A210</x:f>
        <x:v>0.733</x:v>
      </x:c>
      <x:c r="AL210" s="48" t="n">
        <x: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x:f>
        <x:v>-373.02461960418356</x:v>
      </x:c>
      <x:c r="AM210" s="48" t="n">
        <x: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x:f>
        <x:v>-2789.0129068157057</x:v>
      </x:c>
      <x:c r="AN210" s="48" t="n">
        <x: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x:f>
        <x:v>-3556.5171977561395</x:v>
      </x:c>
      <x:c r="AO210" s="48" t="n">
        <x: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x:f>
        <x:v>-3574.7486485680465</x:v>
      </x:c>
      <x:c r="AP210" s="49"/>
      <x:c r="AQ210" s="48" t="n">
        <x:f>A210</x:f>
        <x:v>0.733</x:v>
      </x:c>
      <x:c r="AR210" s="48" t="n">
        <x:f>0</x:f>
        <x:v>0</x:v>
      </x:c>
      <x:c r="AS210" s="48" t="n">
        <x: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(0.45*SIN(2*PI()*((((Inputs!$I$6+(((A210)+1)/2)*(Inputs!$J$6-Inputs!$I$6)))/Inputs!$C$49)+Inputs!$C$47*0.137))+0.35*COS(2*PI()*(((Inputs!$C$6)/Inputs!$C$50)+Inputs!$C$47*0.173))+0.20*SIN(2*PI()*((((Inputs!$I$6+(((A210)+1)/2)*(Inputs!$J$6-Inputs!$I$6)))+(Inputs!$C$6))/(0.5*(Inputs!$C$49+Inputs!$C$50))+Inputs!$C$47*0.097)))+0.30*(2*((SIN((((Inputs!$I$6+(((A210)+1)/2)*(Inputs!$J$6-Inputs!$I$6)))*12.9898+(Inputs!$C$6)*78.233+Inputs!$C$47*37.719))*43758.5453)-INT((SIN((((Inputs!$I$6+(((A210)+1)/2)*(Inputs!$J$6-Inputs!$I$6)))*12.9898+(Inputs!$C$6)*78.233+Inputs!$C$47*37.719))*43758.5453)))-1))),NA())</x:f>
        <x:v>206.43652162937582</x:v>
      </x:c>
      <x:c r="AT210" s="48" t="n">
        <x: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(0.45*SIN(2*PI()*((((Inputs!$I$7+(((A210)+1)/2)*(Inputs!$J$7-Inputs!$I$7)))/Inputs!$C$49)+Inputs!$C$47*0.137))+0.35*COS(2*PI()*(((Inputs!$C$6)/Inputs!$C$50)+Inputs!$C$47*0.173))+0.20*SIN(2*PI()*((((Inputs!$I$7+(((A210)+1)/2)*(Inputs!$J$7-Inputs!$I$7)))+(Inputs!$C$6))/(0.5*(Inputs!$C$49+Inputs!$C$50))+Inputs!$C$47*0.097)))+0.30*(2*((SIN((((Inputs!$I$7+(((A210)+1)/2)*(Inputs!$J$7-Inputs!$I$7)))*12.9898+(Inputs!$C$6)*78.233+Inputs!$C$47*37.719))*43758.5453)-INT((SIN((((Inputs!$I$7+(((A210)+1)/2)*(Inputs!$J$7-Inputs!$I$7)))*12.9898+(Inputs!$C$6)*78.233+Inputs!$C$47*37.719))*43758.5453)))-1))),NA())</x:f>
        <x:v>229.12595612803543</x:v>
      </x:c>
      <x:c r="AU210" s="48" t="n">
        <x: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(0.45*SIN(2*PI()*((((Inputs!$I$8+(((A210)+1)/2)*(Inputs!$J$8-Inputs!$I$8)))/Inputs!$C$49)+Inputs!$C$47*0.137))+0.35*COS(2*PI()*(((Inputs!$C$6)/Inputs!$C$50)+Inputs!$C$47*0.173))+0.20*SIN(2*PI()*((((Inputs!$I$8+(((A210)+1)/2)*(Inputs!$J$8-Inputs!$I$8)))+(Inputs!$C$6))/(0.5*(Inputs!$C$49+Inputs!$C$50))+Inputs!$C$47*0.097)))+0.30*(2*((SIN((((Inputs!$I$8+(((A210)+1)/2)*(Inputs!$J$8-Inputs!$I$8)))*12.9898+(Inputs!$C$6)*78.233+Inputs!$C$47*37.719))*43758.5453)-INT((SIN((((Inputs!$I$8+(((A210)+1)/2)*(Inputs!$J$8-Inputs!$I$8)))*12.9898+(Inputs!$C$6)*78.233+Inputs!$C$47*37.719))*43758.5453)))-1))),NA())</x:f>
        <x:v>105.6753173931249</x:v>
      </x:c>
      <x:c r="AV210" s="48" t="n">
        <x: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(0.45*SIN(2*PI()*((((Inputs!$I$9+(((A210)+1)/2)*(Inputs!$J$9-Inputs!$I$9)))/Inputs!$C$49)+Inputs!$C$47*0.137))+0.35*COS(2*PI()*(((Inputs!$C$6)/Inputs!$C$50)+Inputs!$C$47*0.173))+0.20*SIN(2*PI()*((((Inputs!$I$9+(((A210)+1)/2)*(Inputs!$J$9-Inputs!$I$9)))+(Inputs!$C$6))/(0.5*(Inputs!$C$49+Inputs!$C$50))+Inputs!$C$47*0.097)))+0.30*(2*((SIN((((Inputs!$I$9+(((A210)+1)/2)*(Inputs!$J$9-Inputs!$I$9)))*12.9898+(Inputs!$C$6)*78.233+Inputs!$C$47*37.719))*43758.5453)-INT((SIN((((Inputs!$I$9+(((A210)+1)/2)*(Inputs!$J$9-Inputs!$I$9)))*12.9898+(Inputs!$C$6)*78.233+Inputs!$C$47*37.719))*43758.5453)))-1))),NA())</x:f>
        <x:v>105.6753173931249</x:v>
      </x:c>
      <x:c r="AW210" s="49"/>
      <x:c r="AX210" s="48" t="n">
        <x:f>A210</x:f>
        <x:v>0.733</x:v>
      </x:c>
      <x:c r="AY210" s="48" t="n">
        <x:f>0</x:f>
        <x:v>0</x:v>
      </x:c>
      <x:c r="AZ210" s="48" t="n">
        <x:f>IF(OR(Inputs!$F$6=TRUE,Inputs!$F$6="TRUE",Inputs!$F$6=1),(Inputs!$H$6+Inputs!$L$6*(((Inputs!$I$6+(((A210)+1)/2)*(Inputs!$J$6-Inputs!$I$6)))/Inputs!$K$6)^2),NA())</x:f>
        <x:v>402.149156</x:v>
      </x:c>
      <x:c r="BA210" s="48" t="n">
        <x:f>IF(OR(Inputs!$F$7=TRUE,Inputs!$F$7="TRUE",Inputs!$F$7=1),(Inputs!$H$7+Inputs!$L$7*(((Inputs!$I$7+(((A210)+1)/2)*(Inputs!$J$7-Inputs!$I$7)))/Inputs!$K$7)^2),NA())</x:f>
        <x:v>231.11048500000004</x:v>
      </x:c>
      <x:c r="BB210" s="48" t="n">
        <x:f>IF(OR(Inputs!$F$8=TRUE,Inputs!$F$8="TRUE",Inputs!$F$8=1),(Inputs!$H$8+Inputs!$L$8*(((Inputs!$I$8+(((A210)+1)/2)*(Inputs!$J$8-Inputs!$I$8)))/Inputs!$K$8)^2),NA())</x:f>
        <x:v>553.4838850000001</x:v>
      </x:c>
      <x:c r="BC210" s="48" t="n">
        <x:f>IF(OR(Inputs!$F$9=TRUE,Inputs!$F$9="TRUE",Inputs!$F$9=1),(Inputs!$H$9+Inputs!$L$9*(((Inputs!$I$9+(((A210)+1)/2)*(Inputs!$J$9-Inputs!$I$9)))/Inputs!$K$9)^2),NA())</x:f>
        <x:v>548.8567750000001</x:v>
      </x:c>
      <x:c r="BD210" s="49"/>
      <x:c r="BE210" s="48" t="n">
        <x:f>A210</x:f>
        <x:v>0.733</x:v>
      </x:c>
      <x:c r="BF210" s="48" t="n">
        <x:f>0</x:f>
        <x:v>0</x:v>
      </x:c>
      <x:c r="BG210" s="48"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BH210" s="48"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BI210" s="48"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BJ210" s="48"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row>
    <x:row r="211">
      <x:c r="A211" s="48" t="n">
        <x:f>ROUND(-1+209*2/240,3)</x:f>
        <x:v>0.742</x:v>
      </x:c>
      <x:c r="B211" s="48" t="n">
        <x:f>IF(OR(Inputs!$F$6=TRUE,Inputs!$F$6="TRUE",Inputs!$F$6=1),(Inputs!$H$6+Inputs!$L$6*(((Inputs!$I$6+(((A211)+1)/2)*(Inputs!$J$6-Inputs!$I$6)))/Inputs!$K$6)^2),NA())</x:f>
        <x:v>402.202256</x:v>
      </x:c>
      <x:c r="C211" s="48" t="n">
        <x:f>IF(OR(Inputs!$F$7=TRUE,Inputs!$F$7="TRUE",Inputs!$F$7=1),(Inputs!$H$7+Inputs!$L$7*(((Inputs!$I$7+(((A211)+1)/2)*(Inputs!$J$7-Inputs!$I$7)))/Inputs!$K$7)^2),NA())</x:f>
        <x:v>235.95585999999994</x:v>
      </x:c>
      <x:c r="D211" s="48" t="n">
        <x:f>IF(OR(Inputs!$F$8=TRUE,Inputs!$F$8="TRUE",Inputs!$F$8=1),(Inputs!$H$8+Inputs!$L$8*(((Inputs!$I$8+(((A211)+1)/2)*(Inputs!$J$8-Inputs!$I$8)))/Inputs!$K$8)^2),NA())</x:f>
        <x:v>566.2942599999998</x:v>
      </x:c>
      <x:c r="E211" s="48" t="n">
        <x:f>IF(OR(Inputs!$F$9=TRUE,Inputs!$F$9="TRUE",Inputs!$F$9=1),(Inputs!$H$9+Inputs!$L$9*(((Inputs!$I$9+(((A211)+1)/2)*(Inputs!$J$9-Inputs!$I$9)))/Inputs!$K$9)^2),NA())</x:f>
        <x:v>561.7998999999999</x:v>
      </x:c>
      <x:c r="F211" s="49"/>
      <x:c r="G211" s="48" t="n">
        <x:f>A211</x:f>
        <x:v>0.742</x:v>
      </x:c>
      <x:c r="H211" s="48"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I211" s="48"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J211" s="48"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K211" s="48"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c r="L211" s="49"/>
      <x:c r="M211" s="48" t="n">
        <x:f>A211</x:f>
        <x:v>0.742</x:v>
      </x:c>
      <x:c r="N211" s="48" t="n">
        <x: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x:f>
        <x:v>-377.51890638728247</x:v>
      </x:c>
      <x:c r="O211" s="48" t="n">
        <x: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x:f>
        <x:v>-2812.0693690967632</x:v>
      </x:c>
      <x:c r="P211" s="48" t="n">
        <x: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x:f>
        <x:v>-3592.6319860099247</x:v>
      </x:c>
      <x:c r="Q211" s="48" t="n">
        <x: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x:f>
        <x:v>-3611.4243995275597</x:v>
      </x:c>
      <x:c r="R211" s="49"/>
      <x:c r="S211" s="48" t="n">
        <x:f>A211</x:f>
        <x:v>0.742</x:v>
      </x:c>
      <x:c r="T211" s="48" t="n">
        <x:f>(Inputs!$I$6+(((A211)+1)/2)*(Inputs!$J$6-Inputs!$I$6))</x:f>
        <x:v>44.519999999999996</x:v>
      </x:c>
      <x:c r="U211" s="48" t="n">
        <x:f>(Inputs!$I$7+(((A211)+1)/2)*(Inputs!$J$7-Inputs!$I$7))</x:f>
        <x:v>296.79999999999995</x:v>
      </x:c>
      <x:c r="V211" s="48" t="n">
        <x:f>(Inputs!$I$8+(((A211)+1)/2)*(Inputs!$J$8-Inputs!$I$8))</x:f>
        <x:v>593.5999999999999</x:v>
      </x:c>
      <x:c r="W211" s="48" t="n">
        <x:f>(Inputs!$I$9+(((A211)+1)/2)*(Inputs!$J$9-Inputs!$I$9))</x:f>
        <x:v>593.5999999999999</x:v>
      </x:c>
      <x:c r="X211" s="49"/>
      <x:c r="Y211" s="48" t="n">
        <x:f>A211</x:f>
        <x:v>0.742</x:v>
      </x:c>
      <x:c r="Z211" s="48" t="n">
        <x:f>(Inputs!$H$6+Inputs!$L$6*(((Inputs!$I$6+(((A211)+1)/2)*(Inputs!$J$6-Inputs!$I$6)))/Inputs!$K$6)^2)</x:f>
        <x:v>402.202256</x:v>
      </x:c>
      <x:c r="AA211" s="48" t="n">
        <x:f>(Inputs!$H$7+Inputs!$L$7*(((Inputs!$I$7+(((A211)+1)/2)*(Inputs!$J$7-Inputs!$I$7)))/Inputs!$K$7)^2)</x:f>
        <x:v>235.95585999999994</x:v>
      </x:c>
      <x:c r="AB211" s="48" t="n">
        <x:f>(Inputs!$H$8+Inputs!$L$8*(((Inputs!$I$8+(((A211)+1)/2)*(Inputs!$J$8-Inputs!$I$8)))/Inputs!$K$8)^2)</x:f>
        <x:v>566.2942599999998</x:v>
      </x:c>
      <x:c r="AC211" s="48" t="n">
        <x:f>(Inputs!$H$9+Inputs!$L$9*(((Inputs!$I$9+(((A211)+1)/2)*(Inputs!$J$9-Inputs!$I$9)))/Inputs!$K$9)^2)</x:f>
        <x:v>561.7998999999999</x:v>
      </x:c>
      <x:c r="AD211" s="49"/>
      <x:c r="AE211" s="48" t="n">
        <x:f>A211</x:f>
        <x:v>0.742</x:v>
      </x:c>
      <x:c r="AF211" s="48" t="n">
        <x:f>(((SQRT((Inputs!$C$52+((Inputs!$H$6+Inputs!$L$6*(((Inputs!$I$6+(((A211)+1)/2)*(Inputs!$J$6-Inputs!$I$6)))/Inputs!$K$6)^2)))^2+Inputs!$C$52^2-2*(Inputs!$C$52+((Inputs!$H$6+Inputs!$L$6*(((Inputs!$I$6+(((A211)+1)/2)*(Inputs!$J$6-Inputs!$I$6)))/Inputs!$K$6)^2)))*Inputs!$C$52*COS(SQRT(((Inputs!$I$6+(((A211)+1)/2)*(Inputs!$J$6-Inputs!$I$6)))^2+Inputs!$C$6^2)/Inputs!$C$52)))-((Inputs!$H$6+Inputs!$L$6*(((Inputs!$I$6+(((A211)+1)/2)*(Inputs!$J$6-Inputs!$I$6)))/Inputs!$K$6)^2)))*1000/Inputs!$C$12)</x:f>
        <x:v>2278.255727414682</x:v>
      </x:c>
      <x:c r="AG211" s="48" t="n">
        <x:f>(((SQRT((Inputs!$C$52+((Inputs!$H$7+Inputs!$L$7*(((Inputs!$I$7+(((A211)+1)/2)*(Inputs!$J$7-Inputs!$I$7)))/Inputs!$K$7)^2)))^2+Inputs!$C$52^2-2*(Inputs!$C$52+((Inputs!$H$7+Inputs!$L$7*(((Inputs!$I$7+(((A211)+1)/2)*(Inputs!$J$7-Inputs!$I$7)))/Inputs!$K$7)^2)))*Inputs!$C$52*COS(SQRT(((Inputs!$I$7+(((A211)+1)/2)*(Inputs!$J$7-Inputs!$I$7)))^2+Inputs!$C$6^2)/Inputs!$C$52)))-((Inputs!$H$7+Inputs!$L$7*(((Inputs!$I$7+(((A211)+1)/2)*(Inputs!$J$7-Inputs!$I$7)))/Inputs!$K$7)^2)))*1000/Inputs!$C$12)</x:f>
        <x:v>90391.78373552552</x:v>
      </x:c>
      <x:c r="AH211" s="48" t="n">
        <x:f>(((SQRT((Inputs!$C$52+((Inputs!$H$8+Inputs!$L$8*(((Inputs!$I$8+(((A211)+1)/2)*(Inputs!$J$8-Inputs!$I$8)))/Inputs!$K$8)^2)))^2+Inputs!$C$52^2-2*(Inputs!$C$52+((Inputs!$H$8+Inputs!$L$8*(((Inputs!$I$8+(((A211)+1)/2)*(Inputs!$J$8-Inputs!$I$8)))/Inputs!$K$8)^2)))*Inputs!$C$52*COS(SQRT(((Inputs!$I$8+(((A211)+1)/2)*(Inputs!$J$8-Inputs!$I$8)))^2+Inputs!$C$6^2)/Inputs!$C$52)))-((Inputs!$H$8+Inputs!$L$8*(((Inputs!$I$8+(((A211)+1)/2)*(Inputs!$J$8-Inputs!$I$8)))/Inputs!$K$8)^2)))*1000/Inputs!$C$12)</x:f>
        <x:v>183075.81149948062</x:v>
      </x:c>
      <x:c r="AI211" s="48" t="n">
        <x:f>(((SQRT((Inputs!$C$52+((Inputs!$H$9+Inputs!$L$9*(((Inputs!$I$9+(((A211)+1)/2)*(Inputs!$J$9-Inputs!$I$9)))/Inputs!$K$9)^2)))^2+Inputs!$C$52^2-2*(Inputs!$C$52+((Inputs!$H$9+Inputs!$L$9*(((Inputs!$I$9+(((A211)+1)/2)*(Inputs!$J$9-Inputs!$I$9)))/Inputs!$K$9)^2)))*Inputs!$C$52*COS(SQRT(((Inputs!$I$9+(((A211)+1)/2)*(Inputs!$J$9-Inputs!$I$9)))^2+Inputs!$C$6^2)/Inputs!$C$52)))-((Inputs!$H$9+Inputs!$L$9*(((Inputs!$I$9+(((A211)+1)/2)*(Inputs!$J$9-Inputs!$I$9)))/Inputs!$K$9)^2)))*1000/Inputs!$C$12)</x:f>
        <x:v>183684.58766289277</x:v>
      </x:c>
      <x:c r="AJ211" s="49"/>
      <x:c r="AK211" s="48" t="n">
        <x:f>A211</x:f>
        <x:v>0.742</x:v>
      </x:c>
      <x:c r="AL211" s="48" t="n">
        <x: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x:f>
        <x:v>-377.51890638728247</x:v>
      </x:c>
      <x:c r="AM211" s="48" t="n">
        <x: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x:f>
        <x:v>-2812.0693690967632</x:v>
      </x:c>
      <x:c r="AN211" s="48" t="n">
        <x: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x:f>
        <x:v>-3592.6319860099247</x:v>
      </x:c>
      <x:c r="AO211" s="48" t="n">
        <x: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x:f>
        <x:v>-3611.4243995275597</x:v>
      </x:c>
      <x:c r="AP211" s="49"/>
      <x:c r="AQ211" s="48" t="n">
        <x:f>A211</x:f>
        <x:v>0.742</x:v>
      </x:c>
      <x:c r="AR211" s="48" t="n">
        <x:f>0</x:f>
        <x:v>0</x:v>
      </x:c>
      <x:c r="AS211" s="48" t="n">
        <x: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(0.45*SIN(2*PI()*((((Inputs!$I$6+(((A211)+1)/2)*(Inputs!$J$6-Inputs!$I$6)))/Inputs!$C$49)+Inputs!$C$47*0.137))+0.35*COS(2*PI()*(((Inputs!$C$6)/Inputs!$C$50)+Inputs!$C$47*0.173))+0.20*SIN(2*PI()*((((Inputs!$I$6+(((A211)+1)/2)*(Inputs!$J$6-Inputs!$I$6)))+(Inputs!$C$6))/(0.5*(Inputs!$C$49+Inputs!$C$50))+Inputs!$C$47*0.097)))+0.30*(2*((SIN((((Inputs!$I$6+(((A211)+1)/2)*(Inputs!$J$6-Inputs!$I$6)))*12.9898+(Inputs!$C$6)*78.233+Inputs!$C$47*37.719))*43758.5453)-INT((SIN((((Inputs!$I$6+(((A211)+1)/2)*(Inputs!$J$6-Inputs!$I$6)))*12.9898+(Inputs!$C$6)*78.233+Inputs!$C$47*37.719))*43758.5453)))-1))),NA())</x:f>
        <x:v>194.72267766340866</x:v>
      </x:c>
      <x:c r="AT211" s="48" t="n">
        <x: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(0.45*SIN(2*PI()*((((Inputs!$I$7+(((A211)+1)/2)*(Inputs!$J$7-Inputs!$I$7)))/Inputs!$C$49)+Inputs!$C$47*0.137))+0.35*COS(2*PI()*(((Inputs!$C$6)/Inputs!$C$50)+Inputs!$C$47*0.173))+0.20*SIN(2*PI()*((((Inputs!$I$7+(((A211)+1)/2)*(Inputs!$J$7-Inputs!$I$7)))+(Inputs!$C$6))/(0.5*(Inputs!$C$49+Inputs!$C$50))+Inputs!$C$47*0.097)))+0.30*(2*((SIN((((Inputs!$I$7+(((A211)+1)/2)*(Inputs!$J$7-Inputs!$I$7)))*12.9898+(Inputs!$C$6)*78.233+Inputs!$C$47*37.719))*43758.5453)-INT((SIN((((Inputs!$I$7+(((A211)+1)/2)*(Inputs!$J$7-Inputs!$I$7)))*12.9898+(Inputs!$C$6)*78.233+Inputs!$C$47*37.719))*43758.5453)))-1))),NA())</x:f>
        <x:v>158.13113423490745</x:v>
      </x:c>
      <x:c r="AU211" s="48" t="n">
        <x: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(0.45*SIN(2*PI()*((((Inputs!$I$8+(((A211)+1)/2)*(Inputs!$J$8-Inputs!$I$8)))/Inputs!$C$49)+Inputs!$C$47*0.137))+0.35*COS(2*PI()*(((Inputs!$C$6)/Inputs!$C$50)+Inputs!$C$47*0.173))+0.20*SIN(2*PI()*((((Inputs!$I$8+(((A211)+1)/2)*(Inputs!$J$8-Inputs!$I$8)))+(Inputs!$C$6))/(0.5*(Inputs!$C$49+Inputs!$C$50))+Inputs!$C$47*0.097)))+0.30*(2*((SIN((((Inputs!$I$8+(((A211)+1)/2)*(Inputs!$J$8-Inputs!$I$8)))*12.9898+(Inputs!$C$6)*78.233+Inputs!$C$47*37.719))*43758.5453)-INT((SIN((((Inputs!$I$8+(((A211)+1)/2)*(Inputs!$J$8-Inputs!$I$8)))*12.9898+(Inputs!$C$6)*78.233+Inputs!$C$47*37.719))*43758.5453)))-1))),NA())</x:f>
        <x:v>156.12755644447125</x:v>
      </x:c>
      <x:c r="AV211" s="48" t="n">
        <x: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(0.45*SIN(2*PI()*((((Inputs!$I$9+(((A211)+1)/2)*(Inputs!$J$9-Inputs!$I$9)))/Inputs!$C$49)+Inputs!$C$47*0.137))+0.35*COS(2*PI()*(((Inputs!$C$6)/Inputs!$C$50)+Inputs!$C$47*0.173))+0.20*SIN(2*PI()*((((Inputs!$I$9+(((A211)+1)/2)*(Inputs!$J$9-Inputs!$I$9)))+(Inputs!$C$6))/(0.5*(Inputs!$C$49+Inputs!$C$50))+Inputs!$C$47*0.097)))+0.30*(2*((SIN((((Inputs!$I$9+(((A211)+1)/2)*(Inputs!$J$9-Inputs!$I$9)))*12.9898+(Inputs!$C$6)*78.233+Inputs!$C$47*37.719))*43758.5453)-INT((SIN((((Inputs!$I$9+(((A211)+1)/2)*(Inputs!$J$9-Inputs!$I$9)))*12.9898+(Inputs!$C$6)*78.233+Inputs!$C$47*37.719))*43758.5453)))-1))),NA())</x:f>
        <x:v>156.12755644447125</x:v>
      </x:c>
      <x:c r="AW211" s="49"/>
      <x:c r="AX211" s="48" t="n">
        <x:f>A211</x:f>
        <x:v>0.742</x:v>
      </x:c>
      <x:c r="AY211" s="48" t="n">
        <x:f>0</x:f>
        <x:v>0</x:v>
      </x:c>
      <x:c r="AZ211" s="48" t="n">
        <x:f>IF(OR(Inputs!$F$6=TRUE,Inputs!$F$6="TRUE",Inputs!$F$6=1),(Inputs!$H$6+Inputs!$L$6*(((Inputs!$I$6+(((A211)+1)/2)*(Inputs!$J$6-Inputs!$I$6)))/Inputs!$K$6)^2),NA())</x:f>
        <x:v>402.202256</x:v>
      </x:c>
      <x:c r="BA211" s="48" t="n">
        <x:f>IF(OR(Inputs!$F$7=TRUE,Inputs!$F$7="TRUE",Inputs!$F$7=1),(Inputs!$H$7+Inputs!$L$7*(((Inputs!$I$7+(((A211)+1)/2)*(Inputs!$J$7-Inputs!$I$7)))/Inputs!$K$7)^2),NA())</x:f>
        <x:v>235.95585999999994</x:v>
      </x:c>
      <x:c r="BB211" s="48" t="n">
        <x:f>IF(OR(Inputs!$F$8=TRUE,Inputs!$F$8="TRUE",Inputs!$F$8=1),(Inputs!$H$8+Inputs!$L$8*(((Inputs!$I$8+(((A211)+1)/2)*(Inputs!$J$8-Inputs!$I$8)))/Inputs!$K$8)^2),NA())</x:f>
        <x:v>566.2942599999998</x:v>
      </x:c>
      <x:c r="BC211" s="48" t="n">
        <x:f>IF(OR(Inputs!$F$9=TRUE,Inputs!$F$9="TRUE",Inputs!$F$9=1),(Inputs!$H$9+Inputs!$L$9*(((Inputs!$I$9+(((A211)+1)/2)*(Inputs!$J$9-Inputs!$I$9)))/Inputs!$K$9)^2),NA())</x:f>
        <x:v>561.7998999999999</x:v>
      </x:c>
      <x:c r="BD211" s="49"/>
      <x:c r="BE211" s="48" t="n">
        <x:f>A211</x:f>
        <x:v>0.742</x:v>
      </x:c>
      <x:c r="BF211" s="48" t="n">
        <x:f>0</x:f>
        <x:v>0</x:v>
      </x:c>
      <x:c r="BG211" s="48"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BH211" s="48"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BI211" s="48"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BJ211" s="48"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row>
    <x:row r="212">
      <x:c r="A212" s="48" t="n">
        <x:f>ROUND(-1+210*2/240,3)</x:f>
        <x:v>0.75</x:v>
      </x:c>
      <x:c r="B212" s="48" t="n">
        <x:f>IF(OR(Inputs!$F$6=TRUE,Inputs!$F$6="TRUE",Inputs!$F$6=1),(Inputs!$H$6+Inputs!$L$6*(((Inputs!$I$6+(((A212)+1)/2)*(Inputs!$J$6-Inputs!$I$6)))/Inputs!$K$6)^2),NA())</x:f>
        <x:v>402.25</x:v>
      </x:c>
      <x:c r="C212" s="48" t="n">
        <x:f>IF(OR(Inputs!$F$7=TRUE,Inputs!$F$7="TRUE",Inputs!$F$7=1),(Inputs!$H$7+Inputs!$L$7*(((Inputs!$I$7+(((A212)+1)/2)*(Inputs!$J$7-Inputs!$I$7)))/Inputs!$K$7)^2),NA())</x:f>
        <x:v>240.3125</x:v>
      </x:c>
      <x:c r="D212" s="48" t="n">
        <x:f>IF(OR(Inputs!$F$8=TRUE,Inputs!$F$8="TRUE",Inputs!$F$8=1),(Inputs!$H$8+Inputs!$L$8*(((Inputs!$I$8+(((A212)+1)/2)*(Inputs!$J$8-Inputs!$I$8)))/Inputs!$K$8)^2),NA())</x:f>
        <x:v>577.8125</x:v>
      </x:c>
      <x:c r="E212" s="48" t="n">
        <x:f>IF(OR(Inputs!$F$9=TRUE,Inputs!$F$9="TRUE",Inputs!$F$9=1),(Inputs!$H$9+Inputs!$L$9*(((Inputs!$I$9+(((A212)+1)/2)*(Inputs!$J$9-Inputs!$I$9)))/Inputs!$K$9)^2),NA())</x:f>
        <x:v>573.4375</x:v>
      </x:c>
      <x:c r="F212" s="49"/>
      <x:c r="G212" s="48" t="n">
        <x:f>A212</x:f>
        <x:v>0.75</x:v>
      </x:c>
      <x:c r="H212" s="48"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I212" s="48"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J212" s="48"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K212" s="48"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c r="L212" s="49"/>
      <x:c r="M212" s="48" t="n">
        <x:f>A212</x:f>
        <x:v>0.75</x:v>
      </x:c>
      <x:c r="N212" s="48" t="n">
        <x: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x:f>
        <x:v>-381.5112605730765</x:v>
      </x:c>
      <x:c r="O212" s="48" t="n">
        <x: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x:f>
        <x:v>-2832.668276190082</x:v>
      </x:c>
      <x:c r="P212" s="48" t="n">
        <x: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x:f>
        <x:v>-3624.833328515016</x:v>
      </x:c>
      <x:c r="Q212" s="48" t="n">
        <x: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x:f>
        <x:v>-3644.1221232998905</x:v>
      </x:c>
      <x:c r="R212" s="49"/>
      <x:c r="S212" s="48" t="n">
        <x:f>A212</x:f>
        <x:v>0.75</x:v>
      </x:c>
      <x:c r="T212" s="48" t="n">
        <x:f>(Inputs!$I$6+(((A212)+1)/2)*(Inputs!$J$6-Inputs!$I$6))</x:f>
        <x:v>45</x:v>
      </x:c>
      <x:c r="U212" s="48" t="n">
        <x:f>(Inputs!$I$7+(((A212)+1)/2)*(Inputs!$J$7-Inputs!$I$7))</x:f>
        <x:v>300</x:v>
      </x:c>
      <x:c r="V212" s="48" t="n">
        <x:f>(Inputs!$I$8+(((A212)+1)/2)*(Inputs!$J$8-Inputs!$I$8))</x:f>
        <x:v>600</x:v>
      </x:c>
      <x:c r="W212" s="48" t="n">
        <x:f>(Inputs!$I$9+(((A212)+1)/2)*(Inputs!$J$9-Inputs!$I$9))</x:f>
        <x:v>600</x:v>
      </x:c>
      <x:c r="X212" s="49"/>
      <x:c r="Y212" s="48" t="n">
        <x:f>A212</x:f>
        <x:v>0.75</x:v>
      </x:c>
      <x:c r="Z212" s="48" t="n">
        <x:f>(Inputs!$H$6+Inputs!$L$6*(((Inputs!$I$6+(((A212)+1)/2)*(Inputs!$J$6-Inputs!$I$6)))/Inputs!$K$6)^2)</x:f>
        <x:v>402.25</x:v>
      </x:c>
      <x:c r="AA212" s="48" t="n">
        <x:f>(Inputs!$H$7+Inputs!$L$7*(((Inputs!$I$7+(((A212)+1)/2)*(Inputs!$J$7-Inputs!$I$7)))/Inputs!$K$7)^2)</x:f>
        <x:v>240.3125</x:v>
      </x:c>
      <x:c r="AB212" s="48" t="n">
        <x:f>(Inputs!$H$8+Inputs!$L$8*(((Inputs!$I$8+(((A212)+1)/2)*(Inputs!$J$8-Inputs!$I$8)))/Inputs!$K$8)^2)</x:f>
        <x:v>577.8125</x:v>
      </x:c>
      <x:c r="AC212" s="48" t="n">
        <x:f>(Inputs!$H$9+Inputs!$L$9*(((Inputs!$I$9+(((A212)+1)/2)*(Inputs!$J$9-Inputs!$I$9)))/Inputs!$K$9)^2)</x:f>
        <x:v>573.4375</x:v>
      </x:c>
      <x:c r="AD212" s="49"/>
      <x:c r="AE212" s="48" t="n">
        <x:f>A212</x:f>
        <x:v>0.75</x:v>
      </x:c>
      <x:c r="AF212" s="48" t="n">
        <x:f>(((SQRT((Inputs!$C$52+((Inputs!$H$6+Inputs!$L$6*(((Inputs!$I$6+(((A212)+1)/2)*(Inputs!$J$6-Inputs!$I$6)))/Inputs!$K$6)^2)))^2+Inputs!$C$52^2-2*(Inputs!$C$52+((Inputs!$H$6+Inputs!$L$6*(((Inputs!$I$6+(((A212)+1)/2)*(Inputs!$J$6-Inputs!$I$6)))/Inputs!$K$6)^2)))*Inputs!$C$52*COS(SQRT(((Inputs!$I$6+(((A212)+1)/2)*(Inputs!$J$6-Inputs!$I$6)))^2+Inputs!$C$6^2)/Inputs!$C$52)))-((Inputs!$H$6+Inputs!$L$6*(((Inputs!$I$6+(((A212)+1)/2)*(Inputs!$J$6-Inputs!$I$6)))/Inputs!$K$6)^2)))*1000/Inputs!$C$12)</x:f>
        <x:v>2315.3965059322627</x:v>
      </x:c>
      <x:c r="AG212" s="48" t="n">
        <x:f>(((SQRT((Inputs!$C$52+((Inputs!$H$7+Inputs!$L$7*(((Inputs!$I$7+(((A212)+1)/2)*(Inputs!$J$7-Inputs!$I$7)))/Inputs!$K$7)^2)))^2+Inputs!$C$52^2-2*(Inputs!$C$52+((Inputs!$H$7+Inputs!$L$7*(((Inputs!$I$7+(((A212)+1)/2)*(Inputs!$J$7-Inputs!$I$7)))/Inputs!$K$7)^2)))*Inputs!$C$52*COS(SQRT(((Inputs!$I$7+(((A212)+1)/2)*(Inputs!$J$7-Inputs!$I$7)))^2+Inputs!$C$6^2)/Inputs!$C$52)))-((Inputs!$H$7+Inputs!$L$7*(((Inputs!$I$7+(((A212)+1)/2)*(Inputs!$J$7-Inputs!$I$7)))/Inputs!$K$7)^2)))*1000/Inputs!$C$12)</x:f>
        <x:v>91115.42498675261</x:v>
      </x:c>
      <x:c r="AH212" s="48" t="n">
        <x:f>(((SQRT((Inputs!$C$52+((Inputs!$H$8+Inputs!$L$8*(((Inputs!$I$8+(((A212)+1)/2)*(Inputs!$J$8-Inputs!$I$8)))/Inputs!$K$8)^2)))^2+Inputs!$C$52^2-2*(Inputs!$C$52+((Inputs!$H$8+Inputs!$L$8*(((Inputs!$I$8+(((A212)+1)/2)*(Inputs!$J$8-Inputs!$I$8)))/Inputs!$K$8)^2)))*Inputs!$C$52*COS(SQRT(((Inputs!$I$8+(((A212)+1)/2)*(Inputs!$J$8-Inputs!$I$8)))^2+Inputs!$C$6^2)/Inputs!$C$52)))-((Inputs!$H$8+Inputs!$L$8*(((Inputs!$I$8+(((A212)+1)/2)*(Inputs!$J$8-Inputs!$I$8)))/Inputs!$K$8)^2)))*1000/Inputs!$C$12)</x:f>
        <x:v>184714.38451986728</x:v>
      </x:c>
      <x:c r="AI212" s="48" t="n">
        <x:f>(((SQRT((Inputs!$C$52+((Inputs!$H$9+Inputs!$L$9*(((Inputs!$I$9+(((A212)+1)/2)*(Inputs!$J$9-Inputs!$I$9)))/Inputs!$K$9)^2)))^2+Inputs!$C$52^2-2*(Inputs!$C$52+((Inputs!$H$9+Inputs!$L$9*(((Inputs!$I$9+(((A212)+1)/2)*(Inputs!$J$9-Inputs!$I$9)))/Inputs!$K$9)^2)))*Inputs!$C$52*COS(SQRT(((Inputs!$I$9+(((A212)+1)/2)*(Inputs!$J$9-Inputs!$I$9)))^2+Inputs!$C$6^2)/Inputs!$C$52)))-((Inputs!$H$9+Inputs!$L$9*(((Inputs!$I$9+(((A212)+1)/2)*(Inputs!$J$9-Inputs!$I$9)))/Inputs!$K$9)^2)))*1000/Inputs!$C$12)</x:f>
        <x:v>185298.8927773159</x:v>
      </x:c>
      <x:c r="AJ212" s="49"/>
      <x:c r="AK212" s="48" t="n">
        <x:f>A212</x:f>
        <x:v>0.75</x:v>
      </x:c>
      <x:c r="AL212" s="48" t="n">
        <x: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x:f>
        <x:v>-381.5112605730765</x:v>
      </x:c>
      <x:c r="AM212" s="48" t="n">
        <x: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x:f>
        <x:v>-2832.668276190082</x:v>
      </x:c>
      <x:c r="AN212" s="48" t="n">
        <x: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x:f>
        <x:v>-3624.833328515016</x:v>
      </x:c>
      <x:c r="AO212" s="48" t="n">
        <x: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x:f>
        <x:v>-3644.1221232998905</x:v>
      </x:c>
      <x:c r="AP212" s="49"/>
      <x:c r="AQ212" s="48" t="n">
        <x:f>A212</x:f>
        <x:v>0.75</x:v>
      </x:c>
      <x:c r="AR212" s="48" t="n">
        <x:f>0</x:f>
        <x:v>0</x:v>
      </x:c>
      <x:c r="AS212" s="48" t="n">
        <x: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(0.45*SIN(2*PI()*((((Inputs!$I$6+(((A212)+1)/2)*(Inputs!$J$6-Inputs!$I$6)))/Inputs!$C$49)+Inputs!$C$47*0.137))+0.35*COS(2*PI()*(((Inputs!$C$6)/Inputs!$C$50)+Inputs!$C$47*0.173))+0.20*SIN(2*PI()*((((Inputs!$I$6+(((A212)+1)/2)*(Inputs!$J$6-Inputs!$I$6)))+(Inputs!$C$6))/(0.5*(Inputs!$C$49+Inputs!$C$50))+Inputs!$C$47*0.097)))+0.30*(2*((SIN((((Inputs!$I$6+(((A212)+1)/2)*(Inputs!$J$6-Inputs!$I$6)))*12.9898+(Inputs!$C$6)*78.233+Inputs!$C$47*37.719))*43758.5453)-INT((SIN((((Inputs!$I$6+(((A212)+1)/2)*(Inputs!$J$6-Inputs!$I$6)))*12.9898+(Inputs!$C$6)*78.233+Inputs!$C$47*37.719))*43758.5453)))-1))),NA())</x:f>
        <x:v>165.26573251393552</x:v>
      </x:c>
      <x:c r="AT212" s="48" t="n">
        <x: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(0.45*SIN(2*PI()*((((Inputs!$I$7+(((A212)+1)/2)*(Inputs!$J$7-Inputs!$I$7)))/Inputs!$C$49)+Inputs!$C$47*0.137))+0.35*COS(2*PI()*(((Inputs!$C$6)/Inputs!$C$50)+Inputs!$C$47*0.173))+0.20*SIN(2*PI()*((((Inputs!$I$7+(((A212)+1)/2)*(Inputs!$J$7-Inputs!$I$7)))+(Inputs!$C$6))/(0.5*(Inputs!$C$49+Inputs!$C$50))+Inputs!$C$47*0.097)))+0.30*(2*((SIN((((Inputs!$I$7+(((A212)+1)/2)*(Inputs!$J$7-Inputs!$I$7)))*12.9898+(Inputs!$C$6)*78.233+Inputs!$C$47*37.719))*43758.5453)-INT((SIN((((Inputs!$I$7+(((A212)+1)/2)*(Inputs!$J$7-Inputs!$I$7)))*12.9898+(Inputs!$C$6)*78.233+Inputs!$C$47*37.719))*43758.5453)))-1))),NA())</x:f>
        <x:v>97.23537790937075</x:v>
      </x:c>
      <x:c r="AU212" s="48" t="n">
        <x: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(0.45*SIN(2*PI()*((((Inputs!$I$8+(((A212)+1)/2)*(Inputs!$J$8-Inputs!$I$8)))/Inputs!$C$49)+Inputs!$C$47*0.137))+0.35*COS(2*PI()*(((Inputs!$C$6)/Inputs!$C$50)+Inputs!$C$47*0.173))+0.20*SIN(2*PI()*((((Inputs!$I$8+(((A212)+1)/2)*(Inputs!$J$8-Inputs!$I$8)))+(Inputs!$C$6))/(0.5*(Inputs!$C$49+Inputs!$C$50))+Inputs!$C$47*0.097)))+0.30*(2*((SIN((((Inputs!$I$8+(((A212)+1)/2)*(Inputs!$J$8-Inputs!$I$8)))*12.9898+(Inputs!$C$6)*78.233+Inputs!$C$47*37.719))*43758.5453)-INT((SIN((((Inputs!$I$8+(((A212)+1)/2)*(Inputs!$J$8-Inputs!$I$8)))*12.9898+(Inputs!$C$6)*78.233+Inputs!$C$47*37.719))*43758.5453)))-1))),NA())</x:f>
        <x:v>164.31054513810437</x:v>
      </x:c>
      <x:c r="AV212" s="48" t="n">
        <x: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(0.45*SIN(2*PI()*((((Inputs!$I$9+(((A212)+1)/2)*(Inputs!$J$9-Inputs!$I$9)))/Inputs!$C$49)+Inputs!$C$47*0.137))+0.35*COS(2*PI()*(((Inputs!$C$6)/Inputs!$C$50)+Inputs!$C$47*0.173))+0.20*SIN(2*PI()*((((Inputs!$I$9+(((A212)+1)/2)*(Inputs!$J$9-Inputs!$I$9)))+(Inputs!$C$6))/(0.5*(Inputs!$C$49+Inputs!$C$50))+Inputs!$C$47*0.097)))+0.30*(2*((SIN((((Inputs!$I$9+(((A212)+1)/2)*(Inputs!$J$9-Inputs!$I$9)))*12.9898+(Inputs!$C$6)*78.233+Inputs!$C$47*37.719))*43758.5453)-INT((SIN((((Inputs!$I$9+(((A212)+1)/2)*(Inputs!$J$9-Inputs!$I$9)))*12.9898+(Inputs!$C$6)*78.233+Inputs!$C$47*37.719))*43758.5453)))-1))),NA())</x:f>
        <x:v>164.31054513810437</x:v>
      </x:c>
      <x:c r="AW212" s="49"/>
      <x:c r="AX212" s="48" t="n">
        <x:f>A212</x:f>
        <x:v>0.75</x:v>
      </x:c>
      <x:c r="AY212" s="48" t="n">
        <x:f>0</x:f>
        <x:v>0</x:v>
      </x:c>
      <x:c r="AZ212" s="48" t="n">
        <x:f>IF(OR(Inputs!$F$6=TRUE,Inputs!$F$6="TRUE",Inputs!$F$6=1),(Inputs!$H$6+Inputs!$L$6*(((Inputs!$I$6+(((A212)+1)/2)*(Inputs!$J$6-Inputs!$I$6)))/Inputs!$K$6)^2),NA())</x:f>
        <x:v>402.25</x:v>
      </x:c>
      <x:c r="BA212" s="48" t="n">
        <x:f>IF(OR(Inputs!$F$7=TRUE,Inputs!$F$7="TRUE",Inputs!$F$7=1),(Inputs!$H$7+Inputs!$L$7*(((Inputs!$I$7+(((A212)+1)/2)*(Inputs!$J$7-Inputs!$I$7)))/Inputs!$K$7)^2),NA())</x:f>
        <x:v>240.3125</x:v>
      </x:c>
      <x:c r="BB212" s="48" t="n">
        <x:f>IF(OR(Inputs!$F$8=TRUE,Inputs!$F$8="TRUE",Inputs!$F$8=1),(Inputs!$H$8+Inputs!$L$8*(((Inputs!$I$8+(((A212)+1)/2)*(Inputs!$J$8-Inputs!$I$8)))/Inputs!$K$8)^2),NA())</x:f>
        <x:v>577.8125</x:v>
      </x:c>
      <x:c r="BC212" s="48" t="n">
        <x:f>IF(OR(Inputs!$F$9=TRUE,Inputs!$F$9="TRUE",Inputs!$F$9=1),(Inputs!$H$9+Inputs!$L$9*(((Inputs!$I$9+(((A212)+1)/2)*(Inputs!$J$9-Inputs!$I$9)))/Inputs!$K$9)^2),NA())</x:f>
        <x:v>573.4375</x:v>
      </x:c>
      <x:c r="BD212" s="49"/>
      <x:c r="BE212" s="48" t="n">
        <x:f>A212</x:f>
        <x:v>0.75</x:v>
      </x:c>
      <x:c r="BF212" s="48" t="n">
        <x:f>0</x:f>
        <x:v>0</x:v>
      </x:c>
      <x:c r="BG212" s="48"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BH212" s="48"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BI212" s="48"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BJ212" s="48"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row>
    <x:row r="213">
      <x:c r="A213" s="48" t="n">
        <x:f>ROUND(-1+211*2/240,3)</x:f>
        <x:v>0.758</x:v>
      </x:c>
      <x:c r="B213" s="48" t="n">
        <x:f>IF(OR(Inputs!$F$6=TRUE,Inputs!$F$6="TRUE",Inputs!$F$6=1),(Inputs!$H$6+Inputs!$L$6*(((Inputs!$I$6+(((A213)+1)/2)*(Inputs!$J$6-Inputs!$I$6)))/Inputs!$K$6)^2),NA())</x:f>
        <x:v>402.298256</x:v>
      </x:c>
      <x:c r="C213" s="48" t="n">
        <x:f>IF(OR(Inputs!$F$7=TRUE,Inputs!$F$7="TRUE",Inputs!$F$7=1),(Inputs!$H$7+Inputs!$L$7*(((Inputs!$I$7+(((A213)+1)/2)*(Inputs!$J$7-Inputs!$I$7)))/Inputs!$K$7)^2),NA())</x:f>
        <x:v>244.71586000000008</x:v>
      </x:c>
      <x:c r="D213" s="48" t="n">
        <x:f>IF(OR(Inputs!$F$8=TRUE,Inputs!$F$8="TRUE",Inputs!$F$8=1),(Inputs!$H$8+Inputs!$L$8*(((Inputs!$I$8+(((A213)+1)/2)*(Inputs!$J$8-Inputs!$I$8)))/Inputs!$K$8)^2),NA())</x:f>
        <x:v>589.4542600000002</x:v>
      </x:c>
      <x:c r="E213" s="48" t="n">
        <x:f>IF(OR(Inputs!$F$9=TRUE,Inputs!$F$9="TRUE",Inputs!$F$9=1),(Inputs!$H$9+Inputs!$L$9*(((Inputs!$I$9+(((A213)+1)/2)*(Inputs!$J$9-Inputs!$I$9)))/Inputs!$K$9)^2),NA())</x:f>
        <x:v>585.1999000000002</x:v>
      </x:c>
      <x:c r="F213" s="49"/>
      <x:c r="G213" s="48" t="n">
        <x:f>A213</x:f>
        <x:v>0.758</x:v>
      </x:c>
      <x:c r="H213" s="48"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I213" s="48"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J213" s="48"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K213" s="48"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c r="L213" s="49"/>
      <x:c r="M213" s="48" t="n">
        <x:f>A213</x:f>
        <x:v>0.758</x:v>
      </x:c>
      <x:c r="N213" s="48" t="n">
        <x: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x:f>
        <x:v>-385.5011747971263</x:v>
      </x:c>
      <x:c r="O213" s="48" t="n">
        <x: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x:f>
        <x:v>-2853.3637264788636</x:v>
      </x:c>
      <x:c r="P213" s="48" t="n">
        <x: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x:f>
        <x:v>-3657.12526345593</x:v>
      </x:c>
      <x:c r="Q213" s="48" t="n">
        <x: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x:f>
        <x:v>-3676.908297109796</x:v>
      </x:c>
      <x:c r="R213" s="49"/>
      <x:c r="S213" s="48" t="n">
        <x:f>A213</x:f>
        <x:v>0.758</x:v>
      </x:c>
      <x:c r="T213" s="48" t="n">
        <x:f>(Inputs!$I$6+(((A213)+1)/2)*(Inputs!$J$6-Inputs!$I$6))</x:f>
        <x:v>45.480000000000004</x:v>
      </x:c>
      <x:c r="U213" s="48" t="n">
        <x:f>(Inputs!$I$7+(((A213)+1)/2)*(Inputs!$J$7-Inputs!$I$7))</x:f>
        <x:v>303.20000000000005</x:v>
      </x:c>
      <x:c r="V213" s="48" t="n">
        <x:f>(Inputs!$I$8+(((A213)+1)/2)*(Inputs!$J$8-Inputs!$I$8))</x:f>
        <x:v>606.4000000000001</x:v>
      </x:c>
      <x:c r="W213" s="48" t="n">
        <x:f>(Inputs!$I$9+(((A213)+1)/2)*(Inputs!$J$9-Inputs!$I$9))</x:f>
        <x:v>606.4000000000001</x:v>
      </x:c>
      <x:c r="X213" s="49"/>
      <x:c r="Y213" s="48" t="n">
        <x:f>A213</x:f>
        <x:v>0.758</x:v>
      </x:c>
      <x:c r="Z213" s="48" t="n">
        <x:f>(Inputs!$H$6+Inputs!$L$6*(((Inputs!$I$6+(((A213)+1)/2)*(Inputs!$J$6-Inputs!$I$6)))/Inputs!$K$6)^2)</x:f>
        <x:v>402.298256</x:v>
      </x:c>
      <x:c r="AA213" s="48" t="n">
        <x:f>(Inputs!$H$7+Inputs!$L$7*(((Inputs!$I$7+(((A213)+1)/2)*(Inputs!$J$7-Inputs!$I$7)))/Inputs!$K$7)^2)</x:f>
        <x:v>244.71586000000008</x:v>
      </x:c>
      <x:c r="AB213" s="48" t="n">
        <x:f>(Inputs!$H$8+Inputs!$L$8*(((Inputs!$I$8+(((A213)+1)/2)*(Inputs!$J$8-Inputs!$I$8)))/Inputs!$K$8)^2)</x:f>
        <x:v>589.4542600000002</x:v>
      </x:c>
      <x:c r="AC213" s="48" t="n">
        <x:f>(Inputs!$H$9+Inputs!$L$9*(((Inputs!$I$9+(((A213)+1)/2)*(Inputs!$J$9-Inputs!$I$9)))/Inputs!$K$9)^2)</x:f>
        <x:v>585.1999000000002</x:v>
      </x:c>
      <x:c r="AD213" s="49"/>
      <x:c r="AE213" s="48" t="n">
        <x:f>A213</x:f>
        <x:v>0.758</x:v>
      </x:c>
      <x:c r="AF213" s="48" t="n">
        <x:f>(((SQRT((Inputs!$C$52+((Inputs!$H$6+Inputs!$L$6*(((Inputs!$I$6+(((A213)+1)/2)*(Inputs!$J$6-Inputs!$I$6)))/Inputs!$K$6)^2)))^2+Inputs!$C$52^2-2*(Inputs!$C$52+((Inputs!$H$6+Inputs!$L$6*(((Inputs!$I$6+(((A213)+1)/2)*(Inputs!$J$6-Inputs!$I$6)))/Inputs!$K$6)^2)))*Inputs!$C$52*COS(SQRT(((Inputs!$I$6+(((A213)+1)/2)*(Inputs!$J$6-Inputs!$I$6)))^2+Inputs!$C$6^2)/Inputs!$C$52)))-((Inputs!$H$6+Inputs!$L$6*(((Inputs!$I$6+(((A213)+1)/2)*(Inputs!$J$6-Inputs!$I$6)))/Inputs!$K$6)^2)))*1000/Inputs!$C$12)</x:f>
        <x:v>2352.9223073851977</x:v>
      </x:c>
      <x:c r="AG213" s="48" t="n">
        <x:f>(((SQRT((Inputs!$C$52+((Inputs!$H$7+Inputs!$L$7*(((Inputs!$I$7+(((A213)+1)/2)*(Inputs!$J$7-Inputs!$I$7)))/Inputs!$K$7)^2)))^2+Inputs!$C$52^2-2*(Inputs!$C$52+((Inputs!$H$7+Inputs!$L$7*(((Inputs!$I$7+(((A213)+1)/2)*(Inputs!$J$7-Inputs!$I$7)))/Inputs!$K$7)^2)))*Inputs!$C$52*COS(SQRT(((Inputs!$I$7+(((A213)+1)/2)*(Inputs!$J$7-Inputs!$I$7)))^2+Inputs!$C$6^2)/Inputs!$C$52)))-((Inputs!$H$7+Inputs!$L$7*(((Inputs!$I$7+(((A213)+1)/2)*(Inputs!$J$7-Inputs!$I$7)))/Inputs!$K$7)^2)))*1000/Inputs!$C$12)</x:f>
        <x:v>91836.01826740609</x:v>
      </x:c>
      <x:c r="AH213" s="48" t="n">
        <x:f>(((SQRT((Inputs!$C$52+((Inputs!$H$8+Inputs!$L$8*(((Inputs!$I$8+(((A213)+1)/2)*(Inputs!$J$8-Inputs!$I$8)))/Inputs!$K$8)^2)))^2+Inputs!$C$52^2-2*(Inputs!$C$52+((Inputs!$H$8+Inputs!$L$8*(((Inputs!$I$8+(((A213)+1)/2)*(Inputs!$J$8-Inputs!$I$8)))/Inputs!$K$8)^2)))*Inputs!$C$52*COS(SQRT(((Inputs!$I$8+(((A213)+1)/2)*(Inputs!$J$8-Inputs!$I$8)))^2+Inputs!$C$6^2)/Inputs!$C$52)))-((Inputs!$H$8+Inputs!$L$8*(((Inputs!$I$8+(((A213)+1)/2)*(Inputs!$J$8-Inputs!$I$8)))/Inputs!$K$8)^2)))*1000/Inputs!$C$12)</x:f>
        <x:v>186356.0291483406</x:v>
      </x:c>
      <x:c r="AI213" s="48" t="n">
        <x:f>(((SQRT((Inputs!$C$52+((Inputs!$H$9+Inputs!$L$9*(((Inputs!$I$9+(((A213)+1)/2)*(Inputs!$J$9-Inputs!$I$9)))/Inputs!$K$9)^2)))^2+Inputs!$C$52^2-2*(Inputs!$C$52+((Inputs!$H$9+Inputs!$L$9*(((Inputs!$I$9+(((A213)+1)/2)*(Inputs!$J$9-Inputs!$I$9)))/Inputs!$K$9)^2)))*Inputs!$C$52*COS(SQRT(((Inputs!$I$9+(((A213)+1)/2)*(Inputs!$J$9-Inputs!$I$9)))^2+Inputs!$C$6^2)/Inputs!$C$52)))-((Inputs!$H$9+Inputs!$L$9*(((Inputs!$I$9+(((A213)+1)/2)*(Inputs!$J$9-Inputs!$I$9)))/Inputs!$K$9)^2)))*1000/Inputs!$C$12)</x:f>
        <x:v>186916.66345870466</x:v>
      </x:c>
      <x:c r="AJ213" s="49"/>
      <x:c r="AK213" s="48" t="n">
        <x:f>A213</x:f>
        <x:v>0.758</x:v>
      </x:c>
      <x:c r="AL213" s="48" t="n">
        <x: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x:f>
        <x:v>-385.5011747971263</x:v>
      </x:c>
      <x:c r="AM213" s="48" t="n">
        <x: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x:f>
        <x:v>-2853.3637264788636</x:v>
      </x:c>
      <x:c r="AN213" s="48" t="n">
        <x: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x:f>
        <x:v>-3657.12526345593</x:v>
      </x:c>
      <x:c r="AO213" s="48" t="n">
        <x: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x:f>
        <x:v>-3676.908297109796</x:v>
      </x:c>
      <x:c r="AP213" s="49"/>
      <x:c r="AQ213" s="48" t="n">
        <x:f>A213</x:f>
        <x:v>0.758</x:v>
      </x:c>
      <x:c r="AR213" s="48" t="n">
        <x:f>0</x:f>
        <x:v>0</x:v>
      </x:c>
      <x:c r="AS213" s="48" t="n">
        <x: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(0.45*SIN(2*PI()*((((Inputs!$I$6+(((A213)+1)/2)*(Inputs!$J$6-Inputs!$I$6)))/Inputs!$C$49)+Inputs!$C$47*0.137))+0.35*COS(2*PI()*(((Inputs!$C$6)/Inputs!$C$50)+Inputs!$C$47*0.173))+0.20*SIN(2*PI()*((((Inputs!$I$6+(((A213)+1)/2)*(Inputs!$J$6-Inputs!$I$6)))+(Inputs!$C$6))/(0.5*(Inputs!$C$49+Inputs!$C$50))+Inputs!$C$47*0.097)))+0.30*(2*((SIN((((Inputs!$I$6+(((A213)+1)/2)*(Inputs!$J$6-Inputs!$I$6)))*12.9898+(Inputs!$C$6)*78.233+Inputs!$C$47*37.719))*43758.5453)-INT((SIN((((Inputs!$I$6+(((A213)+1)/2)*(Inputs!$J$6-Inputs!$I$6)))*12.9898+(Inputs!$C$6)*78.233+Inputs!$C$47*37.719))*43758.5453)))-1))),NA())</x:f>
        <x:v>153.2323789253225</x:v>
      </x:c>
      <x:c r="AT213" s="48" t="n">
        <x: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(0.45*SIN(2*PI()*((((Inputs!$I$7+(((A213)+1)/2)*(Inputs!$J$7-Inputs!$I$7)))/Inputs!$C$49)+Inputs!$C$47*0.137))+0.35*COS(2*PI()*(((Inputs!$C$6)/Inputs!$C$50)+Inputs!$C$47*0.173))+0.20*SIN(2*PI()*((((Inputs!$I$7+(((A213)+1)/2)*(Inputs!$J$7-Inputs!$I$7)))+(Inputs!$C$6))/(0.5*(Inputs!$C$49+Inputs!$C$50))+Inputs!$C$47*0.097)))+0.30*(2*((SIN((((Inputs!$I$7+(((A213)+1)/2)*(Inputs!$J$7-Inputs!$I$7)))*12.9898+(Inputs!$C$6)*78.233+Inputs!$C$47*37.719))*43758.5453)-INT((SIN((((Inputs!$I$7+(((A213)+1)/2)*(Inputs!$J$7-Inputs!$I$7)))*12.9898+(Inputs!$C$6)*78.233+Inputs!$C$47*37.719))*43758.5453)))-1))),NA())</x:f>
        <x:v>108.92623427961139</x:v>
      </x:c>
      <x:c r="AU213" s="48" t="n">
        <x: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(0.45*SIN(2*PI()*((((Inputs!$I$8+(((A213)+1)/2)*(Inputs!$J$8-Inputs!$I$8)))/Inputs!$C$49)+Inputs!$C$47*0.137))+0.35*COS(2*PI()*(((Inputs!$C$6)/Inputs!$C$50)+Inputs!$C$47*0.173))+0.20*SIN(2*PI()*((((Inputs!$I$8+(((A213)+1)/2)*(Inputs!$J$8-Inputs!$I$8)))+(Inputs!$C$6))/(0.5*(Inputs!$C$49+Inputs!$C$50))+Inputs!$C$47*0.097)))+0.30*(2*((SIN((((Inputs!$I$8+(((A213)+1)/2)*(Inputs!$J$8-Inputs!$I$8)))*12.9898+(Inputs!$C$6)*78.233+Inputs!$C$47*37.719))*43758.5453)-INT((SIN((((Inputs!$I$8+(((A213)+1)/2)*(Inputs!$J$8-Inputs!$I$8)))*12.9898+(Inputs!$C$6)*78.233+Inputs!$C$47*37.719))*43758.5453)))-1))),NA())</x:f>
        <x:v>83.71001822374583</x:v>
      </x:c>
      <x:c r="AV213" s="48" t="n">
        <x: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(0.45*SIN(2*PI()*((((Inputs!$I$9+(((A213)+1)/2)*(Inputs!$J$9-Inputs!$I$9)))/Inputs!$C$49)+Inputs!$C$47*0.137))+0.35*COS(2*PI()*(((Inputs!$C$6)/Inputs!$C$50)+Inputs!$C$47*0.173))+0.20*SIN(2*PI()*((((Inputs!$I$9+(((A213)+1)/2)*(Inputs!$J$9-Inputs!$I$9)))+(Inputs!$C$6))/(0.5*(Inputs!$C$49+Inputs!$C$50))+Inputs!$C$47*0.097)))+0.30*(2*((SIN((((Inputs!$I$9+(((A213)+1)/2)*(Inputs!$J$9-Inputs!$I$9)))*12.9898+(Inputs!$C$6)*78.233+Inputs!$C$47*37.719))*43758.5453)-INT((SIN((((Inputs!$I$9+(((A213)+1)/2)*(Inputs!$J$9-Inputs!$I$9)))*12.9898+(Inputs!$C$6)*78.233+Inputs!$C$47*37.719))*43758.5453)))-1))),NA())</x:f>
        <x:v>83.71001822374583</x:v>
      </x:c>
      <x:c r="AW213" s="49"/>
      <x:c r="AX213" s="48" t="n">
        <x:f>A213</x:f>
        <x:v>0.758</x:v>
      </x:c>
      <x:c r="AY213" s="48" t="n">
        <x:f>0</x:f>
        <x:v>0</x:v>
      </x:c>
      <x:c r="AZ213" s="48" t="n">
        <x:f>IF(OR(Inputs!$F$6=TRUE,Inputs!$F$6="TRUE",Inputs!$F$6=1),(Inputs!$H$6+Inputs!$L$6*(((Inputs!$I$6+(((A213)+1)/2)*(Inputs!$J$6-Inputs!$I$6)))/Inputs!$K$6)^2),NA())</x:f>
        <x:v>402.298256</x:v>
      </x:c>
      <x:c r="BA213" s="48" t="n">
        <x:f>IF(OR(Inputs!$F$7=TRUE,Inputs!$F$7="TRUE",Inputs!$F$7=1),(Inputs!$H$7+Inputs!$L$7*(((Inputs!$I$7+(((A213)+1)/2)*(Inputs!$J$7-Inputs!$I$7)))/Inputs!$K$7)^2),NA())</x:f>
        <x:v>244.71586000000008</x:v>
      </x:c>
      <x:c r="BB213" s="48" t="n">
        <x:f>IF(OR(Inputs!$F$8=TRUE,Inputs!$F$8="TRUE",Inputs!$F$8=1),(Inputs!$H$8+Inputs!$L$8*(((Inputs!$I$8+(((A213)+1)/2)*(Inputs!$J$8-Inputs!$I$8)))/Inputs!$K$8)^2),NA())</x:f>
        <x:v>589.4542600000002</x:v>
      </x:c>
      <x:c r="BC213" s="48" t="n">
        <x:f>IF(OR(Inputs!$F$9=TRUE,Inputs!$F$9="TRUE",Inputs!$F$9=1),(Inputs!$H$9+Inputs!$L$9*(((Inputs!$I$9+(((A213)+1)/2)*(Inputs!$J$9-Inputs!$I$9)))/Inputs!$K$9)^2),NA())</x:f>
        <x:v>585.1999000000002</x:v>
      </x:c>
      <x:c r="BD213" s="49"/>
      <x:c r="BE213" s="48" t="n">
        <x:f>A213</x:f>
        <x:v>0.758</x:v>
      </x:c>
      <x:c r="BF213" s="48" t="n">
        <x:f>0</x:f>
        <x:v>0</x:v>
      </x:c>
      <x:c r="BG213" s="48"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BH213" s="48"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BI213" s="48"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BJ213" s="48"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row>
    <x:row r="214">
      <x:c r="A214" s="48" t="n">
        <x:f>ROUND(-1+212*2/240,3)</x:f>
        <x:v>0.767</x:v>
      </x:c>
      <x:c r="B214" s="48" t="n">
        <x:f>IF(OR(Inputs!$F$6=TRUE,Inputs!$F$6="TRUE",Inputs!$F$6=1),(Inputs!$H$6+Inputs!$L$6*(((Inputs!$I$6+(((A214)+1)/2)*(Inputs!$J$6-Inputs!$I$6)))/Inputs!$K$6)^2),NA())</x:f>
        <x:v>402.353156</x:v>
      </x:c>
      <x:c r="C214" s="48" t="n">
        <x:f>IF(OR(Inputs!$F$7=TRUE,Inputs!$F$7="TRUE",Inputs!$F$7=1),(Inputs!$H$7+Inputs!$L$7*(((Inputs!$I$7+(((A214)+1)/2)*(Inputs!$J$7-Inputs!$I$7)))/Inputs!$K$7)^2),NA())</x:f>
        <x:v>249.72548499999994</x:v>
      </x:c>
      <x:c r="D214" s="48" t="n">
        <x:f>IF(OR(Inputs!$F$8=TRUE,Inputs!$F$8="TRUE",Inputs!$F$8=1),(Inputs!$H$8+Inputs!$L$8*(((Inputs!$I$8+(((A214)+1)/2)*(Inputs!$J$8-Inputs!$I$8)))/Inputs!$K$8)^2),NA())</x:f>
        <x:v>602.6988849999998</x:v>
      </x:c>
      <x:c r="E214" s="48" t="n">
        <x:f>IF(OR(Inputs!$F$9=TRUE,Inputs!$F$9="TRUE",Inputs!$F$9=1),(Inputs!$H$9+Inputs!$L$9*(((Inputs!$I$9+(((A214)+1)/2)*(Inputs!$J$9-Inputs!$I$9)))/Inputs!$K$9)^2),NA())</x:f>
        <x:v>598.5817749999999</x:v>
      </x:c>
      <x:c r="F214" s="49"/>
      <x:c r="G214" s="48" t="n">
        <x:f>A214</x:f>
        <x:v>0.767</x:v>
      </x:c>
      <x:c r="H214" s="48"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I214" s="48"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J214" s="48"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K214" s="48"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c r="L214" s="49"/>
      <x:c r="M214" s="48" t="n">
        <x:f>A214</x:f>
        <x:v>0.767</x:v>
      </x:c>
      <x:c r="N214" s="48" t="n">
        <x: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x:f>
        <x:v>-389.98688372679453</x:v>
      </x:c>
      <x:c r="O214" s="48" t="n">
        <x: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x:f>
        <x:v>-2876.7596069087685</x:v>
      </x:c>
      <x:c r="P214" s="48" t="n">
        <x: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x:f>
        <x:v>-3693.5586319404124</x:v>
      </x:c>
      <x:c r="Q214" s="48" t="n">
        <x: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x:f>
        <x:v>-3713.8951016011933</x:v>
      </x:c>
      <x:c r="R214" s="49"/>
      <x:c r="S214" s="48" t="n">
        <x:f>A214</x:f>
        <x:v>0.767</x:v>
      </x:c>
      <x:c r="T214" s="48" t="n">
        <x:f>(Inputs!$I$6+(((A214)+1)/2)*(Inputs!$J$6-Inputs!$I$6))</x:f>
        <x:v>46.019999999999996</x:v>
      </x:c>
      <x:c r="U214" s="48" t="n">
        <x:f>(Inputs!$I$7+(((A214)+1)/2)*(Inputs!$J$7-Inputs!$I$7))</x:f>
        <x:v>306.79999999999995</x:v>
      </x:c>
      <x:c r="V214" s="48" t="n">
        <x:f>(Inputs!$I$8+(((A214)+1)/2)*(Inputs!$J$8-Inputs!$I$8))</x:f>
        <x:v>613.5999999999999</x:v>
      </x:c>
      <x:c r="W214" s="48" t="n">
        <x:f>(Inputs!$I$9+(((A214)+1)/2)*(Inputs!$J$9-Inputs!$I$9))</x:f>
        <x:v>613.5999999999999</x:v>
      </x:c>
      <x:c r="X214" s="49"/>
      <x:c r="Y214" s="48" t="n">
        <x:f>A214</x:f>
        <x:v>0.767</x:v>
      </x:c>
      <x:c r="Z214" s="48" t="n">
        <x:f>(Inputs!$H$6+Inputs!$L$6*(((Inputs!$I$6+(((A214)+1)/2)*(Inputs!$J$6-Inputs!$I$6)))/Inputs!$K$6)^2)</x:f>
        <x:v>402.353156</x:v>
      </x:c>
      <x:c r="AA214" s="48" t="n">
        <x:f>(Inputs!$H$7+Inputs!$L$7*(((Inputs!$I$7+(((A214)+1)/2)*(Inputs!$J$7-Inputs!$I$7)))/Inputs!$K$7)^2)</x:f>
        <x:v>249.72548499999994</x:v>
      </x:c>
      <x:c r="AB214" s="48" t="n">
        <x:f>(Inputs!$H$8+Inputs!$L$8*(((Inputs!$I$8+(((A214)+1)/2)*(Inputs!$J$8-Inputs!$I$8)))/Inputs!$K$8)^2)</x:f>
        <x:v>602.6988849999998</x:v>
      </x:c>
      <x:c r="AC214" s="48" t="n">
        <x:f>(Inputs!$H$9+Inputs!$L$9*(((Inputs!$I$9+(((A214)+1)/2)*(Inputs!$J$9-Inputs!$I$9)))/Inputs!$K$9)^2)</x:f>
        <x:v>598.5817749999999</x:v>
      </x:c>
      <x:c r="AD214" s="49"/>
      <x:c r="AE214" s="48" t="n">
        <x:f>A214</x:f>
        <x:v>0.767</x:v>
      </x:c>
      <x:c r="AF214" s="48" t="n">
        <x:f>(((SQRT((Inputs!$C$52+((Inputs!$H$6+Inputs!$L$6*(((Inputs!$I$6+(((A214)+1)/2)*(Inputs!$J$6-Inputs!$I$6)))/Inputs!$K$6)^2)))^2+Inputs!$C$52^2-2*(Inputs!$C$52+((Inputs!$H$6+Inputs!$L$6*(((Inputs!$I$6+(((A214)+1)/2)*(Inputs!$J$6-Inputs!$I$6)))/Inputs!$K$6)^2)))*Inputs!$C$52*COS(SQRT(((Inputs!$I$6+(((A214)+1)/2)*(Inputs!$J$6-Inputs!$I$6)))^2+Inputs!$C$6^2)/Inputs!$C$52)))-((Inputs!$H$6+Inputs!$L$6*(((Inputs!$I$6+(((A214)+1)/2)*(Inputs!$J$6-Inputs!$I$6)))/Inputs!$K$6)^2)))*1000/Inputs!$C$12)</x:f>
        <x:v>2395.598542205678</x:v>
      </x:c>
      <x:c r="AG214" s="48" t="n">
        <x:f>(((SQRT((Inputs!$C$52+((Inputs!$H$7+Inputs!$L$7*(((Inputs!$I$7+(((A214)+1)/2)*(Inputs!$J$7-Inputs!$I$7)))/Inputs!$K$7)^2)))^2+Inputs!$C$52^2-2*(Inputs!$C$52+((Inputs!$H$7+Inputs!$L$7*(((Inputs!$I$7+(((A214)+1)/2)*(Inputs!$J$7-Inputs!$I$7)))/Inputs!$K$7)^2)))*Inputs!$C$52*COS(SQRT(((Inputs!$I$7+(((A214)+1)/2)*(Inputs!$J$7-Inputs!$I$7)))^2+Inputs!$C$6^2)/Inputs!$C$52)))-((Inputs!$H$7+Inputs!$L$7*(((Inputs!$I$7+(((A214)+1)/2)*(Inputs!$J$7-Inputs!$I$7)))/Inputs!$K$7)^2)))*1000/Inputs!$C$12)</x:f>
        <x:v>92643.17636024533</x:v>
      </x:c>
      <x:c r="AH214" s="48" t="n">
        <x:f>(((SQRT((Inputs!$C$52+((Inputs!$H$8+Inputs!$L$8*(((Inputs!$I$8+(((A214)+1)/2)*(Inputs!$J$8-Inputs!$I$8)))/Inputs!$K$8)^2)))^2+Inputs!$C$52^2-2*(Inputs!$C$52+((Inputs!$H$8+Inputs!$L$8*(((Inputs!$I$8+(((A214)+1)/2)*(Inputs!$J$8-Inputs!$I$8)))/Inputs!$K$8)^2)))*Inputs!$C$52*COS(SQRT(((Inputs!$I$8+(((A214)+1)/2)*(Inputs!$J$8-Inputs!$I$8)))^2+Inputs!$C$6^2)/Inputs!$C$52)))-((Inputs!$H$8+Inputs!$L$8*(((Inputs!$I$8+(((A214)+1)/2)*(Inputs!$J$8-Inputs!$I$8)))/Inputs!$K$8)^2)))*1000/Inputs!$C$12)</x:f>
        <x:v>188206.80035603675</x:v>
      </x:c>
      <x:c r="AI214" s="48" t="n">
        <x:f>(((SQRT((Inputs!$C$52+((Inputs!$H$9+Inputs!$L$9*(((Inputs!$I$9+(((A214)+1)/2)*(Inputs!$J$9-Inputs!$I$9)))/Inputs!$K$9)^2)))^2+Inputs!$C$52^2-2*(Inputs!$C$52+((Inputs!$H$9+Inputs!$L$9*(((Inputs!$I$9+(((A214)+1)/2)*(Inputs!$J$9-Inputs!$I$9)))/Inputs!$K$9)^2)))*Inputs!$C$52*COS(SQRT(((Inputs!$I$9+(((A214)+1)/2)*(Inputs!$J$9-Inputs!$I$9)))^2+Inputs!$C$6^2)/Inputs!$C$52)))-((Inputs!$H$9+Inputs!$L$9*(((Inputs!$I$9+(((A214)+1)/2)*(Inputs!$J$9-Inputs!$I$9)))/Inputs!$K$9)^2)))*1000/Inputs!$C$12)</x:f>
        <x:v>188741.04135836614</x:v>
      </x:c>
      <x:c r="AJ214" s="49"/>
      <x:c r="AK214" s="48" t="n">
        <x:f>A214</x:f>
        <x:v>0.767</x:v>
      </x:c>
      <x:c r="AL214" s="48" t="n">
        <x: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x:f>
        <x:v>-389.98688372679453</x:v>
      </x:c>
      <x:c r="AM214" s="48" t="n">
        <x: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x:f>
        <x:v>-2876.7596069087685</x:v>
      </x:c>
      <x:c r="AN214" s="48" t="n">
        <x: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x:f>
        <x:v>-3693.5586319404124</x:v>
      </x:c>
      <x:c r="AO214" s="48" t="n">
        <x: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x:f>
        <x:v>-3713.8951016011933</x:v>
      </x:c>
      <x:c r="AP214" s="49"/>
      <x:c r="AQ214" s="48" t="n">
        <x:f>A214</x:f>
        <x:v>0.767</x:v>
      </x:c>
      <x:c r="AR214" s="48" t="n">
        <x:f>0</x:f>
        <x:v>0</x:v>
      </x:c>
      <x:c r="AS214" s="48" t="n">
        <x: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(0.45*SIN(2*PI()*((((Inputs!$I$6+(((A214)+1)/2)*(Inputs!$J$6-Inputs!$I$6)))/Inputs!$C$49)+Inputs!$C$47*0.137))+0.35*COS(2*PI()*(((Inputs!$C$6)/Inputs!$C$50)+Inputs!$C$47*0.173))+0.20*SIN(2*PI()*((((Inputs!$I$6+(((A214)+1)/2)*(Inputs!$J$6-Inputs!$I$6)))+(Inputs!$C$6))/(0.5*(Inputs!$C$49+Inputs!$C$50))+Inputs!$C$47*0.097)))+0.30*(2*((SIN((((Inputs!$I$6+(((A214)+1)/2)*(Inputs!$J$6-Inputs!$I$6)))*12.9898+(Inputs!$C$6)*78.233+Inputs!$C$47*37.719))*43758.5453)-INT((SIN((((Inputs!$I$6+(((A214)+1)/2)*(Inputs!$J$6-Inputs!$I$6)))*12.9898+(Inputs!$C$6)*78.233+Inputs!$C$47*37.719))*43758.5453)))-1))),NA())</x:f>
        <x:v>149.33446990283903</x:v>
      </x:c>
      <x:c r="AT214" s="48" t="n">
        <x: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(0.45*SIN(2*PI()*((((Inputs!$I$7+(((A214)+1)/2)*(Inputs!$J$7-Inputs!$I$7)))/Inputs!$C$49)+Inputs!$C$47*0.137))+0.35*COS(2*PI()*(((Inputs!$C$6)/Inputs!$C$50)+Inputs!$C$47*0.173))+0.20*SIN(2*PI()*((((Inputs!$I$7+(((A214)+1)/2)*(Inputs!$J$7-Inputs!$I$7)))+(Inputs!$C$6))/(0.5*(Inputs!$C$49+Inputs!$C$50))+Inputs!$C$47*0.097)))+0.30*(2*((SIN((((Inputs!$I$7+(((A214)+1)/2)*(Inputs!$J$7-Inputs!$I$7)))*12.9898+(Inputs!$C$6)*78.233+Inputs!$C$47*37.719))*43758.5453)-INT((SIN((((Inputs!$I$7+(((A214)+1)/2)*(Inputs!$J$7-Inputs!$I$7)))*12.9898+(Inputs!$C$6)*78.233+Inputs!$C$47*37.719))*43758.5453)))-1))),NA())</x:f>
        <x:v>174.30311756129439</x:v>
      </x:c>
      <x:c r="AU214" s="48" t="n">
        <x: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(0.45*SIN(2*PI()*((((Inputs!$I$8+(((A214)+1)/2)*(Inputs!$J$8-Inputs!$I$8)))/Inputs!$C$49)+Inputs!$C$47*0.137))+0.35*COS(2*PI()*(((Inputs!$C$6)/Inputs!$C$50)+Inputs!$C$47*0.173))+0.20*SIN(2*PI()*((((Inputs!$I$8+(((A214)+1)/2)*(Inputs!$J$8-Inputs!$I$8)))+(Inputs!$C$6))/(0.5*(Inputs!$C$49+Inputs!$C$50))+Inputs!$C$47*0.097)))+0.30*(2*((SIN((((Inputs!$I$8+(((A214)+1)/2)*(Inputs!$J$8-Inputs!$I$8)))*12.9898+(Inputs!$C$6)*78.233+Inputs!$C$47*37.719))*43758.5453)-INT((SIN((((Inputs!$I$8+(((A214)+1)/2)*(Inputs!$J$8-Inputs!$I$8)))*12.9898+(Inputs!$C$6)*78.233+Inputs!$C$47*37.719))*43758.5453)))-1))),NA())</x:f>
        <x:v>157.51448182830308</x:v>
      </x:c>
      <x:c r="AV214" s="48" t="n">
        <x: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(0.45*SIN(2*PI()*((((Inputs!$I$9+(((A214)+1)/2)*(Inputs!$J$9-Inputs!$I$9)))/Inputs!$C$49)+Inputs!$C$47*0.137))+0.35*COS(2*PI()*(((Inputs!$C$6)/Inputs!$C$50)+Inputs!$C$47*0.173))+0.20*SIN(2*PI()*((((Inputs!$I$9+(((A214)+1)/2)*(Inputs!$J$9-Inputs!$I$9)))+(Inputs!$C$6))/(0.5*(Inputs!$C$49+Inputs!$C$50))+Inputs!$C$47*0.097)))+0.30*(2*((SIN((((Inputs!$I$9+(((A214)+1)/2)*(Inputs!$J$9-Inputs!$I$9)))*12.9898+(Inputs!$C$6)*78.233+Inputs!$C$47*37.719))*43758.5453)-INT((SIN((((Inputs!$I$9+(((A214)+1)/2)*(Inputs!$J$9-Inputs!$I$9)))*12.9898+(Inputs!$C$6)*78.233+Inputs!$C$47*37.719))*43758.5453)))-1))),NA())</x:f>
        <x:v>157.51448182830308</x:v>
      </x:c>
      <x:c r="AW214" s="49"/>
      <x:c r="AX214" s="48" t="n">
        <x:f>A214</x:f>
        <x:v>0.767</x:v>
      </x:c>
      <x:c r="AY214" s="48" t="n">
        <x:f>0</x:f>
        <x:v>0</x:v>
      </x:c>
      <x:c r="AZ214" s="48" t="n">
        <x:f>IF(OR(Inputs!$F$6=TRUE,Inputs!$F$6="TRUE",Inputs!$F$6=1),(Inputs!$H$6+Inputs!$L$6*(((Inputs!$I$6+(((A214)+1)/2)*(Inputs!$J$6-Inputs!$I$6)))/Inputs!$K$6)^2),NA())</x:f>
        <x:v>402.353156</x:v>
      </x:c>
      <x:c r="BA214" s="48" t="n">
        <x:f>IF(OR(Inputs!$F$7=TRUE,Inputs!$F$7="TRUE",Inputs!$F$7=1),(Inputs!$H$7+Inputs!$L$7*(((Inputs!$I$7+(((A214)+1)/2)*(Inputs!$J$7-Inputs!$I$7)))/Inputs!$K$7)^2),NA())</x:f>
        <x:v>249.72548499999994</x:v>
      </x:c>
      <x:c r="BB214" s="48" t="n">
        <x:f>IF(OR(Inputs!$F$8=TRUE,Inputs!$F$8="TRUE",Inputs!$F$8=1),(Inputs!$H$8+Inputs!$L$8*(((Inputs!$I$8+(((A214)+1)/2)*(Inputs!$J$8-Inputs!$I$8)))/Inputs!$K$8)^2),NA())</x:f>
        <x:v>602.6988849999998</x:v>
      </x:c>
      <x:c r="BC214" s="48" t="n">
        <x:f>IF(OR(Inputs!$F$9=TRUE,Inputs!$F$9="TRUE",Inputs!$F$9=1),(Inputs!$H$9+Inputs!$L$9*(((Inputs!$I$9+(((A214)+1)/2)*(Inputs!$J$9-Inputs!$I$9)))/Inputs!$K$9)^2),NA())</x:f>
        <x:v>598.5817749999999</x:v>
      </x:c>
      <x:c r="BD214" s="49"/>
      <x:c r="BE214" s="48" t="n">
        <x:f>A214</x:f>
        <x:v>0.767</x:v>
      </x:c>
      <x:c r="BF214" s="48" t="n">
        <x:f>0</x:f>
        <x:v>0</x:v>
      </x:c>
      <x:c r="BG214" s="48"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BH214" s="48"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BI214" s="48"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BJ214" s="48"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row>
    <x:row r="215">
      <x:c r="A215" s="48" t="n">
        <x:f>ROUND(-1+213*2/240,3)</x:f>
        <x:v>0.775</x:v>
      </x:c>
      <x:c r="B215" s="48" t="n">
        <x:f>IF(OR(Inputs!$F$6=TRUE,Inputs!$F$6="TRUE",Inputs!$F$6=1),(Inputs!$H$6+Inputs!$L$6*(((Inputs!$I$6+(((A215)+1)/2)*(Inputs!$J$6-Inputs!$I$6)))/Inputs!$K$6)^2),NA())</x:f>
        <x:v>402.4025</x:v>
      </x:c>
      <x:c r="C215" s="48" t="n">
        <x:f>IF(OR(Inputs!$F$7=TRUE,Inputs!$F$7="TRUE",Inputs!$F$7=1),(Inputs!$H$7+Inputs!$L$7*(((Inputs!$I$7+(((A215)+1)/2)*(Inputs!$J$7-Inputs!$I$7)))/Inputs!$K$7)^2),NA())</x:f>
        <x:v>254.22812500000003</x:v>
      </x:c>
      <x:c r="D215" s="48" t="n">
        <x:f>IF(OR(Inputs!$F$8=TRUE,Inputs!$F$8="TRUE",Inputs!$F$8=1),(Inputs!$H$8+Inputs!$L$8*(((Inputs!$I$8+(((A215)+1)/2)*(Inputs!$J$8-Inputs!$I$8)))/Inputs!$K$8)^2),NA())</x:f>
        <x:v>614.6031250000001</x:v>
      </x:c>
      <x:c r="E215" s="48" t="n">
        <x:f>IF(OR(Inputs!$F$9=TRUE,Inputs!$F$9="TRUE",Inputs!$F$9=1),(Inputs!$H$9+Inputs!$L$9*(((Inputs!$I$9+(((A215)+1)/2)*(Inputs!$J$9-Inputs!$I$9)))/Inputs!$K$9)^2),NA())</x:f>
        <x:v>610.6093750000001</x:v>
      </x:c>
      <x:c r="F215" s="49"/>
      <x:c r="G215" s="48" t="n">
        <x:f>A215</x:f>
        <x:v>0.775</x:v>
      </x:c>
      <x:c r="H215" s="48"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I215" s="48"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J215" s="48"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K215" s="48"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c r="L215" s="49"/>
      <x:c r="M215" s="48" t="n">
        <x:f>A215</x:f>
        <x:v>0.775</x:v>
      </x:c>
      <x:c r="N215" s="48" t="n">
        <x: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x:f>
        <x:v>-393.97153833635986</x:v>
      </x:c>
      <x:c r="O215" s="48" t="n">
        <x: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x:f>
        <x:v>-2897.6551524979286</x:v>
      </x:c>
      <x:c r="P215" s="48" t="n">
        <x: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x:f>
        <x:v>-3726.034233932154</x:v>
      </x:c>
      <x:c r="Q215" s="48" t="n">
        <x: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x:f>
        <x:v>-3746.8603356495087</x:v>
      </x:c>
      <x:c r="R215" s="49"/>
      <x:c r="S215" s="48" t="n">
        <x:f>A215</x:f>
        <x:v>0.775</x:v>
      </x:c>
      <x:c r="T215" s="48" t="n">
        <x:f>(Inputs!$I$6+(((A215)+1)/2)*(Inputs!$J$6-Inputs!$I$6))</x:f>
        <x:v>46.5</x:v>
      </x:c>
      <x:c r="U215" s="48" t="n">
        <x:f>(Inputs!$I$7+(((A215)+1)/2)*(Inputs!$J$7-Inputs!$I$7))</x:f>
        <x:v>310</x:v>
      </x:c>
      <x:c r="V215" s="48" t="n">
        <x:f>(Inputs!$I$8+(((A215)+1)/2)*(Inputs!$J$8-Inputs!$I$8))</x:f>
        <x:v>620</x:v>
      </x:c>
      <x:c r="W215" s="48" t="n">
        <x:f>(Inputs!$I$9+(((A215)+1)/2)*(Inputs!$J$9-Inputs!$I$9))</x:f>
        <x:v>620</x:v>
      </x:c>
      <x:c r="X215" s="49"/>
      <x:c r="Y215" s="48" t="n">
        <x:f>A215</x:f>
        <x:v>0.775</x:v>
      </x:c>
      <x:c r="Z215" s="48" t="n">
        <x:f>(Inputs!$H$6+Inputs!$L$6*(((Inputs!$I$6+(((A215)+1)/2)*(Inputs!$J$6-Inputs!$I$6)))/Inputs!$K$6)^2)</x:f>
        <x:v>402.4025</x:v>
      </x:c>
      <x:c r="AA215" s="48" t="n">
        <x:f>(Inputs!$H$7+Inputs!$L$7*(((Inputs!$I$7+(((A215)+1)/2)*(Inputs!$J$7-Inputs!$I$7)))/Inputs!$K$7)^2)</x:f>
        <x:v>254.22812500000003</x:v>
      </x:c>
      <x:c r="AB215" s="48" t="n">
        <x:f>(Inputs!$H$8+Inputs!$L$8*(((Inputs!$I$8+(((A215)+1)/2)*(Inputs!$J$8-Inputs!$I$8)))/Inputs!$K$8)^2)</x:f>
        <x:v>614.6031250000001</x:v>
      </x:c>
      <x:c r="AC215" s="48" t="n">
        <x:f>(Inputs!$H$9+Inputs!$L$9*(((Inputs!$I$9+(((A215)+1)/2)*(Inputs!$J$9-Inputs!$I$9)))/Inputs!$K$9)^2)</x:f>
        <x:v>610.6093750000001</x:v>
      </x:c>
      <x:c r="AD215" s="49"/>
      <x:c r="AE215" s="48" t="n">
        <x:f>A215</x:f>
        <x:v>0.775</x:v>
      </x:c>
      <x:c r="AF215" s="48" t="n">
        <x:f>(((SQRT((Inputs!$C$52+((Inputs!$H$6+Inputs!$L$6*(((Inputs!$I$6+(((A215)+1)/2)*(Inputs!$J$6-Inputs!$I$6)))/Inputs!$K$6)^2)))^2+Inputs!$C$52^2-2*(Inputs!$C$52+((Inputs!$H$6+Inputs!$L$6*(((Inputs!$I$6+(((A215)+1)/2)*(Inputs!$J$6-Inputs!$I$6)))/Inputs!$K$6)^2)))*Inputs!$C$52*COS(SQRT(((Inputs!$I$6+(((A215)+1)/2)*(Inputs!$J$6-Inputs!$I$6)))^2+Inputs!$C$6^2)/Inputs!$C$52)))-((Inputs!$H$6+Inputs!$L$6*(((Inputs!$I$6+(((A215)+1)/2)*(Inputs!$J$6-Inputs!$I$6)))/Inputs!$K$6)^2)))*1000/Inputs!$C$12)</x:f>
        <x:v>2433.941140959773</x:v>
      </x:c>
      <x:c r="AG215" s="48" t="n">
        <x:f>(((SQRT((Inputs!$C$52+((Inputs!$H$7+Inputs!$L$7*(((Inputs!$I$7+(((A215)+1)/2)*(Inputs!$J$7-Inputs!$I$7)))/Inputs!$K$7)^2)))^2+Inputs!$C$52^2-2*(Inputs!$C$52+((Inputs!$H$7+Inputs!$L$7*(((Inputs!$I$7+(((A215)+1)/2)*(Inputs!$J$7-Inputs!$I$7)))/Inputs!$K$7)^2)))*Inputs!$C$52*COS(SQRT(((Inputs!$I$7+(((A215)+1)/2)*(Inputs!$J$7-Inputs!$I$7)))^2+Inputs!$C$6^2)/Inputs!$C$52)))-((Inputs!$H$7+Inputs!$L$7*(((Inputs!$I$7+(((A215)+1)/2)*(Inputs!$J$7-Inputs!$I$7)))/Inputs!$K$7)^2)))*1000/Inputs!$C$12)</x:f>
        <x:v>93357.6478962073</x:v>
      </x:c>
      <x:c r="AH215" s="48" t="n">
        <x:f>(((SQRT((Inputs!$C$52+((Inputs!$H$8+Inputs!$L$8*(((Inputs!$I$8+(((A215)+1)/2)*(Inputs!$J$8-Inputs!$I$8)))/Inputs!$K$8)^2)))^2+Inputs!$C$52^2-2*(Inputs!$C$52+((Inputs!$H$8+Inputs!$L$8*(((Inputs!$I$8+(((A215)+1)/2)*(Inputs!$J$8-Inputs!$I$8)))/Inputs!$K$8)^2)))*Inputs!$C$52*COS(SQRT(((Inputs!$I$8+(((A215)+1)/2)*(Inputs!$J$8-Inputs!$I$8)))^2+Inputs!$C$6^2)/Inputs!$C$52)))-((Inputs!$H$8+Inputs!$L$8*(((Inputs!$I$8+(((A215)+1)/2)*(Inputs!$J$8-Inputs!$I$8)))/Inputs!$K$8)^2)))*1000/Inputs!$C$12)</x:f>
        <x:v>189855.6306032011</x:v>
      </x:c>
      <x:c r="AI215" s="48" t="n">
        <x:f>(((SQRT((Inputs!$C$52+((Inputs!$H$9+Inputs!$L$9*(((Inputs!$I$9+(((A215)+1)/2)*(Inputs!$J$9-Inputs!$I$9)))/Inputs!$K$9)^2)))^2+Inputs!$C$52^2-2*(Inputs!$C$52+((Inputs!$H$9+Inputs!$L$9*(((Inputs!$I$9+(((A215)+1)/2)*(Inputs!$J$9-Inputs!$I$9)))/Inputs!$K$9)^2)))*Inputs!$C$52*COS(SQRT(((Inputs!$I$9+(((A215)+1)/2)*(Inputs!$J$9-Inputs!$I$9)))^2+Inputs!$C$6^2)/Inputs!$C$52)))-((Inputs!$H$9+Inputs!$L$9*(((Inputs!$I$9+(((A215)+1)/2)*(Inputs!$J$9-Inputs!$I$9)))/Inputs!$K$9)^2)))*1000/Inputs!$C$12)</x:f>
        <x:v>190366.81872344072</x:v>
      </x:c>
      <x:c r="AJ215" s="49"/>
      <x:c r="AK215" s="48" t="n">
        <x:f>A215</x:f>
        <x:v>0.775</x:v>
      </x:c>
      <x:c r="AL215" s="48" t="n">
        <x: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x:f>
        <x:v>-393.97153833635986</x:v>
      </x:c>
      <x:c r="AM215" s="48" t="n">
        <x: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x:f>
        <x:v>-2897.6551524979286</x:v>
      </x:c>
      <x:c r="AN215" s="48" t="n">
        <x: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x:f>
        <x:v>-3726.034233932154</x:v>
      </x:c>
      <x:c r="AO215" s="48" t="n">
        <x: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x:f>
        <x:v>-3746.8603356495087</x:v>
      </x:c>
      <x:c r="AP215" s="49"/>
      <x:c r="AQ215" s="48" t="n">
        <x:f>A215</x:f>
        <x:v>0.775</x:v>
      </x:c>
      <x:c r="AR215" s="48" t="n">
        <x:f>0</x:f>
        <x:v>0</x:v>
      </x:c>
      <x:c r="AS215" s="48" t="n">
        <x: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(0.45*SIN(2*PI()*((((Inputs!$I$6+(((A215)+1)/2)*(Inputs!$J$6-Inputs!$I$6)))/Inputs!$C$49)+Inputs!$C$47*0.137))+0.35*COS(2*PI()*(((Inputs!$C$6)/Inputs!$C$50)+Inputs!$C$47*0.173))+0.20*SIN(2*PI()*((((Inputs!$I$6+(((A215)+1)/2)*(Inputs!$J$6-Inputs!$I$6)))+(Inputs!$C$6))/(0.5*(Inputs!$C$49+Inputs!$C$50))+Inputs!$C$47*0.097)))+0.30*(2*((SIN((((Inputs!$I$6+(((A215)+1)/2)*(Inputs!$J$6-Inputs!$I$6)))*12.9898+(Inputs!$C$6)*78.233+Inputs!$C$47*37.719))*43758.5453)-INT((SIN((((Inputs!$I$6+(((A215)+1)/2)*(Inputs!$J$6-Inputs!$I$6)))*12.9898+(Inputs!$C$6)*78.233+Inputs!$C$47*37.719))*43758.5453)))-1))),NA())</x:f>
        <x:v>125.26409736726505</x:v>
      </x:c>
      <x:c r="AT215" s="48" t="n">
        <x: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(0.45*SIN(2*PI()*((((Inputs!$I$7+(((A215)+1)/2)*(Inputs!$J$7-Inputs!$I$7)))/Inputs!$C$49)+Inputs!$C$47*0.137))+0.35*COS(2*PI()*(((Inputs!$C$6)/Inputs!$C$50)+Inputs!$C$47*0.173))+0.20*SIN(2*PI()*((((Inputs!$I$7+(((A215)+1)/2)*(Inputs!$J$7-Inputs!$I$7)))+(Inputs!$C$6))/(0.5*(Inputs!$C$49+Inputs!$C$50))+Inputs!$C$47*0.097)))+0.30*(2*((SIN((((Inputs!$I$7+(((A215)+1)/2)*(Inputs!$J$7-Inputs!$I$7)))*12.9898+(Inputs!$C$6)*78.233+Inputs!$C$47*37.719))*43758.5453)-INT((SIN((((Inputs!$I$7+(((A215)+1)/2)*(Inputs!$J$7-Inputs!$I$7)))*12.9898+(Inputs!$C$6)*78.233+Inputs!$C$47*37.719))*43758.5453)))-1))),NA())</x:f>
        <x:v>191.2046194615613</x:v>
      </x:c>
      <x:c r="AU215" s="48" t="n">
        <x: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(0.45*SIN(2*PI()*((((Inputs!$I$8+(((A215)+1)/2)*(Inputs!$J$8-Inputs!$I$8)))/Inputs!$C$49)+Inputs!$C$47*0.137))+0.35*COS(2*PI()*(((Inputs!$C$6)/Inputs!$C$50)+Inputs!$C$47*0.173))+0.20*SIN(2*PI()*((((Inputs!$I$8+(((A215)+1)/2)*(Inputs!$J$8-Inputs!$I$8)))+(Inputs!$C$6))/(0.5*(Inputs!$C$49+Inputs!$C$50))+Inputs!$C$47*0.097)))+0.30*(2*((SIN((((Inputs!$I$8+(((A215)+1)/2)*(Inputs!$J$8-Inputs!$I$8)))*12.9898+(Inputs!$C$6)*78.233+Inputs!$C$47*37.719))*43758.5453)-INT((SIN((((Inputs!$I$8+(((A215)+1)/2)*(Inputs!$J$8-Inputs!$I$8)))*12.9898+(Inputs!$C$6)*78.233+Inputs!$C$47*37.719))*43758.5453)))-1))),NA())</x:f>
        <x:v>135.77357148109508</x:v>
      </x:c>
      <x:c r="AV215" s="48" t="n">
        <x: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(0.45*SIN(2*PI()*((((Inputs!$I$9+(((A215)+1)/2)*(Inputs!$J$9-Inputs!$I$9)))/Inputs!$C$49)+Inputs!$C$47*0.137))+0.35*COS(2*PI()*(((Inputs!$C$6)/Inputs!$C$50)+Inputs!$C$47*0.173))+0.20*SIN(2*PI()*((((Inputs!$I$9+(((A215)+1)/2)*(Inputs!$J$9-Inputs!$I$9)))+(Inputs!$C$6))/(0.5*(Inputs!$C$49+Inputs!$C$50))+Inputs!$C$47*0.097)))+0.30*(2*((SIN((((Inputs!$I$9+(((A215)+1)/2)*(Inputs!$J$9-Inputs!$I$9)))*12.9898+(Inputs!$C$6)*78.233+Inputs!$C$47*37.719))*43758.5453)-INT((SIN((((Inputs!$I$9+(((A215)+1)/2)*(Inputs!$J$9-Inputs!$I$9)))*12.9898+(Inputs!$C$6)*78.233+Inputs!$C$47*37.719))*43758.5453)))-1))),NA())</x:f>
        <x:v>135.77357148109508</x:v>
      </x:c>
      <x:c r="AW215" s="49"/>
      <x:c r="AX215" s="48" t="n">
        <x:f>A215</x:f>
        <x:v>0.775</x:v>
      </x:c>
      <x:c r="AY215" s="48" t="n">
        <x:f>0</x:f>
        <x:v>0</x:v>
      </x:c>
      <x:c r="AZ215" s="48" t="n">
        <x:f>IF(OR(Inputs!$F$6=TRUE,Inputs!$F$6="TRUE",Inputs!$F$6=1),(Inputs!$H$6+Inputs!$L$6*(((Inputs!$I$6+(((A215)+1)/2)*(Inputs!$J$6-Inputs!$I$6)))/Inputs!$K$6)^2),NA())</x:f>
        <x:v>402.4025</x:v>
      </x:c>
      <x:c r="BA215" s="48" t="n">
        <x:f>IF(OR(Inputs!$F$7=TRUE,Inputs!$F$7="TRUE",Inputs!$F$7=1),(Inputs!$H$7+Inputs!$L$7*(((Inputs!$I$7+(((A215)+1)/2)*(Inputs!$J$7-Inputs!$I$7)))/Inputs!$K$7)^2),NA())</x:f>
        <x:v>254.22812500000003</x:v>
      </x:c>
      <x:c r="BB215" s="48" t="n">
        <x:f>IF(OR(Inputs!$F$8=TRUE,Inputs!$F$8="TRUE",Inputs!$F$8=1),(Inputs!$H$8+Inputs!$L$8*(((Inputs!$I$8+(((A215)+1)/2)*(Inputs!$J$8-Inputs!$I$8)))/Inputs!$K$8)^2),NA())</x:f>
        <x:v>614.6031250000001</x:v>
      </x:c>
      <x:c r="BC215" s="48" t="n">
        <x:f>IF(OR(Inputs!$F$9=TRUE,Inputs!$F$9="TRUE",Inputs!$F$9=1),(Inputs!$H$9+Inputs!$L$9*(((Inputs!$I$9+(((A215)+1)/2)*(Inputs!$J$9-Inputs!$I$9)))/Inputs!$K$9)^2),NA())</x:f>
        <x:v>610.6093750000001</x:v>
      </x:c>
      <x:c r="BD215" s="49"/>
      <x:c r="BE215" s="48" t="n">
        <x:f>A215</x:f>
        <x:v>0.775</x:v>
      </x:c>
      <x:c r="BF215" s="48" t="n">
        <x:f>0</x:f>
        <x:v>0</x:v>
      </x:c>
      <x:c r="BG215" s="48"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BH215" s="48"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BI215" s="48"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BJ215" s="48"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row>
    <x:row r="216">
      <x:c r="A216" s="48" t="n">
        <x:f>ROUND(-1+214*2/240,3)</x:f>
        <x:v>0.783</x:v>
      </x:c>
      <x:c r="B216" s="48" t="n">
        <x:f>IF(OR(Inputs!$F$6=TRUE,Inputs!$F$6="TRUE",Inputs!$F$6=1),(Inputs!$H$6+Inputs!$L$6*(((Inputs!$I$6+(((A216)+1)/2)*(Inputs!$J$6-Inputs!$I$6)))/Inputs!$K$6)^2),NA())</x:f>
        <x:v>402.452356</x:v>
      </x:c>
      <x:c r="C216" s="48" t="n">
        <x:f>IF(OR(Inputs!$F$7=TRUE,Inputs!$F$7="TRUE",Inputs!$F$7=1),(Inputs!$H$7+Inputs!$L$7*(((Inputs!$I$7+(((A216)+1)/2)*(Inputs!$J$7-Inputs!$I$7)))/Inputs!$K$7)^2),NA())</x:f>
        <x:v>258.77748499999984</x:v>
      </x:c>
      <x:c r="D216" s="48" t="n">
        <x:f>IF(OR(Inputs!$F$8=TRUE,Inputs!$F$8="TRUE",Inputs!$F$8=1),(Inputs!$H$8+Inputs!$L$8*(((Inputs!$I$8+(((A216)+1)/2)*(Inputs!$J$8-Inputs!$I$8)))/Inputs!$K$8)^2),NA())</x:f>
        <x:v>626.6308849999997</x:v>
      </x:c>
      <x:c r="E216" s="48" t="n">
        <x:f>IF(OR(Inputs!$F$9=TRUE,Inputs!$F$9="TRUE",Inputs!$F$9=1),(Inputs!$H$9+Inputs!$L$9*(((Inputs!$I$9+(((A216)+1)/2)*(Inputs!$J$9-Inputs!$I$9)))/Inputs!$K$9)^2),NA())</x:f>
        <x:v>622.7617749999997</x:v>
      </x:c>
      <x:c r="F216" s="49"/>
      <x:c r="G216" s="48" t="n">
        <x:f>A216</x:f>
        <x:v>0.783</x:v>
      </x:c>
      <x:c r="H216" s="48"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I216" s="48"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J216" s="48"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K216" s="48"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c r="L216" s="49"/>
      <x:c r="M216" s="48" t="n">
        <x:f>A216</x:f>
        <x:v>0.783</x:v>
      </x:c>
      <x:c r="N216" s="48" t="n">
        <x: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x:f>
        <x:v>-397.95368290747643</x:v>
      </x:c>
      <x:c r="O216" s="48" t="n">
        <x: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x:f>
        <x:v>-2918.6424977741412</x:v>
      </x:c>
      <x:c r="P216" s="48" t="n">
        <x: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x:f>
        <x:v>-3758.592250104381</x:v>
      </x:c>
      <x:c r="Q216" s="48" t="n">
        <x: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x:f>
        <x:v>-3779.905797981695</x:v>
      </x:c>
      <x:c r="R216" s="49"/>
      <x:c r="S216" s="48" t="n">
        <x:f>A216</x:f>
        <x:v>0.783</x:v>
      </x:c>
      <x:c r="T216" s="48" t="n">
        <x:f>(Inputs!$I$6+(((A216)+1)/2)*(Inputs!$J$6-Inputs!$I$6))</x:f>
        <x:v>46.97999999999999</x:v>
      </x:c>
      <x:c r="U216" s="48" t="n">
        <x:f>(Inputs!$I$7+(((A216)+1)/2)*(Inputs!$J$7-Inputs!$I$7))</x:f>
        <x:v>313.19999999999993</x:v>
      </x:c>
      <x:c r="V216" s="48" t="n">
        <x:f>(Inputs!$I$8+(((A216)+1)/2)*(Inputs!$J$8-Inputs!$I$8))</x:f>
        <x:v>626.3999999999999</x:v>
      </x:c>
      <x:c r="W216" s="48" t="n">
        <x:f>(Inputs!$I$9+(((A216)+1)/2)*(Inputs!$J$9-Inputs!$I$9))</x:f>
        <x:v>626.3999999999999</x:v>
      </x:c>
      <x:c r="X216" s="49"/>
      <x:c r="Y216" s="48" t="n">
        <x:f>A216</x:f>
        <x:v>0.783</x:v>
      </x:c>
      <x:c r="Z216" s="48" t="n">
        <x:f>(Inputs!$H$6+Inputs!$L$6*(((Inputs!$I$6+(((A216)+1)/2)*(Inputs!$J$6-Inputs!$I$6)))/Inputs!$K$6)^2)</x:f>
        <x:v>402.452356</x:v>
      </x:c>
      <x:c r="AA216" s="48" t="n">
        <x:f>(Inputs!$H$7+Inputs!$L$7*(((Inputs!$I$7+(((A216)+1)/2)*(Inputs!$J$7-Inputs!$I$7)))/Inputs!$K$7)^2)</x:f>
        <x:v>258.77748499999984</x:v>
      </x:c>
      <x:c r="AB216" s="48" t="n">
        <x:f>(Inputs!$H$8+Inputs!$L$8*(((Inputs!$I$8+(((A216)+1)/2)*(Inputs!$J$8-Inputs!$I$8)))/Inputs!$K$8)^2)</x:f>
        <x:v>626.6308849999997</x:v>
      </x:c>
      <x:c r="AC216" s="48" t="n">
        <x:f>(Inputs!$H$9+Inputs!$L$9*(((Inputs!$I$9+(((A216)+1)/2)*(Inputs!$J$9-Inputs!$I$9)))/Inputs!$K$9)^2)</x:f>
        <x:v>622.7617749999997</x:v>
      </x:c>
      <x:c r="AD216" s="49"/>
      <x:c r="AE216" s="48" t="n">
        <x:f>A216</x:f>
        <x:v>0.783</x:v>
      </x:c>
      <x:c r="AF216" s="48" t="n">
        <x:f>(((SQRT((Inputs!$C$52+((Inputs!$H$6+Inputs!$L$6*(((Inputs!$I$6+(((A216)+1)/2)*(Inputs!$J$6-Inputs!$I$6)))/Inputs!$K$6)^2)))^2+Inputs!$C$52^2-2*(Inputs!$C$52+((Inputs!$H$6+Inputs!$L$6*(((Inputs!$I$6+(((A216)+1)/2)*(Inputs!$J$6-Inputs!$I$6)))/Inputs!$K$6)^2)))*Inputs!$C$52*COS(SQRT(((Inputs!$I$6+(((A216)+1)/2)*(Inputs!$J$6-Inputs!$I$6)))^2+Inputs!$C$6^2)/Inputs!$C$52)))-((Inputs!$H$6+Inputs!$L$6*(((Inputs!$I$6+(((A216)+1)/2)*(Inputs!$J$6-Inputs!$I$6)))/Inputs!$K$6)^2)))*1000/Inputs!$C$12)</x:f>
        <x:v>2472.667459059001</x:v>
      </x:c>
      <x:c r="AG216" s="48" t="n">
        <x:f>(((SQRT((Inputs!$C$52+((Inputs!$H$7+Inputs!$L$7*(((Inputs!$I$7+(((A216)+1)/2)*(Inputs!$J$7-Inputs!$I$7)))/Inputs!$K$7)^2)))^2+Inputs!$C$52^2-2*(Inputs!$C$52+((Inputs!$H$7+Inputs!$L$7*(((Inputs!$I$7+(((A216)+1)/2)*(Inputs!$J$7-Inputs!$I$7)))/Inputs!$K$7)^2)))*Inputs!$C$52*COS(SQRT(((Inputs!$I$7+(((A216)+1)/2)*(Inputs!$J$7-Inputs!$I$7)))^2+Inputs!$C$6^2)/Inputs!$C$52)))-((Inputs!$H$7+Inputs!$L$7*(((Inputs!$I$7+(((A216)+1)/2)*(Inputs!$J$7-Inputs!$I$7)))/Inputs!$K$7)^2)))*1000/Inputs!$C$12)</x:f>
        <x:v>94069.40209595318</x:v>
      </x:c>
      <x:c r="AH216" s="48" t="n">
        <x:f>(((SQRT((Inputs!$C$52+((Inputs!$H$8+Inputs!$L$8*(((Inputs!$I$8+(((A216)+1)/2)*(Inputs!$J$8-Inputs!$I$8)))/Inputs!$K$8)^2)))^2+Inputs!$C$52^2-2*(Inputs!$C$52+((Inputs!$H$8+Inputs!$L$8*(((Inputs!$I$8+(((A216)+1)/2)*(Inputs!$J$8-Inputs!$I$8)))/Inputs!$K$8)^2)))*Inputs!$C$52*COS(SQRT(((Inputs!$I$8+(((A216)+1)/2)*(Inputs!$J$8-Inputs!$I$8)))^2+Inputs!$C$6^2)/Inputs!$C$52)))-((Inputs!$H$8+Inputs!$L$8*(((Inputs!$I$8+(((A216)+1)/2)*(Inputs!$J$8-Inputs!$I$8)))/Inputs!$K$8)^2)))*1000/Inputs!$C$12)</x:f>
        <x:v>191508.13954376607</x:v>
      </x:c>
      <x:c r="AI216" s="48" t="n">
        <x:f>(((SQRT((Inputs!$C$52+((Inputs!$H$9+Inputs!$L$9*(((Inputs!$I$9+(((A216)+1)/2)*(Inputs!$J$9-Inputs!$I$9)))/Inputs!$K$9)^2)))^2+Inputs!$C$52^2-2*(Inputs!$C$52+((Inputs!$H$9+Inputs!$L$9*(((Inputs!$I$9+(((A216)+1)/2)*(Inputs!$J$9-Inputs!$I$9)))/Inputs!$K$9)^2)))*Inputs!$C$52*COS(SQRT(((Inputs!$I$9+(((A216)+1)/2)*(Inputs!$J$9-Inputs!$I$9)))^2+Inputs!$C$6^2)/Inputs!$C$52)))-((Inputs!$H$9+Inputs!$L$9*(((Inputs!$I$9+(((A216)+1)/2)*(Inputs!$J$9-Inputs!$I$9)))/Inputs!$K$9)^2)))*1000/Inputs!$C$12)</x:f>
        <x:v>191996.65352310185</x:v>
      </x:c>
      <x:c r="AJ216" s="49"/>
      <x:c r="AK216" s="48" t="n">
        <x:f>A216</x:f>
        <x:v>0.783</x:v>
      </x:c>
      <x:c r="AL216" s="48" t="n">
        <x: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x:f>
        <x:v>-397.95368290747643</x:v>
      </x:c>
      <x:c r="AM216" s="48" t="n">
        <x: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x:f>
        <x:v>-2918.6424977741412</x:v>
      </x:c>
      <x:c r="AN216" s="48" t="n">
        <x: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x:f>
        <x:v>-3758.592250104381</x:v>
      </x:c>
      <x:c r="AO216" s="48" t="n">
        <x: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x:f>
        <x:v>-3779.905797981695</x:v>
      </x:c>
      <x:c r="AP216" s="49"/>
      <x:c r="AQ216" s="48" t="n">
        <x:f>A216</x:f>
        <x:v>0.783</x:v>
      </x:c>
      <x:c r="AR216" s="48" t="n">
        <x:f>0</x:f>
        <x:v>0</x:v>
      </x:c>
      <x:c r="AS216" s="48" t="n">
        <x: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(0.45*SIN(2*PI()*((((Inputs!$I$6+(((A216)+1)/2)*(Inputs!$J$6-Inputs!$I$6)))/Inputs!$C$49)+Inputs!$C$47*0.137))+0.35*COS(2*PI()*(((Inputs!$C$6)/Inputs!$C$50)+Inputs!$C$47*0.173))+0.20*SIN(2*PI()*((((Inputs!$I$6+(((A216)+1)/2)*(Inputs!$J$6-Inputs!$I$6)))+(Inputs!$C$6))/(0.5*(Inputs!$C$49+Inputs!$C$50))+Inputs!$C$47*0.097)))+0.30*(2*((SIN((((Inputs!$I$6+(((A216)+1)/2)*(Inputs!$J$6-Inputs!$I$6)))*12.9898+(Inputs!$C$6)*78.233+Inputs!$C$47*37.719))*43758.5453)-INT((SIN((((Inputs!$I$6+(((A216)+1)/2)*(Inputs!$J$6-Inputs!$I$6)))*12.9898+(Inputs!$C$6)*78.233+Inputs!$C$47*37.719))*43758.5453)))-1))),NA())</x:f>
        <x:v>126.51303136824754</x:v>
      </x:c>
      <x:c r="AT216" s="48" t="n">
        <x: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(0.45*SIN(2*PI()*((((Inputs!$I$7+(((A216)+1)/2)*(Inputs!$J$7-Inputs!$I$7)))/Inputs!$C$49)+Inputs!$C$47*0.137))+0.35*COS(2*PI()*(((Inputs!$C$6)/Inputs!$C$50)+Inputs!$C$47*0.173))+0.20*SIN(2*PI()*((((Inputs!$I$7+(((A216)+1)/2)*(Inputs!$J$7-Inputs!$I$7)))+(Inputs!$C$6))/(0.5*(Inputs!$C$49+Inputs!$C$50))+Inputs!$C$47*0.097)))+0.30*(2*((SIN((((Inputs!$I$7+(((A216)+1)/2)*(Inputs!$J$7-Inputs!$I$7)))*12.9898+(Inputs!$C$6)*78.233+Inputs!$C$47*37.719))*43758.5453)-INT((SIN((((Inputs!$I$7+(((A216)+1)/2)*(Inputs!$J$7-Inputs!$I$7)))*12.9898+(Inputs!$C$6)*78.233+Inputs!$C$47*37.719))*43758.5453)))-1))),NA())</x:f>
        <x:v>175.60924909846997</x:v>
      </x:c>
      <x:c r="AU216" s="48" t="n">
        <x: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(0.45*SIN(2*PI()*((((Inputs!$I$8+(((A216)+1)/2)*(Inputs!$J$8-Inputs!$I$8)))/Inputs!$C$49)+Inputs!$C$47*0.137))+0.35*COS(2*PI()*(((Inputs!$C$6)/Inputs!$C$50)+Inputs!$C$47*0.173))+0.20*SIN(2*PI()*((((Inputs!$I$8+(((A216)+1)/2)*(Inputs!$J$8-Inputs!$I$8)))+(Inputs!$C$6))/(0.5*(Inputs!$C$49+Inputs!$C$50))+Inputs!$C$47*0.097)))+0.30*(2*((SIN((((Inputs!$I$8+(((A216)+1)/2)*(Inputs!$J$8-Inputs!$I$8)))*12.9898+(Inputs!$C$6)*78.233+Inputs!$C$47*37.719))*43758.5453)-INT((SIN((((Inputs!$I$8+(((A216)+1)/2)*(Inputs!$J$8-Inputs!$I$8)))*12.9898+(Inputs!$C$6)*78.233+Inputs!$C$47*37.719))*43758.5453)))-1))),NA())</x:f>
        <x:v>99.99734018876349</x:v>
      </x:c>
      <x:c r="AV216" s="48" t="n">
        <x: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(0.45*SIN(2*PI()*((((Inputs!$I$9+(((A216)+1)/2)*(Inputs!$J$9-Inputs!$I$9)))/Inputs!$C$49)+Inputs!$C$47*0.137))+0.35*COS(2*PI()*(((Inputs!$C$6)/Inputs!$C$50)+Inputs!$C$47*0.173))+0.20*SIN(2*PI()*((((Inputs!$I$9+(((A216)+1)/2)*(Inputs!$J$9-Inputs!$I$9)))+(Inputs!$C$6))/(0.5*(Inputs!$C$49+Inputs!$C$50))+Inputs!$C$47*0.097)))+0.30*(2*((SIN((((Inputs!$I$9+(((A216)+1)/2)*(Inputs!$J$9-Inputs!$I$9)))*12.9898+(Inputs!$C$6)*78.233+Inputs!$C$47*37.719))*43758.5453)-INT((SIN((((Inputs!$I$9+(((A216)+1)/2)*(Inputs!$J$9-Inputs!$I$9)))*12.9898+(Inputs!$C$6)*78.233+Inputs!$C$47*37.719))*43758.5453)))-1))),NA())</x:f>
        <x:v>99.99734018876349</x:v>
      </x:c>
      <x:c r="AW216" s="49"/>
      <x:c r="AX216" s="48" t="n">
        <x:f>A216</x:f>
        <x:v>0.783</x:v>
      </x:c>
      <x:c r="AY216" s="48" t="n">
        <x:f>0</x:f>
        <x:v>0</x:v>
      </x:c>
      <x:c r="AZ216" s="48" t="n">
        <x:f>IF(OR(Inputs!$F$6=TRUE,Inputs!$F$6="TRUE",Inputs!$F$6=1),(Inputs!$H$6+Inputs!$L$6*(((Inputs!$I$6+(((A216)+1)/2)*(Inputs!$J$6-Inputs!$I$6)))/Inputs!$K$6)^2),NA())</x:f>
        <x:v>402.452356</x:v>
      </x:c>
      <x:c r="BA216" s="48" t="n">
        <x:f>IF(OR(Inputs!$F$7=TRUE,Inputs!$F$7="TRUE",Inputs!$F$7=1),(Inputs!$H$7+Inputs!$L$7*(((Inputs!$I$7+(((A216)+1)/2)*(Inputs!$J$7-Inputs!$I$7)))/Inputs!$K$7)^2),NA())</x:f>
        <x:v>258.77748499999984</x:v>
      </x:c>
      <x:c r="BB216" s="48" t="n">
        <x:f>IF(OR(Inputs!$F$8=TRUE,Inputs!$F$8="TRUE",Inputs!$F$8=1),(Inputs!$H$8+Inputs!$L$8*(((Inputs!$I$8+(((A216)+1)/2)*(Inputs!$J$8-Inputs!$I$8)))/Inputs!$K$8)^2),NA())</x:f>
        <x:v>626.6308849999997</x:v>
      </x:c>
      <x:c r="BC216" s="48" t="n">
        <x:f>IF(OR(Inputs!$F$9=TRUE,Inputs!$F$9="TRUE",Inputs!$F$9=1),(Inputs!$H$9+Inputs!$L$9*(((Inputs!$I$9+(((A216)+1)/2)*(Inputs!$J$9-Inputs!$I$9)))/Inputs!$K$9)^2),NA())</x:f>
        <x:v>622.7617749999997</x:v>
      </x:c>
      <x:c r="BD216" s="49"/>
      <x:c r="BE216" s="48" t="n">
        <x:f>A216</x:f>
        <x:v>0.783</x:v>
      </x:c>
      <x:c r="BF216" s="48" t="n">
        <x:f>0</x:f>
        <x:v>0</x:v>
      </x:c>
      <x:c r="BG216" s="48"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BH216" s="48"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BI216" s="48"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BJ216" s="48"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row>
    <x:row r="217">
      <x:c r="A217" s="48" t="n">
        <x:f>ROUND(-1+215*2/240,3)</x:f>
        <x:v>0.792</x:v>
      </x:c>
      <x:c r="B217" s="48" t="n">
        <x:f>IF(OR(Inputs!$F$6=TRUE,Inputs!$F$6="TRUE",Inputs!$F$6=1),(Inputs!$H$6+Inputs!$L$6*(((Inputs!$I$6+(((A217)+1)/2)*(Inputs!$J$6-Inputs!$I$6)))/Inputs!$K$6)^2),NA())</x:f>
        <x:v>402.509056</x:v>
      </x:c>
      <x:c r="C217" s="48" t="n">
        <x:f>IF(OR(Inputs!$F$7=TRUE,Inputs!$F$7="TRUE",Inputs!$F$7=1),(Inputs!$H$7+Inputs!$L$7*(((Inputs!$I$7+(((A217)+1)/2)*(Inputs!$J$7-Inputs!$I$7)))/Inputs!$K$7)^2),NA())</x:f>
        <x:v>263.95136000000014</x:v>
      </x:c>
      <x:c r="D217" s="48" t="n">
        <x:f>IF(OR(Inputs!$F$8=TRUE,Inputs!$F$8="TRUE",Inputs!$F$8=1),(Inputs!$H$8+Inputs!$L$8*(((Inputs!$I$8+(((A217)+1)/2)*(Inputs!$J$8-Inputs!$I$8)))/Inputs!$K$8)^2),NA())</x:f>
        <x:v>640.3097600000002</x:v>
      </x:c>
      <x:c r="E217" s="48" t="n">
        <x:f>IF(OR(Inputs!$F$9=TRUE,Inputs!$F$9="TRUE",Inputs!$F$9=1),(Inputs!$H$9+Inputs!$L$9*(((Inputs!$I$9+(((A217)+1)/2)*(Inputs!$J$9-Inputs!$I$9)))/Inputs!$K$9)^2),NA())</x:f>
        <x:v>636.5824000000002</x:v>
      </x:c>
      <x:c r="F217" s="49"/>
      <x:c r="G217" s="48" t="n">
        <x:f>A217</x:f>
        <x:v>0.792</x:v>
      </x:c>
      <x:c r="H217" s="48"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I217" s="48"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J217" s="48"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K217" s="48"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c r="L217" s="49"/>
      <x:c r="M217" s="48" t="n">
        <x:f>A217</x:f>
        <x:v>0.792</x:v>
      </x:c>
      <x:c r="N217" s="48" t="n">
        <x: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x:f>
        <x:v>-402.43056762346816</x:v>
      </x:c>
      <x:c r="O217" s="48" t="n">
        <x: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x:f>
        <x:v>-2942.361124732173</x:v>
      </x:c>
      <x:c r="P217" s="48" t="n">
        <x: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x:f>
        <x:v>-3795.3154414561345</x:v>
      </x:c>
      <x:c r="Q217" s="48" t="n">
        <x: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x:f>
        <x:v>-3817.174744690981</x:v>
      </x:c>
      <x:c r="R217" s="49"/>
      <x:c r="S217" s="48" t="n">
        <x:f>A217</x:f>
        <x:v>0.792</x:v>
      </x:c>
      <x:c r="T217" s="48" t="n">
        <x:f>(Inputs!$I$6+(((A217)+1)/2)*(Inputs!$J$6-Inputs!$I$6))</x:f>
        <x:v>47.519999999999996</x:v>
      </x:c>
      <x:c r="U217" s="48" t="n">
        <x:f>(Inputs!$I$7+(((A217)+1)/2)*(Inputs!$J$7-Inputs!$I$7))</x:f>
        <x:v>316.80000000000007</x:v>
      </x:c>
      <x:c r="V217" s="48" t="n">
        <x:f>(Inputs!$I$8+(((A217)+1)/2)*(Inputs!$J$8-Inputs!$I$8))</x:f>
        <x:v>633.6000000000001</x:v>
      </x:c>
      <x:c r="W217" s="48" t="n">
        <x:f>(Inputs!$I$9+(((A217)+1)/2)*(Inputs!$J$9-Inputs!$I$9))</x:f>
        <x:v>633.6000000000001</x:v>
      </x:c>
      <x:c r="X217" s="49"/>
      <x:c r="Y217" s="48" t="n">
        <x:f>A217</x:f>
        <x:v>0.792</x:v>
      </x:c>
      <x:c r="Z217" s="48" t="n">
        <x:f>(Inputs!$H$6+Inputs!$L$6*(((Inputs!$I$6+(((A217)+1)/2)*(Inputs!$J$6-Inputs!$I$6)))/Inputs!$K$6)^2)</x:f>
        <x:v>402.509056</x:v>
      </x:c>
      <x:c r="AA217" s="48" t="n">
        <x:f>(Inputs!$H$7+Inputs!$L$7*(((Inputs!$I$7+(((A217)+1)/2)*(Inputs!$J$7-Inputs!$I$7)))/Inputs!$K$7)^2)</x:f>
        <x:v>263.95136000000014</x:v>
      </x:c>
      <x:c r="AB217" s="48" t="n">
        <x:f>(Inputs!$H$8+Inputs!$L$8*(((Inputs!$I$8+(((A217)+1)/2)*(Inputs!$J$8-Inputs!$I$8)))/Inputs!$K$8)^2)</x:f>
        <x:v>640.3097600000002</x:v>
      </x:c>
      <x:c r="AC217" s="48" t="n">
        <x:f>(Inputs!$H$9+Inputs!$L$9*(((Inputs!$I$9+(((A217)+1)/2)*(Inputs!$J$9-Inputs!$I$9)))/Inputs!$K$9)^2)</x:f>
        <x:v>636.5824000000002</x:v>
      </x:c>
      <x:c r="AD217" s="49"/>
      <x:c r="AE217" s="48" t="n">
        <x:f>A217</x:f>
        <x:v>0.792</x:v>
      </x:c>
      <x:c r="AF217" s="48" t="n">
        <x:f>(((SQRT((Inputs!$C$52+((Inputs!$H$6+Inputs!$L$6*(((Inputs!$I$6+(((A217)+1)/2)*(Inputs!$J$6-Inputs!$I$6)))/Inputs!$K$6)^2)))^2+Inputs!$C$52^2-2*(Inputs!$C$52+((Inputs!$H$6+Inputs!$L$6*(((Inputs!$I$6+(((A217)+1)/2)*(Inputs!$J$6-Inputs!$I$6)))/Inputs!$K$6)^2)))*Inputs!$C$52*COS(SQRT(((Inputs!$I$6+(((A217)+1)/2)*(Inputs!$J$6-Inputs!$I$6)))^2+Inputs!$C$6^2)/Inputs!$C$52)))-((Inputs!$H$6+Inputs!$L$6*(((Inputs!$I$6+(((A217)+1)/2)*(Inputs!$J$6-Inputs!$I$6)))/Inputs!$K$6)^2)))*1000/Inputs!$C$12)</x:f>
        <x:v>2516.6927022358927</x:v>
      </x:c>
      <x:c r="AG217" s="48" t="n">
        <x:f>(((SQRT((Inputs!$C$52+((Inputs!$H$7+Inputs!$L$7*(((Inputs!$I$7+(((A217)+1)/2)*(Inputs!$J$7-Inputs!$I$7)))/Inputs!$K$7)^2)))^2+Inputs!$C$52^2-2*(Inputs!$C$52+((Inputs!$H$7+Inputs!$L$7*(((Inputs!$I$7+(((A217)+1)/2)*(Inputs!$J$7-Inputs!$I$7)))/Inputs!$K$7)^2)))*Inputs!$C$52*COS(SQRT(((Inputs!$I$7+(((A217)+1)/2)*(Inputs!$J$7-Inputs!$I$7)))^2+Inputs!$C$6^2)/Inputs!$C$52)))-((Inputs!$H$7+Inputs!$L$7*(((Inputs!$I$7+(((A217)+1)/2)*(Inputs!$J$7-Inputs!$I$7)))/Inputs!$K$7)^2)))*1000/Inputs!$C$12)</x:f>
        <x:v>94867.00481818928</x:v>
      </x:c>
      <x:c r="AH217" s="48" t="n">
        <x:f>(((SQRT((Inputs!$C$52+((Inputs!$H$8+Inputs!$L$8*(((Inputs!$I$8+(((A217)+1)/2)*(Inputs!$J$8-Inputs!$I$8)))/Inputs!$K$8)^2)))^2+Inputs!$C$52^2-2*(Inputs!$C$52+((Inputs!$H$8+Inputs!$L$8*(((Inputs!$I$8+(((A217)+1)/2)*(Inputs!$J$8-Inputs!$I$8)))/Inputs!$K$8)^2)))*Inputs!$C$52*COS(SQRT(((Inputs!$I$8+(((A217)+1)/2)*(Inputs!$J$8-Inputs!$I$8)))^2+Inputs!$C$6^2)/Inputs!$C$52)))-((Inputs!$H$8+Inputs!$L$8*(((Inputs!$I$8+(((A217)+1)/2)*(Inputs!$J$8-Inputs!$I$8)))/Inputs!$K$8)^2)))*1000/Inputs!$C$12)</x:f>
        <x:v>193371.83618429533</x:v>
      </x:c>
      <x:c r="AI217" s="48" t="n">
        <x:f>(((SQRT((Inputs!$C$52+((Inputs!$H$9+Inputs!$L$9*(((Inputs!$I$9+(((A217)+1)/2)*(Inputs!$J$9-Inputs!$I$9)))/Inputs!$K$9)^2)))^2+Inputs!$C$52^2-2*(Inputs!$C$52+((Inputs!$H$9+Inputs!$L$9*(((Inputs!$I$9+(((A217)+1)/2)*(Inputs!$J$9-Inputs!$I$9)))/Inputs!$K$9)^2)))*Inputs!$C$52*COS(SQRT(((Inputs!$I$9+(((A217)+1)/2)*(Inputs!$J$9-Inputs!$I$9)))^2+Inputs!$C$6^2)/Inputs!$C$52)))-((Inputs!$H$9+Inputs!$L$9*(((Inputs!$I$9+(((A217)+1)/2)*(Inputs!$J$9-Inputs!$I$9)))/Inputs!$K$9)^2)))*1000/Inputs!$C$12)</x:f>
        <x:v>193835.28834182172</x:v>
      </x:c>
      <x:c r="AJ217" s="49"/>
      <x:c r="AK217" s="48" t="n">
        <x:f>A217</x:f>
        <x:v>0.792</x:v>
      </x:c>
      <x:c r="AL217" s="48" t="n">
        <x: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x:f>
        <x:v>-402.43056762346816</x:v>
      </x:c>
      <x:c r="AM217" s="48" t="n">
        <x: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x:f>
        <x:v>-2942.361124732173</x:v>
      </x:c>
      <x:c r="AN217" s="48" t="n">
        <x: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x:f>
        <x:v>-3795.3154414561345</x:v>
      </x:c>
      <x:c r="AO217" s="48" t="n">
        <x: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x:f>
        <x:v>-3817.174744690981</x:v>
      </x:c>
      <x:c r="AP217" s="49"/>
      <x:c r="AQ217" s="48" t="n">
        <x:f>A217</x:f>
        <x:v>0.792</x:v>
      </x:c>
      <x:c r="AR217" s="48" t="n">
        <x:f>0</x:f>
        <x:v>0</x:v>
      </x:c>
      <x:c r="AS217" s="48" t="n">
        <x: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(0.45*SIN(2*PI()*((((Inputs!$I$6+(((A217)+1)/2)*(Inputs!$J$6-Inputs!$I$6)))/Inputs!$C$49)+Inputs!$C$47*0.137))+0.35*COS(2*PI()*(((Inputs!$C$6)/Inputs!$C$50)+Inputs!$C$47*0.173))+0.20*SIN(2*PI()*((((Inputs!$I$6+(((A217)+1)/2)*(Inputs!$J$6-Inputs!$I$6)))+(Inputs!$C$6))/(0.5*(Inputs!$C$49+Inputs!$C$50))+Inputs!$C$47*0.097)))+0.30*(2*((SIN((((Inputs!$I$6+(((A217)+1)/2)*(Inputs!$J$6-Inputs!$I$6)))*12.9898+(Inputs!$C$6)*78.233+Inputs!$C$47*37.719))*43758.5453)-INT((SIN((((Inputs!$I$6+(((A217)+1)/2)*(Inputs!$J$6-Inputs!$I$6)))*12.9898+(Inputs!$C$6)*78.233+Inputs!$C$47*37.719))*43758.5453)))-1))),NA())</x:f>
        <x:v>107.35678928998254</x:v>
      </x:c>
      <x:c r="AT217" s="48" t="n">
        <x: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(0.45*SIN(2*PI()*((((Inputs!$I$7+(((A217)+1)/2)*(Inputs!$J$7-Inputs!$I$7)))/Inputs!$C$49)+Inputs!$C$47*0.137))+0.35*COS(2*PI()*(((Inputs!$C$6)/Inputs!$C$50)+Inputs!$C$47*0.173))+0.20*SIN(2*PI()*((((Inputs!$I$7+(((A217)+1)/2)*(Inputs!$J$7-Inputs!$I$7)))+(Inputs!$C$6))/(0.5*(Inputs!$C$49+Inputs!$C$50))+Inputs!$C$47*0.097)))+0.30*(2*((SIN((((Inputs!$I$7+(((A217)+1)/2)*(Inputs!$J$7-Inputs!$I$7)))*12.9898+(Inputs!$C$6)*78.233+Inputs!$C$47*37.719))*43758.5453)-INT((SIN((((Inputs!$I$7+(((A217)+1)/2)*(Inputs!$J$7-Inputs!$I$7)))*12.9898+(Inputs!$C$6)*78.233+Inputs!$C$47*37.719))*43758.5453)))-1))),NA())</x:f>
        <x:v>127.43900482892427</x:v>
      </x:c>
      <x:c r="AU217" s="48" t="n">
        <x: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(0.45*SIN(2*PI()*((((Inputs!$I$8+(((A217)+1)/2)*(Inputs!$J$8-Inputs!$I$8)))/Inputs!$C$49)+Inputs!$C$47*0.137))+0.35*COS(2*PI()*(((Inputs!$C$6)/Inputs!$C$50)+Inputs!$C$47*0.173))+0.20*SIN(2*PI()*((((Inputs!$I$8+(((A217)+1)/2)*(Inputs!$J$8-Inputs!$I$8)))+(Inputs!$C$6))/(0.5*(Inputs!$C$49+Inputs!$C$50))+Inputs!$C$47*0.097)))+0.30*(2*((SIN((((Inputs!$I$8+(((A217)+1)/2)*(Inputs!$J$8-Inputs!$I$8)))*12.9898+(Inputs!$C$6)*78.233+Inputs!$C$47*37.719))*43758.5453)-INT((SIN((((Inputs!$I$8+(((A217)+1)/2)*(Inputs!$J$8-Inputs!$I$8)))*12.9898+(Inputs!$C$6)*78.233+Inputs!$C$47*37.719))*43758.5453)))-1))),NA())</x:f>
        <x:v>194.3834207426251</x:v>
      </x:c>
      <x:c r="AV217" s="48" t="n">
        <x: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(0.45*SIN(2*PI()*((((Inputs!$I$9+(((A217)+1)/2)*(Inputs!$J$9-Inputs!$I$9)))/Inputs!$C$49)+Inputs!$C$47*0.137))+0.35*COS(2*PI()*(((Inputs!$C$6)/Inputs!$C$50)+Inputs!$C$47*0.173))+0.20*SIN(2*PI()*((((Inputs!$I$9+(((A217)+1)/2)*(Inputs!$J$9-Inputs!$I$9)))+(Inputs!$C$6))/(0.5*(Inputs!$C$49+Inputs!$C$50))+Inputs!$C$47*0.097)))+0.30*(2*((SIN((((Inputs!$I$9+(((A217)+1)/2)*(Inputs!$J$9-Inputs!$I$9)))*12.9898+(Inputs!$C$6)*78.233+Inputs!$C$47*37.719))*43758.5453)-INT((SIN((((Inputs!$I$9+(((A217)+1)/2)*(Inputs!$J$9-Inputs!$I$9)))*12.9898+(Inputs!$C$6)*78.233+Inputs!$C$47*37.719))*43758.5453)))-1))),NA())</x:f>
        <x:v>194.3834207426251</x:v>
      </x:c>
      <x:c r="AW217" s="49"/>
      <x:c r="AX217" s="48" t="n">
        <x:f>A217</x:f>
        <x:v>0.792</x:v>
      </x:c>
      <x:c r="AY217" s="48" t="n">
        <x:f>0</x:f>
        <x:v>0</x:v>
      </x:c>
      <x:c r="AZ217" s="48" t="n">
        <x:f>IF(OR(Inputs!$F$6=TRUE,Inputs!$F$6="TRUE",Inputs!$F$6=1),(Inputs!$H$6+Inputs!$L$6*(((Inputs!$I$6+(((A217)+1)/2)*(Inputs!$J$6-Inputs!$I$6)))/Inputs!$K$6)^2),NA())</x:f>
        <x:v>402.509056</x:v>
      </x:c>
      <x:c r="BA217" s="48" t="n">
        <x:f>IF(OR(Inputs!$F$7=TRUE,Inputs!$F$7="TRUE",Inputs!$F$7=1),(Inputs!$H$7+Inputs!$L$7*(((Inputs!$I$7+(((A217)+1)/2)*(Inputs!$J$7-Inputs!$I$7)))/Inputs!$K$7)^2),NA())</x:f>
        <x:v>263.95136000000014</x:v>
      </x:c>
      <x:c r="BB217" s="48" t="n">
        <x:f>IF(OR(Inputs!$F$8=TRUE,Inputs!$F$8="TRUE",Inputs!$F$8=1),(Inputs!$H$8+Inputs!$L$8*(((Inputs!$I$8+(((A217)+1)/2)*(Inputs!$J$8-Inputs!$I$8)))/Inputs!$K$8)^2),NA())</x:f>
        <x:v>640.3097600000002</x:v>
      </x:c>
      <x:c r="BC217" s="48" t="n">
        <x:f>IF(OR(Inputs!$F$9=TRUE,Inputs!$F$9="TRUE",Inputs!$F$9=1),(Inputs!$H$9+Inputs!$L$9*(((Inputs!$I$9+(((A217)+1)/2)*(Inputs!$J$9-Inputs!$I$9)))/Inputs!$K$9)^2),NA())</x:f>
        <x:v>636.5824000000002</x:v>
      </x:c>
      <x:c r="BD217" s="49"/>
      <x:c r="BE217" s="48" t="n">
        <x:f>A217</x:f>
        <x:v>0.792</x:v>
      </x:c>
      <x:c r="BF217" s="48" t="n">
        <x:f>0</x:f>
        <x:v>0</x:v>
      </x:c>
      <x:c r="BG217" s="48"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BH217" s="48"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BI217" s="48"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BJ217" s="48"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row>
    <x:row r="218">
      <x:c r="A218" s="48" t="n">
        <x:f>ROUND(-1+216*2/240,3)</x:f>
        <x:v>0.8</x:v>
      </x:c>
      <x:c r="B218" s="48" t="n">
        <x:f>IF(OR(Inputs!$F$6=TRUE,Inputs!$F$6="TRUE",Inputs!$F$6=1),(Inputs!$H$6+Inputs!$L$6*(((Inputs!$I$6+(((A218)+1)/2)*(Inputs!$J$6-Inputs!$I$6)))/Inputs!$K$6)^2),NA())</x:f>
        <x:v>402.56</x:v>
      </x:c>
      <x:c r="C218" s="48" t="n">
        <x:f>IF(OR(Inputs!$F$7=TRUE,Inputs!$F$7="TRUE",Inputs!$F$7=1),(Inputs!$H$7+Inputs!$L$7*(((Inputs!$I$7+(((A218)+1)/2)*(Inputs!$J$7-Inputs!$I$7)))/Inputs!$K$7)^2),NA())</x:f>
        <x:v>268.6</x:v>
      </x:c>
      <x:c r="D218" s="48" t="n">
        <x:f>IF(OR(Inputs!$F$8=TRUE,Inputs!$F$8="TRUE",Inputs!$F$8=1),(Inputs!$H$8+Inputs!$L$8*(((Inputs!$I$8+(((A218)+1)/2)*(Inputs!$J$8-Inputs!$I$8)))/Inputs!$K$8)^2),NA())</x:f>
        <x:v>652.6000000000001</x:v>
      </x:c>
      <x:c r="E218" s="48" t="n">
        <x:f>IF(OR(Inputs!$F$9=TRUE,Inputs!$F$9="TRUE",Inputs!$F$9=1),(Inputs!$H$9+Inputs!$L$9*(((Inputs!$I$9+(((A218)+1)/2)*(Inputs!$J$9-Inputs!$I$9)))/Inputs!$K$9)^2),NA())</x:f>
        <x:v>649.0000000000001</x:v>
      </x:c>
      <x:c r="F218" s="49"/>
      <x:c r="G218" s="48" t="n">
        <x:f>A218</x:f>
        <x:v>0.8</x:v>
      </x:c>
      <x:c r="H218" s="48"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I218" s="48"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J218" s="48"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K218" s="48"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c r="L218" s="49"/>
      <x:c r="M218" s="48" t="n">
        <x:f>A218</x:f>
        <x:v>0.8</x:v>
      </x:c>
      <x:c r="N218" s="48" t="n">
        <x: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x:f>
        <x:v>-406.4073047616004</x:v>
      </x:c>
      <x:c r="O218" s="48" t="n">
        <x: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x:f>
        <x:v>-2963.5385814710517</x:v>
      </x:c>
      <x:c r="P218" s="48" t="n">
        <x: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x:f>
        <x:v>-3828.040426432185</x:v>
      </x:c>
      <x:c r="Q218" s="48" t="n">
        <x: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x:f>
        <x:v>-3850.382510793804</x:v>
      </x:c>
      <x:c r="R218" s="49"/>
      <x:c r="S218" s="48" t="n">
        <x:f>A218</x:f>
        <x:v>0.8</x:v>
      </x:c>
      <x:c r="T218" s="48" t="n">
        <x:f>(Inputs!$I$6+(((A218)+1)/2)*(Inputs!$J$6-Inputs!$I$6))</x:f>
        <x:v>48</x:v>
      </x:c>
      <x:c r="U218" s="48" t="n">
        <x:f>(Inputs!$I$7+(((A218)+1)/2)*(Inputs!$J$7-Inputs!$I$7))</x:f>
        <x:v>320</x:v>
      </x:c>
      <x:c r="V218" s="48" t="n">
        <x:f>(Inputs!$I$8+(((A218)+1)/2)*(Inputs!$J$8-Inputs!$I$8))</x:f>
        <x:v>640</x:v>
      </x:c>
      <x:c r="W218" s="48" t="n">
        <x:f>(Inputs!$I$9+(((A218)+1)/2)*(Inputs!$J$9-Inputs!$I$9))</x:f>
        <x:v>640</x:v>
      </x:c>
      <x:c r="X218" s="49"/>
      <x:c r="Y218" s="48" t="n">
        <x:f>A218</x:f>
        <x:v>0.8</x:v>
      </x:c>
      <x:c r="Z218" s="48" t="n">
        <x:f>(Inputs!$H$6+Inputs!$L$6*(((Inputs!$I$6+(((A218)+1)/2)*(Inputs!$J$6-Inputs!$I$6)))/Inputs!$K$6)^2)</x:f>
        <x:v>402.56</x:v>
      </x:c>
      <x:c r="AA218" s="48" t="n">
        <x:f>(Inputs!$H$7+Inputs!$L$7*(((Inputs!$I$7+(((A218)+1)/2)*(Inputs!$J$7-Inputs!$I$7)))/Inputs!$K$7)^2)</x:f>
        <x:v>268.6</x:v>
      </x:c>
      <x:c r="AB218" s="48" t="n">
        <x:f>(Inputs!$H$8+Inputs!$L$8*(((Inputs!$I$8+(((A218)+1)/2)*(Inputs!$J$8-Inputs!$I$8)))/Inputs!$K$8)^2)</x:f>
        <x:v>652.6000000000001</x:v>
      </x:c>
      <x:c r="AC218" s="48" t="n">
        <x:f>(Inputs!$H$9+Inputs!$L$9*(((Inputs!$I$9+(((A218)+1)/2)*(Inputs!$J$9-Inputs!$I$9)))/Inputs!$K$9)^2)</x:f>
        <x:v>649.0000000000001</x:v>
      </x:c>
      <x:c r="AD218" s="49"/>
      <x:c r="AE218" s="48" t="n">
        <x:f>A218</x:f>
        <x:v>0.8</x:v>
      </x:c>
      <x:c r="AF218" s="48" t="n">
        <x:f>(((SQRT((Inputs!$C$52+((Inputs!$H$6+Inputs!$L$6*(((Inputs!$I$6+(((A218)+1)/2)*(Inputs!$J$6-Inputs!$I$6)))/Inputs!$K$6)^2)))^2+Inputs!$C$52^2-2*(Inputs!$C$52+((Inputs!$H$6+Inputs!$L$6*(((Inputs!$I$6+(((A218)+1)/2)*(Inputs!$J$6-Inputs!$I$6)))/Inputs!$K$6)^2)))*Inputs!$C$52*COS(SQRT(((Inputs!$I$6+(((A218)+1)/2)*(Inputs!$J$6-Inputs!$I$6)))^2+Inputs!$C$6^2)/Inputs!$C$52)))-((Inputs!$H$6+Inputs!$L$6*(((Inputs!$I$6+(((A218)+1)/2)*(Inputs!$J$6-Inputs!$I$6)))/Inputs!$K$6)^2)))*1000/Inputs!$C$12)</x:f>
        <x:v>2556.233008450807</x:v>
      </x:c>
      <x:c r="AG218" s="48" t="n">
        <x:f>(((SQRT((Inputs!$C$52+((Inputs!$H$7+Inputs!$L$7*(((Inputs!$I$7+(((A218)+1)/2)*(Inputs!$J$7-Inputs!$I$7)))/Inputs!$K$7)^2)))^2+Inputs!$C$52^2-2*(Inputs!$C$52+((Inputs!$H$7+Inputs!$L$7*(((Inputs!$I$7+(((A218)+1)/2)*(Inputs!$J$7-Inputs!$I$7)))/Inputs!$K$7)^2)))*Inputs!$C$52*COS(SQRT(((Inputs!$I$7+(((A218)+1)/2)*(Inputs!$J$7-Inputs!$I$7)))^2+Inputs!$C$6^2)/Inputs!$C$52)))-((Inputs!$H$7+Inputs!$L$7*(((Inputs!$I$7+(((A218)+1)/2)*(Inputs!$J$7-Inputs!$I$7)))/Inputs!$K$7)^2)))*1000/Inputs!$C$12)</x:f>
        <x:v>95573.32226658681</x:v>
      </x:c>
      <x:c r="AH218" s="48" t="n">
        <x:f>(((SQRT((Inputs!$C$52+((Inputs!$H$8+Inputs!$L$8*(((Inputs!$I$8+(((A218)+1)/2)*(Inputs!$J$8-Inputs!$I$8)))/Inputs!$K$8)^2)))^2+Inputs!$C$52^2-2*(Inputs!$C$52+((Inputs!$H$8+Inputs!$L$8*(((Inputs!$I$8+(((A218)+1)/2)*(Inputs!$J$8-Inputs!$I$8)))/Inputs!$K$8)^2)))*Inputs!$C$52*COS(SQRT(((Inputs!$I$8+(((A218)+1)/2)*(Inputs!$J$8-Inputs!$I$8)))^2+Inputs!$C$6^2)/Inputs!$C$52)))-((Inputs!$H$8+Inputs!$L$8*(((Inputs!$I$8+(((A218)+1)/2)*(Inputs!$J$8-Inputs!$I$8)))/Inputs!$K$8)^2)))*1000/Inputs!$C$12)</x:f>
        <x:v>195032.76112378715</x:v>
      </x:c>
      <x:c r="AI218" s="48" t="n">
        <x:f>(((SQRT((Inputs!$C$52+((Inputs!$H$9+Inputs!$L$9*(((Inputs!$I$9+(((A218)+1)/2)*(Inputs!$J$9-Inputs!$I$9)))/Inputs!$K$9)^2)))^2+Inputs!$C$52^2-2*(Inputs!$C$52+((Inputs!$H$9+Inputs!$L$9*(((Inputs!$I$9+(((A218)+1)/2)*(Inputs!$J$9-Inputs!$I$9)))/Inputs!$K$9)^2)))*Inputs!$C$52*COS(SQRT(((Inputs!$I$9+(((A218)+1)/2)*(Inputs!$J$9-Inputs!$I$9)))^2+Inputs!$C$6^2)/Inputs!$C$52)))-((Inputs!$H$9+Inputs!$L$9*(((Inputs!$I$9+(((A218)+1)/2)*(Inputs!$J$9-Inputs!$I$9)))/Inputs!$K$9)^2)))*1000/Inputs!$C$12)</x:f>
        <x:v>195474.32761168503</x:v>
      </x:c>
      <x:c r="AJ218" s="49"/>
      <x:c r="AK218" s="48" t="n">
        <x:f>A218</x:f>
        <x:v>0.8</x:v>
      </x:c>
      <x:c r="AL218" s="48" t="n">
        <x: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x:f>
        <x:v>-406.4073047616004</x:v>
      </x:c>
      <x:c r="AM218" s="48" t="n">
        <x: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x:f>
        <x:v>-2963.5385814710517</x:v>
      </x:c>
      <x:c r="AN218" s="48" t="n">
        <x: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x:f>
        <x:v>-3828.040426432185</x:v>
      </x:c>
      <x:c r="AO218" s="48" t="n">
        <x: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x:f>
        <x:v>-3850.382510793804</x:v>
      </x:c>
      <x:c r="AP218" s="49"/>
      <x:c r="AQ218" s="48" t="n">
        <x:f>A218</x:f>
        <x:v>0.8</x:v>
      </x:c>
      <x:c r="AR218" s="48" t="n">
        <x:f>0</x:f>
        <x:v>0</x:v>
      </x:c>
      <x:c r="AS218" s="48" t="n">
        <x: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(0.45*SIN(2*PI()*((((Inputs!$I$6+(((A218)+1)/2)*(Inputs!$J$6-Inputs!$I$6)))/Inputs!$C$49)+Inputs!$C$47*0.137))+0.35*COS(2*PI()*(((Inputs!$C$6)/Inputs!$C$50)+Inputs!$C$47*0.173))+0.20*SIN(2*PI()*((((Inputs!$I$6+(((A218)+1)/2)*(Inputs!$J$6-Inputs!$I$6)))+(Inputs!$C$6))/(0.5*(Inputs!$C$49+Inputs!$C$50))+Inputs!$C$47*0.097)))+0.30*(2*((SIN((((Inputs!$I$6+(((A218)+1)/2)*(Inputs!$J$6-Inputs!$I$6)))*12.9898+(Inputs!$C$6)*78.233+Inputs!$C$47*37.719))*43758.5453)-INT((SIN((((Inputs!$I$6+(((A218)+1)/2)*(Inputs!$J$6-Inputs!$I$6)))*12.9898+(Inputs!$C$6)*78.233+Inputs!$C$47*37.719))*43758.5453)))-1))),NA())</x:f>
        <x:v>124.99715373468393</x:v>
      </x:c>
      <x:c r="AT218" s="48" t="n">
        <x: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(0.45*SIN(2*PI()*((((Inputs!$I$7+(((A218)+1)/2)*(Inputs!$J$7-Inputs!$I$7)))/Inputs!$C$49)+Inputs!$C$47*0.137))+0.35*COS(2*PI()*(((Inputs!$C$6)/Inputs!$C$50)+Inputs!$C$47*0.173))+0.20*SIN(2*PI()*((((Inputs!$I$7+(((A218)+1)/2)*(Inputs!$J$7-Inputs!$I$7)))+(Inputs!$C$6))/(0.5*(Inputs!$C$49+Inputs!$C$50))+Inputs!$C$47*0.097)))+0.30*(2*((SIN((((Inputs!$I$7+(((A218)+1)/2)*(Inputs!$J$7-Inputs!$I$7)))*12.9898+(Inputs!$C$6)*78.233+Inputs!$C$47*37.719))*43758.5453)-INT((SIN((((Inputs!$I$7+(((A218)+1)/2)*(Inputs!$J$7-Inputs!$I$7)))*12.9898+(Inputs!$C$6)*78.233+Inputs!$C$47*37.719))*43758.5453)))-1))),NA())</x:f>
        <x:v>63.16298590057942</x:v>
      </x:c>
      <x:c r="AU218" s="48" t="n">
        <x: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(0.45*SIN(2*PI()*((((Inputs!$I$8+(((A218)+1)/2)*(Inputs!$J$8-Inputs!$I$8)))/Inputs!$C$49)+Inputs!$C$47*0.137))+0.35*COS(2*PI()*(((Inputs!$C$6)/Inputs!$C$50)+Inputs!$C$47*0.173))+0.20*SIN(2*PI()*((((Inputs!$I$8+(((A218)+1)/2)*(Inputs!$J$8-Inputs!$I$8)))+(Inputs!$C$6))/(0.5*(Inputs!$C$49+Inputs!$C$50))+Inputs!$C$47*0.097)))+0.30*(2*((SIN((((Inputs!$I$8+(((A218)+1)/2)*(Inputs!$J$8-Inputs!$I$8)))*12.9898+(Inputs!$C$6)*78.233+Inputs!$C$47*37.719))*43758.5453)-INT((SIN((((Inputs!$I$8+(((A218)+1)/2)*(Inputs!$J$8-Inputs!$I$8)))*12.9898+(Inputs!$C$6)*78.233+Inputs!$C$47*37.719))*43758.5453)))-1))),NA())</x:f>
        <x:v>163.61046202250503</x:v>
      </x:c>
      <x:c r="AV218" s="48" t="n">
        <x: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(0.45*SIN(2*PI()*((((Inputs!$I$9+(((A218)+1)/2)*(Inputs!$J$9-Inputs!$I$9)))/Inputs!$C$49)+Inputs!$C$47*0.137))+0.35*COS(2*PI()*(((Inputs!$C$6)/Inputs!$C$50)+Inputs!$C$47*0.173))+0.20*SIN(2*PI()*((((Inputs!$I$9+(((A218)+1)/2)*(Inputs!$J$9-Inputs!$I$9)))+(Inputs!$C$6))/(0.5*(Inputs!$C$49+Inputs!$C$50))+Inputs!$C$47*0.097)))+0.30*(2*((SIN((((Inputs!$I$9+(((A218)+1)/2)*(Inputs!$J$9-Inputs!$I$9)))*12.9898+(Inputs!$C$6)*78.233+Inputs!$C$47*37.719))*43758.5453)-INT((SIN((((Inputs!$I$9+(((A218)+1)/2)*(Inputs!$J$9-Inputs!$I$9)))*12.9898+(Inputs!$C$6)*78.233+Inputs!$C$47*37.719))*43758.5453)))-1))),NA())</x:f>
        <x:v>163.61046202250503</x:v>
      </x:c>
      <x:c r="AW218" s="49"/>
      <x:c r="AX218" s="48" t="n">
        <x:f>A218</x:f>
        <x:v>0.8</x:v>
      </x:c>
      <x:c r="AY218" s="48" t="n">
        <x:f>0</x:f>
        <x:v>0</x:v>
      </x:c>
      <x:c r="AZ218" s="48" t="n">
        <x:f>IF(OR(Inputs!$F$6=TRUE,Inputs!$F$6="TRUE",Inputs!$F$6=1),(Inputs!$H$6+Inputs!$L$6*(((Inputs!$I$6+(((A218)+1)/2)*(Inputs!$J$6-Inputs!$I$6)))/Inputs!$K$6)^2),NA())</x:f>
        <x:v>402.56</x:v>
      </x:c>
      <x:c r="BA218" s="48" t="n">
        <x:f>IF(OR(Inputs!$F$7=TRUE,Inputs!$F$7="TRUE",Inputs!$F$7=1),(Inputs!$H$7+Inputs!$L$7*(((Inputs!$I$7+(((A218)+1)/2)*(Inputs!$J$7-Inputs!$I$7)))/Inputs!$K$7)^2),NA())</x:f>
        <x:v>268.6</x:v>
      </x:c>
      <x:c r="BB218" s="48" t="n">
        <x:f>IF(OR(Inputs!$F$8=TRUE,Inputs!$F$8="TRUE",Inputs!$F$8=1),(Inputs!$H$8+Inputs!$L$8*(((Inputs!$I$8+(((A218)+1)/2)*(Inputs!$J$8-Inputs!$I$8)))/Inputs!$K$8)^2),NA())</x:f>
        <x:v>652.6000000000001</x:v>
      </x:c>
      <x:c r="BC218" s="48" t="n">
        <x:f>IF(OR(Inputs!$F$9=TRUE,Inputs!$F$9="TRUE",Inputs!$F$9=1),(Inputs!$H$9+Inputs!$L$9*(((Inputs!$I$9+(((A218)+1)/2)*(Inputs!$J$9-Inputs!$I$9)))/Inputs!$K$9)^2),NA())</x:f>
        <x:v>649.0000000000001</x:v>
      </x:c>
      <x:c r="BD218" s="49"/>
      <x:c r="BE218" s="48" t="n">
        <x:f>A218</x:f>
        <x:v>0.8</x:v>
      </x:c>
      <x:c r="BF218" s="48" t="n">
        <x:f>0</x:f>
        <x:v>0</x:v>
      </x:c>
      <x:c r="BG218" s="48"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BH218" s="48"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BI218" s="48"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BJ218" s="48"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row>
    <x:row r="219">
      <x:c r="A219" s="48" t="n">
        <x:f>ROUND(-1+217*2/240,3)</x:f>
        <x:v>0.808</x:v>
      </x:c>
      <x:c r="B219" s="48" t="n">
        <x:f>IF(OR(Inputs!$F$6=TRUE,Inputs!$F$6="TRUE",Inputs!$F$6=1),(Inputs!$H$6+Inputs!$L$6*(((Inputs!$I$6+(((A219)+1)/2)*(Inputs!$J$6-Inputs!$I$6)))/Inputs!$K$6)^2),NA())</x:f>
        <x:v>402.611456</x:v>
      </x:c>
      <x:c r="C219" s="48" t="n">
        <x:f>IF(OR(Inputs!$F$7=TRUE,Inputs!$F$7="TRUE",Inputs!$F$7=1),(Inputs!$H$7+Inputs!$L$7*(((Inputs!$I$7+(((A219)+1)/2)*(Inputs!$J$7-Inputs!$I$7)))/Inputs!$K$7)^2),NA())</x:f>
        <x:v>273.2953600000001</x:v>
      </x:c>
      <x:c r="D219" s="48" t="n">
        <x:f>IF(OR(Inputs!$F$8=TRUE,Inputs!$F$8="TRUE",Inputs!$F$8=1),(Inputs!$H$8+Inputs!$L$8*(((Inputs!$I$8+(((A219)+1)/2)*(Inputs!$J$8-Inputs!$I$8)))/Inputs!$K$8)^2),NA())</x:f>
        <x:v>665.0137600000002</x:v>
      </x:c>
      <x:c r="E219" s="48" t="n">
        <x:f>IF(OR(Inputs!$F$9=TRUE,Inputs!$F$9="TRUE",Inputs!$F$9=1),(Inputs!$H$9+Inputs!$L$9*(((Inputs!$I$9+(((A219)+1)/2)*(Inputs!$J$9-Inputs!$I$9)))/Inputs!$K$9)^2),NA())</x:f>
        <x:v>661.5424000000003</x:v>
      </x:c>
      <x:c r="F219" s="49"/>
      <x:c r="G219" s="48" t="n">
        <x:f>A219</x:f>
        <x:v>0.808</x:v>
      </x:c>
      <x:c r="H219" s="48"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I219" s="48"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J219" s="48"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K219" s="48"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c r="L219" s="49"/>
      <x:c r="M219" s="48" t="n">
        <x:f>A219</x:f>
        <x:v>0.808</x:v>
      </x:c>
      <x:c r="N219" s="48" t="n">
        <x: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x:f>
        <x:v>-410.3814628197244</x:v>
      </x:c>
      <x:c r="O219" s="48" t="n">
        <x: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x:f>
        <x:v>-2984.803191565089</x:v>
      </x:c>
      <x:c r="P219" s="48" t="n">
        <x: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x:f>
        <x:v>-3860.840278559846</x:v>
      </x:c>
      <x:c r="Q219" s="48" t="n">
        <x: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x:f>
        <x:v>-3883.662945331171</x:v>
      </x:c>
      <x:c r="R219" s="49"/>
      <x:c r="S219" s="48" t="n">
        <x:f>A219</x:f>
        <x:v>0.808</x:v>
      </x:c>
      <x:c r="T219" s="48" t="n">
        <x:f>(Inputs!$I$6+(((A219)+1)/2)*(Inputs!$J$6-Inputs!$I$6))</x:f>
        <x:v>48.480000000000004</x:v>
      </x:c>
      <x:c r="U219" s="48" t="n">
        <x:f>(Inputs!$I$7+(((A219)+1)/2)*(Inputs!$J$7-Inputs!$I$7))</x:f>
        <x:v>323.20000000000005</x:v>
      </x:c>
      <x:c r="V219" s="48" t="n">
        <x:f>(Inputs!$I$8+(((A219)+1)/2)*(Inputs!$J$8-Inputs!$I$8))</x:f>
        <x:v>646.4000000000001</x:v>
      </x:c>
      <x:c r="W219" s="48" t="n">
        <x:f>(Inputs!$I$9+(((A219)+1)/2)*(Inputs!$J$9-Inputs!$I$9))</x:f>
        <x:v>646.4000000000001</x:v>
      </x:c>
      <x:c r="X219" s="49"/>
      <x:c r="Y219" s="48" t="n">
        <x:f>A219</x:f>
        <x:v>0.808</x:v>
      </x:c>
      <x:c r="Z219" s="48" t="n">
        <x:f>(Inputs!$H$6+Inputs!$L$6*(((Inputs!$I$6+(((A219)+1)/2)*(Inputs!$J$6-Inputs!$I$6)))/Inputs!$K$6)^2)</x:f>
        <x:v>402.611456</x:v>
      </x:c>
      <x:c r="AA219" s="48" t="n">
        <x:f>(Inputs!$H$7+Inputs!$L$7*(((Inputs!$I$7+(((A219)+1)/2)*(Inputs!$J$7-Inputs!$I$7)))/Inputs!$K$7)^2)</x:f>
        <x:v>273.2953600000001</x:v>
      </x:c>
      <x:c r="AB219" s="48" t="n">
        <x:f>(Inputs!$H$8+Inputs!$L$8*(((Inputs!$I$8+(((A219)+1)/2)*(Inputs!$J$8-Inputs!$I$8)))/Inputs!$K$8)^2)</x:f>
        <x:v>665.0137600000002</x:v>
      </x:c>
      <x:c r="AC219" s="48" t="n">
        <x:f>(Inputs!$H$9+Inputs!$L$9*(((Inputs!$I$9+(((A219)+1)/2)*(Inputs!$J$9-Inputs!$I$9)))/Inputs!$K$9)^2)</x:f>
        <x:v>661.5424000000003</x:v>
      </x:c>
      <x:c r="AD219" s="49"/>
      <x:c r="AE219" s="48" t="n">
        <x:f>A219</x:f>
        <x:v>0.808</x:v>
      </x:c>
      <x:c r="AF219" s="48" t="n">
        <x:f>(((SQRT((Inputs!$C$52+((Inputs!$H$6+Inputs!$L$6*(((Inputs!$I$6+(((A219)+1)/2)*(Inputs!$J$6-Inputs!$I$6)))/Inputs!$K$6)^2)))^2+Inputs!$C$52^2-2*(Inputs!$C$52+((Inputs!$H$6+Inputs!$L$6*(((Inputs!$I$6+(((A219)+1)/2)*(Inputs!$J$6-Inputs!$I$6)))/Inputs!$K$6)^2)))*Inputs!$C$52*COS(SQRT(((Inputs!$I$6+(((A219)+1)/2)*(Inputs!$J$6-Inputs!$I$6)))^2+Inputs!$C$6^2)/Inputs!$C$52)))-((Inputs!$H$6+Inputs!$L$6*(((Inputs!$I$6+(((A219)+1)/2)*(Inputs!$J$6-Inputs!$I$6)))/Inputs!$K$6)^2)))*1000/Inputs!$C$12)</x:f>
        <x:v>2596.155693780772</x:v>
      </x:c>
      <x:c r="AG219" s="48" t="n">
        <x:f>(((SQRT((Inputs!$C$52+((Inputs!$H$7+Inputs!$L$7*(((Inputs!$I$7+(((A219)+1)/2)*(Inputs!$J$7-Inputs!$I$7)))/Inputs!$K$7)^2)))^2+Inputs!$C$52^2-2*(Inputs!$C$52+((Inputs!$H$7+Inputs!$L$7*(((Inputs!$I$7+(((A219)+1)/2)*(Inputs!$J$7-Inputs!$I$7)))/Inputs!$K$7)^2)))*Inputs!$C$52*COS(SQRT(((Inputs!$I$7+(((A219)+1)/2)*(Inputs!$J$7-Inputs!$I$7)))^2+Inputs!$C$6^2)/Inputs!$C$52)))-((Inputs!$H$7+Inputs!$L$7*(((Inputs!$I$7+(((A219)+1)/2)*(Inputs!$J$7-Inputs!$I$7)))/Inputs!$K$7)^2)))*1000/Inputs!$C$12)</x:f>
        <x:v>96277.23651922225</x:v>
      </x:c>
      <x:c r="AH219" s="48" t="n">
        <x:f>(((SQRT((Inputs!$C$52+((Inputs!$H$8+Inputs!$L$8*(((Inputs!$I$8+(((A219)+1)/2)*(Inputs!$J$8-Inputs!$I$8)))/Inputs!$K$8)^2)))^2+Inputs!$C$52^2-2*(Inputs!$C$52+((Inputs!$H$8+Inputs!$L$8*(((Inputs!$I$8+(((A219)+1)/2)*(Inputs!$J$8-Inputs!$I$8)))/Inputs!$K$8)^2)))*Inputs!$C$52*COS(SQRT(((Inputs!$I$8+(((A219)+1)/2)*(Inputs!$J$8-Inputs!$I$8)))^2+Inputs!$C$6^2)/Inputs!$C$52)))-((Inputs!$H$8+Inputs!$L$8*(((Inputs!$I$8+(((A219)+1)/2)*(Inputs!$J$8-Inputs!$I$8)))/Inputs!$K$8)^2)))*1000/Inputs!$C$12)</x:f>
        <x:v>196697.9166515114</x:v>
      </x:c>
      <x:c r="AI219" s="48" t="n">
        <x:f>(((SQRT((Inputs!$C$52+((Inputs!$H$9+Inputs!$L$9*(((Inputs!$I$9+(((A219)+1)/2)*(Inputs!$J$9-Inputs!$I$9)))/Inputs!$K$9)^2)))^2+Inputs!$C$52^2-2*(Inputs!$C$52+((Inputs!$H$9+Inputs!$L$9*(((Inputs!$I$9+(((A219)+1)/2)*(Inputs!$J$9-Inputs!$I$9)))/Inputs!$K$9)^2)))*Inputs!$C$52*COS(SQRT(((Inputs!$I$9+(((A219)+1)/2)*(Inputs!$J$9-Inputs!$I$9)))^2+Inputs!$C$6^2)/Inputs!$C$52)))-((Inputs!$H$9+Inputs!$L$9*(((Inputs!$I$9+(((A219)+1)/2)*(Inputs!$J$9-Inputs!$I$9)))/Inputs!$K$9)^2)))*1000/Inputs!$C$12)</x:f>
        <x:v>197117.96079957776</x:v>
      </x:c>
      <x:c r="AJ219" s="49"/>
      <x:c r="AK219" s="48" t="n">
        <x:f>A219</x:f>
        <x:v>0.808</x:v>
      </x:c>
      <x:c r="AL219" s="48" t="n">
        <x: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x:f>
        <x:v>-410.3814628197244</x:v>
      </x:c>
      <x:c r="AM219" s="48" t="n">
        <x: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x:f>
        <x:v>-2984.803191565089</x:v>
      </x:c>
      <x:c r="AN219" s="48" t="n">
        <x: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x:f>
        <x:v>-3860.840278559846</x:v>
      </x:c>
      <x:c r="AO219" s="48" t="n">
        <x: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x:f>
        <x:v>-3883.662945331171</x:v>
      </x:c>
      <x:c r="AP219" s="49"/>
      <x:c r="AQ219" s="48" t="n">
        <x:f>A219</x:f>
        <x:v>0.808</x:v>
      </x:c>
      <x:c r="AR219" s="48" t="n">
        <x:f>0</x:f>
        <x:v>0</x:v>
      </x:c>
      <x:c r="AS219" s="48" t="n">
        <x: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(0.45*SIN(2*PI()*((((Inputs!$I$6+(((A219)+1)/2)*(Inputs!$J$6-Inputs!$I$6)))/Inputs!$C$49)+Inputs!$C$47*0.137))+0.35*COS(2*PI()*(((Inputs!$C$6)/Inputs!$C$50)+Inputs!$C$47*0.173))+0.20*SIN(2*PI()*((((Inputs!$I$6+(((A219)+1)/2)*(Inputs!$J$6-Inputs!$I$6)))+(Inputs!$C$6))/(0.5*(Inputs!$C$49+Inputs!$C$50))+Inputs!$C$47*0.097)))+0.30*(2*((SIN((((Inputs!$I$6+(((A219)+1)/2)*(Inputs!$J$6-Inputs!$I$6)))*12.9898+(Inputs!$C$6)*78.233+Inputs!$C$47*37.719))*43758.5453)-INT((SIN((((Inputs!$I$6+(((A219)+1)/2)*(Inputs!$J$6-Inputs!$I$6)))*12.9898+(Inputs!$C$6)*78.233+Inputs!$C$47*37.719))*43758.5453)))-1))),NA())</x:f>
        <x:v>111.72819704354994</x:v>
      </x:c>
      <x:c r="AT219" s="48" t="n">
        <x: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(0.45*SIN(2*PI()*((((Inputs!$I$7+(((A219)+1)/2)*(Inputs!$J$7-Inputs!$I$7)))/Inputs!$C$49)+Inputs!$C$47*0.137))+0.35*COS(2*PI()*(((Inputs!$C$6)/Inputs!$C$50)+Inputs!$C$47*0.173))+0.20*SIN(2*PI()*((((Inputs!$I$7+(((A219)+1)/2)*(Inputs!$J$7-Inputs!$I$7)))+(Inputs!$C$6))/(0.5*(Inputs!$C$49+Inputs!$C$50))+Inputs!$C$47*0.097)))+0.30*(2*((SIN((((Inputs!$I$7+(((A219)+1)/2)*(Inputs!$J$7-Inputs!$I$7)))*12.9898+(Inputs!$C$6)*78.233+Inputs!$C$47*37.719))*43758.5453)-INT((SIN((((Inputs!$I$7+(((A219)+1)/2)*(Inputs!$J$7-Inputs!$I$7)))*12.9898+(Inputs!$C$6)*78.233+Inputs!$C$47*37.719))*43758.5453)))-1))),NA())</x:f>
        <x:v>113.82227136751132</x:v>
      </x:c>
      <x:c r="AU219" s="48" t="n">
        <x: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(0.45*SIN(2*PI()*((((Inputs!$I$8+(((A219)+1)/2)*(Inputs!$J$8-Inputs!$I$8)))/Inputs!$C$49)+Inputs!$C$47*0.137))+0.35*COS(2*PI()*(((Inputs!$C$6)/Inputs!$C$50)+Inputs!$C$47*0.173))+0.20*SIN(2*PI()*((((Inputs!$I$8+(((A219)+1)/2)*(Inputs!$J$8-Inputs!$I$8)))+(Inputs!$C$6))/(0.5*(Inputs!$C$49+Inputs!$C$50))+Inputs!$C$47*0.097)))+0.30*(2*((SIN((((Inputs!$I$8+(((A219)+1)/2)*(Inputs!$J$8-Inputs!$I$8)))*12.9898+(Inputs!$C$6)*78.233+Inputs!$C$47*37.719))*43758.5453)-INT((SIN((((Inputs!$I$8+(((A219)+1)/2)*(Inputs!$J$8-Inputs!$I$8)))*12.9898+(Inputs!$C$6)*78.233+Inputs!$C$47*37.719))*43758.5453)))-1))),NA())</x:f>
        <x:v>97.09996983443892</x:v>
      </x:c>
      <x:c r="AV219" s="48" t="n">
        <x: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(0.45*SIN(2*PI()*((((Inputs!$I$9+(((A219)+1)/2)*(Inputs!$J$9-Inputs!$I$9)))/Inputs!$C$49)+Inputs!$C$47*0.137))+0.35*COS(2*PI()*(((Inputs!$C$6)/Inputs!$C$50)+Inputs!$C$47*0.173))+0.20*SIN(2*PI()*((((Inputs!$I$9+(((A219)+1)/2)*(Inputs!$J$9-Inputs!$I$9)))+(Inputs!$C$6))/(0.5*(Inputs!$C$49+Inputs!$C$50))+Inputs!$C$47*0.097)))+0.30*(2*((SIN((((Inputs!$I$9+(((A219)+1)/2)*(Inputs!$J$9-Inputs!$I$9)))*12.9898+(Inputs!$C$6)*78.233+Inputs!$C$47*37.719))*43758.5453)-INT((SIN((((Inputs!$I$9+(((A219)+1)/2)*(Inputs!$J$9-Inputs!$I$9)))*12.9898+(Inputs!$C$6)*78.233+Inputs!$C$47*37.719))*43758.5453)))-1))),NA())</x:f>
        <x:v>97.09996983443892</x:v>
      </x:c>
      <x:c r="AW219" s="49"/>
      <x:c r="AX219" s="48" t="n">
        <x:f>A219</x:f>
        <x:v>0.808</x:v>
      </x:c>
      <x:c r="AY219" s="48" t="n">
        <x:f>0</x:f>
        <x:v>0</x:v>
      </x:c>
      <x:c r="AZ219" s="48" t="n">
        <x:f>IF(OR(Inputs!$F$6=TRUE,Inputs!$F$6="TRUE",Inputs!$F$6=1),(Inputs!$H$6+Inputs!$L$6*(((Inputs!$I$6+(((A219)+1)/2)*(Inputs!$J$6-Inputs!$I$6)))/Inputs!$K$6)^2),NA())</x:f>
        <x:v>402.611456</x:v>
      </x:c>
      <x:c r="BA219" s="48" t="n">
        <x:f>IF(OR(Inputs!$F$7=TRUE,Inputs!$F$7="TRUE",Inputs!$F$7=1),(Inputs!$H$7+Inputs!$L$7*(((Inputs!$I$7+(((A219)+1)/2)*(Inputs!$J$7-Inputs!$I$7)))/Inputs!$K$7)^2),NA())</x:f>
        <x:v>273.2953600000001</x:v>
      </x:c>
      <x:c r="BB219" s="48" t="n">
        <x:f>IF(OR(Inputs!$F$8=TRUE,Inputs!$F$8="TRUE",Inputs!$F$8=1),(Inputs!$H$8+Inputs!$L$8*(((Inputs!$I$8+(((A219)+1)/2)*(Inputs!$J$8-Inputs!$I$8)))/Inputs!$K$8)^2),NA())</x:f>
        <x:v>665.0137600000002</x:v>
      </x:c>
      <x:c r="BC219" s="48" t="n">
        <x:f>IF(OR(Inputs!$F$9=TRUE,Inputs!$F$9="TRUE",Inputs!$F$9=1),(Inputs!$H$9+Inputs!$L$9*(((Inputs!$I$9+(((A219)+1)/2)*(Inputs!$J$9-Inputs!$I$9)))/Inputs!$K$9)^2),NA())</x:f>
        <x:v>661.5424000000003</x:v>
      </x:c>
      <x:c r="BD219" s="49"/>
      <x:c r="BE219" s="48" t="n">
        <x:f>A219</x:f>
        <x:v>0.808</x:v>
      </x:c>
      <x:c r="BF219" s="48" t="n">
        <x:f>0</x:f>
        <x:v>0</x:v>
      </x:c>
      <x:c r="BG219" s="48"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BH219" s="48"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BI219" s="48"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BJ219" s="48"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row>
    <x:row r="220">
      <x:c r="A220" s="48" t="n">
        <x:f>ROUND(-1+218*2/240,3)</x:f>
        <x:v>0.817</x:v>
      </x:c>
      <x:c r="B220" s="48" t="n">
        <x:f>IF(OR(Inputs!$F$6=TRUE,Inputs!$F$6="TRUE",Inputs!$F$6=1),(Inputs!$H$6+Inputs!$L$6*(((Inputs!$I$6+(((A220)+1)/2)*(Inputs!$J$6-Inputs!$I$6)))/Inputs!$K$6)^2),NA())</x:f>
        <x:v>402.669956</x:v>
      </x:c>
      <x:c r="C220" s="48" t="n">
        <x:f>IF(OR(Inputs!$F$7=TRUE,Inputs!$F$7="TRUE",Inputs!$F$7=1),(Inputs!$H$7+Inputs!$L$7*(((Inputs!$I$7+(((A220)+1)/2)*(Inputs!$J$7-Inputs!$I$7)))/Inputs!$K$7)^2),NA())</x:f>
        <x:v>278.63348499999995</x:v>
      </x:c>
      <x:c r="D220" s="48" t="n">
        <x:f>IF(OR(Inputs!$F$8=TRUE,Inputs!$F$8="TRUE",Inputs!$F$8=1),(Inputs!$H$8+Inputs!$L$8*(((Inputs!$I$8+(((A220)+1)/2)*(Inputs!$J$8-Inputs!$I$8)))/Inputs!$K$8)^2),NA())</x:f>
        <x:v>679.1268849999998</x:v>
      </x:c>
      <x:c r="E220" s="48" t="n">
        <x:f>IF(OR(Inputs!$F$9=TRUE,Inputs!$F$9="TRUE",Inputs!$F$9=1),(Inputs!$H$9+Inputs!$L$9*(((Inputs!$I$9+(((A220)+1)/2)*(Inputs!$J$9-Inputs!$I$9)))/Inputs!$K$9)^2),NA())</x:f>
        <x:v>675.8017749999998</x:v>
      </x:c>
      <x:c r="F220" s="49"/>
      <x:c r="G220" s="48" t="n">
        <x:f>A220</x:f>
        <x:v>0.817</x:v>
      </x:c>
      <x:c r="H220" s="48"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I220" s="48"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J220" s="48"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K220" s="48"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c r="L220" s="49"/>
      <x:c r="M220" s="48" t="n">
        <x:f>A220</x:f>
        <x:v>0.817</x:v>
      </x:c>
      <x:c r="N220" s="48" t="n">
        <x: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x:f>
        <x:v>-414.8492806008206</x:v>
      </x:c>
      <x:c r="O220" s="48" t="n">
        <x: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x:f>
        <x:v>-3008.828233845172</x:v>
      </x:c>
      <x:c r="P220" s="48" t="n">
        <x: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x:f>
        <x:v>-3897.826754533973</x:v>
      </x:c>
      <x:c r="Q220" s="48" t="n">
        <x: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x:f>
        <x:v>-3921.1874500861995</x:v>
      </x:c>
      <x:c r="R220" s="49"/>
      <x:c r="S220" s="48" t="n">
        <x:f>A220</x:f>
        <x:v>0.817</x:v>
      </x:c>
      <x:c r="T220" s="48" t="n">
        <x:f>(Inputs!$I$6+(((A220)+1)/2)*(Inputs!$J$6-Inputs!$I$6))</x:f>
        <x:v>49.019999999999996</x:v>
      </x:c>
      <x:c r="U220" s="48" t="n">
        <x:f>(Inputs!$I$7+(((A220)+1)/2)*(Inputs!$J$7-Inputs!$I$7))</x:f>
        <x:v>326.79999999999995</x:v>
      </x:c>
      <x:c r="V220" s="48" t="n">
        <x:f>(Inputs!$I$8+(((A220)+1)/2)*(Inputs!$J$8-Inputs!$I$8))</x:f>
        <x:v>653.5999999999999</x:v>
      </x:c>
      <x:c r="W220" s="48" t="n">
        <x:f>(Inputs!$I$9+(((A220)+1)/2)*(Inputs!$J$9-Inputs!$I$9))</x:f>
        <x:v>653.5999999999999</x:v>
      </x:c>
      <x:c r="X220" s="49"/>
      <x:c r="Y220" s="48" t="n">
        <x:f>A220</x:f>
        <x:v>0.817</x:v>
      </x:c>
      <x:c r="Z220" s="48" t="n">
        <x:f>(Inputs!$H$6+Inputs!$L$6*(((Inputs!$I$6+(((A220)+1)/2)*(Inputs!$J$6-Inputs!$I$6)))/Inputs!$K$6)^2)</x:f>
        <x:v>402.669956</x:v>
      </x:c>
      <x:c r="AA220" s="48" t="n">
        <x:f>(Inputs!$H$7+Inputs!$L$7*(((Inputs!$I$7+(((A220)+1)/2)*(Inputs!$J$7-Inputs!$I$7)))/Inputs!$K$7)^2)</x:f>
        <x:v>278.63348499999995</x:v>
      </x:c>
      <x:c r="AB220" s="48" t="n">
        <x:f>(Inputs!$H$8+Inputs!$L$8*(((Inputs!$I$8+(((A220)+1)/2)*(Inputs!$J$8-Inputs!$I$8)))/Inputs!$K$8)^2)</x:f>
        <x:v>679.1268849999998</x:v>
      </x:c>
      <x:c r="AC220" s="48" t="n">
        <x:f>(Inputs!$H$9+Inputs!$L$9*(((Inputs!$I$9+(((A220)+1)/2)*(Inputs!$J$9-Inputs!$I$9)))/Inputs!$K$9)^2)</x:f>
        <x:v>675.8017749999998</x:v>
      </x:c>
      <x:c r="AD220" s="49"/>
      <x:c r="AE220" s="48" t="n">
        <x:f>A220</x:f>
        <x:v>0.817</x:v>
      </x:c>
      <x:c r="AF220" s="48" t="n">
        <x:f>(((SQRT((Inputs!$C$52+((Inputs!$H$6+Inputs!$L$6*(((Inputs!$I$6+(((A220)+1)/2)*(Inputs!$J$6-Inputs!$I$6)))/Inputs!$K$6)^2)))^2+Inputs!$C$52^2-2*(Inputs!$C$52+((Inputs!$H$6+Inputs!$L$6*(((Inputs!$I$6+(((A220)+1)/2)*(Inputs!$J$6-Inputs!$I$6)))/Inputs!$K$6)^2)))*Inputs!$C$52*COS(SQRT(((Inputs!$I$6+(((A220)+1)/2)*(Inputs!$J$6-Inputs!$I$6)))^2+Inputs!$C$6^2)/Inputs!$C$52)))-((Inputs!$H$6+Inputs!$L$6*(((Inputs!$I$6+(((A220)+1)/2)*(Inputs!$J$6-Inputs!$I$6)))/Inputs!$K$6)^2)))*1000/Inputs!$C$12)</x:f>
        <x:v>2641.525233652918</x:v>
      </x:c>
      <x:c r="AG220" s="48" t="n">
        <x:f>(((SQRT((Inputs!$C$52+((Inputs!$H$7+Inputs!$L$7*(((Inputs!$I$7+(((A220)+1)/2)*(Inputs!$J$7-Inputs!$I$7)))/Inputs!$K$7)^2)))^2+Inputs!$C$52^2-2*(Inputs!$C$52+((Inputs!$H$7+Inputs!$L$7*(((Inputs!$I$7+(((A220)+1)/2)*(Inputs!$J$7-Inputs!$I$7)))/Inputs!$K$7)^2)))*Inputs!$C$52*COS(SQRT(((Inputs!$I$7+(((A220)+1)/2)*(Inputs!$J$7-Inputs!$I$7)))^2+Inputs!$C$6^2)/Inputs!$C$52)))-((Inputs!$H$7+Inputs!$L$7*(((Inputs!$I$7+(((A220)+1)/2)*(Inputs!$J$7-Inputs!$I$7)))/Inputs!$K$7)^2)))*1000/Inputs!$C$12)</x:f>
        <x:v>97066.38832398615</x:v>
      </x:c>
      <x:c r="AH220" s="48" t="n">
        <x:f>(((SQRT((Inputs!$C$52+((Inputs!$H$8+Inputs!$L$8*(((Inputs!$I$8+(((A220)+1)/2)*(Inputs!$J$8-Inputs!$I$8)))/Inputs!$K$8)^2)))^2+Inputs!$C$52^2-2*(Inputs!$C$52+((Inputs!$H$8+Inputs!$L$8*(((Inputs!$I$8+(((A220)+1)/2)*(Inputs!$J$8-Inputs!$I$8)))/Inputs!$K$8)^2)))*Inputs!$C$52*COS(SQRT(((Inputs!$I$8+(((A220)+1)/2)*(Inputs!$J$8-Inputs!$I$8)))^2+Inputs!$C$6^2)/Inputs!$C$52)))-((Inputs!$H$8+Inputs!$L$8*(((Inputs!$I$8+(((A220)+1)/2)*(Inputs!$J$8-Inputs!$I$8)))/Inputs!$K$8)^2)))*1000/Inputs!$C$12)</x:f>
        <x:v>198576.47956055554</x:v>
      </x:c>
      <x:c r="AI220" s="48" t="n">
        <x:f>(((SQRT((Inputs!$C$52+((Inputs!$H$9+Inputs!$L$9*(((Inputs!$I$9+(((A220)+1)/2)*(Inputs!$J$9-Inputs!$I$9)))/Inputs!$K$9)^2)))^2+Inputs!$C$52^2-2*(Inputs!$C$52+((Inputs!$H$9+Inputs!$L$9*(((Inputs!$I$9+(((A220)+1)/2)*(Inputs!$J$9-Inputs!$I$9)))/Inputs!$K$9)^2)))*Inputs!$C$52*COS(SQRT(((Inputs!$I$9+(((A220)+1)/2)*(Inputs!$J$9-Inputs!$I$9)))^2+Inputs!$C$6^2)/Inputs!$C$52)))-((Inputs!$H$9+Inputs!$L$9*(((Inputs!$I$9+(((A220)+1)/2)*(Inputs!$J$9-Inputs!$I$9)))/Inputs!$K$9)^2)))*1000/Inputs!$C$12)</x:f>
        <x:v>198972.7392183715</x:v>
      </x:c>
      <x:c r="AJ220" s="49"/>
      <x:c r="AK220" s="48" t="n">
        <x:f>A220</x:f>
        <x:v>0.817</x:v>
      </x:c>
      <x:c r="AL220" s="48" t="n">
        <x: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x:f>
        <x:v>-414.8492806008206</x:v>
      </x:c>
      <x:c r="AM220" s="48" t="n">
        <x: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x:f>
        <x:v>-3008.828233845172</x:v>
      </x:c>
      <x:c r="AN220" s="48" t="n">
        <x: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x:f>
        <x:v>-3897.826754533973</x:v>
      </x:c>
      <x:c r="AO220" s="48" t="n">
        <x: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x:f>
        <x:v>-3921.1874500861995</x:v>
      </x:c>
      <x:c r="AP220" s="49"/>
      <x:c r="AQ220" s="48" t="n">
        <x:f>A220</x:f>
        <x:v>0.817</x:v>
      </x:c>
      <x:c r="AR220" s="48" t="n">
        <x:f>0</x:f>
        <x:v>0</x:v>
      </x:c>
      <x:c r="AS220" s="48" t="n">
        <x: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(0.45*SIN(2*PI()*((((Inputs!$I$6+(((A220)+1)/2)*(Inputs!$J$6-Inputs!$I$6)))/Inputs!$C$49)+Inputs!$C$47*0.137))+0.35*COS(2*PI()*(((Inputs!$C$6)/Inputs!$C$50)+Inputs!$C$47*0.173))+0.20*SIN(2*PI()*((((Inputs!$I$6+(((A220)+1)/2)*(Inputs!$J$6-Inputs!$I$6)))+(Inputs!$C$6))/(0.5*(Inputs!$C$49+Inputs!$C$50))+Inputs!$C$47*0.097)))+0.30*(2*((SIN((((Inputs!$I$6+(((A220)+1)/2)*(Inputs!$J$6-Inputs!$I$6)))*12.9898+(Inputs!$C$6)*78.233+Inputs!$C$47*37.719))*43758.5453)-INT((SIN((((Inputs!$I$6+(((A220)+1)/2)*(Inputs!$J$6-Inputs!$I$6)))*12.9898+(Inputs!$C$6)*78.233+Inputs!$C$47*37.719))*43758.5453)))-1))),NA())</x:f>
        <x:v>105.08309482637527</x:v>
      </x:c>
      <x:c r="AT220" s="48" t="n">
        <x: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(0.45*SIN(2*PI()*((((Inputs!$I$7+(((A220)+1)/2)*(Inputs!$J$7-Inputs!$I$7)))/Inputs!$C$49)+Inputs!$C$47*0.137))+0.35*COS(2*PI()*(((Inputs!$C$6)/Inputs!$C$50)+Inputs!$C$47*0.173))+0.20*SIN(2*PI()*((((Inputs!$I$7+(((A220)+1)/2)*(Inputs!$J$7-Inputs!$I$7)))+(Inputs!$C$6))/(0.5*(Inputs!$C$49+Inputs!$C$50))+Inputs!$C$47*0.097)))+0.30*(2*((SIN((((Inputs!$I$7+(((A220)+1)/2)*(Inputs!$J$7-Inputs!$I$7)))*12.9898+(Inputs!$C$6)*78.233+Inputs!$C$47*37.719))*43758.5453)-INT((SIN((((Inputs!$I$7+(((A220)+1)/2)*(Inputs!$J$7-Inputs!$I$7)))*12.9898+(Inputs!$C$6)*78.233+Inputs!$C$47*37.719))*43758.5453)))-1))),NA())</x:f>
        <x:v>201.85061985078673</x:v>
      </x:c>
      <x:c r="AU220" s="48" t="n">
        <x: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(0.45*SIN(2*PI()*((((Inputs!$I$8+(((A220)+1)/2)*(Inputs!$J$8-Inputs!$I$8)))/Inputs!$C$49)+Inputs!$C$47*0.137))+0.35*COS(2*PI()*(((Inputs!$C$6)/Inputs!$C$50)+Inputs!$C$47*0.173))+0.20*SIN(2*PI()*((((Inputs!$I$8+(((A220)+1)/2)*(Inputs!$J$8-Inputs!$I$8)))+(Inputs!$C$6))/(0.5*(Inputs!$C$49+Inputs!$C$50))+Inputs!$C$47*0.097)))+0.30*(2*((SIN((((Inputs!$I$8+(((A220)+1)/2)*(Inputs!$J$8-Inputs!$I$8)))*12.9898+(Inputs!$C$6)*78.233+Inputs!$C$47*37.719))*43758.5453)-INT((SIN((((Inputs!$I$8+(((A220)+1)/2)*(Inputs!$J$8-Inputs!$I$8)))*12.9898+(Inputs!$C$6)*78.233+Inputs!$C$47*37.719))*43758.5453)))-1))),NA())</x:f>
        <x:v>222.5600991943694</x:v>
      </x:c>
      <x:c r="AV220" s="48" t="n">
        <x: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(0.45*SIN(2*PI()*((((Inputs!$I$9+(((A220)+1)/2)*(Inputs!$J$9-Inputs!$I$9)))/Inputs!$C$49)+Inputs!$C$47*0.137))+0.35*COS(2*PI()*(((Inputs!$C$6)/Inputs!$C$50)+Inputs!$C$47*0.173))+0.20*SIN(2*PI()*((((Inputs!$I$9+(((A220)+1)/2)*(Inputs!$J$9-Inputs!$I$9)))+(Inputs!$C$6))/(0.5*(Inputs!$C$49+Inputs!$C$50))+Inputs!$C$47*0.097)))+0.30*(2*((SIN((((Inputs!$I$9+(((A220)+1)/2)*(Inputs!$J$9-Inputs!$I$9)))*12.9898+(Inputs!$C$6)*78.233+Inputs!$C$47*37.719))*43758.5453)-INT((SIN((((Inputs!$I$9+(((A220)+1)/2)*(Inputs!$J$9-Inputs!$I$9)))*12.9898+(Inputs!$C$6)*78.233+Inputs!$C$47*37.719))*43758.5453)))-1))),NA())</x:f>
        <x:v>222.5600991943694</x:v>
      </x:c>
      <x:c r="AW220" s="49"/>
      <x:c r="AX220" s="48" t="n">
        <x:f>A220</x:f>
        <x:v>0.817</x:v>
      </x:c>
      <x:c r="AY220" s="48" t="n">
        <x:f>0</x:f>
        <x:v>0</x:v>
      </x:c>
      <x:c r="AZ220" s="48" t="n">
        <x:f>IF(OR(Inputs!$F$6=TRUE,Inputs!$F$6="TRUE",Inputs!$F$6=1),(Inputs!$H$6+Inputs!$L$6*(((Inputs!$I$6+(((A220)+1)/2)*(Inputs!$J$6-Inputs!$I$6)))/Inputs!$K$6)^2),NA())</x:f>
        <x:v>402.669956</x:v>
      </x:c>
      <x:c r="BA220" s="48" t="n">
        <x:f>IF(OR(Inputs!$F$7=TRUE,Inputs!$F$7="TRUE",Inputs!$F$7=1),(Inputs!$H$7+Inputs!$L$7*(((Inputs!$I$7+(((A220)+1)/2)*(Inputs!$J$7-Inputs!$I$7)))/Inputs!$K$7)^2),NA())</x:f>
        <x:v>278.63348499999995</x:v>
      </x:c>
      <x:c r="BB220" s="48" t="n">
        <x:f>IF(OR(Inputs!$F$8=TRUE,Inputs!$F$8="TRUE",Inputs!$F$8=1),(Inputs!$H$8+Inputs!$L$8*(((Inputs!$I$8+(((A220)+1)/2)*(Inputs!$J$8-Inputs!$I$8)))/Inputs!$K$8)^2),NA())</x:f>
        <x:v>679.1268849999998</x:v>
      </x:c>
      <x:c r="BC220" s="48" t="n">
        <x:f>IF(OR(Inputs!$F$9=TRUE,Inputs!$F$9="TRUE",Inputs!$F$9=1),(Inputs!$H$9+Inputs!$L$9*(((Inputs!$I$9+(((A220)+1)/2)*(Inputs!$J$9-Inputs!$I$9)))/Inputs!$K$9)^2),NA())</x:f>
        <x:v>675.8017749999998</x:v>
      </x:c>
      <x:c r="BD220" s="49"/>
      <x:c r="BE220" s="48" t="n">
        <x:f>A220</x:f>
        <x:v>0.817</x:v>
      </x:c>
      <x:c r="BF220" s="48" t="n">
        <x:f>0</x:f>
        <x:v>0</x:v>
      </x:c>
      <x:c r="BG220" s="48"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BH220" s="48"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BI220" s="48"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BJ220" s="48"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row>
    <x:row r="221">
      <x:c r="A221" s="48" t="n">
        <x:f>ROUND(-1+219*2/240,3)</x:f>
        <x:v>0.825</x:v>
      </x:c>
      <x:c r="B221" s="48" t="n">
        <x:f>IF(OR(Inputs!$F$6=TRUE,Inputs!$F$6="TRUE",Inputs!$F$6=1),(Inputs!$H$6+Inputs!$L$6*(((Inputs!$I$6+(((A221)+1)/2)*(Inputs!$J$6-Inputs!$I$6)))/Inputs!$K$6)^2),NA())</x:f>
        <x:v>402.7225</x:v>
      </x:c>
      <x:c r="C221" s="48" t="n">
        <x:f>IF(OR(Inputs!$F$7=TRUE,Inputs!$F$7="TRUE",Inputs!$F$7=1),(Inputs!$H$7+Inputs!$L$7*(((Inputs!$I$7+(((A221)+1)/2)*(Inputs!$J$7-Inputs!$I$7)))/Inputs!$K$7)^2),NA())</x:f>
        <x:v>283.42812499999997</x:v>
      </x:c>
      <x:c r="D221" s="48" t="n">
        <x:f>IF(OR(Inputs!$F$8=TRUE,Inputs!$F$8="TRUE",Inputs!$F$8=1),(Inputs!$H$8+Inputs!$L$8*(((Inputs!$I$8+(((A221)+1)/2)*(Inputs!$J$8-Inputs!$I$8)))/Inputs!$K$8)^2),NA())</x:f>
        <x:v>691.8031249999999</x:v>
      </x:c>
      <x:c r="E221" s="48" t="n">
        <x:f>IF(OR(Inputs!$F$9=TRUE,Inputs!$F$9="TRUE",Inputs!$F$9=1),(Inputs!$H$9+Inputs!$L$9*(((Inputs!$I$9+(((A221)+1)/2)*(Inputs!$J$9-Inputs!$I$9)))/Inputs!$K$9)^2),NA())</x:f>
        <x:v>688.6093749999999</x:v>
      </x:c>
      <x:c r="F221" s="49"/>
      <x:c r="G221" s="48" t="n">
        <x:f>A221</x:f>
        <x:v>0.825</x:v>
      </x:c>
      <x:c r="H221" s="48"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I221" s="48"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J221" s="48"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K221" s="48"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c r="L221" s="49"/>
      <x:c r="M221" s="48" t="n">
        <x:f>A221</x:f>
        <x:v>0.825</x:v>
      </x:c>
      <x:c r="N221" s="48" t="n">
        <x: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x:f>
        <x:v>-418.8178856311436</x:v>
      </x:c>
      <x:c r="O221" s="48" t="n">
        <x: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x:f>
        <x:v>-3030.2732079652687</x:v>
      </x:c>
      <x:c r="P221" s="48" t="n">
        <x: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x:f>
        <x:v>-3930.778173721541</x:v>
      </x:c>
      <x:c r="Q221" s="48" t="n">
        <x: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x:f>
        <x:v>-3954.614786624699</x:v>
      </x:c>
      <x:c r="R221" s="49"/>
      <x:c r="S221" s="48" t="n">
        <x:f>A221</x:f>
        <x:v>0.825</x:v>
      </x:c>
      <x:c r="T221" s="48" t="n">
        <x:f>(Inputs!$I$6+(((A221)+1)/2)*(Inputs!$J$6-Inputs!$I$6))</x:f>
        <x:v>49.5</x:v>
      </x:c>
      <x:c r="U221" s="48" t="n">
        <x:f>(Inputs!$I$7+(((A221)+1)/2)*(Inputs!$J$7-Inputs!$I$7))</x:f>
        <x:v>330</x:v>
      </x:c>
      <x:c r="V221" s="48" t="n">
        <x:f>(Inputs!$I$8+(((A221)+1)/2)*(Inputs!$J$8-Inputs!$I$8))</x:f>
        <x:v>660</x:v>
      </x:c>
      <x:c r="W221" s="48" t="n">
        <x:f>(Inputs!$I$9+(((A221)+1)/2)*(Inputs!$J$9-Inputs!$I$9))</x:f>
        <x:v>660</x:v>
      </x:c>
      <x:c r="X221" s="49"/>
      <x:c r="Y221" s="48" t="n">
        <x:f>A221</x:f>
        <x:v>0.825</x:v>
      </x:c>
      <x:c r="Z221" s="48" t="n">
        <x:f>(Inputs!$H$6+Inputs!$L$6*(((Inputs!$I$6+(((A221)+1)/2)*(Inputs!$J$6-Inputs!$I$6)))/Inputs!$K$6)^2)</x:f>
        <x:v>402.7225</x:v>
      </x:c>
      <x:c r="AA221" s="48" t="n">
        <x:f>(Inputs!$H$7+Inputs!$L$7*(((Inputs!$I$7+(((A221)+1)/2)*(Inputs!$J$7-Inputs!$I$7)))/Inputs!$K$7)^2)</x:f>
        <x:v>283.42812499999997</x:v>
      </x:c>
      <x:c r="AB221" s="48" t="n">
        <x:f>(Inputs!$H$8+Inputs!$L$8*(((Inputs!$I$8+(((A221)+1)/2)*(Inputs!$J$8-Inputs!$I$8)))/Inputs!$K$8)^2)</x:f>
        <x:v>691.8031249999999</x:v>
      </x:c>
      <x:c r="AC221" s="48" t="n">
        <x:f>(Inputs!$H$9+Inputs!$L$9*(((Inputs!$I$9+(((A221)+1)/2)*(Inputs!$J$9-Inputs!$I$9)))/Inputs!$K$9)^2)</x:f>
        <x:v>688.6093749999999</x:v>
      </x:c>
      <x:c r="AD221" s="49"/>
      <x:c r="AE221" s="48" t="n">
        <x:f>A221</x:f>
        <x:v>0.825</x:v>
      </x:c>
      <x:c r="AF221" s="48" t="n">
        <x:f>(((SQRT((Inputs!$C$52+((Inputs!$H$6+Inputs!$L$6*(((Inputs!$I$6+(((A221)+1)/2)*(Inputs!$J$6-Inputs!$I$6)))/Inputs!$K$6)^2)))^2+Inputs!$C$52^2-2*(Inputs!$C$52+((Inputs!$H$6+Inputs!$L$6*(((Inputs!$I$6+(((A221)+1)/2)*(Inputs!$J$6-Inputs!$I$6)))/Inputs!$K$6)^2)))*Inputs!$C$52*COS(SQRT(((Inputs!$I$6+(((A221)+1)/2)*(Inputs!$J$6-Inputs!$I$6)))^2+Inputs!$C$6^2)/Inputs!$C$52)))-((Inputs!$H$6+Inputs!$L$6*(((Inputs!$I$6+(((A221)+1)/2)*(Inputs!$J$6-Inputs!$I$6)))/Inputs!$K$6)^2)))*1000/Inputs!$C$12)</x:f>
        <x:v>2682.2590206416526</x:v>
      </x:c>
      <x:c r="AG221" s="48" t="n">
        <x:f>(((SQRT((Inputs!$C$52+((Inputs!$H$7+Inputs!$L$7*(((Inputs!$I$7+(((A221)+1)/2)*(Inputs!$J$7-Inputs!$I$7)))/Inputs!$K$7)^2)))^2+Inputs!$C$52^2-2*(Inputs!$C$52+((Inputs!$H$7+Inputs!$L$7*(((Inputs!$I$7+(((A221)+1)/2)*(Inputs!$J$7-Inputs!$I$7)))/Inputs!$K$7)^2)))*Inputs!$C$52*COS(SQRT(((Inputs!$I$7+(((A221)+1)/2)*(Inputs!$J$7-Inputs!$I$7)))^2+Inputs!$C$6^2)/Inputs!$C$52)))-((Inputs!$H$7+Inputs!$L$7*(((Inputs!$I$7+(((A221)+1)/2)*(Inputs!$J$7-Inputs!$I$7)))/Inputs!$K$7)^2)))*1000/Inputs!$C$12)</x:f>
        <x:v>97765.51616168725</x:v>
      </x:c>
      <x:c r="AH221" s="48" t="n">
        <x:f>(((SQRT((Inputs!$C$52+((Inputs!$H$8+Inputs!$L$8*(((Inputs!$I$8+(((A221)+1)/2)*(Inputs!$J$8-Inputs!$I$8)))/Inputs!$K$8)^2)))^2+Inputs!$C$52^2-2*(Inputs!$C$52+((Inputs!$H$8+Inputs!$L$8*(((Inputs!$I$8+(((A221)+1)/2)*(Inputs!$J$8-Inputs!$I$8)))/Inputs!$K$8)^2)))*Inputs!$C$52*COS(SQRT(((Inputs!$I$8+(((A221)+1)/2)*(Inputs!$J$8-Inputs!$I$8)))^2+Inputs!$C$6^2)/Inputs!$C$52)))-((Inputs!$H$8+Inputs!$L$8*(((Inputs!$I$8+(((A221)+1)/2)*(Inputs!$J$8-Inputs!$I$8)))/Inputs!$K$8)^2)))*1000/Inputs!$C$12)</x:f>
        <x:v>200251.16880929066</x:v>
      </x:c>
      <x:c r="AI221" s="48" t="n">
        <x:f>(((SQRT((Inputs!$C$52+((Inputs!$H$9+Inputs!$L$9*(((Inputs!$I$9+(((A221)+1)/2)*(Inputs!$J$9-Inputs!$I$9)))/Inputs!$K$9)^2)))^2+Inputs!$C$52^2-2*(Inputs!$C$52+((Inputs!$H$9+Inputs!$L$9*(((Inputs!$I$9+(((A221)+1)/2)*(Inputs!$J$9-Inputs!$I$9)))/Inputs!$K$9)^2)))*Inputs!$C$52*COS(SQRT(((Inputs!$I$9+(((A221)+1)/2)*(Inputs!$J$9-Inputs!$I$9)))^2+Inputs!$C$6^2)/Inputs!$C$52)))-((Inputs!$H$9+Inputs!$L$9*(((Inputs!$I$9+(((A221)+1)/2)*(Inputs!$J$9-Inputs!$I$9)))/Inputs!$K$9)^2)))*1000/Inputs!$C$12)</x:f>
        <x:v>200626.6618081727</x:v>
      </x:c>
      <x:c r="AJ221" s="49"/>
      <x:c r="AK221" s="48" t="n">
        <x:f>A221</x:f>
        <x:v>0.825</x:v>
      </x:c>
      <x:c r="AL221" s="48" t="n">
        <x: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x:f>
        <x:v>-418.8178856311436</x:v>
      </x:c>
      <x:c r="AM221" s="48" t="n">
        <x: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x:f>
        <x:v>-3030.2732079652687</x:v>
      </x:c>
      <x:c r="AN221" s="48" t="n">
        <x: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x:f>
        <x:v>-3930.778173721541</x:v>
      </x:c>
      <x:c r="AO221" s="48" t="n">
        <x: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x:f>
        <x:v>-3954.614786624699</x:v>
      </x:c>
      <x:c r="AP221" s="49"/>
      <x:c r="AQ221" s="48" t="n">
        <x:f>A221</x:f>
        <x:v>0.825</x:v>
      </x:c>
      <x:c r="AR221" s="48" t="n">
        <x:f>0</x:f>
        <x:v>0</x:v>
      </x:c>
      <x:c r="AS221" s="48" t="n">
        <x: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(0.45*SIN(2*PI()*((((Inputs!$I$6+(((A221)+1)/2)*(Inputs!$J$6-Inputs!$I$6)))/Inputs!$C$49)+Inputs!$C$47*0.137))+0.35*COS(2*PI()*(((Inputs!$C$6)/Inputs!$C$50)+Inputs!$C$47*0.173))+0.20*SIN(2*PI()*((((Inputs!$I$6+(((A221)+1)/2)*(Inputs!$J$6-Inputs!$I$6)))+(Inputs!$C$6))/(0.5*(Inputs!$C$49+Inputs!$C$50))+Inputs!$C$47*0.097)))+0.30*(2*((SIN((((Inputs!$I$6+(((A221)+1)/2)*(Inputs!$J$6-Inputs!$I$6)))*12.9898+(Inputs!$C$6)*78.233+Inputs!$C$47*37.719))*43758.5453)-INT((SIN((((Inputs!$I$6+(((A221)+1)/2)*(Inputs!$J$6-Inputs!$I$6)))*12.9898+(Inputs!$C$6)*78.233+Inputs!$C$47*37.719))*43758.5453)))-1))),NA())</x:f>
        <x:v>115.81874031490976</x:v>
      </x:c>
      <x:c r="AT221" s="48" t="n">
        <x: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(0.45*SIN(2*PI()*((((Inputs!$I$7+(((A221)+1)/2)*(Inputs!$J$7-Inputs!$I$7)))/Inputs!$C$49)+Inputs!$C$47*0.137))+0.35*COS(2*PI()*(((Inputs!$C$6)/Inputs!$C$50)+Inputs!$C$47*0.173))+0.20*SIN(2*PI()*((((Inputs!$I$7+(((A221)+1)/2)*(Inputs!$J$7-Inputs!$I$7)))+(Inputs!$C$6))/(0.5*(Inputs!$C$49+Inputs!$C$50))+Inputs!$C$47*0.097)))+0.30*(2*((SIN((((Inputs!$I$7+(((A221)+1)/2)*(Inputs!$J$7-Inputs!$I$7)))*12.9898+(Inputs!$C$6)*78.233+Inputs!$C$47*37.719))*43758.5453)-INT((SIN((((Inputs!$I$7+(((A221)+1)/2)*(Inputs!$J$7-Inputs!$I$7)))*12.9898+(Inputs!$C$6)*78.233+Inputs!$C$47*37.719))*43758.5453)))-1))),NA())</x:f>
        <x:v>171.3544459769522</x:v>
      </x:c>
      <x:c r="AU221" s="48" t="n">
        <x: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(0.45*SIN(2*PI()*((((Inputs!$I$8+(((A221)+1)/2)*(Inputs!$J$8-Inputs!$I$8)))/Inputs!$C$49)+Inputs!$C$47*0.137))+0.35*COS(2*PI()*(((Inputs!$C$6)/Inputs!$C$50)+Inputs!$C$47*0.173))+0.20*SIN(2*PI()*((((Inputs!$I$8+(((A221)+1)/2)*(Inputs!$J$8-Inputs!$I$8)))+(Inputs!$C$6))/(0.5*(Inputs!$C$49+Inputs!$C$50))+Inputs!$C$47*0.097)))+0.30*(2*((SIN((((Inputs!$I$8+(((A221)+1)/2)*(Inputs!$J$8-Inputs!$I$8)))*12.9898+(Inputs!$C$6)*78.233+Inputs!$C$47*37.719))*43758.5453)-INT((SIN((((Inputs!$I$8+(((A221)+1)/2)*(Inputs!$J$8-Inputs!$I$8)))*12.9898+(Inputs!$C$6)*78.233+Inputs!$C$47*37.719))*43758.5453)))-1))),NA())</x:f>
        <x:v>90.3845383854487</x:v>
      </x:c>
      <x:c r="AV221" s="48" t="n">
        <x: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(0.45*SIN(2*PI()*((((Inputs!$I$9+(((A221)+1)/2)*(Inputs!$J$9-Inputs!$I$9)))/Inputs!$C$49)+Inputs!$C$47*0.137))+0.35*COS(2*PI()*(((Inputs!$C$6)/Inputs!$C$50)+Inputs!$C$47*0.173))+0.20*SIN(2*PI()*((((Inputs!$I$9+(((A221)+1)/2)*(Inputs!$J$9-Inputs!$I$9)))+(Inputs!$C$6))/(0.5*(Inputs!$C$49+Inputs!$C$50))+Inputs!$C$47*0.097)))+0.30*(2*((SIN((((Inputs!$I$9+(((A221)+1)/2)*(Inputs!$J$9-Inputs!$I$9)))*12.9898+(Inputs!$C$6)*78.233+Inputs!$C$47*37.719))*43758.5453)-INT((SIN((((Inputs!$I$9+(((A221)+1)/2)*(Inputs!$J$9-Inputs!$I$9)))*12.9898+(Inputs!$C$6)*78.233+Inputs!$C$47*37.719))*43758.5453)))-1))),NA())</x:f>
        <x:v>90.3845383854487</x:v>
      </x:c>
      <x:c r="AW221" s="49"/>
      <x:c r="AX221" s="48" t="n">
        <x:f>A221</x:f>
        <x:v>0.825</x:v>
      </x:c>
      <x:c r="AY221" s="48" t="n">
        <x:f>0</x:f>
        <x:v>0</x:v>
      </x:c>
      <x:c r="AZ221" s="48" t="n">
        <x:f>IF(OR(Inputs!$F$6=TRUE,Inputs!$F$6="TRUE",Inputs!$F$6=1),(Inputs!$H$6+Inputs!$L$6*(((Inputs!$I$6+(((A221)+1)/2)*(Inputs!$J$6-Inputs!$I$6)))/Inputs!$K$6)^2),NA())</x:f>
        <x:v>402.7225</x:v>
      </x:c>
      <x:c r="BA221" s="48" t="n">
        <x:f>IF(OR(Inputs!$F$7=TRUE,Inputs!$F$7="TRUE",Inputs!$F$7=1),(Inputs!$H$7+Inputs!$L$7*(((Inputs!$I$7+(((A221)+1)/2)*(Inputs!$J$7-Inputs!$I$7)))/Inputs!$K$7)^2),NA())</x:f>
        <x:v>283.42812499999997</x:v>
      </x:c>
      <x:c r="BB221" s="48" t="n">
        <x:f>IF(OR(Inputs!$F$8=TRUE,Inputs!$F$8="TRUE",Inputs!$F$8=1),(Inputs!$H$8+Inputs!$L$8*(((Inputs!$I$8+(((A221)+1)/2)*(Inputs!$J$8-Inputs!$I$8)))/Inputs!$K$8)^2),NA())</x:f>
        <x:v>691.8031249999999</x:v>
      </x:c>
      <x:c r="BC221" s="48" t="n">
        <x:f>IF(OR(Inputs!$F$9=TRUE,Inputs!$F$9="TRUE",Inputs!$F$9=1),(Inputs!$H$9+Inputs!$L$9*(((Inputs!$I$9+(((A221)+1)/2)*(Inputs!$J$9-Inputs!$I$9)))/Inputs!$K$9)^2),NA())</x:f>
        <x:v>688.6093749999999</x:v>
      </x:c>
      <x:c r="BD221" s="49"/>
      <x:c r="BE221" s="48" t="n">
        <x:f>A221</x:f>
        <x:v>0.825</x:v>
      </x:c>
      <x:c r="BF221" s="48" t="n">
        <x:f>0</x:f>
        <x:v>0</x:v>
      </x:c>
      <x:c r="BG221" s="48"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BH221" s="48"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BI221" s="48"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BJ221" s="48"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row>
    <x:row r="222">
      <x:c r="A222" s="48" t="n">
        <x:f>ROUND(-1+220*2/240,3)</x:f>
        <x:v>0.833</x:v>
      </x:c>
      <x:c r="B222" s="48" t="n">
        <x:f>IF(OR(Inputs!$F$6=TRUE,Inputs!$F$6="TRUE",Inputs!$F$6=1),(Inputs!$H$6+Inputs!$L$6*(((Inputs!$I$6+(((A222)+1)/2)*(Inputs!$J$6-Inputs!$I$6)))/Inputs!$K$6)^2),NA())</x:f>
        <x:v>402.775556</x:v>
      </x:c>
      <x:c r="C222" s="48" t="n">
        <x:f>IF(OR(Inputs!$F$7=TRUE,Inputs!$F$7="TRUE",Inputs!$F$7=1),(Inputs!$H$7+Inputs!$L$7*(((Inputs!$I$7+(((A222)+1)/2)*(Inputs!$J$7-Inputs!$I$7)))/Inputs!$K$7)^2),NA())</x:f>
        <x:v>288.2694849999999</x:v>
      </x:c>
      <x:c r="D222" s="48" t="n">
        <x:f>IF(OR(Inputs!$F$8=TRUE,Inputs!$F$8="TRUE",Inputs!$F$8=1),(Inputs!$H$8+Inputs!$L$8*(((Inputs!$I$8+(((A222)+1)/2)*(Inputs!$J$8-Inputs!$I$8)))/Inputs!$K$8)^2),NA())</x:f>
        <x:v>704.6028849999998</x:v>
      </x:c>
      <x:c r="E222" s="48" t="n">
        <x:f>IF(OR(Inputs!$F$9=TRUE,Inputs!$F$9="TRUE",Inputs!$F$9=1),(Inputs!$H$9+Inputs!$L$9*(((Inputs!$I$9+(((A222)+1)/2)*(Inputs!$J$9-Inputs!$I$9)))/Inputs!$K$9)^2),NA())</x:f>
        <x:v>701.5417749999998</x:v>
      </x:c>
      <x:c r="F222" s="49"/>
      <x:c r="G222" s="48" t="n">
        <x:f>A222</x:f>
        <x:v>0.833</x:v>
      </x:c>
      <x:c r="H222" s="48"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I222" s="48"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J222" s="48"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K222" s="48"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c r="L222" s="49"/>
      <x:c r="M222" s="48" t="n">
        <x:f>A222</x:f>
        <x:v>0.833</x:v>
      </x:c>
      <x:c r="N222" s="48" t="n">
        <x: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x:f>
        <x:v>-422.78384359742614</x:v>
      </x:c>
      <x:c r="O222" s="48" t="n">
        <x: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x:f>
        <x:v>-3051.8008126588584</x:v>
      </x:c>
      <x:c r="P222" s="48" t="n">
        <x: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x:f>
        <x:v>-3963.7975020877902</x:v>
      </x:c>
      <x:c r="Q222" s="48" t="n">
        <x: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x:f>
        <x:v>-3988.107845153746</x:v>
      </x:c>
      <x:c r="R222" s="49"/>
      <x:c r="S222" s="48" t="n">
        <x:f>A222</x:f>
        <x:v>0.833</x:v>
      </x:c>
      <x:c r="T222" s="48" t="n">
        <x:f>(Inputs!$I$6+(((A222)+1)/2)*(Inputs!$J$6-Inputs!$I$6))</x:f>
        <x:v>49.980000000000004</x:v>
      </x:c>
      <x:c r="U222" s="48" t="n">
        <x:f>(Inputs!$I$7+(((A222)+1)/2)*(Inputs!$J$7-Inputs!$I$7))</x:f>
        <x:v>333.19999999999993</x:v>
      </x:c>
      <x:c r="V222" s="48" t="n">
        <x:f>(Inputs!$I$8+(((A222)+1)/2)*(Inputs!$J$8-Inputs!$I$8))</x:f>
        <x:v>666.3999999999999</x:v>
      </x:c>
      <x:c r="W222" s="48" t="n">
        <x:f>(Inputs!$I$9+(((A222)+1)/2)*(Inputs!$J$9-Inputs!$I$9))</x:f>
        <x:v>666.3999999999999</x:v>
      </x:c>
      <x:c r="X222" s="49"/>
      <x:c r="Y222" s="48" t="n">
        <x:f>A222</x:f>
        <x:v>0.833</x:v>
      </x:c>
      <x:c r="Z222" s="48" t="n">
        <x:f>(Inputs!$H$6+Inputs!$L$6*(((Inputs!$I$6+(((A222)+1)/2)*(Inputs!$J$6-Inputs!$I$6)))/Inputs!$K$6)^2)</x:f>
        <x:v>402.775556</x:v>
      </x:c>
      <x:c r="AA222" s="48" t="n">
        <x:f>(Inputs!$H$7+Inputs!$L$7*(((Inputs!$I$7+(((A222)+1)/2)*(Inputs!$J$7-Inputs!$I$7)))/Inputs!$K$7)^2)</x:f>
        <x:v>288.2694849999999</x:v>
      </x:c>
      <x:c r="AB222" s="48" t="n">
        <x:f>(Inputs!$H$8+Inputs!$L$8*(((Inputs!$I$8+(((A222)+1)/2)*(Inputs!$J$8-Inputs!$I$8)))/Inputs!$K$8)^2)</x:f>
        <x:v>704.6028849999998</x:v>
      </x:c>
      <x:c r="AC222" s="48" t="n">
        <x:f>(Inputs!$H$9+Inputs!$L$9*(((Inputs!$I$9+(((A222)+1)/2)*(Inputs!$J$9-Inputs!$I$9)))/Inputs!$K$9)^2)</x:f>
        <x:v>701.5417749999998</x:v>
      </x:c>
      <x:c r="AD222" s="49"/>
      <x:c r="AE222" s="48" t="n">
        <x:f>A222</x:f>
        <x:v>0.833</x:v>
      </x:c>
      <x:c r="AF222" s="48" t="n">
        <x:f>(((SQRT((Inputs!$C$52+((Inputs!$H$6+Inputs!$L$6*(((Inputs!$I$6+(((A222)+1)/2)*(Inputs!$J$6-Inputs!$I$6)))/Inputs!$K$6)^2)))^2+Inputs!$C$52^2-2*(Inputs!$C$52+((Inputs!$H$6+Inputs!$L$6*(((Inputs!$I$6+(((A222)+1)/2)*(Inputs!$J$6-Inputs!$I$6)))/Inputs!$K$6)^2)))*Inputs!$C$52*COS(SQRT(((Inputs!$I$6+(((A222)+1)/2)*(Inputs!$J$6-Inputs!$I$6)))^2+Inputs!$C$6^2)/Inputs!$C$52)))-((Inputs!$H$6+Inputs!$L$6*(((Inputs!$I$6+(((A222)+1)/2)*(Inputs!$J$6-Inputs!$I$6)))/Inputs!$K$6)^2)))*1000/Inputs!$C$12)</x:f>
        <x:v>2723.3738104346016</x:v>
      </x:c>
      <x:c r="AG222" s="48" t="n">
        <x:f>(((SQRT((Inputs!$C$52+((Inputs!$H$7+Inputs!$L$7*(((Inputs!$I$7+(((A222)+1)/2)*(Inputs!$J$7-Inputs!$I$7)))/Inputs!$K$7)^2)))^2+Inputs!$C$52^2-2*(Inputs!$C$52+((Inputs!$H$7+Inputs!$L$7*(((Inputs!$I$7+(((A222)+1)/2)*(Inputs!$J$7-Inputs!$I$7)))/Inputs!$K$7)^2)))*Inputs!$C$52*COS(SQRT(((Inputs!$I$7+(((A222)+1)/2)*(Inputs!$J$7-Inputs!$I$7)))^2+Inputs!$C$6^2)/Inputs!$C$52)))-((Inputs!$H$7+Inputs!$L$7*(((Inputs!$I$7+(((A222)+1)/2)*(Inputs!$J$7-Inputs!$I$7)))/Inputs!$K$7)^2)))*1000/Inputs!$C$12)</x:f>
        <x:v>98462.53884004426</x:v>
      </x:c>
      <x:c r="AH222" s="48" t="n">
        <x:f>(((SQRT((Inputs!$C$52+((Inputs!$H$8+Inputs!$L$8*(((Inputs!$I$8+(((A222)+1)/2)*(Inputs!$J$8-Inputs!$I$8)))/Inputs!$K$8)^2)))^2+Inputs!$C$52^2-2*(Inputs!$C$52+((Inputs!$H$8+Inputs!$L$8*(((Inputs!$I$8+(((A222)+1)/2)*(Inputs!$J$8-Inputs!$I$8)))/Inputs!$K$8)^2)))*Inputs!$C$52*COS(SQRT(((Inputs!$I$8+(((A222)+1)/2)*(Inputs!$J$8-Inputs!$I$8)))^2+Inputs!$C$6^2)/Inputs!$C$52)))-((Inputs!$H$8+Inputs!$L$8*(((Inputs!$I$8+(((A222)+1)/2)*(Inputs!$J$8-Inputs!$I$8)))/Inputs!$K$8)^2)))*1000/Inputs!$C$12)</x:f>
        <x:v>201930.5896351919</x:v>
      </x:c>
      <x:c r="AI222" s="48" t="n">
        <x:f>(((SQRT((Inputs!$C$52+((Inputs!$H$9+Inputs!$L$9*(((Inputs!$I$9+(((A222)+1)/2)*(Inputs!$J$9-Inputs!$I$9)))/Inputs!$K$9)^2)))^2+Inputs!$C$52^2-2*(Inputs!$C$52+((Inputs!$H$9+Inputs!$L$9*(((Inputs!$I$9+(((A222)+1)/2)*(Inputs!$J$9-Inputs!$I$9)))/Inputs!$K$9)^2)))*Inputs!$C$52*COS(SQRT(((Inputs!$I$9+(((A222)+1)/2)*(Inputs!$J$9-Inputs!$I$9)))^2+Inputs!$C$6^2)/Inputs!$C$52)))-((Inputs!$H$9+Inputs!$L$9*(((Inputs!$I$9+(((A222)+1)/2)*(Inputs!$J$9-Inputs!$I$9)))/Inputs!$K$9)^2)))*1000/Inputs!$C$12)</x:f>
        <x:v>202285.663892383</x:v>
      </x:c>
      <x:c r="AJ222" s="49"/>
      <x:c r="AK222" s="48" t="n">
        <x:f>A222</x:f>
        <x:v>0.833</x:v>
      </x:c>
      <x:c r="AL222" s="48" t="n">
        <x: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x:f>
        <x:v>-422.78384359742614</x:v>
      </x:c>
      <x:c r="AM222" s="48" t="n">
        <x: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x:f>
        <x:v>-3051.8008126588584</x:v>
      </x:c>
      <x:c r="AN222" s="48" t="n">
        <x: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x:f>
        <x:v>-3963.7975020877902</x:v>
      </x:c>
      <x:c r="AO222" s="48" t="n">
        <x: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x:f>
        <x:v>-3988.107845153746</x:v>
      </x:c>
      <x:c r="AP222" s="49"/>
      <x:c r="AQ222" s="48" t="n">
        <x:f>A222</x:f>
        <x:v>0.833</x:v>
      </x:c>
      <x:c r="AR222" s="48" t="n">
        <x:f>0</x:f>
        <x:v>0</x:v>
      </x:c>
      <x:c r="AS222" s="48" t="n">
        <x: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(0.45*SIN(2*PI()*((((Inputs!$I$6+(((A222)+1)/2)*(Inputs!$J$6-Inputs!$I$6)))/Inputs!$C$49)+Inputs!$C$47*0.137))+0.35*COS(2*PI()*(((Inputs!$C$6)/Inputs!$C$50)+Inputs!$C$47*0.173))+0.20*SIN(2*PI()*((((Inputs!$I$6+(((A222)+1)/2)*(Inputs!$J$6-Inputs!$I$6)))+(Inputs!$C$6))/(0.5*(Inputs!$C$49+Inputs!$C$50))+Inputs!$C$47*0.097)))+0.30*(2*((SIN((((Inputs!$I$6+(((A222)+1)/2)*(Inputs!$J$6-Inputs!$I$6)))*12.9898+(Inputs!$C$6)*78.233+Inputs!$C$47*37.719))*43758.5453)-INT((SIN((((Inputs!$I$6+(((A222)+1)/2)*(Inputs!$J$6-Inputs!$I$6)))*12.9898+(Inputs!$C$6)*78.233+Inputs!$C$47*37.719))*43758.5453)))-1))),NA())</x:f>
        <x:v>122.74501683382235</x:v>
      </x:c>
      <x:c r="AT222" s="48" t="n">
        <x: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(0.45*SIN(2*PI()*((((Inputs!$I$7+(((A222)+1)/2)*(Inputs!$J$7-Inputs!$I$7)))/Inputs!$C$49)+Inputs!$C$47*0.137))+0.35*COS(2*PI()*(((Inputs!$C$6)/Inputs!$C$50)+Inputs!$C$47*0.173))+0.20*SIN(2*PI()*((((Inputs!$I$7+(((A222)+1)/2)*(Inputs!$J$7-Inputs!$I$7)))+(Inputs!$C$6))/(0.5*(Inputs!$C$49+Inputs!$C$50))+Inputs!$C$47*0.097)))+0.30*(2*((SIN((((Inputs!$I$7+(((A222)+1)/2)*(Inputs!$J$7-Inputs!$I$7)))*12.9898+(Inputs!$C$6)*78.233+Inputs!$C$47*37.719))*43758.5453)-INT((SIN((((Inputs!$I$7+(((A222)+1)/2)*(Inputs!$J$7-Inputs!$I$7)))*12.9898+(Inputs!$C$6)*78.233+Inputs!$C$47*37.719))*43758.5453)))-1))),NA())</x:f>
        <x:v>103.09034505364662</x:v>
      </x:c>
      <x:c r="AU222" s="48" t="n">
        <x: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(0.45*SIN(2*PI()*((((Inputs!$I$8+(((A222)+1)/2)*(Inputs!$J$8-Inputs!$I$8)))/Inputs!$C$49)+Inputs!$C$47*0.137))+0.35*COS(2*PI()*(((Inputs!$C$6)/Inputs!$C$50)+Inputs!$C$47*0.173))+0.20*SIN(2*PI()*((((Inputs!$I$8+(((A222)+1)/2)*(Inputs!$J$8-Inputs!$I$8)))+(Inputs!$C$6))/(0.5*(Inputs!$C$49+Inputs!$C$50))+Inputs!$C$47*0.097)))+0.30*(2*((SIN((((Inputs!$I$8+(((A222)+1)/2)*(Inputs!$J$8-Inputs!$I$8)))*12.9898+(Inputs!$C$6)*78.233+Inputs!$C$47*37.719))*43758.5453)-INT((SIN((((Inputs!$I$8+(((A222)+1)/2)*(Inputs!$J$8-Inputs!$I$8)))*12.9898+(Inputs!$C$6)*78.233+Inputs!$C$47*37.719))*43758.5453)))-1))),NA())</x:f>
        <x:v>156.81951761950825</x:v>
      </x:c>
      <x:c r="AV222" s="48" t="n">
        <x: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(0.45*SIN(2*PI()*((((Inputs!$I$9+(((A222)+1)/2)*(Inputs!$J$9-Inputs!$I$9)))/Inputs!$C$49)+Inputs!$C$47*0.137))+0.35*COS(2*PI()*(((Inputs!$C$6)/Inputs!$C$50)+Inputs!$C$47*0.173))+0.20*SIN(2*PI()*((((Inputs!$I$9+(((A222)+1)/2)*(Inputs!$J$9-Inputs!$I$9)))+(Inputs!$C$6))/(0.5*(Inputs!$C$49+Inputs!$C$50))+Inputs!$C$47*0.097)))+0.30*(2*((SIN((((Inputs!$I$9+(((A222)+1)/2)*(Inputs!$J$9-Inputs!$I$9)))*12.9898+(Inputs!$C$6)*78.233+Inputs!$C$47*37.719))*43758.5453)-INT((SIN((((Inputs!$I$9+(((A222)+1)/2)*(Inputs!$J$9-Inputs!$I$9)))*12.9898+(Inputs!$C$6)*78.233+Inputs!$C$47*37.719))*43758.5453)))-1))),NA())</x:f>
        <x:v>156.81951761950825</x:v>
      </x:c>
      <x:c r="AW222" s="49"/>
      <x:c r="AX222" s="48" t="n">
        <x:f>A222</x:f>
        <x:v>0.833</x:v>
      </x:c>
      <x:c r="AY222" s="48" t="n">
        <x:f>0</x:f>
        <x:v>0</x:v>
      </x:c>
      <x:c r="AZ222" s="48" t="n">
        <x:f>IF(OR(Inputs!$F$6=TRUE,Inputs!$F$6="TRUE",Inputs!$F$6=1),(Inputs!$H$6+Inputs!$L$6*(((Inputs!$I$6+(((A222)+1)/2)*(Inputs!$J$6-Inputs!$I$6)))/Inputs!$K$6)^2),NA())</x:f>
        <x:v>402.775556</x:v>
      </x:c>
      <x:c r="BA222" s="48" t="n">
        <x:f>IF(OR(Inputs!$F$7=TRUE,Inputs!$F$7="TRUE",Inputs!$F$7=1),(Inputs!$H$7+Inputs!$L$7*(((Inputs!$I$7+(((A222)+1)/2)*(Inputs!$J$7-Inputs!$I$7)))/Inputs!$K$7)^2),NA())</x:f>
        <x:v>288.2694849999999</x:v>
      </x:c>
      <x:c r="BB222" s="48" t="n">
        <x:f>IF(OR(Inputs!$F$8=TRUE,Inputs!$F$8="TRUE",Inputs!$F$8=1),(Inputs!$H$8+Inputs!$L$8*(((Inputs!$I$8+(((A222)+1)/2)*(Inputs!$J$8-Inputs!$I$8)))/Inputs!$K$8)^2),NA())</x:f>
        <x:v>704.6028849999998</x:v>
      </x:c>
      <x:c r="BC222" s="48" t="n">
        <x:f>IF(OR(Inputs!$F$9=TRUE,Inputs!$F$9="TRUE",Inputs!$F$9=1),(Inputs!$H$9+Inputs!$L$9*(((Inputs!$I$9+(((A222)+1)/2)*(Inputs!$J$9-Inputs!$I$9)))/Inputs!$K$9)^2),NA())</x:f>
        <x:v>701.5417749999998</x:v>
      </x:c>
      <x:c r="BD222" s="49"/>
      <x:c r="BE222" s="48" t="n">
        <x:f>A222</x:f>
        <x:v>0.833</x:v>
      </x:c>
      <x:c r="BF222" s="48" t="n">
        <x:f>0</x:f>
        <x:v>0</x:v>
      </x:c>
      <x:c r="BG222" s="48"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BH222" s="48"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BI222" s="48"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BJ222" s="48"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row>
    <x:row r="223">
      <x:c r="A223" s="48" t="n">
        <x:f>ROUND(-1+221*2/240,3)</x:f>
        <x:v>0.842</x:v>
      </x:c>
      <x:c r="B223" s="48" t="n">
        <x:f>IF(OR(Inputs!$F$6=TRUE,Inputs!$F$6="TRUE",Inputs!$F$6=1),(Inputs!$H$6+Inputs!$L$6*(((Inputs!$I$6+(((A223)+1)/2)*(Inputs!$J$6-Inputs!$I$6)))/Inputs!$K$6)^2),NA())</x:f>
        <x:v>402.835856</x:v>
      </x:c>
      <x:c r="C223" s="48" t="n">
        <x:f>IF(OR(Inputs!$F$7=TRUE,Inputs!$F$7="TRUE",Inputs!$F$7=1),(Inputs!$H$7+Inputs!$L$7*(((Inputs!$I$7+(((A223)+1)/2)*(Inputs!$J$7-Inputs!$I$7)))/Inputs!$K$7)^2),NA())</x:f>
        <x:v>293.7718600000001</x:v>
      </x:c>
      <x:c r="D223" s="48" t="n">
        <x:f>IF(OR(Inputs!$F$8=TRUE,Inputs!$F$8="TRUE",Inputs!$F$8=1),(Inputs!$H$8+Inputs!$L$8*(((Inputs!$I$8+(((A223)+1)/2)*(Inputs!$J$8-Inputs!$I$8)))/Inputs!$K$8)^2),NA())</x:f>
        <x:v>719.1502600000003</x:v>
      </x:c>
      <x:c r="E223" s="48" t="n">
        <x:f>IF(OR(Inputs!$F$9=TRUE,Inputs!$F$9="TRUE",Inputs!$F$9=1),(Inputs!$H$9+Inputs!$L$9*(((Inputs!$I$9+(((A223)+1)/2)*(Inputs!$J$9-Inputs!$I$9)))/Inputs!$K$9)^2),NA())</x:f>
        <x:v>716.2399000000004</x:v>
      </x:c>
      <x:c r="F223" s="49"/>
      <x:c r="G223" s="48" t="n">
        <x:f>A223</x:f>
        <x:v>0.842</x:v>
      </x:c>
      <x:c r="H223" s="48"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I223" s="48"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J223" s="48"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K223" s="48"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c r="L223" s="49"/>
      <x:c r="M223" s="48" t="n">
        <x:f>A223</x:f>
        <x:v>0.842</x:v>
      </x:c>
      <x:c r="N223" s="48" t="n">
        <x: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x:f>
        <x:v>-427.242355440198</x:v>
      </x:c>
      <x:c r="O223" s="48" t="n">
        <x: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x:f>
        <x:v>-3076.116372441087</x:v>
      </x:c>
      <x:c r="P223" s="48" t="n">
        <x: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x:f>
        <x:v>-4001.02279542197</x:v>
      </x:c>
      <x:c r="Q223" s="48" t="n">
        <x: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x:f>
        <x:v>-4025.8634805125453</x:v>
      </x:c>
      <x:c r="R223" s="49"/>
      <x:c r="S223" s="48" t="n">
        <x:f>A223</x:f>
        <x:v>0.842</x:v>
      </x:c>
      <x:c r="T223" s="48" t="n">
        <x:f>(Inputs!$I$6+(((A223)+1)/2)*(Inputs!$J$6-Inputs!$I$6))</x:f>
        <x:v>50.52000000000001</x:v>
      </x:c>
      <x:c r="U223" s="48" t="n">
        <x:f>(Inputs!$I$7+(((A223)+1)/2)*(Inputs!$J$7-Inputs!$I$7))</x:f>
        <x:v>336.80000000000007</x:v>
      </x:c>
      <x:c r="V223" s="48" t="n">
        <x:f>(Inputs!$I$8+(((A223)+1)/2)*(Inputs!$J$8-Inputs!$I$8))</x:f>
        <x:v>673.6000000000001</x:v>
      </x:c>
      <x:c r="W223" s="48" t="n">
        <x:f>(Inputs!$I$9+(((A223)+1)/2)*(Inputs!$J$9-Inputs!$I$9))</x:f>
        <x:v>673.6000000000001</x:v>
      </x:c>
      <x:c r="X223" s="49"/>
      <x:c r="Y223" s="48" t="n">
        <x:f>A223</x:f>
        <x:v>0.842</x:v>
      </x:c>
      <x:c r="Z223" s="48" t="n">
        <x:f>(Inputs!$H$6+Inputs!$L$6*(((Inputs!$I$6+(((A223)+1)/2)*(Inputs!$J$6-Inputs!$I$6)))/Inputs!$K$6)^2)</x:f>
        <x:v>402.835856</x:v>
      </x:c>
      <x:c r="AA223" s="48" t="n">
        <x:f>(Inputs!$H$7+Inputs!$L$7*(((Inputs!$I$7+(((A223)+1)/2)*(Inputs!$J$7-Inputs!$I$7)))/Inputs!$K$7)^2)</x:f>
        <x:v>293.7718600000001</x:v>
      </x:c>
      <x:c r="AB223" s="48" t="n">
        <x:f>(Inputs!$H$8+Inputs!$L$8*(((Inputs!$I$8+(((A223)+1)/2)*(Inputs!$J$8-Inputs!$I$8)))/Inputs!$K$8)^2)</x:f>
        <x:v>719.1502600000003</x:v>
      </x:c>
      <x:c r="AC223" s="48" t="n">
        <x:f>(Inputs!$H$9+Inputs!$L$9*(((Inputs!$I$9+(((A223)+1)/2)*(Inputs!$J$9-Inputs!$I$9)))/Inputs!$K$9)^2)</x:f>
        <x:v>716.2399000000004</x:v>
      </x:c>
      <x:c r="AD223" s="49"/>
      <x:c r="AE223" s="48" t="n">
        <x:f>A223</x:f>
        <x:v>0.842</x:v>
      </x:c>
      <x:c r="AF223" s="48" t="n">
        <x:f>(((SQRT((Inputs!$C$52+((Inputs!$H$6+Inputs!$L$6*(((Inputs!$I$6+(((A223)+1)/2)*(Inputs!$J$6-Inputs!$I$6)))/Inputs!$K$6)^2)))^2+Inputs!$C$52^2-2*(Inputs!$C$52+((Inputs!$H$6+Inputs!$L$6*(((Inputs!$I$6+(((A223)+1)/2)*(Inputs!$J$6-Inputs!$I$6)))/Inputs!$K$6)^2)))*Inputs!$C$52*COS(SQRT(((Inputs!$I$6+(((A223)+1)/2)*(Inputs!$J$6-Inputs!$I$6)))^2+Inputs!$C$6^2)/Inputs!$C$52)))-((Inputs!$H$6+Inputs!$L$6*(((Inputs!$I$6+(((A223)+1)/2)*(Inputs!$J$6-Inputs!$I$6)))/Inputs!$K$6)^2)))*1000/Inputs!$C$12)</x:f>
        <x:v>2770.0828084719847</x:v>
      </x:c>
      <x:c r="AG223" s="48" t="n">
        <x:f>(((SQRT((Inputs!$C$52+((Inputs!$H$7+Inputs!$L$7*(((Inputs!$I$7+(((A223)+1)/2)*(Inputs!$J$7-Inputs!$I$7)))/Inputs!$K$7)^2)))^2+Inputs!$C$52^2-2*(Inputs!$C$52+((Inputs!$H$7+Inputs!$L$7*(((Inputs!$I$7+(((A223)+1)/2)*(Inputs!$J$7-Inputs!$I$7)))/Inputs!$K$7)^2)))*Inputs!$C$52*COS(SQRT(((Inputs!$I$7+(((A223)+1)/2)*(Inputs!$J$7-Inputs!$I$7)))^2+Inputs!$C$6^2)/Inputs!$C$52)))-((Inputs!$H$7+Inputs!$L$7*(((Inputs!$I$7+(((A223)+1)/2)*(Inputs!$J$7-Inputs!$I$7)))/Inputs!$K$7)^2)))*1000/Inputs!$C$12)</x:f>
        <x:v>99244.28757542008</x:v>
      </x:c>
      <x:c r="AH223" s="48" t="n">
        <x:f>(((SQRT((Inputs!$C$52+((Inputs!$H$8+Inputs!$L$8*(((Inputs!$I$8+(((A223)+1)/2)*(Inputs!$J$8-Inputs!$I$8)))/Inputs!$K$8)^2)))^2+Inputs!$C$52^2-2*(Inputs!$C$52+((Inputs!$H$8+Inputs!$L$8*(((Inputs!$I$8+(((A223)+1)/2)*(Inputs!$J$8-Inputs!$I$8)))/Inputs!$K$8)^2)))*Inputs!$C$52*COS(SQRT(((Inputs!$I$8+(((A223)+1)/2)*(Inputs!$J$8-Inputs!$I$8)))^2+Inputs!$C$6^2)/Inputs!$C$52)))-((Inputs!$H$8+Inputs!$L$8*(((Inputs!$I$8+(((A223)+1)/2)*(Inputs!$J$8-Inputs!$I$8)))/Inputs!$K$8)^2)))*1000/Inputs!$C$12)</x:f>
        <x:v>203825.78064243632</x:v>
      </x:c>
      <x:c r="AI223" s="48" t="n">
        <x:f>(((SQRT((Inputs!$C$52+((Inputs!$H$9+Inputs!$L$9*(((Inputs!$I$9+(((A223)+1)/2)*(Inputs!$J$9-Inputs!$I$9)))/Inputs!$K$9)^2)))^2+Inputs!$C$52^2-2*(Inputs!$C$52+((Inputs!$H$9+Inputs!$L$9*(((Inputs!$I$9+(((A223)+1)/2)*(Inputs!$J$9-Inputs!$I$9)))/Inputs!$K$9)^2)))*Inputs!$C$52*COS(SQRT(((Inputs!$I$9+(((A223)+1)/2)*(Inputs!$J$9-Inputs!$I$9)))^2+Inputs!$C$6^2)/Inputs!$C$52)))-((Inputs!$H$9+Inputs!$L$9*(((Inputs!$I$9+(((A223)+1)/2)*(Inputs!$J$9-Inputs!$I$9)))/Inputs!$K$9)^2)))*1000/Inputs!$C$12)</x:f>
        <x:v>204158.29357669636</x:v>
      </x:c>
      <x:c r="AJ223" s="49"/>
      <x:c r="AK223" s="48" t="n">
        <x:f>A223</x:f>
        <x:v>0.842</x:v>
      </x:c>
      <x:c r="AL223" s="48" t="n">
        <x: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x:f>
        <x:v>-427.242355440198</x:v>
      </x:c>
      <x:c r="AM223" s="48" t="n">
        <x: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x:f>
        <x:v>-3076.116372441087</x:v>
      </x:c>
      <x:c r="AN223" s="48" t="n">
        <x: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x:f>
        <x:v>-4001.02279542197</x:v>
      </x:c>
      <x:c r="AO223" s="48" t="n">
        <x: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x:f>
        <x:v>-4025.8634805125453</x:v>
      </x:c>
      <x:c r="AP223" s="49"/>
      <x:c r="AQ223" s="48" t="n">
        <x:f>A223</x:f>
        <x:v>0.842</x:v>
      </x:c>
      <x:c r="AR223" s="48" t="n">
        <x:f>0</x:f>
        <x:v>0</x:v>
      </x:c>
      <x:c r="AS223" s="48" t="n">
        <x: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(0.45*SIN(2*PI()*((((Inputs!$I$6+(((A223)+1)/2)*(Inputs!$J$6-Inputs!$I$6)))/Inputs!$C$49)+Inputs!$C$47*0.137))+0.35*COS(2*PI()*(((Inputs!$C$6)/Inputs!$C$50)+Inputs!$C$47*0.173))+0.20*SIN(2*PI()*((((Inputs!$I$6+(((A223)+1)/2)*(Inputs!$J$6-Inputs!$I$6)))+(Inputs!$C$6))/(0.5*(Inputs!$C$49+Inputs!$C$50))+Inputs!$C$47*0.097)))+0.30*(2*((SIN((((Inputs!$I$6+(((A223)+1)/2)*(Inputs!$J$6-Inputs!$I$6)))*12.9898+(Inputs!$C$6)*78.233+Inputs!$C$47*37.719))*43758.5453)-INT((SIN((((Inputs!$I$6+(((A223)+1)/2)*(Inputs!$J$6-Inputs!$I$6)))*12.9898+(Inputs!$C$6)*78.233+Inputs!$C$47*37.719))*43758.5453)))-1))),NA())</x:f>
        <x:v>131.80942878641432</x:v>
      </x:c>
      <x:c r="AT223" s="48" t="n">
        <x: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(0.45*SIN(2*PI()*((((Inputs!$I$7+(((A223)+1)/2)*(Inputs!$J$7-Inputs!$I$7)))/Inputs!$C$49)+Inputs!$C$47*0.137))+0.35*COS(2*PI()*(((Inputs!$C$6)/Inputs!$C$50)+Inputs!$C$47*0.173))+0.20*SIN(2*PI()*((((Inputs!$I$7+(((A223)+1)/2)*(Inputs!$J$7-Inputs!$I$7)))+(Inputs!$C$6))/(0.5*(Inputs!$C$49+Inputs!$C$50))+Inputs!$C$47*0.097)))+0.30*(2*((SIN((((Inputs!$I$7+(((A223)+1)/2)*(Inputs!$J$7-Inputs!$I$7)))*12.9898+(Inputs!$C$6)*78.233+Inputs!$C$47*37.719))*43758.5453)-INT((SIN((((Inputs!$I$7+(((A223)+1)/2)*(Inputs!$J$7-Inputs!$I$7)))*12.9898+(Inputs!$C$6)*78.233+Inputs!$C$47*37.719))*43758.5453)))-1))),NA())</x:f>
        <x:v>99.07593867763723</x:v>
      </x:c>
      <x:c r="AU223" s="48" t="n">
        <x: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(0.45*SIN(2*PI()*((((Inputs!$I$8+(((A223)+1)/2)*(Inputs!$J$8-Inputs!$I$8)))/Inputs!$C$49)+Inputs!$C$47*0.137))+0.35*COS(2*PI()*(((Inputs!$C$6)/Inputs!$C$50)+Inputs!$C$47*0.173))+0.20*SIN(2*PI()*((((Inputs!$I$8+(((A223)+1)/2)*(Inputs!$J$8-Inputs!$I$8)))+(Inputs!$C$6))/(0.5*(Inputs!$C$49+Inputs!$C$50))+Inputs!$C$47*0.097)))+0.30*(2*((SIN((((Inputs!$I$8+(((A223)+1)/2)*(Inputs!$J$8-Inputs!$I$8)))*12.9898+(Inputs!$C$6)*78.233+Inputs!$C$47*37.719))*43758.5453)-INT((SIN((((Inputs!$I$8+(((A223)+1)/2)*(Inputs!$J$8-Inputs!$I$8)))*12.9898+(Inputs!$C$6)*78.233+Inputs!$C$47*37.719))*43758.5453)))-1))),NA())</x:f>
        <x:v>163.751856106696</x:v>
      </x:c>
      <x:c r="AV223" s="48" t="n">
        <x: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(0.45*SIN(2*PI()*((((Inputs!$I$9+(((A223)+1)/2)*(Inputs!$J$9-Inputs!$I$9)))/Inputs!$C$49)+Inputs!$C$47*0.137))+0.35*COS(2*PI()*(((Inputs!$C$6)/Inputs!$C$50)+Inputs!$C$47*0.173))+0.20*SIN(2*PI()*((((Inputs!$I$9+(((A223)+1)/2)*(Inputs!$J$9-Inputs!$I$9)))+(Inputs!$C$6))/(0.5*(Inputs!$C$49+Inputs!$C$50))+Inputs!$C$47*0.097)))+0.30*(2*((SIN((((Inputs!$I$9+(((A223)+1)/2)*(Inputs!$J$9-Inputs!$I$9)))*12.9898+(Inputs!$C$6)*78.233+Inputs!$C$47*37.719))*43758.5453)-INT((SIN((((Inputs!$I$9+(((A223)+1)/2)*(Inputs!$J$9-Inputs!$I$9)))*12.9898+(Inputs!$C$6)*78.233+Inputs!$C$47*37.719))*43758.5453)))-1))),NA())</x:f>
        <x:v>163.751856106696</x:v>
      </x:c>
      <x:c r="AW223" s="49"/>
      <x:c r="AX223" s="48" t="n">
        <x:f>A223</x:f>
        <x:v>0.842</x:v>
      </x:c>
      <x:c r="AY223" s="48" t="n">
        <x:f>0</x:f>
        <x:v>0</x:v>
      </x:c>
      <x:c r="AZ223" s="48" t="n">
        <x:f>IF(OR(Inputs!$F$6=TRUE,Inputs!$F$6="TRUE",Inputs!$F$6=1),(Inputs!$H$6+Inputs!$L$6*(((Inputs!$I$6+(((A223)+1)/2)*(Inputs!$J$6-Inputs!$I$6)))/Inputs!$K$6)^2),NA())</x:f>
        <x:v>402.835856</x:v>
      </x:c>
      <x:c r="BA223" s="48" t="n">
        <x:f>IF(OR(Inputs!$F$7=TRUE,Inputs!$F$7="TRUE",Inputs!$F$7=1),(Inputs!$H$7+Inputs!$L$7*(((Inputs!$I$7+(((A223)+1)/2)*(Inputs!$J$7-Inputs!$I$7)))/Inputs!$K$7)^2),NA())</x:f>
        <x:v>293.7718600000001</x:v>
      </x:c>
      <x:c r="BB223" s="48" t="n">
        <x:f>IF(OR(Inputs!$F$8=TRUE,Inputs!$F$8="TRUE",Inputs!$F$8=1),(Inputs!$H$8+Inputs!$L$8*(((Inputs!$I$8+(((A223)+1)/2)*(Inputs!$J$8-Inputs!$I$8)))/Inputs!$K$8)^2),NA())</x:f>
        <x:v>719.1502600000003</x:v>
      </x:c>
      <x:c r="BC223" s="48" t="n">
        <x:f>IF(OR(Inputs!$F$9=TRUE,Inputs!$F$9="TRUE",Inputs!$F$9=1),(Inputs!$H$9+Inputs!$L$9*(((Inputs!$I$9+(((A223)+1)/2)*(Inputs!$J$9-Inputs!$I$9)))/Inputs!$K$9)^2),NA())</x:f>
        <x:v>716.2399000000004</x:v>
      </x:c>
      <x:c r="BD223" s="49"/>
      <x:c r="BE223" s="48" t="n">
        <x:f>A223</x:f>
        <x:v>0.842</x:v>
      </x:c>
      <x:c r="BF223" s="48" t="n">
        <x:f>0</x:f>
        <x:v>0</x:v>
      </x:c>
      <x:c r="BG223" s="48"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BH223" s="48"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BI223" s="48"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BJ223" s="48"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row>
    <x:row r="224">
      <x:c r="A224" s="48" t="n">
        <x:f>ROUND(-1+222*2/240,3)</x:f>
        <x:v>0.85</x:v>
      </x:c>
      <x:c r="B224" s="48" t="n">
        <x:f>IF(OR(Inputs!$F$6=TRUE,Inputs!$F$6="TRUE",Inputs!$F$6=1),(Inputs!$H$6+Inputs!$L$6*(((Inputs!$I$6+(((A224)+1)/2)*(Inputs!$J$6-Inputs!$I$6)))/Inputs!$K$6)^2),NA())</x:f>
        <x:v>402.89</x:v>
      </x:c>
      <x:c r="C224" s="48" t="n">
        <x:f>IF(OR(Inputs!$F$7=TRUE,Inputs!$F$7="TRUE",Inputs!$F$7=1),(Inputs!$H$7+Inputs!$L$7*(((Inputs!$I$7+(((A224)+1)/2)*(Inputs!$J$7-Inputs!$I$7)))/Inputs!$K$7)^2),NA())</x:f>
        <x:v>298.7125</x:v>
      </x:c>
      <x:c r="D224" s="48" t="n">
        <x:f>IF(OR(Inputs!$F$8=TRUE,Inputs!$F$8="TRUE",Inputs!$F$8=1),(Inputs!$H$8+Inputs!$L$8*(((Inputs!$I$8+(((A224)+1)/2)*(Inputs!$J$8-Inputs!$I$8)))/Inputs!$K$8)^2),NA())</x:f>
        <x:v>732.2125</x:v>
      </x:c>
      <x:c r="E224" s="48" t="n">
        <x:f>IF(OR(Inputs!$F$9=TRUE,Inputs!$F$9="TRUE",Inputs!$F$9=1),(Inputs!$H$9+Inputs!$L$9*(((Inputs!$I$9+(((A224)+1)/2)*(Inputs!$J$9-Inputs!$I$9)))/Inputs!$K$9)^2),NA())</x:f>
        <x:v>729.4374999999999</x:v>
      </x:c>
      <x:c r="F224" s="49"/>
      <x:c r="G224" s="48" t="n">
        <x:f>A224</x:f>
        <x:v>0.85</x:v>
      </x:c>
      <x:c r="H224" s="48"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I224" s="48"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J224" s="48"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K224" s="48"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c r="L224" s="49"/>
      <x:c r="M224" s="48" t="n">
        <x:f>A224</x:f>
        <x:v>0.85</x:v>
      </x:c>
      <x:c r="N224" s="48" t="n">
        <x: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x:f>
        <x:v>-431.20261705416385</x:v>
      </x:c>
      <x:c r="O224" s="48" t="n">
        <x: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x:f>
        <x:v>-3097.814878145157</x:v>
      </x:c>
      <x:c r="P224" s="48" t="n">
        <x: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x:f>
        <x:v>-4034.179496448994</x:v>
      </x:c>
      <x:c r="Q224" s="48" t="n">
        <x: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x:f>
        <x:v>-4059.4892925419713</x:v>
      </x:c>
      <x:c r="R224" s="49"/>
      <x:c r="S224" s="48" t="n">
        <x:f>A224</x:f>
        <x:v>0.85</x:v>
      </x:c>
      <x:c r="T224" s="48" t="n">
        <x:f>(Inputs!$I$6+(((A224)+1)/2)*(Inputs!$J$6-Inputs!$I$6))</x:f>
        <x:v>51</x:v>
      </x:c>
      <x:c r="U224" s="48" t="n">
        <x:f>(Inputs!$I$7+(((A224)+1)/2)*(Inputs!$J$7-Inputs!$I$7))</x:f>
        <x:v>340</x:v>
      </x:c>
      <x:c r="V224" s="48" t="n">
        <x:f>(Inputs!$I$8+(((A224)+1)/2)*(Inputs!$J$8-Inputs!$I$8))</x:f>
        <x:v>680</x:v>
      </x:c>
      <x:c r="W224" s="48" t="n">
        <x:f>(Inputs!$I$9+(((A224)+1)/2)*(Inputs!$J$9-Inputs!$I$9))</x:f>
        <x:v>680</x:v>
      </x:c>
      <x:c r="X224" s="49"/>
      <x:c r="Y224" s="48" t="n">
        <x:f>A224</x:f>
        <x:v>0.85</x:v>
      </x:c>
      <x:c r="Z224" s="48" t="n">
        <x:f>(Inputs!$H$6+Inputs!$L$6*(((Inputs!$I$6+(((A224)+1)/2)*(Inputs!$J$6-Inputs!$I$6)))/Inputs!$K$6)^2)</x:f>
        <x:v>402.89</x:v>
      </x:c>
      <x:c r="AA224" s="48" t="n">
        <x:f>(Inputs!$H$7+Inputs!$L$7*(((Inputs!$I$7+(((A224)+1)/2)*(Inputs!$J$7-Inputs!$I$7)))/Inputs!$K$7)^2)</x:f>
        <x:v>298.7125</x:v>
      </x:c>
      <x:c r="AB224" s="48" t="n">
        <x:f>(Inputs!$H$8+Inputs!$L$8*(((Inputs!$I$8+(((A224)+1)/2)*(Inputs!$J$8-Inputs!$I$8)))/Inputs!$K$8)^2)</x:f>
        <x:v>732.2125</x:v>
      </x:c>
      <x:c r="AC224" s="48" t="n">
        <x:f>(Inputs!$H$9+Inputs!$L$9*(((Inputs!$I$9+(((A224)+1)/2)*(Inputs!$J$9-Inputs!$I$9)))/Inputs!$K$9)^2)</x:f>
        <x:v>729.4374999999999</x:v>
      </x:c>
      <x:c r="AD224" s="49"/>
      <x:c r="AE224" s="48" t="n">
        <x:f>A224</x:f>
        <x:v>0.85</x:v>
      </x:c>
      <x:c r="AF224" s="48" t="n">
        <x:f>(((SQRT((Inputs!$C$52+((Inputs!$H$6+Inputs!$L$6*(((Inputs!$I$6+(((A224)+1)/2)*(Inputs!$J$6-Inputs!$I$6)))/Inputs!$K$6)^2)))^2+Inputs!$C$52^2-2*(Inputs!$C$52+((Inputs!$H$6+Inputs!$L$6*(((Inputs!$I$6+(((A224)+1)/2)*(Inputs!$J$6-Inputs!$I$6)))/Inputs!$K$6)^2)))*Inputs!$C$52*COS(SQRT(((Inputs!$I$6+(((A224)+1)/2)*(Inputs!$J$6-Inputs!$I$6)))^2+Inputs!$C$6^2)/Inputs!$C$52)))-((Inputs!$H$6+Inputs!$L$6*(((Inputs!$I$6+(((A224)+1)/2)*(Inputs!$J$6-Inputs!$I$6)))/Inputs!$K$6)^2)))*1000/Inputs!$C$12)</x:f>
        <x:v>2812.005737381264</x:v>
      </x:c>
      <x:c r="AG224" s="48" t="n">
        <x:f>(((SQRT((Inputs!$C$52+((Inputs!$H$7+Inputs!$L$7*(((Inputs!$I$7+(((A224)+1)/2)*(Inputs!$J$7-Inputs!$I$7)))/Inputs!$K$7)^2)))^2+Inputs!$C$52^2-2*(Inputs!$C$52+((Inputs!$H$7+Inputs!$L$7*(((Inputs!$I$7+(((A224)+1)/2)*(Inputs!$J$7-Inputs!$I$7)))/Inputs!$K$7)^2)))*Inputs!$C$52*COS(SQRT(((Inputs!$I$7+(((A224)+1)/2)*(Inputs!$J$7-Inputs!$I$7)))^2+Inputs!$C$6^2)/Inputs!$C$52)))-((Inputs!$H$7+Inputs!$L$7*(((Inputs!$I$7+(((A224)+1)/2)*(Inputs!$J$7-Inputs!$I$7)))/Inputs!$K$7)^2)))*1000/Inputs!$C$12)</x:f>
        <x:v>99937.1404371543</x:v>
      </x:c>
      <x:c r="AH224" s="48" t="n">
        <x:f>(((SQRT((Inputs!$C$52+((Inputs!$H$8+Inputs!$L$8*(((Inputs!$I$8+(((A224)+1)/2)*(Inputs!$J$8-Inputs!$I$8)))/Inputs!$K$8)^2)))^2+Inputs!$C$52^2-2*(Inputs!$C$52+((Inputs!$H$8+Inputs!$L$8*(((Inputs!$I$8+(((A224)+1)/2)*(Inputs!$J$8-Inputs!$I$8)))/Inputs!$K$8)^2)))*Inputs!$C$52*COS(SQRT(((Inputs!$I$8+(((A224)+1)/2)*(Inputs!$J$8-Inputs!$I$8)))^2+Inputs!$C$6^2)/Inputs!$C$52)))-((Inputs!$H$8+Inputs!$L$8*(((Inputs!$I$8+(((A224)+1)/2)*(Inputs!$J$8-Inputs!$I$8)))/Inputs!$K$8)^2)))*1000/Inputs!$C$12)</x:f>
        <x:v>205515.74904412893</x:v>
      </x:c>
      <x:c r="AI224" s="48" t="n">
        <x:f>(((SQRT((Inputs!$C$52+((Inputs!$H$9+Inputs!$L$9*(((Inputs!$I$9+(((A224)+1)/2)*(Inputs!$J$9-Inputs!$I$9)))/Inputs!$K$9)^2)))^2+Inputs!$C$52^2-2*(Inputs!$C$52+((Inputs!$H$9+Inputs!$L$9*(((Inputs!$I$9+(((A224)+1)/2)*(Inputs!$J$9-Inputs!$I$9)))/Inputs!$K$9)^2)))*Inputs!$C$52*COS(SQRT(((Inputs!$I$9+(((A224)+1)/2)*(Inputs!$J$9-Inputs!$I$9)))^2+Inputs!$C$6^2)/Inputs!$C$52)))-((Inputs!$H$9+Inputs!$L$9*(((Inputs!$I$9+(((A224)+1)/2)*(Inputs!$J$9-Inputs!$I$9)))/Inputs!$K$9)^2)))*1000/Inputs!$C$12)</x:f>
        <x:v>205828.56629482246</x:v>
      </x:c>
      <x:c r="AJ224" s="49"/>
      <x:c r="AK224" s="48" t="n">
        <x:f>A224</x:f>
        <x:v>0.85</x:v>
      </x:c>
      <x:c r="AL224" s="48" t="n">
        <x: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x:f>
        <x:v>-431.20261705416385</x:v>
      </x:c>
      <x:c r="AM224" s="48" t="n">
        <x: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x:f>
        <x:v>-3097.814878145157</x:v>
      </x:c>
      <x:c r="AN224" s="48" t="n">
        <x: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x:f>
        <x:v>-4034.179496448994</x:v>
      </x:c>
      <x:c r="AO224" s="48" t="n">
        <x: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x:f>
        <x:v>-4059.4892925419713</x:v>
      </x:c>
      <x:c r="AP224" s="49"/>
      <x:c r="AQ224" s="48" t="n">
        <x:f>A224</x:f>
        <x:v>0.85</x:v>
      </x:c>
      <x:c r="AR224" s="48" t="n">
        <x:f>0</x:f>
        <x:v>0</x:v>
      </x:c>
      <x:c r="AS224" s="48" t="n">
        <x: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(0.45*SIN(2*PI()*((((Inputs!$I$6+(((A224)+1)/2)*(Inputs!$J$6-Inputs!$I$6)))/Inputs!$C$49)+Inputs!$C$47*0.137))+0.35*COS(2*PI()*(((Inputs!$C$6)/Inputs!$C$50)+Inputs!$C$47*0.173))+0.20*SIN(2*PI()*((((Inputs!$I$6+(((A224)+1)/2)*(Inputs!$J$6-Inputs!$I$6)))+(Inputs!$C$6))/(0.5*(Inputs!$C$49+Inputs!$C$50))+Inputs!$C$47*0.097)))+0.30*(2*((SIN((((Inputs!$I$6+(((A224)+1)/2)*(Inputs!$J$6-Inputs!$I$6)))*12.9898+(Inputs!$C$6)*78.233+Inputs!$C$47*37.719))*43758.5453)-INT((SIN((((Inputs!$I$6+(((A224)+1)/2)*(Inputs!$J$6-Inputs!$I$6)))*12.9898+(Inputs!$C$6)*78.233+Inputs!$C$47*37.719))*43758.5453)))-1))),NA())</x:f>
        <x:v>137.08289632779307</x:v>
      </x:c>
      <x:c r="AT224" s="48" t="n">
        <x: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(0.45*SIN(2*PI()*((((Inputs!$I$7+(((A224)+1)/2)*(Inputs!$J$7-Inputs!$I$7)))/Inputs!$C$49)+Inputs!$C$47*0.137))+0.35*COS(2*PI()*(((Inputs!$C$6)/Inputs!$C$50)+Inputs!$C$47*0.173))+0.20*SIN(2*PI()*((((Inputs!$I$7+(((A224)+1)/2)*(Inputs!$J$7-Inputs!$I$7)))+(Inputs!$C$6))/(0.5*(Inputs!$C$49+Inputs!$C$50))+Inputs!$C$47*0.097)))+0.30*(2*((SIN((((Inputs!$I$7+(((A224)+1)/2)*(Inputs!$J$7-Inputs!$I$7)))*12.9898+(Inputs!$C$6)*78.233+Inputs!$C$47*37.719))*43758.5453)-INT((SIN((((Inputs!$I$7+(((A224)+1)/2)*(Inputs!$J$7-Inputs!$I$7)))*12.9898+(Inputs!$C$6)*78.233+Inputs!$C$47*37.719))*43758.5453)))-1))),NA())</x:f>
        <x:v>124.64043868220405</x:v>
      </x:c>
      <x:c r="AU224" s="48" t="n">
        <x: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(0.45*SIN(2*PI()*((((Inputs!$I$8+(((A224)+1)/2)*(Inputs!$J$8-Inputs!$I$8)))/Inputs!$C$49)+Inputs!$C$47*0.137))+0.35*COS(2*PI()*(((Inputs!$C$6)/Inputs!$C$50)+Inputs!$C$47*0.173))+0.20*SIN(2*PI()*((((Inputs!$I$8+(((A224)+1)/2)*(Inputs!$J$8-Inputs!$I$8)))+(Inputs!$C$6))/(0.5*(Inputs!$C$49+Inputs!$C$50))+Inputs!$C$47*0.097)))+0.30*(2*((SIN((((Inputs!$I$8+(((A224)+1)/2)*(Inputs!$J$8-Inputs!$I$8)))*12.9898+(Inputs!$C$6)*78.233+Inputs!$C$47*37.719))*43758.5453)-INT((SIN((((Inputs!$I$8+(((A224)+1)/2)*(Inputs!$J$8-Inputs!$I$8)))*12.9898+(Inputs!$C$6)*78.233+Inputs!$C$47*37.719))*43758.5453)))-1))),NA())</x:f>
        <x:v>51.488930519125816</x:v>
      </x:c>
      <x:c r="AV224" s="48" t="n">
        <x: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(0.45*SIN(2*PI()*((((Inputs!$I$9+(((A224)+1)/2)*(Inputs!$J$9-Inputs!$I$9)))/Inputs!$C$49)+Inputs!$C$47*0.137))+0.35*COS(2*PI()*(((Inputs!$C$6)/Inputs!$C$50)+Inputs!$C$47*0.173))+0.20*SIN(2*PI()*((((Inputs!$I$9+(((A224)+1)/2)*(Inputs!$J$9-Inputs!$I$9)))+(Inputs!$C$6))/(0.5*(Inputs!$C$49+Inputs!$C$50))+Inputs!$C$47*0.097)))+0.30*(2*((SIN((((Inputs!$I$9+(((A224)+1)/2)*(Inputs!$J$9-Inputs!$I$9)))*12.9898+(Inputs!$C$6)*78.233+Inputs!$C$47*37.719))*43758.5453)-INT((SIN((((Inputs!$I$9+(((A224)+1)/2)*(Inputs!$J$9-Inputs!$I$9)))*12.9898+(Inputs!$C$6)*78.233+Inputs!$C$47*37.719))*43758.5453)))-1))),NA())</x:f>
        <x:v>51.488930519125816</x:v>
      </x:c>
      <x:c r="AW224" s="49"/>
      <x:c r="AX224" s="48" t="n">
        <x:f>A224</x:f>
        <x:v>0.85</x:v>
      </x:c>
      <x:c r="AY224" s="48" t="n">
        <x:f>0</x:f>
        <x:v>0</x:v>
      </x:c>
      <x:c r="AZ224" s="48" t="n">
        <x:f>IF(OR(Inputs!$F$6=TRUE,Inputs!$F$6="TRUE",Inputs!$F$6=1),(Inputs!$H$6+Inputs!$L$6*(((Inputs!$I$6+(((A224)+1)/2)*(Inputs!$J$6-Inputs!$I$6)))/Inputs!$K$6)^2),NA())</x:f>
        <x:v>402.89</x:v>
      </x:c>
      <x:c r="BA224" s="48" t="n">
        <x:f>IF(OR(Inputs!$F$7=TRUE,Inputs!$F$7="TRUE",Inputs!$F$7=1),(Inputs!$H$7+Inputs!$L$7*(((Inputs!$I$7+(((A224)+1)/2)*(Inputs!$J$7-Inputs!$I$7)))/Inputs!$K$7)^2),NA())</x:f>
        <x:v>298.7125</x:v>
      </x:c>
      <x:c r="BB224" s="48" t="n">
        <x:f>IF(OR(Inputs!$F$8=TRUE,Inputs!$F$8="TRUE",Inputs!$F$8=1),(Inputs!$H$8+Inputs!$L$8*(((Inputs!$I$8+(((A224)+1)/2)*(Inputs!$J$8-Inputs!$I$8)))/Inputs!$K$8)^2),NA())</x:f>
        <x:v>732.2125</x:v>
      </x:c>
      <x:c r="BC224" s="48" t="n">
        <x:f>IF(OR(Inputs!$F$9=TRUE,Inputs!$F$9="TRUE",Inputs!$F$9=1),(Inputs!$H$9+Inputs!$L$9*(((Inputs!$I$9+(((A224)+1)/2)*(Inputs!$J$9-Inputs!$I$9)))/Inputs!$K$9)^2),NA())</x:f>
        <x:v>729.4374999999999</x:v>
      </x:c>
      <x:c r="BD224" s="49"/>
      <x:c r="BE224" s="48" t="n">
        <x:f>A224</x:f>
        <x:v>0.85</x:v>
      </x:c>
      <x:c r="BF224" s="48" t="n">
        <x:f>0</x:f>
        <x:v>0</x:v>
      </x:c>
      <x:c r="BG224" s="48"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BH224" s="48"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BI224" s="48"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BJ224" s="48"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row>
    <x:row r="225">
      <x:c r="A225" s="48" t="n">
        <x:f>ROUND(-1+223*2/240,3)</x:f>
        <x:v>0.858</x:v>
      </x:c>
      <x:c r="B225" s="48" t="n">
        <x:f>IF(OR(Inputs!$F$6=TRUE,Inputs!$F$6="TRUE",Inputs!$F$6=1),(Inputs!$H$6+Inputs!$L$6*(((Inputs!$I$6+(((A225)+1)/2)*(Inputs!$J$6-Inputs!$I$6)))/Inputs!$K$6)^2),NA())</x:f>
        <x:v>402.944656</x:v>
      </x:c>
      <x:c r="C225" s="48" t="n">
        <x:f>IF(OR(Inputs!$F$7=TRUE,Inputs!$F$7="TRUE",Inputs!$F$7=1),(Inputs!$H$7+Inputs!$L$7*(((Inputs!$I$7+(((A225)+1)/2)*(Inputs!$J$7-Inputs!$I$7)))/Inputs!$K$7)^2),NA())</x:f>
        <x:v>303.69986000000006</x:v>
      </x:c>
      <x:c r="D225" s="48" t="n">
        <x:f>IF(OR(Inputs!$F$8=TRUE,Inputs!$F$8="TRUE",Inputs!$F$8=1),(Inputs!$H$8+Inputs!$L$8*(((Inputs!$I$8+(((A225)+1)/2)*(Inputs!$J$8-Inputs!$I$8)))/Inputs!$K$8)^2),NA())</x:f>
        <x:v>745.3982600000002</x:v>
      </x:c>
      <x:c r="E225" s="48" t="n">
        <x:f>IF(OR(Inputs!$F$9=TRUE,Inputs!$F$9="TRUE",Inputs!$F$9=1),(Inputs!$H$9+Inputs!$L$9*(((Inputs!$I$9+(((A225)+1)/2)*(Inputs!$J$9-Inputs!$I$9)))/Inputs!$K$9)^2),NA())</x:f>
        <x:v>742.7599000000001</x:v>
      </x:c>
      <x:c r="F225" s="49"/>
      <x:c r="G225" s="48" t="n">
        <x:f>A225</x:f>
        <x:v>0.858</x:v>
      </x:c>
      <x:c r="H225" s="48"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I225" s="48"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J225" s="48"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K225" s="48"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c r="L225" s="49"/>
      <x:c r="M225" s="48" t="n">
        <x:f>A225</x:f>
        <x:v>0.858</x:v>
      </x:c>
      <x:c r="N225" s="48" t="n">
        <x: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x:f>
        <x:v>-435.1601646990824</x:v>
      </x:c>
      <x:c r="O225" s="48" t="n">
        <x: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x:f>
        <x:v>-3119.591634374565</x:v>
      </x:c>
      <x:c r="P225" s="48" t="n">
        <x: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x:f>
        <x:v>-4067.3976961595195</x:v>
      </x:c>
      <x:c r="Q225" s="48" t="n">
        <x: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x:f>
        <x:v>-4093.174446684204</x:v>
      </x:c>
      <x:c r="R225" s="49"/>
      <x:c r="S225" s="48" t="n">
        <x:f>A225</x:f>
        <x:v>0.858</x:v>
      </x:c>
      <x:c r="T225" s="48" t="n">
        <x:f>(Inputs!$I$6+(((A225)+1)/2)*(Inputs!$J$6-Inputs!$I$6))</x:f>
        <x:v>51.480000000000004</x:v>
      </x:c>
      <x:c r="U225" s="48" t="n">
        <x:f>(Inputs!$I$7+(((A225)+1)/2)*(Inputs!$J$7-Inputs!$I$7))</x:f>
        <x:v>343.20000000000005</x:v>
      </x:c>
      <x:c r="V225" s="48" t="n">
        <x:f>(Inputs!$I$8+(((A225)+1)/2)*(Inputs!$J$8-Inputs!$I$8))</x:f>
        <x:v>686.4000000000001</x:v>
      </x:c>
      <x:c r="W225" s="48" t="n">
        <x:f>(Inputs!$I$9+(((A225)+1)/2)*(Inputs!$J$9-Inputs!$I$9))</x:f>
        <x:v>686.4000000000001</x:v>
      </x:c>
      <x:c r="X225" s="49"/>
      <x:c r="Y225" s="48" t="n">
        <x:f>A225</x:f>
        <x:v>0.858</x:v>
      </x:c>
      <x:c r="Z225" s="48" t="n">
        <x:f>(Inputs!$H$6+Inputs!$L$6*(((Inputs!$I$6+(((A225)+1)/2)*(Inputs!$J$6-Inputs!$I$6)))/Inputs!$K$6)^2)</x:f>
        <x:v>402.944656</x:v>
      </x:c>
      <x:c r="AA225" s="48" t="n">
        <x:f>(Inputs!$H$7+Inputs!$L$7*(((Inputs!$I$7+(((A225)+1)/2)*(Inputs!$J$7-Inputs!$I$7)))/Inputs!$K$7)^2)</x:f>
        <x:v>303.69986000000006</x:v>
      </x:c>
      <x:c r="AB225" s="48" t="n">
        <x:f>(Inputs!$H$8+Inputs!$L$8*(((Inputs!$I$8+(((A225)+1)/2)*(Inputs!$J$8-Inputs!$I$8)))/Inputs!$K$8)^2)</x:f>
        <x:v>745.3982600000002</x:v>
      </x:c>
      <x:c r="AC225" s="48" t="n">
        <x:f>(Inputs!$H$9+Inputs!$L$9*(((Inputs!$I$9+(((A225)+1)/2)*(Inputs!$J$9-Inputs!$I$9)))/Inputs!$K$9)^2)</x:f>
        <x:v>742.7599000000001</x:v>
      </x:c>
      <x:c r="AD225" s="49"/>
      <x:c r="AE225" s="48" t="n">
        <x:f>A225</x:f>
        <x:v>0.858</x:v>
      </x:c>
      <x:c r="AF225" s="48" t="n">
        <x:f>(((SQRT((Inputs!$C$52+((Inputs!$H$6+Inputs!$L$6*(((Inputs!$I$6+(((A225)+1)/2)*(Inputs!$J$6-Inputs!$I$6)))/Inputs!$K$6)^2)))^2+Inputs!$C$52^2-2*(Inputs!$C$52+((Inputs!$H$6+Inputs!$L$6*(((Inputs!$I$6+(((A225)+1)/2)*(Inputs!$J$6-Inputs!$I$6)))/Inputs!$K$6)^2)))*Inputs!$C$52*COS(SQRT(((Inputs!$I$6+(((A225)+1)/2)*(Inputs!$J$6-Inputs!$I$6)))^2+Inputs!$C$6^2)/Inputs!$C$52)))-((Inputs!$H$6+Inputs!$L$6*(((Inputs!$I$6+(((A225)+1)/2)*(Inputs!$J$6-Inputs!$I$6)))/Inputs!$K$6)^2)))*1000/Inputs!$C$12)</x:f>
        <x:v>2854.3082572559856</x:v>
      </x:c>
      <x:c r="AG225" s="48" t="n">
        <x:f>(((SQRT((Inputs!$C$52+((Inputs!$H$7+Inputs!$L$7*(((Inputs!$I$7+(((A225)+1)/2)*(Inputs!$J$7-Inputs!$I$7)))/Inputs!$K$7)^2)))^2+Inputs!$C$52^2-2*(Inputs!$C$52+((Inputs!$H$7+Inputs!$L$7*(((Inputs!$I$7+(((A225)+1)/2)*(Inputs!$J$7-Inputs!$I$7)))/Inputs!$K$7)^2)))*Inputs!$C$52*COS(SQRT(((Inputs!$I$7+(((A225)+1)/2)*(Inputs!$J$7-Inputs!$I$7)))^2+Inputs!$C$6^2)/Inputs!$C$52)))-((Inputs!$H$7+Inputs!$L$7*(((Inputs!$I$7+(((A225)+1)/2)*(Inputs!$J$7-Inputs!$I$7)))/Inputs!$K$7)^2)))*1000/Inputs!$C$12)</x:f>
        <x:v>100628.1705412862</x:v>
      </x:c>
      <x:c r="AH225" s="48" t="n">
        <x:f>(((SQRT((Inputs!$C$52+((Inputs!$H$8+Inputs!$L$8*(((Inputs!$I$8+(((A225)+1)/2)*(Inputs!$J$8-Inputs!$I$8)))/Inputs!$K$8)^2)))^2+Inputs!$C$52^2-2*(Inputs!$C$52+((Inputs!$H$8+Inputs!$L$8*(((Inputs!$I$8+(((A225)+1)/2)*(Inputs!$J$8-Inputs!$I$8)))/Inputs!$K$8)^2)))*Inputs!$C$52*COS(SQRT(((Inputs!$I$8+(((A225)+1)/2)*(Inputs!$J$8-Inputs!$I$8)))^2+Inputs!$C$6^2)/Inputs!$C$52)))-((Inputs!$H$8+Inputs!$L$8*(((Inputs!$I$8+(((A225)+1)/2)*(Inputs!$J$8-Inputs!$I$8)))/Inputs!$K$8)^2)))*1000/Inputs!$C$12)</x:f>
        <x:v>207210.90309610436</x:v>
      </x:c>
      <x:c r="AI225" s="48" t="n">
        <x:f>(((SQRT((Inputs!$C$52+((Inputs!$H$9+Inputs!$L$9*(((Inputs!$I$9+(((A225)+1)/2)*(Inputs!$J$9-Inputs!$I$9)))/Inputs!$K$9)^2)))^2+Inputs!$C$52^2-2*(Inputs!$C$52+((Inputs!$H$9+Inputs!$L$9*(((Inputs!$I$9+(((A225)+1)/2)*(Inputs!$J$9-Inputs!$I$9)))/Inputs!$K$9)^2)))*Inputs!$C$52*COS(SQRT(((Inputs!$I$9+(((A225)+1)/2)*(Inputs!$J$9-Inputs!$I$9)))^2+Inputs!$C$6^2)/Inputs!$C$52)))-((Inputs!$H$9+Inputs!$L$9*(((Inputs!$I$9+(((A225)+1)/2)*(Inputs!$J$9-Inputs!$I$9)))/Inputs!$K$9)^2)))*1000/Inputs!$C$12)</x:f>
        <x:v>207504.35731870713</x:v>
      </x:c>
      <x:c r="AJ225" s="49"/>
      <x:c r="AK225" s="48" t="n">
        <x:f>A225</x:f>
        <x:v>0.858</x:v>
      </x:c>
      <x:c r="AL225" s="48" t="n">
        <x: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x:f>
        <x:v>-435.1601646990824</x:v>
      </x:c>
      <x:c r="AM225" s="48" t="n">
        <x: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x:f>
        <x:v>-3119.591634374565</x:v>
      </x:c>
      <x:c r="AN225" s="48" t="n">
        <x: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x:f>
        <x:v>-4067.3976961595195</x:v>
      </x:c>
      <x:c r="AO225" s="48" t="n">
        <x: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x:f>
        <x:v>-4093.174446684204</x:v>
      </x:c>
      <x:c r="AP225" s="49"/>
      <x:c r="AQ225" s="48" t="n">
        <x:f>A225</x:f>
        <x:v>0.858</x:v>
      </x:c>
      <x:c r="AR225" s="48" t="n">
        <x:f>0</x:f>
        <x:v>0</x:v>
      </x:c>
      <x:c r="AS225" s="48" t="n">
        <x: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(0.45*SIN(2*PI()*((((Inputs!$I$6+(((A225)+1)/2)*(Inputs!$J$6-Inputs!$I$6)))/Inputs!$C$49)+Inputs!$C$47*0.137))+0.35*COS(2*PI()*(((Inputs!$C$6)/Inputs!$C$50)+Inputs!$C$47*0.173))+0.20*SIN(2*PI()*((((Inputs!$I$6+(((A225)+1)/2)*(Inputs!$J$6-Inputs!$I$6)))+(Inputs!$C$6))/(0.5*(Inputs!$C$49+Inputs!$C$50))+Inputs!$C$47*0.097)))+0.30*(2*((SIN((((Inputs!$I$6+(((A225)+1)/2)*(Inputs!$J$6-Inputs!$I$6)))*12.9898+(Inputs!$C$6)*78.233+Inputs!$C$47*37.719))*43758.5453)-INT((SIN((((Inputs!$I$6+(((A225)+1)/2)*(Inputs!$J$6-Inputs!$I$6)))*12.9898+(Inputs!$C$6)*78.233+Inputs!$C$47*37.719))*43758.5453)))-1))),NA())</x:f>
        <x:v>139.38284808697506</x:v>
      </x:c>
      <x:c r="AT225" s="48" t="n">
        <x: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(0.45*SIN(2*PI()*((((Inputs!$I$7+(((A225)+1)/2)*(Inputs!$J$7-Inputs!$I$7)))/Inputs!$C$49)+Inputs!$C$47*0.137))+0.35*COS(2*PI()*(((Inputs!$C$6)/Inputs!$C$50)+Inputs!$C$47*0.173))+0.20*SIN(2*PI()*((((Inputs!$I$7+(((A225)+1)/2)*(Inputs!$J$7-Inputs!$I$7)))+(Inputs!$C$6))/(0.5*(Inputs!$C$49+Inputs!$C$50))+Inputs!$C$47*0.097)))+0.30*(2*((SIN((((Inputs!$I$7+(((A225)+1)/2)*(Inputs!$J$7-Inputs!$I$7)))*12.9898+(Inputs!$C$6)*78.233+Inputs!$C$47*37.719))*43758.5453)-INT((SIN((((Inputs!$I$7+(((A225)+1)/2)*(Inputs!$J$7-Inputs!$I$7)))*12.9898+(Inputs!$C$6)*78.233+Inputs!$C$47*37.719))*43758.5453)))-1))),NA())</x:f>
        <x:v>151.34081083012887</x:v>
      </x:c>
      <x:c r="AU225" s="48" t="n">
        <x: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(0.45*SIN(2*PI()*((((Inputs!$I$8+(((A225)+1)/2)*(Inputs!$J$8-Inputs!$I$8)))/Inputs!$C$49)+Inputs!$C$47*0.137))+0.35*COS(2*PI()*(((Inputs!$C$6)/Inputs!$C$50)+Inputs!$C$47*0.173))+0.20*SIN(2*PI()*((((Inputs!$I$8+(((A225)+1)/2)*(Inputs!$J$8-Inputs!$I$8)))+(Inputs!$C$6))/(0.5*(Inputs!$C$49+Inputs!$C$50))+Inputs!$C$47*0.097)))+0.30*(2*((SIN((((Inputs!$I$8+(((A225)+1)/2)*(Inputs!$J$8-Inputs!$I$8)))*12.9898+(Inputs!$C$6)*78.233+Inputs!$C$47*37.719))*43758.5453)-INT((SIN((((Inputs!$I$8+(((A225)+1)/2)*(Inputs!$J$8-Inputs!$I$8)))*12.9898+(Inputs!$C$6)*78.233+Inputs!$C$47*37.719))*43758.5453)))-1))),NA())</x:f>
        <x:v>185.73986359394797</x:v>
      </x:c>
      <x:c r="AV225" s="48" t="n">
        <x: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(0.45*SIN(2*PI()*((((Inputs!$I$9+(((A225)+1)/2)*(Inputs!$J$9-Inputs!$I$9)))/Inputs!$C$49)+Inputs!$C$47*0.137))+0.35*COS(2*PI()*(((Inputs!$C$6)/Inputs!$C$50)+Inputs!$C$47*0.173))+0.20*SIN(2*PI()*((((Inputs!$I$9+(((A225)+1)/2)*(Inputs!$J$9-Inputs!$I$9)))+(Inputs!$C$6))/(0.5*(Inputs!$C$49+Inputs!$C$50))+Inputs!$C$47*0.097)))+0.30*(2*((SIN((((Inputs!$I$9+(((A225)+1)/2)*(Inputs!$J$9-Inputs!$I$9)))*12.9898+(Inputs!$C$6)*78.233+Inputs!$C$47*37.719))*43758.5453)-INT((SIN((((Inputs!$I$9+(((A225)+1)/2)*(Inputs!$J$9-Inputs!$I$9)))*12.9898+(Inputs!$C$6)*78.233+Inputs!$C$47*37.719))*43758.5453)))-1))),NA())</x:f>
        <x:v>185.73986359394797</x:v>
      </x:c>
      <x:c r="AW225" s="49"/>
      <x:c r="AX225" s="48" t="n">
        <x:f>A225</x:f>
        <x:v>0.858</x:v>
      </x:c>
      <x:c r="AY225" s="48" t="n">
        <x:f>0</x:f>
        <x:v>0</x:v>
      </x:c>
      <x:c r="AZ225" s="48" t="n">
        <x:f>IF(OR(Inputs!$F$6=TRUE,Inputs!$F$6="TRUE",Inputs!$F$6=1),(Inputs!$H$6+Inputs!$L$6*(((Inputs!$I$6+(((A225)+1)/2)*(Inputs!$J$6-Inputs!$I$6)))/Inputs!$K$6)^2),NA())</x:f>
        <x:v>402.944656</x:v>
      </x:c>
      <x:c r="BA225" s="48" t="n">
        <x:f>IF(OR(Inputs!$F$7=TRUE,Inputs!$F$7="TRUE",Inputs!$F$7=1),(Inputs!$H$7+Inputs!$L$7*(((Inputs!$I$7+(((A225)+1)/2)*(Inputs!$J$7-Inputs!$I$7)))/Inputs!$K$7)^2),NA())</x:f>
        <x:v>303.69986000000006</x:v>
      </x:c>
      <x:c r="BB225" s="48" t="n">
        <x:f>IF(OR(Inputs!$F$8=TRUE,Inputs!$F$8="TRUE",Inputs!$F$8=1),(Inputs!$H$8+Inputs!$L$8*(((Inputs!$I$8+(((A225)+1)/2)*(Inputs!$J$8-Inputs!$I$8)))/Inputs!$K$8)^2),NA())</x:f>
        <x:v>745.3982600000002</x:v>
      </x:c>
      <x:c r="BC225" s="48" t="n">
        <x:f>IF(OR(Inputs!$F$9=TRUE,Inputs!$F$9="TRUE",Inputs!$F$9=1),(Inputs!$H$9+Inputs!$L$9*(((Inputs!$I$9+(((A225)+1)/2)*(Inputs!$J$9-Inputs!$I$9)))/Inputs!$K$9)^2),NA())</x:f>
        <x:v>742.7599000000001</x:v>
      </x:c>
      <x:c r="BD225" s="49"/>
      <x:c r="BE225" s="48" t="n">
        <x:f>A225</x:f>
        <x:v>0.858</x:v>
      </x:c>
      <x:c r="BF225" s="48" t="n">
        <x:f>0</x:f>
        <x:v>0</x:v>
      </x:c>
      <x:c r="BG225" s="48"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BH225" s="48"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BI225" s="48"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BJ225" s="48"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row>
    <x:row r="226">
      <x:c r="A226" s="48" t="n">
        <x:f>ROUND(-1+224*2/240,3)</x:f>
        <x:v>0.867</x:v>
      </x:c>
      <x:c r="B226" s="48" t="n">
        <x:f>IF(OR(Inputs!$F$6=TRUE,Inputs!$F$6="TRUE",Inputs!$F$6=1),(Inputs!$H$6+Inputs!$L$6*(((Inputs!$I$6+(((A226)+1)/2)*(Inputs!$J$6-Inputs!$I$6)))/Inputs!$K$6)^2),NA())</x:f>
        <x:v>403.006756</x:v>
      </x:c>
      <x:c r="C226" s="48" t="n">
        <x:f>IF(OR(Inputs!$F$7=TRUE,Inputs!$F$7="TRUE",Inputs!$F$7=1),(Inputs!$H$7+Inputs!$L$7*(((Inputs!$I$7+(((A226)+1)/2)*(Inputs!$J$7-Inputs!$I$7)))/Inputs!$K$7)^2),NA())</x:f>
        <x:v>309.36648499999995</x:v>
      </x:c>
      <x:c r="D226" s="48" t="n">
        <x:f>IF(OR(Inputs!$F$8=TRUE,Inputs!$F$8="TRUE",Inputs!$F$8=1),(Inputs!$H$8+Inputs!$L$8*(((Inputs!$I$8+(((A226)+1)/2)*(Inputs!$J$8-Inputs!$I$8)))/Inputs!$K$8)^2),NA())</x:f>
        <x:v>760.3798849999998</x:v>
      </x:c>
      <x:c r="E226" s="48" t="n">
        <x:f>IF(OR(Inputs!$F$9=TRUE,Inputs!$F$9="TRUE",Inputs!$F$9=1),(Inputs!$H$9+Inputs!$L$9*(((Inputs!$I$9+(((A226)+1)/2)*(Inputs!$J$9-Inputs!$I$9)))/Inputs!$K$9)^2),NA())</x:f>
        <x:v>757.8967749999998</x:v>
      </x:c>
      <x:c r="F226" s="49"/>
      <x:c r="G226" s="48" t="n">
        <x:f>A226</x:f>
        <x:v>0.867</x:v>
      </x:c>
      <x:c r="H226" s="48"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I226" s="48"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J226" s="48"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K226" s="48"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c r="L226" s="49"/>
      <x:c r="M226" s="48" t="n">
        <x:f>A226</x:f>
        <x:v>0.867</x:v>
      </x:c>
      <x:c r="N226" s="48" t="n">
        <x: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x:f>
        <x:v>-439.6091353933836</x:v>
      </x:c>
      <x:c r="O226" s="48" t="n">
        <x: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x:f>
        <x:v>-3144.182314863884</x:v>
      </x:c>
      <x:c r="P226" s="48" t="n">
        <x: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x:f>
        <x:v>-4104.839264486002</x:v>
      </x:c>
      <x:c r="Q226" s="48" t="n">
        <x: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x:f>
        <x:v>-4131.138777329212</x:v>
      </x:c>
      <x:c r="R226" s="49"/>
      <x:c r="S226" s="48" t="n">
        <x:f>A226</x:f>
        <x:v>0.867</x:v>
      </x:c>
      <x:c r="T226" s="48" t="n">
        <x:f>(Inputs!$I$6+(((A226)+1)/2)*(Inputs!$J$6-Inputs!$I$6))</x:f>
        <x:v>52.019999999999996</x:v>
      </x:c>
      <x:c r="U226" s="48" t="n">
        <x:f>(Inputs!$I$7+(((A226)+1)/2)*(Inputs!$J$7-Inputs!$I$7))</x:f>
        <x:v>346.79999999999995</x:v>
      </x:c>
      <x:c r="V226" s="48" t="n">
        <x:f>(Inputs!$I$8+(((A226)+1)/2)*(Inputs!$J$8-Inputs!$I$8))</x:f>
        <x:v>693.5999999999999</x:v>
      </x:c>
      <x:c r="W226" s="48" t="n">
        <x:f>(Inputs!$I$9+(((A226)+1)/2)*(Inputs!$J$9-Inputs!$I$9))</x:f>
        <x:v>693.5999999999999</x:v>
      </x:c>
      <x:c r="X226" s="49"/>
      <x:c r="Y226" s="48" t="n">
        <x:f>A226</x:f>
        <x:v>0.867</x:v>
      </x:c>
      <x:c r="Z226" s="48" t="n">
        <x:f>(Inputs!$H$6+Inputs!$L$6*(((Inputs!$I$6+(((A226)+1)/2)*(Inputs!$J$6-Inputs!$I$6)))/Inputs!$K$6)^2)</x:f>
        <x:v>403.006756</x:v>
      </x:c>
      <x:c r="AA226" s="48" t="n">
        <x:f>(Inputs!$H$7+Inputs!$L$7*(((Inputs!$I$7+(((A226)+1)/2)*(Inputs!$J$7-Inputs!$I$7)))/Inputs!$K$7)^2)</x:f>
        <x:v>309.36648499999995</x:v>
      </x:c>
      <x:c r="AB226" s="48" t="n">
        <x:f>(Inputs!$H$8+Inputs!$L$8*(((Inputs!$I$8+(((A226)+1)/2)*(Inputs!$J$8-Inputs!$I$8)))/Inputs!$K$8)^2)</x:f>
        <x:v>760.3798849999998</x:v>
      </x:c>
      <x:c r="AC226" s="48" t="n">
        <x:f>(Inputs!$H$9+Inputs!$L$9*(((Inputs!$I$9+(((A226)+1)/2)*(Inputs!$J$9-Inputs!$I$9)))/Inputs!$K$9)^2)</x:f>
        <x:v>757.8967749999998</x:v>
      </x:c>
      <x:c r="AD226" s="49"/>
      <x:c r="AE226" s="48" t="n">
        <x:f>A226</x:f>
        <x:v>0.867</x:v>
      </x:c>
      <x:c r="AF226" s="48" t="n">
        <x:f>(((SQRT((Inputs!$C$52+((Inputs!$H$6+Inputs!$L$6*(((Inputs!$I$6+(((A226)+1)/2)*(Inputs!$J$6-Inputs!$I$6)))/Inputs!$K$6)^2)))^2+Inputs!$C$52^2-2*(Inputs!$C$52+((Inputs!$H$6+Inputs!$L$6*(((Inputs!$I$6+(((A226)+1)/2)*(Inputs!$J$6-Inputs!$I$6)))/Inputs!$K$6)^2)))*Inputs!$C$52*COS(SQRT(((Inputs!$I$6+(((A226)+1)/2)*(Inputs!$J$6-Inputs!$I$6)))^2+Inputs!$C$6^2)/Inputs!$C$52)))-((Inputs!$H$6+Inputs!$L$6*(((Inputs!$I$6+(((A226)+1)/2)*(Inputs!$J$6-Inputs!$I$6)))/Inputs!$K$6)^2)))*1000/Inputs!$C$12)</x:f>
        <x:v>2902.351750049444</x:v>
      </x:c>
      <x:c r="AG226" s="48" t="n">
        <x:f>(((SQRT((Inputs!$C$52+((Inputs!$H$7+Inputs!$L$7*(((Inputs!$I$7+(((A226)+1)/2)*(Inputs!$J$7-Inputs!$I$7)))/Inputs!$K$7)^2)))^2+Inputs!$C$52^2-2*(Inputs!$C$52+((Inputs!$H$7+Inputs!$L$7*(((Inputs!$I$7+(((A226)+1)/2)*(Inputs!$J$7-Inputs!$I$7)))/Inputs!$K$7)^2)))*Inputs!$C$52*COS(SQRT(((Inputs!$I$7+(((A226)+1)/2)*(Inputs!$J$7-Inputs!$I$7)))^2+Inputs!$C$6^2)/Inputs!$C$52)))-((Inputs!$H$7+Inputs!$L$7*(((Inputs!$I$7+(((A226)+1)/2)*(Inputs!$J$7-Inputs!$I$7)))/Inputs!$K$7)^2)))*1000/Inputs!$C$12)</x:f>
        <x:v>101403.50909737479</x:v>
      </x:c>
      <x:c r="AH226" s="48" t="n">
        <x:f>(((SQRT((Inputs!$C$52+((Inputs!$H$8+Inputs!$L$8*(((Inputs!$I$8+(((A226)+1)/2)*(Inputs!$J$8-Inputs!$I$8)))/Inputs!$K$8)^2)))^2+Inputs!$C$52^2-2*(Inputs!$C$52+((Inputs!$H$8+Inputs!$L$8*(((Inputs!$I$8+(((A226)+1)/2)*(Inputs!$J$8-Inputs!$I$8)))/Inputs!$K$8)^2)))*Inputs!$C$52*COS(SQRT(((Inputs!$I$8+(((A226)+1)/2)*(Inputs!$J$8-Inputs!$I$8)))^2+Inputs!$C$6^2)/Inputs!$C$52)))-((Inputs!$H$8+Inputs!$L$8*(((Inputs!$I$8+(((A226)+1)/2)*(Inputs!$J$8-Inputs!$I$8)))/Inputs!$K$8)^2)))*1000/Inputs!$C$12)</x:f>
        <x:v>209124.3190537675</x:v>
      </x:c>
      <x:c r="AI226" s="48" t="n">
        <x:f>(((SQRT((Inputs!$C$52+((Inputs!$H$9+Inputs!$L$9*(((Inputs!$I$9+(((A226)+1)/2)*(Inputs!$J$9-Inputs!$I$9)))/Inputs!$K$9)^2)))^2+Inputs!$C$52^2-2*(Inputs!$C$52+((Inputs!$H$9+Inputs!$L$9*(((Inputs!$I$9+(((A226)+1)/2)*(Inputs!$J$9-Inputs!$I$9)))/Inputs!$K$9)^2)))*Inputs!$C$52*COS(SQRT(((Inputs!$I$9+(((A226)+1)/2)*(Inputs!$J$9-Inputs!$I$9)))^2+Inputs!$C$6^2)/Inputs!$C$52)))-((Inputs!$H$9+Inputs!$L$9*(((Inputs!$I$9+(((A226)+1)/2)*(Inputs!$J$9-Inputs!$I$9)))/Inputs!$K$9)^2)))*1000/Inputs!$C$12)</x:f>
        <x:v>209396.3814820648</x:v>
      </x:c>
      <x:c r="AJ226" s="49"/>
      <x:c r="AK226" s="48" t="n">
        <x:f>A226</x:f>
        <x:v>0.867</x:v>
      </x:c>
      <x:c r="AL226" s="48" t="n">
        <x: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x:f>
        <x:v>-439.6091353933836</x:v>
      </x:c>
      <x:c r="AM226" s="48" t="n">
        <x: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x:f>
        <x:v>-3144.182314863884</x:v>
      </x:c>
      <x:c r="AN226" s="48" t="n">
        <x: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x:f>
        <x:v>-4104.839264486002</x:v>
      </x:c>
      <x:c r="AO226" s="48" t="n">
        <x: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x:f>
        <x:v>-4131.138777329212</x:v>
      </x:c>
      <x:c r="AP226" s="49"/>
      <x:c r="AQ226" s="48" t="n">
        <x:f>A226</x:f>
        <x:v>0.867</x:v>
      </x:c>
      <x:c r="AR226" s="48" t="n">
        <x:f>0</x:f>
        <x:v>0</x:v>
      </x:c>
      <x:c r="AS226" s="48" t="n">
        <x: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(0.45*SIN(2*PI()*((((Inputs!$I$6+(((A226)+1)/2)*(Inputs!$J$6-Inputs!$I$6)))/Inputs!$C$49)+Inputs!$C$47*0.137))+0.35*COS(2*PI()*(((Inputs!$C$6)/Inputs!$C$50)+Inputs!$C$47*0.173))+0.20*SIN(2*PI()*((((Inputs!$I$6+(((A226)+1)/2)*(Inputs!$J$6-Inputs!$I$6)))+(Inputs!$C$6))/(0.5*(Inputs!$C$49+Inputs!$C$50))+Inputs!$C$47*0.097)))+0.30*(2*((SIN((((Inputs!$I$6+(((A226)+1)/2)*(Inputs!$J$6-Inputs!$I$6)))*12.9898+(Inputs!$C$6)*78.233+Inputs!$C$47*37.719))*43758.5453)-INT((SIN((((Inputs!$I$6+(((A226)+1)/2)*(Inputs!$J$6-Inputs!$I$6)))*12.9898+(Inputs!$C$6)*78.233+Inputs!$C$47*37.719))*43758.5453)))-1))),NA())</x:f>
        <x:v>155.46870582364224</x:v>
      </x:c>
      <x:c r="AT226" s="48" t="n">
        <x: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(0.45*SIN(2*PI()*((((Inputs!$I$7+(((A226)+1)/2)*(Inputs!$J$7-Inputs!$I$7)))/Inputs!$C$49)+Inputs!$C$47*0.137))+0.35*COS(2*PI()*(((Inputs!$C$6)/Inputs!$C$50)+Inputs!$C$47*0.173))+0.20*SIN(2*PI()*((((Inputs!$I$7+(((A226)+1)/2)*(Inputs!$J$7-Inputs!$I$7)))+(Inputs!$C$6))/(0.5*(Inputs!$C$49+Inputs!$C$50))+Inputs!$C$47*0.097)))+0.30*(2*((SIN((((Inputs!$I$7+(((A226)+1)/2)*(Inputs!$J$7-Inputs!$I$7)))*12.9898+(Inputs!$C$6)*78.233+Inputs!$C$47*37.719))*43758.5453)-INT((SIN((((Inputs!$I$7+(((A226)+1)/2)*(Inputs!$J$7-Inputs!$I$7)))*12.9898+(Inputs!$C$6)*78.233+Inputs!$C$47*37.719))*43758.5453)))-1))),NA())</x:f>
        <x:v>178.30958863794606</x:v>
      </x:c>
      <x:c r="AU226" s="48" t="n">
        <x: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(0.45*SIN(2*PI()*((((Inputs!$I$8+(((A226)+1)/2)*(Inputs!$J$8-Inputs!$I$8)))/Inputs!$C$49)+Inputs!$C$47*0.137))+0.35*COS(2*PI()*(((Inputs!$C$6)/Inputs!$C$50)+Inputs!$C$47*0.173))+0.20*SIN(2*PI()*((((Inputs!$I$8+(((A226)+1)/2)*(Inputs!$J$8-Inputs!$I$8)))+(Inputs!$C$6))/(0.5*(Inputs!$C$49+Inputs!$C$50))+Inputs!$C$47*0.097)))+0.30*(2*((SIN((((Inputs!$I$8+(((A226)+1)/2)*(Inputs!$J$8-Inputs!$I$8)))*12.9898+(Inputs!$C$6)*78.233+Inputs!$C$47*37.719))*43758.5453)-INT((SIN((((Inputs!$I$8+(((A226)+1)/2)*(Inputs!$J$8-Inputs!$I$8)))*12.9898+(Inputs!$C$6)*78.233+Inputs!$C$47*37.719))*43758.5453)))-1))),NA())</x:f>
        <x:v>95.88525583354524</x:v>
      </x:c>
      <x:c r="AV226" s="48" t="n">
        <x: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(0.45*SIN(2*PI()*((((Inputs!$I$9+(((A226)+1)/2)*(Inputs!$J$9-Inputs!$I$9)))/Inputs!$C$49)+Inputs!$C$47*0.137))+0.35*COS(2*PI()*(((Inputs!$C$6)/Inputs!$C$50)+Inputs!$C$47*0.173))+0.20*SIN(2*PI()*((((Inputs!$I$9+(((A226)+1)/2)*(Inputs!$J$9-Inputs!$I$9)))+(Inputs!$C$6))/(0.5*(Inputs!$C$49+Inputs!$C$50))+Inputs!$C$47*0.097)))+0.30*(2*((SIN((((Inputs!$I$9+(((A226)+1)/2)*(Inputs!$J$9-Inputs!$I$9)))*12.9898+(Inputs!$C$6)*78.233+Inputs!$C$47*37.719))*43758.5453)-INT((SIN((((Inputs!$I$9+(((A226)+1)/2)*(Inputs!$J$9-Inputs!$I$9)))*12.9898+(Inputs!$C$6)*78.233+Inputs!$C$47*37.719))*43758.5453)))-1))),NA())</x:f>
        <x:v>95.88525583354524</x:v>
      </x:c>
      <x:c r="AW226" s="49"/>
      <x:c r="AX226" s="48" t="n">
        <x:f>A226</x:f>
        <x:v>0.867</x:v>
      </x:c>
      <x:c r="AY226" s="48" t="n">
        <x:f>0</x:f>
        <x:v>0</x:v>
      </x:c>
      <x:c r="AZ226" s="48" t="n">
        <x:f>IF(OR(Inputs!$F$6=TRUE,Inputs!$F$6="TRUE",Inputs!$F$6=1),(Inputs!$H$6+Inputs!$L$6*(((Inputs!$I$6+(((A226)+1)/2)*(Inputs!$J$6-Inputs!$I$6)))/Inputs!$K$6)^2),NA())</x:f>
        <x:v>403.006756</x:v>
      </x:c>
      <x:c r="BA226" s="48" t="n">
        <x:f>IF(OR(Inputs!$F$7=TRUE,Inputs!$F$7="TRUE",Inputs!$F$7=1),(Inputs!$H$7+Inputs!$L$7*(((Inputs!$I$7+(((A226)+1)/2)*(Inputs!$J$7-Inputs!$I$7)))/Inputs!$K$7)^2),NA())</x:f>
        <x:v>309.36648499999995</x:v>
      </x:c>
      <x:c r="BB226" s="48" t="n">
        <x:f>IF(OR(Inputs!$F$8=TRUE,Inputs!$F$8="TRUE",Inputs!$F$8=1),(Inputs!$H$8+Inputs!$L$8*(((Inputs!$I$8+(((A226)+1)/2)*(Inputs!$J$8-Inputs!$I$8)))/Inputs!$K$8)^2),NA())</x:f>
        <x:v>760.3798849999998</x:v>
      </x:c>
      <x:c r="BC226" s="48" t="n">
        <x:f>IF(OR(Inputs!$F$9=TRUE,Inputs!$F$9="TRUE",Inputs!$F$9=1),(Inputs!$H$9+Inputs!$L$9*(((Inputs!$I$9+(((A226)+1)/2)*(Inputs!$J$9-Inputs!$I$9)))/Inputs!$K$9)^2),NA())</x:f>
        <x:v>757.8967749999998</x:v>
      </x:c>
      <x:c r="BD226" s="49"/>
      <x:c r="BE226" s="48" t="n">
        <x:f>A226</x:f>
        <x:v>0.867</x:v>
      </x:c>
      <x:c r="BF226" s="48" t="n">
        <x:f>0</x:f>
        <x:v>0</x:v>
      </x:c>
      <x:c r="BG226" s="48"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BH226" s="48"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BI226" s="48"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BJ226" s="48"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row>
    <x:row r="227">
      <x:c r="A227" s="48" t="n">
        <x:f>ROUND(-1+225*2/240,3)</x:f>
        <x:v>0.875</x:v>
      </x:c>
      <x:c r="B227" s="48" t="n">
        <x:f>IF(OR(Inputs!$F$6=TRUE,Inputs!$F$6="TRUE",Inputs!$F$6=1),(Inputs!$H$6+Inputs!$L$6*(((Inputs!$I$6+(((A227)+1)/2)*(Inputs!$J$6-Inputs!$I$6)))/Inputs!$K$6)^2),NA())</x:f>
        <x:v>403.0625</x:v>
      </x:c>
      <x:c r="C227" s="48" t="n">
        <x:f>IF(OR(Inputs!$F$7=TRUE,Inputs!$F$7="TRUE",Inputs!$F$7=1),(Inputs!$H$7+Inputs!$L$7*(((Inputs!$I$7+(((A227)+1)/2)*(Inputs!$J$7-Inputs!$I$7)))/Inputs!$K$7)^2),NA())</x:f>
        <x:v>314.453125</x:v>
      </x:c>
      <x:c r="D227" s="48" t="n">
        <x:f>IF(OR(Inputs!$F$8=TRUE,Inputs!$F$8="TRUE",Inputs!$F$8=1),(Inputs!$H$8+Inputs!$L$8*(((Inputs!$I$8+(((A227)+1)/2)*(Inputs!$J$8-Inputs!$I$8)))/Inputs!$K$8)^2),NA())</x:f>
        <x:v>773.828125</x:v>
      </x:c>
      <x:c r="E227" s="48" t="n">
        <x:f>IF(OR(Inputs!$F$9=TRUE,Inputs!$F$9="TRUE",Inputs!$F$9=1),(Inputs!$H$9+Inputs!$L$9*(((Inputs!$I$9+(((A227)+1)/2)*(Inputs!$J$9-Inputs!$I$9)))/Inputs!$K$9)^2),NA())</x:f>
        <x:v>771.484375</x:v>
      </x:c>
      <x:c r="F227" s="49"/>
      <x:c r="G227" s="48" t="n">
        <x:f>A227</x:f>
        <x:v>0.875</x:v>
      </x:c>
      <x:c r="H227" s="48"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I227" s="48"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J227" s="48"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K227" s="48"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c r="L227" s="49"/>
      <x:c r="M227" s="48" t="n">
        <x:f>A227</x:f>
        <x:v>0.875</x:v>
      </x:c>
      <x:c r="N227" s="48" t="n">
        <x: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x:f>
        <x:v>-443.5608456764333</x:v>
      </x:c>
      <x:c r="O227" s="48" t="n">
        <x: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x:f>
        <x:v>-3166.120827887401</x:v>
      </x:c>
      <x:c r="P227" s="48" t="n">
        <x: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x:f>
        <x:v>-4138.181762629819</x:v>
      </x:c>
      <x:c r="Q227" s="48" t="n">
        <x: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x:f>
        <x:v>-4164.943692380019</x:v>
      </x:c>
      <x:c r="R227" s="49"/>
      <x:c r="S227" s="48" t="n">
        <x:f>A227</x:f>
        <x:v>0.875</x:v>
      </x:c>
      <x:c r="T227" s="48" t="n">
        <x:f>(Inputs!$I$6+(((A227)+1)/2)*(Inputs!$J$6-Inputs!$I$6))</x:f>
        <x:v>52.5</x:v>
      </x:c>
      <x:c r="U227" s="48" t="n">
        <x:f>(Inputs!$I$7+(((A227)+1)/2)*(Inputs!$J$7-Inputs!$I$7))</x:f>
        <x:v>350</x:v>
      </x:c>
      <x:c r="V227" s="48" t="n">
        <x:f>(Inputs!$I$8+(((A227)+1)/2)*(Inputs!$J$8-Inputs!$I$8))</x:f>
        <x:v>700</x:v>
      </x:c>
      <x:c r="W227" s="48" t="n">
        <x:f>(Inputs!$I$9+(((A227)+1)/2)*(Inputs!$J$9-Inputs!$I$9))</x:f>
        <x:v>700</x:v>
      </x:c>
      <x:c r="X227" s="49"/>
      <x:c r="Y227" s="48" t="n">
        <x:f>A227</x:f>
        <x:v>0.875</x:v>
      </x:c>
      <x:c r="Z227" s="48" t="n">
        <x:f>(Inputs!$H$6+Inputs!$L$6*(((Inputs!$I$6+(((A227)+1)/2)*(Inputs!$J$6-Inputs!$I$6)))/Inputs!$K$6)^2)</x:f>
        <x:v>403.0625</x:v>
      </x:c>
      <x:c r="AA227" s="48" t="n">
        <x:f>(Inputs!$H$7+Inputs!$L$7*(((Inputs!$I$7+(((A227)+1)/2)*(Inputs!$J$7-Inputs!$I$7)))/Inputs!$K$7)^2)</x:f>
        <x:v>314.453125</x:v>
      </x:c>
      <x:c r="AB227" s="48" t="n">
        <x:f>(Inputs!$H$8+Inputs!$L$8*(((Inputs!$I$8+(((A227)+1)/2)*(Inputs!$J$8-Inputs!$I$8)))/Inputs!$K$8)^2)</x:f>
        <x:v>773.828125</x:v>
      </x:c>
      <x:c r="AC227" s="48" t="n">
        <x:f>(Inputs!$H$9+Inputs!$L$9*(((Inputs!$I$9+(((A227)+1)/2)*(Inputs!$J$9-Inputs!$I$9)))/Inputs!$K$9)^2)</x:f>
        <x:v>771.484375</x:v>
      </x:c>
      <x:c r="AD227" s="49"/>
      <x:c r="AE227" s="48" t="n">
        <x:f>A227</x:f>
        <x:v>0.875</x:v>
      </x:c>
      <x:c r="AF227" s="48" t="n">
        <x:f>(((SQRT((Inputs!$C$52+((Inputs!$H$6+Inputs!$L$6*(((Inputs!$I$6+(((A227)+1)/2)*(Inputs!$J$6-Inputs!$I$6)))/Inputs!$K$6)^2)))^2+Inputs!$C$52^2-2*(Inputs!$C$52+((Inputs!$H$6+Inputs!$L$6*(((Inputs!$I$6+(((A227)+1)/2)*(Inputs!$J$6-Inputs!$I$6)))/Inputs!$K$6)^2)))*Inputs!$C$52*COS(SQRT(((Inputs!$I$6+(((A227)+1)/2)*(Inputs!$J$6-Inputs!$I$6)))^2+Inputs!$C$6^2)/Inputs!$C$52)))-((Inputs!$H$6+Inputs!$L$6*(((Inputs!$I$6+(((A227)+1)/2)*(Inputs!$J$6-Inputs!$I$6)))/Inputs!$K$6)^2)))*1000/Inputs!$C$12)</x:f>
        <x:v>2945.459371619116</x:v>
      </x:c>
      <x:c r="AG227" s="48" t="n">
        <x:f>(((SQRT((Inputs!$C$52+((Inputs!$H$7+Inputs!$L$7*(((Inputs!$I$7+(((A227)+1)/2)*(Inputs!$J$7-Inputs!$I$7)))/Inputs!$K$7)^2)))^2+Inputs!$C$52^2-2*(Inputs!$C$52+((Inputs!$H$7+Inputs!$L$7*(((Inputs!$I$7+(((A227)+1)/2)*(Inputs!$J$7-Inputs!$I$7)))/Inputs!$K$7)^2)))*Inputs!$C$52*COS(SQRT(((Inputs!$I$7+(((A227)+1)/2)*(Inputs!$J$7-Inputs!$I$7)))^2+Inputs!$C$6^2)/Inputs!$C$52)))-((Inputs!$H$7+Inputs!$L$7*(((Inputs!$I$7+(((A227)+1)/2)*(Inputs!$J$7-Inputs!$I$7)))/Inputs!$K$7)^2)))*1000/Inputs!$C$12)</x:f>
        <x:v>102090.95330766609</x:v>
      </x:c>
      <x:c r="AH227" s="48" t="n">
        <x:f>(((SQRT((Inputs!$C$52+((Inputs!$H$8+Inputs!$L$8*(((Inputs!$I$8+(((A227)+1)/2)*(Inputs!$J$8-Inputs!$I$8)))/Inputs!$K$8)^2)))^2+Inputs!$C$52^2-2*(Inputs!$C$52+((Inputs!$H$8+Inputs!$L$8*(((Inputs!$I$8+(((A227)+1)/2)*(Inputs!$J$8-Inputs!$I$8)))/Inputs!$K$8)^2)))*Inputs!$C$52*COS(SQRT(((Inputs!$I$8+(((A227)+1)/2)*(Inputs!$J$8-Inputs!$I$8)))^2+Inputs!$C$6^2)/Inputs!$C$52)))-((Inputs!$H$8+Inputs!$L$8*(((Inputs!$I$8+(((A227)+1)/2)*(Inputs!$J$8-Inputs!$I$8)))/Inputs!$K$8)^2)))*1000/Inputs!$C$12)</x:f>
        <x:v>210830.93883993546</x:v>
      </x:c>
      <x:c r="AI227" s="48" t="n">
        <x:f>(((SQRT((Inputs!$C$52+((Inputs!$H$9+Inputs!$L$9*(((Inputs!$I$9+(((A227)+1)/2)*(Inputs!$J$9-Inputs!$I$9)))/Inputs!$K$9)^2)))^2+Inputs!$C$52^2-2*(Inputs!$C$52+((Inputs!$H$9+Inputs!$L$9*(((Inputs!$I$9+(((A227)+1)/2)*(Inputs!$J$9-Inputs!$I$9)))/Inputs!$K$9)^2)))*Inputs!$C$52*COS(SQRT(((Inputs!$I$9+(((A227)+1)/2)*(Inputs!$J$9-Inputs!$I$9)))^2+Inputs!$C$6^2)/Inputs!$C$52)))-((Inputs!$H$9+Inputs!$L$9*(((Inputs!$I$9+(((A227)+1)/2)*(Inputs!$J$9-Inputs!$I$9)))/Inputs!$K$9)^2)))*1000/Inputs!$C$12)</x:f>
        <x:v>211084.32912870904</x:v>
      </x:c>
      <x:c r="AJ227" s="49"/>
      <x:c r="AK227" s="48" t="n">
        <x:f>A227</x:f>
        <x:v>0.875</x:v>
      </x:c>
      <x:c r="AL227" s="48" t="n">
        <x: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x:f>
        <x:v>-443.5608456764333</x:v>
      </x:c>
      <x:c r="AM227" s="48" t="n">
        <x: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x:f>
        <x:v>-3166.120827887401</x:v>
      </x:c>
      <x:c r="AN227" s="48" t="n">
        <x: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x:f>
        <x:v>-4138.181762629819</x:v>
      </x:c>
      <x:c r="AO227" s="48" t="n">
        <x: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x:f>
        <x:v>-4164.943692380019</x:v>
      </x:c>
      <x:c r="AP227" s="49"/>
      <x:c r="AQ227" s="48" t="n">
        <x:f>A227</x:f>
        <x:v>0.875</x:v>
      </x:c>
      <x:c r="AR227" s="48" t="n">
        <x:f>0</x:f>
        <x:v>0</x:v>
      </x:c>
      <x:c r="AS227" s="48" t="n">
        <x: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(0.45*SIN(2*PI()*((((Inputs!$I$6+(((A227)+1)/2)*(Inputs!$J$6-Inputs!$I$6)))/Inputs!$C$49)+Inputs!$C$47*0.137))+0.35*COS(2*PI()*(((Inputs!$C$6)/Inputs!$C$50)+Inputs!$C$47*0.173))+0.20*SIN(2*PI()*((((Inputs!$I$6+(((A227)+1)/2)*(Inputs!$J$6-Inputs!$I$6)))+(Inputs!$C$6))/(0.5*(Inputs!$C$49+Inputs!$C$50))+Inputs!$C$47*0.097)))+0.30*(2*((SIN((((Inputs!$I$6+(((A227)+1)/2)*(Inputs!$J$6-Inputs!$I$6)))*12.9898+(Inputs!$C$6)*78.233+Inputs!$C$47*37.719))*43758.5453)-INT((SIN((((Inputs!$I$6+(((A227)+1)/2)*(Inputs!$J$6-Inputs!$I$6)))*12.9898+(Inputs!$C$6)*78.233+Inputs!$C$47*37.719))*43758.5453)))-1))),NA())</x:f>
        <x:v>164.06842387185546</x:v>
      </x:c>
      <x:c r="AT227" s="48" t="n">
        <x: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(0.45*SIN(2*PI()*((((Inputs!$I$7+(((A227)+1)/2)*(Inputs!$J$7-Inputs!$I$7)))/Inputs!$C$49)+Inputs!$C$47*0.137))+0.35*COS(2*PI()*(((Inputs!$C$6)/Inputs!$C$50)+Inputs!$C$47*0.173))+0.20*SIN(2*PI()*((((Inputs!$I$7+(((A227)+1)/2)*(Inputs!$J$7-Inputs!$I$7)))+(Inputs!$C$6))/(0.5*(Inputs!$C$49+Inputs!$C$50))+Inputs!$C$47*0.097)))+0.30*(2*((SIN((((Inputs!$I$7+(((A227)+1)/2)*(Inputs!$J$7-Inputs!$I$7)))*12.9898+(Inputs!$C$6)*78.233+Inputs!$C$47*37.719))*43758.5453)-INT((SIN((((Inputs!$I$7+(((A227)+1)/2)*(Inputs!$J$7-Inputs!$I$7)))*12.9898+(Inputs!$C$6)*78.233+Inputs!$C$47*37.719))*43758.5453)))-1))),NA())</x:f>
        <x:v>184.81425362758165</x:v>
      </x:c>
      <x:c r="AU227" s="48" t="n">
        <x: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(0.45*SIN(2*PI()*((((Inputs!$I$8+(((A227)+1)/2)*(Inputs!$J$8-Inputs!$I$8)))/Inputs!$C$49)+Inputs!$C$47*0.137))+0.35*COS(2*PI()*(((Inputs!$C$6)/Inputs!$C$50)+Inputs!$C$47*0.173))+0.20*SIN(2*PI()*((((Inputs!$I$8+(((A227)+1)/2)*(Inputs!$J$8-Inputs!$I$8)))+(Inputs!$C$6))/(0.5*(Inputs!$C$49+Inputs!$C$50))+Inputs!$C$47*0.097)))+0.30*(2*((SIN((((Inputs!$I$8+(((A227)+1)/2)*(Inputs!$J$8-Inputs!$I$8)))*12.9898+(Inputs!$C$6)*78.233+Inputs!$C$47*37.719))*43758.5453)-INT((SIN((((Inputs!$I$8+(((A227)+1)/2)*(Inputs!$J$8-Inputs!$I$8)))*12.9898+(Inputs!$C$6)*78.233+Inputs!$C$47*37.719))*43758.5453)))-1))),NA())</x:f>
        <x:v>121.16457924581657</x:v>
      </x:c>
      <x:c r="AV227" s="48" t="n">
        <x: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(0.45*SIN(2*PI()*((((Inputs!$I$9+(((A227)+1)/2)*(Inputs!$J$9-Inputs!$I$9)))/Inputs!$C$49)+Inputs!$C$47*0.137))+0.35*COS(2*PI()*(((Inputs!$C$6)/Inputs!$C$50)+Inputs!$C$47*0.173))+0.20*SIN(2*PI()*((((Inputs!$I$9+(((A227)+1)/2)*(Inputs!$J$9-Inputs!$I$9)))+(Inputs!$C$6))/(0.5*(Inputs!$C$49+Inputs!$C$50))+Inputs!$C$47*0.097)))+0.30*(2*((SIN((((Inputs!$I$9+(((A227)+1)/2)*(Inputs!$J$9-Inputs!$I$9)))*12.9898+(Inputs!$C$6)*78.233+Inputs!$C$47*37.719))*43758.5453)-INT((SIN((((Inputs!$I$9+(((A227)+1)/2)*(Inputs!$J$9-Inputs!$I$9)))*12.9898+(Inputs!$C$6)*78.233+Inputs!$C$47*37.719))*43758.5453)))-1))),NA())</x:f>
        <x:v>121.16457924581657</x:v>
      </x:c>
      <x:c r="AW227" s="49"/>
      <x:c r="AX227" s="48" t="n">
        <x:f>A227</x:f>
        <x:v>0.875</x:v>
      </x:c>
      <x:c r="AY227" s="48" t="n">
        <x:f>0</x:f>
        <x:v>0</x:v>
      </x:c>
      <x:c r="AZ227" s="48" t="n">
        <x:f>IF(OR(Inputs!$F$6=TRUE,Inputs!$F$6="TRUE",Inputs!$F$6=1),(Inputs!$H$6+Inputs!$L$6*(((Inputs!$I$6+(((A227)+1)/2)*(Inputs!$J$6-Inputs!$I$6)))/Inputs!$K$6)^2),NA())</x:f>
        <x:v>403.0625</x:v>
      </x:c>
      <x:c r="BA227" s="48" t="n">
        <x:f>IF(OR(Inputs!$F$7=TRUE,Inputs!$F$7="TRUE",Inputs!$F$7=1),(Inputs!$H$7+Inputs!$L$7*(((Inputs!$I$7+(((A227)+1)/2)*(Inputs!$J$7-Inputs!$I$7)))/Inputs!$K$7)^2),NA())</x:f>
        <x:v>314.453125</x:v>
      </x:c>
      <x:c r="BB227" s="48" t="n">
        <x:f>IF(OR(Inputs!$F$8=TRUE,Inputs!$F$8="TRUE",Inputs!$F$8=1),(Inputs!$H$8+Inputs!$L$8*(((Inputs!$I$8+(((A227)+1)/2)*(Inputs!$J$8-Inputs!$I$8)))/Inputs!$K$8)^2),NA())</x:f>
        <x:v>773.828125</x:v>
      </x:c>
      <x:c r="BC227" s="48" t="n">
        <x:f>IF(OR(Inputs!$F$9=TRUE,Inputs!$F$9="TRUE",Inputs!$F$9=1),(Inputs!$H$9+Inputs!$L$9*(((Inputs!$I$9+(((A227)+1)/2)*(Inputs!$J$9-Inputs!$I$9)))/Inputs!$K$9)^2),NA())</x:f>
        <x:v>771.484375</x:v>
      </x:c>
      <x:c r="BD227" s="49"/>
      <x:c r="BE227" s="48" t="n">
        <x:f>A227</x:f>
        <x:v>0.875</x:v>
      </x:c>
      <x:c r="BF227" s="48" t="n">
        <x:f>0</x:f>
        <x:v>0</x:v>
      </x:c>
      <x:c r="BG227" s="48"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BH227" s="48"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BI227" s="48"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BJ227" s="48"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row>
    <x:row r="228">
      <x:c r="A228" s="48" t="n">
        <x:f>ROUND(-1+226*2/240,3)</x:f>
        <x:v>0.883</x:v>
      </x:c>
      <x:c r="B228" s="48" t="n">
        <x:f>IF(OR(Inputs!$F$6=TRUE,Inputs!$F$6="TRUE",Inputs!$F$6=1),(Inputs!$H$6+Inputs!$L$6*(((Inputs!$I$6+(((A228)+1)/2)*(Inputs!$J$6-Inputs!$I$6)))/Inputs!$K$6)^2),NA())</x:f>
        <x:v>403.118756</x:v>
      </x:c>
      <x:c r="C228" s="48" t="n">
        <x:f>IF(OR(Inputs!$F$7=TRUE,Inputs!$F$7="TRUE",Inputs!$F$7=1),(Inputs!$H$7+Inputs!$L$7*(((Inputs!$I$7+(((A228)+1)/2)*(Inputs!$J$7-Inputs!$I$7)))/Inputs!$K$7)^2),NA())</x:f>
        <x:v>319.5864850000001</x:v>
      </x:c>
      <x:c r="D228" s="48" t="n">
        <x:f>IF(OR(Inputs!$F$8=TRUE,Inputs!$F$8="TRUE",Inputs!$F$8=1),(Inputs!$H$8+Inputs!$L$8*(((Inputs!$I$8+(((A228)+1)/2)*(Inputs!$J$8-Inputs!$I$8)))/Inputs!$K$8)^2),NA())</x:f>
        <x:v>787.3998850000002</x:v>
      </x:c>
      <x:c r="E228" s="48" t="n">
        <x:f>IF(OR(Inputs!$F$9=TRUE,Inputs!$F$9="TRUE",Inputs!$F$9=1),(Inputs!$H$9+Inputs!$L$9*(((Inputs!$I$9+(((A228)+1)/2)*(Inputs!$J$9-Inputs!$I$9)))/Inputs!$K$9)^2),NA())</x:f>
        <x:v>785.1967750000002</x:v>
      </x:c>
      <x:c r="F228" s="49"/>
      <x:c r="G228" s="48" t="n">
        <x:f>A228</x:f>
        <x:v>0.883</x:v>
      </x:c>
      <x:c r="H228" s="48"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I228" s="48"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J228" s="48"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K228" s="48"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c r="L228" s="49"/>
      <x:c r="M228" s="48" t="n">
        <x:f>A228</x:f>
        <x:v>0.883</x:v>
      </x:c>
      <x:c r="N228" s="48" t="n">
        <x: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x:f>
        <x:v>-447.5097761849919</x:v>
      </x:c>
      <x:c r="O228" s="48" t="n">
        <x: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x:f>
        <x:v>-3188.133367580129</x:v>
      </x:c>
      <x:c r="P228" s="48" t="n">
        <x: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x:f>
        <x:v>-4171.579856088529</x:v>
      </x:c>
      <x:c r="Q228" s="48" t="n">
        <x: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x:f>
        <x:v>-4198.802091520726</x:v>
      </x:c>
      <x:c r="R228" s="49"/>
      <x:c r="S228" s="48" t="n">
        <x:f>A228</x:f>
        <x:v>0.883</x:v>
      </x:c>
      <x:c r="T228" s="48" t="n">
        <x:f>(Inputs!$I$6+(((A228)+1)/2)*(Inputs!$J$6-Inputs!$I$6))</x:f>
        <x:v>52.980000000000004</x:v>
      </x:c>
      <x:c r="U228" s="48" t="n">
        <x:f>(Inputs!$I$7+(((A228)+1)/2)*(Inputs!$J$7-Inputs!$I$7))</x:f>
        <x:v>353.20000000000005</x:v>
      </x:c>
      <x:c r="V228" s="48" t="n">
        <x:f>(Inputs!$I$8+(((A228)+1)/2)*(Inputs!$J$8-Inputs!$I$8))</x:f>
        <x:v>706.4000000000001</x:v>
      </x:c>
      <x:c r="W228" s="48" t="n">
        <x:f>(Inputs!$I$9+(((A228)+1)/2)*(Inputs!$J$9-Inputs!$I$9))</x:f>
        <x:v>706.4000000000001</x:v>
      </x:c>
      <x:c r="X228" s="49"/>
      <x:c r="Y228" s="48" t="n">
        <x:f>A228</x:f>
        <x:v>0.883</x:v>
      </x:c>
      <x:c r="Z228" s="48" t="n">
        <x:f>(Inputs!$H$6+Inputs!$L$6*(((Inputs!$I$6+(((A228)+1)/2)*(Inputs!$J$6-Inputs!$I$6)))/Inputs!$K$6)^2)</x:f>
        <x:v>403.118756</x:v>
      </x:c>
      <x:c r="AA228" s="48" t="n">
        <x:f>(Inputs!$H$7+Inputs!$L$7*(((Inputs!$I$7+(((A228)+1)/2)*(Inputs!$J$7-Inputs!$I$7)))/Inputs!$K$7)^2)</x:f>
        <x:v>319.5864850000001</x:v>
      </x:c>
      <x:c r="AB228" s="48" t="n">
        <x:f>(Inputs!$H$8+Inputs!$L$8*(((Inputs!$I$8+(((A228)+1)/2)*(Inputs!$J$8-Inputs!$I$8)))/Inputs!$K$8)^2)</x:f>
        <x:v>787.3998850000002</x:v>
      </x:c>
      <x:c r="AC228" s="48" t="n">
        <x:f>(Inputs!$H$9+Inputs!$L$9*(((Inputs!$I$9+(((A228)+1)/2)*(Inputs!$J$9-Inputs!$I$9)))/Inputs!$K$9)^2)</x:f>
        <x:v>785.1967750000002</x:v>
      </x:c>
      <x:c r="AD228" s="49"/>
      <x:c r="AE228" s="48" t="n">
        <x:f>A228</x:f>
        <x:v>0.883</x:v>
      </x:c>
      <x:c r="AF228" s="48" t="n">
        <x:f>(((SQRT((Inputs!$C$52+((Inputs!$H$6+Inputs!$L$6*(((Inputs!$I$6+(((A228)+1)/2)*(Inputs!$J$6-Inputs!$I$6)))/Inputs!$K$6)^2)))^2+Inputs!$C$52^2-2*(Inputs!$C$52+((Inputs!$H$6+Inputs!$L$6*(((Inputs!$I$6+(((A228)+1)/2)*(Inputs!$J$6-Inputs!$I$6)))/Inputs!$K$6)^2)))*Inputs!$C$52*COS(SQRT(((Inputs!$I$6+(((A228)+1)/2)*(Inputs!$J$6-Inputs!$I$6)))^2+Inputs!$C$6^2)/Inputs!$C$52)))-((Inputs!$H$6+Inputs!$L$6*(((Inputs!$I$6+(((A228)+1)/2)*(Inputs!$J$6-Inputs!$I$6)))/Inputs!$K$6)^2)))*1000/Inputs!$C$12)</x:f>
        <x:v>2988.9451373688594</x:v>
      </x:c>
      <x:c r="AG228" s="48" t="n">
        <x:f>(((SQRT((Inputs!$C$52+((Inputs!$H$7+Inputs!$L$7*(((Inputs!$I$7+(((A228)+1)/2)*(Inputs!$J$7-Inputs!$I$7)))/Inputs!$K$7)^2)))^2+Inputs!$C$52^2-2*(Inputs!$C$52+((Inputs!$H$7+Inputs!$L$7*(((Inputs!$I$7+(((A228)+1)/2)*(Inputs!$J$7-Inputs!$I$7)))/Inputs!$K$7)^2)))*Inputs!$C$52*COS(SQRT(((Inputs!$I$7+(((A228)+1)/2)*(Inputs!$J$7-Inputs!$I$7)))^2+Inputs!$C$6^2)/Inputs!$C$52)))-((Inputs!$H$7+Inputs!$L$7*(((Inputs!$I$7+(((A228)+1)/2)*(Inputs!$J$7-Inputs!$I$7)))/Inputs!$K$7)^2)))*1000/Inputs!$C$12)</x:f>
        <x:v>102776.84205371488</x:v>
      </x:c>
      <x:c r="AH228" s="48" t="n">
        <x:f>(((SQRT((Inputs!$C$52+((Inputs!$H$8+Inputs!$L$8*(((Inputs!$I$8+(((A228)+1)/2)*(Inputs!$J$8-Inputs!$I$8)))/Inputs!$K$8)^2)))^2+Inputs!$C$52^2-2*(Inputs!$C$52+((Inputs!$H$8+Inputs!$L$8*(((Inputs!$I$8+(((A228)+1)/2)*(Inputs!$J$8-Inputs!$I$8)))/Inputs!$K$8)^2)))*Inputs!$C$52*COS(SQRT(((Inputs!$I$8+(((A228)+1)/2)*(Inputs!$J$8-Inputs!$I$8)))^2+Inputs!$C$6^2)/Inputs!$C$52)))-((Inputs!$H$8+Inputs!$L$8*(((Inputs!$I$8+(((A228)+1)/2)*(Inputs!$J$8-Inputs!$I$8)))/Inputs!$K$8)^2)))*1000/Inputs!$C$12)</x:f>
        <x:v>212543.15513578657</x:v>
      </x:c>
      <x:c r="AI228" s="48" t="n">
        <x:f>(((SQRT((Inputs!$C$52+((Inputs!$H$9+Inputs!$L$9*(((Inputs!$I$9+(((A228)+1)/2)*(Inputs!$J$9-Inputs!$I$9)))/Inputs!$K$9)^2)))^2+Inputs!$C$52^2-2*(Inputs!$C$52+((Inputs!$H$9+Inputs!$L$9*(((Inputs!$I$9+(((A228)+1)/2)*(Inputs!$J$9-Inputs!$I$9)))/Inputs!$K$9)^2)))*Inputs!$C$52*COS(SQRT(((Inputs!$I$9+(((A228)+1)/2)*(Inputs!$J$9-Inputs!$I$9)))^2+Inputs!$C$6^2)/Inputs!$C$52)))-((Inputs!$H$9+Inputs!$L$9*(((Inputs!$I$9+(((A228)+1)/2)*(Inputs!$J$9-Inputs!$I$9)))/Inputs!$K$9)^2)))*1000/Inputs!$C$12)</x:f>
        <x:v>212778.19094778312</x:v>
      </x:c>
      <x:c r="AJ228" s="49"/>
      <x:c r="AK228" s="48" t="n">
        <x:f>A228</x:f>
        <x:v>0.883</x:v>
      </x:c>
      <x:c r="AL228" s="48" t="n">
        <x: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x:f>
        <x:v>-447.5097761849919</x:v>
      </x:c>
      <x:c r="AM228" s="48" t="n">
        <x: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x:f>
        <x:v>-3188.133367580129</x:v>
      </x:c>
      <x:c r="AN228" s="48" t="n">
        <x: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x:f>
        <x:v>-4171.579856088529</x:v>
      </x:c>
      <x:c r="AO228" s="48" t="n">
        <x: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x:f>
        <x:v>-4198.802091520726</x:v>
      </x:c>
      <x:c r="AP228" s="49"/>
      <x:c r="AQ228" s="48" t="n">
        <x:f>A228</x:f>
        <x:v>0.883</x:v>
      </x:c>
      <x:c r="AR228" s="48" t="n">
        <x:f>0</x:f>
        <x:v>0</x:v>
      </x:c>
      <x:c r="AS228" s="48" t="n">
        <x: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(0.45*SIN(2*PI()*((((Inputs!$I$6+(((A228)+1)/2)*(Inputs!$J$6-Inputs!$I$6)))/Inputs!$C$49)+Inputs!$C$47*0.137))+0.35*COS(2*PI()*(((Inputs!$C$6)/Inputs!$C$50)+Inputs!$C$47*0.173))+0.20*SIN(2*PI()*((((Inputs!$I$6+(((A228)+1)/2)*(Inputs!$J$6-Inputs!$I$6)))+(Inputs!$C$6))/(0.5*(Inputs!$C$49+Inputs!$C$50))+Inputs!$C$47*0.097)))+0.30*(2*((SIN((((Inputs!$I$6+(((A228)+1)/2)*(Inputs!$J$6-Inputs!$I$6)))*12.9898+(Inputs!$C$6)*78.233+Inputs!$C$47*37.719))*43758.5453)-INT((SIN((((Inputs!$I$6+(((A228)+1)/2)*(Inputs!$J$6-Inputs!$I$6)))*12.9898+(Inputs!$C$6)*78.233+Inputs!$C$47*37.719))*43758.5453)))-1))),NA())</x:f>
        <x:v>161.34757660211056</x:v>
      </x:c>
      <x:c r="AT228" s="48" t="n">
        <x: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(0.45*SIN(2*PI()*((((Inputs!$I$7+(((A228)+1)/2)*(Inputs!$J$7-Inputs!$I$7)))/Inputs!$C$49)+Inputs!$C$47*0.137))+0.35*COS(2*PI()*(((Inputs!$C$6)/Inputs!$C$50)+Inputs!$C$47*0.173))+0.20*SIN(2*PI()*((((Inputs!$I$7+(((A228)+1)/2)*(Inputs!$J$7-Inputs!$I$7)))+(Inputs!$C$6))/(0.5*(Inputs!$C$49+Inputs!$C$50))+Inputs!$C$47*0.097)))+0.30*(2*((SIN((((Inputs!$I$7+(((A228)+1)/2)*(Inputs!$J$7-Inputs!$I$7)))*12.9898+(Inputs!$C$6)*78.233+Inputs!$C$47*37.719))*43758.5453)-INT((SIN((((Inputs!$I$7+(((A228)+1)/2)*(Inputs!$J$7-Inputs!$I$7)))*12.9898+(Inputs!$C$6)*78.233+Inputs!$C$47*37.719))*43758.5453)))-1))),NA())</x:f>
        <x:v>124.77149015066324</x:v>
      </x:c>
      <x:c r="AU228" s="48" t="n">
        <x: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(0.45*SIN(2*PI()*((((Inputs!$I$8+(((A228)+1)/2)*(Inputs!$J$8-Inputs!$I$8)))/Inputs!$C$49)+Inputs!$C$47*0.137))+0.35*COS(2*PI()*(((Inputs!$C$6)/Inputs!$C$50)+Inputs!$C$47*0.173))+0.20*SIN(2*PI()*((((Inputs!$I$8+(((A228)+1)/2)*(Inputs!$J$8-Inputs!$I$8)))+(Inputs!$C$6))/(0.5*(Inputs!$C$49+Inputs!$C$50))+Inputs!$C$47*0.097)))+0.30*(2*((SIN((((Inputs!$I$8+(((A228)+1)/2)*(Inputs!$J$8-Inputs!$I$8)))*12.9898+(Inputs!$C$6)*78.233+Inputs!$C$47*37.719))*43758.5453)-INT((SIN((((Inputs!$I$8+(((A228)+1)/2)*(Inputs!$J$8-Inputs!$I$8)))*12.9898+(Inputs!$C$6)*78.233+Inputs!$C$47*37.719))*43758.5453)))-1))),NA())</x:f>
        <x:v>183.4161636883259</x:v>
      </x:c>
      <x:c r="AV228" s="48" t="n">
        <x: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(0.45*SIN(2*PI()*((((Inputs!$I$9+(((A228)+1)/2)*(Inputs!$J$9-Inputs!$I$9)))/Inputs!$C$49)+Inputs!$C$47*0.137))+0.35*COS(2*PI()*(((Inputs!$C$6)/Inputs!$C$50)+Inputs!$C$47*0.173))+0.20*SIN(2*PI()*((((Inputs!$I$9+(((A228)+1)/2)*(Inputs!$J$9-Inputs!$I$9)))+(Inputs!$C$6))/(0.5*(Inputs!$C$49+Inputs!$C$50))+Inputs!$C$47*0.097)))+0.30*(2*((SIN((((Inputs!$I$9+(((A228)+1)/2)*(Inputs!$J$9-Inputs!$I$9)))*12.9898+(Inputs!$C$6)*78.233+Inputs!$C$47*37.719))*43758.5453)-INT((SIN((((Inputs!$I$9+(((A228)+1)/2)*(Inputs!$J$9-Inputs!$I$9)))*12.9898+(Inputs!$C$6)*78.233+Inputs!$C$47*37.719))*43758.5453)))-1))),NA())</x:f>
        <x:v>183.4161636883259</x:v>
      </x:c>
      <x:c r="AW228" s="49"/>
      <x:c r="AX228" s="48" t="n">
        <x:f>A228</x:f>
        <x:v>0.883</x:v>
      </x:c>
      <x:c r="AY228" s="48" t="n">
        <x:f>0</x:f>
        <x:v>0</x:v>
      </x:c>
      <x:c r="AZ228" s="48" t="n">
        <x:f>IF(OR(Inputs!$F$6=TRUE,Inputs!$F$6="TRUE",Inputs!$F$6=1),(Inputs!$H$6+Inputs!$L$6*(((Inputs!$I$6+(((A228)+1)/2)*(Inputs!$J$6-Inputs!$I$6)))/Inputs!$K$6)^2),NA())</x:f>
        <x:v>403.118756</x:v>
      </x:c>
      <x:c r="BA228" s="48" t="n">
        <x:f>IF(OR(Inputs!$F$7=TRUE,Inputs!$F$7="TRUE",Inputs!$F$7=1),(Inputs!$H$7+Inputs!$L$7*(((Inputs!$I$7+(((A228)+1)/2)*(Inputs!$J$7-Inputs!$I$7)))/Inputs!$K$7)^2),NA())</x:f>
        <x:v>319.5864850000001</x:v>
      </x:c>
      <x:c r="BB228" s="48" t="n">
        <x:f>IF(OR(Inputs!$F$8=TRUE,Inputs!$F$8="TRUE",Inputs!$F$8=1),(Inputs!$H$8+Inputs!$L$8*(((Inputs!$I$8+(((A228)+1)/2)*(Inputs!$J$8-Inputs!$I$8)))/Inputs!$K$8)^2),NA())</x:f>
        <x:v>787.3998850000002</x:v>
      </x:c>
      <x:c r="BC228" s="48" t="n">
        <x:f>IF(OR(Inputs!$F$9=TRUE,Inputs!$F$9="TRUE",Inputs!$F$9=1),(Inputs!$H$9+Inputs!$L$9*(((Inputs!$I$9+(((A228)+1)/2)*(Inputs!$J$9-Inputs!$I$9)))/Inputs!$K$9)^2),NA())</x:f>
        <x:v>785.1967750000002</x:v>
      </x:c>
      <x:c r="BD228" s="49"/>
      <x:c r="BE228" s="48" t="n">
        <x:f>A228</x:f>
        <x:v>0.883</x:v>
      </x:c>
      <x:c r="BF228" s="48" t="n">
        <x:f>0</x:f>
        <x:v>0</x:v>
      </x:c>
      <x:c r="BG228" s="48"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BH228" s="48"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BI228" s="48"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BJ228" s="48"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row>
    <x:row r="229">
      <x:c r="A229" s="48" t="n">
        <x:f>ROUND(-1+227*2/240,3)</x:f>
        <x:v>0.892</x:v>
      </x:c>
      <x:c r="B229" s="48" t="n">
        <x:f>IF(OR(Inputs!$F$6=TRUE,Inputs!$F$6="TRUE",Inputs!$F$6=1),(Inputs!$H$6+Inputs!$L$6*(((Inputs!$I$6+(((A229)+1)/2)*(Inputs!$J$6-Inputs!$I$6)))/Inputs!$K$6)^2),NA())</x:f>
        <x:v>403.182656</x:v>
      </x:c>
      <x:c r="C229" s="48" t="n">
        <x:f>IF(OR(Inputs!$F$7=TRUE,Inputs!$F$7="TRUE",Inputs!$F$7=1),(Inputs!$H$7+Inputs!$L$7*(((Inputs!$I$7+(((A229)+1)/2)*(Inputs!$J$7-Inputs!$I$7)))/Inputs!$K$7)^2),NA())</x:f>
        <x:v>325.4173599999999</x:v>
      </x:c>
      <x:c r="D229" s="48" t="n">
        <x:f>IF(OR(Inputs!$F$8=TRUE,Inputs!$F$8="TRUE",Inputs!$F$8=1),(Inputs!$H$8+Inputs!$L$8*(((Inputs!$I$8+(((A229)+1)/2)*(Inputs!$J$8-Inputs!$I$8)))/Inputs!$K$8)^2),NA())</x:f>
        <x:v>802.8157599999998</x:v>
      </x:c>
      <x:c r="E229" s="48" t="n">
        <x:f>IF(OR(Inputs!$F$9=TRUE,Inputs!$F$9="TRUE",Inputs!$F$9=1),(Inputs!$H$9+Inputs!$L$9*(((Inputs!$I$9+(((A229)+1)/2)*(Inputs!$J$9-Inputs!$I$9)))/Inputs!$K$9)^2),NA())</x:f>
        <x:v>800.7723999999998</x:v>
      </x:c>
      <x:c r="F229" s="49"/>
      <x:c r="G229" s="48" t="n">
        <x:f>A229</x:f>
        <x:v>0.892</x:v>
      </x:c>
      <x:c r="H229" s="48"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I229" s="48"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J229" s="48"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K229" s="48"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c r="L229" s="49"/>
      <x:c r="M229" s="48" t="n">
        <x:f>A229</x:f>
        <x:v>0.892</x:v>
      </x:c>
      <x:c r="N229" s="48" t="n">
        <x: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x:f>
        <x:v>-451.94897438622047</x:v>
      </x:c>
      <x:c r="O229" s="48" t="n">
        <x: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x:f>
        <x:v>-3212.984320478493</x:v>
      </x:c>
      <x:c r="P229" s="48" t="n">
        <x: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x:f>
        <x:v>-4209.216940133514</x:v>
      </x:c>
      <x:c r="Q229" s="48" t="n">
        <x: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x:f>
        <x:v>-4236.954517109988</x:v>
      </x:c>
      <x:c r="R229" s="49"/>
      <x:c r="S229" s="48" t="n">
        <x:f>A229</x:f>
        <x:v>0.892</x:v>
      </x:c>
      <x:c r="T229" s="48" t="n">
        <x:f>(Inputs!$I$6+(((A229)+1)/2)*(Inputs!$J$6-Inputs!$I$6))</x:f>
        <x:v>53.519999999999996</x:v>
      </x:c>
      <x:c r="U229" s="48" t="n">
        <x:f>(Inputs!$I$7+(((A229)+1)/2)*(Inputs!$J$7-Inputs!$I$7))</x:f>
        <x:v>356.79999999999995</x:v>
      </x:c>
      <x:c r="V229" s="48" t="n">
        <x:f>(Inputs!$I$8+(((A229)+1)/2)*(Inputs!$J$8-Inputs!$I$8))</x:f>
        <x:v>713.5999999999999</x:v>
      </x:c>
      <x:c r="W229" s="48" t="n">
        <x:f>(Inputs!$I$9+(((A229)+1)/2)*(Inputs!$J$9-Inputs!$I$9))</x:f>
        <x:v>713.5999999999999</x:v>
      </x:c>
      <x:c r="X229" s="49"/>
      <x:c r="Y229" s="48" t="n">
        <x:f>A229</x:f>
        <x:v>0.892</x:v>
      </x:c>
      <x:c r="Z229" s="48" t="n">
        <x:f>(Inputs!$H$6+Inputs!$L$6*(((Inputs!$I$6+(((A229)+1)/2)*(Inputs!$J$6-Inputs!$I$6)))/Inputs!$K$6)^2)</x:f>
        <x:v>403.182656</x:v>
      </x:c>
      <x:c r="AA229" s="48" t="n">
        <x:f>(Inputs!$H$7+Inputs!$L$7*(((Inputs!$I$7+(((A229)+1)/2)*(Inputs!$J$7-Inputs!$I$7)))/Inputs!$K$7)^2)</x:f>
        <x:v>325.4173599999999</x:v>
      </x:c>
      <x:c r="AB229" s="48" t="n">
        <x:f>(Inputs!$H$8+Inputs!$L$8*(((Inputs!$I$8+(((A229)+1)/2)*(Inputs!$J$8-Inputs!$I$8)))/Inputs!$K$8)^2)</x:f>
        <x:v>802.8157599999998</x:v>
      </x:c>
      <x:c r="AC229" s="48" t="n">
        <x:f>(Inputs!$H$9+Inputs!$L$9*(((Inputs!$I$9+(((A229)+1)/2)*(Inputs!$J$9-Inputs!$I$9)))/Inputs!$K$9)^2)</x:f>
        <x:v>800.7723999999998</x:v>
      </x:c>
      <x:c r="AD229" s="49"/>
      <x:c r="AE229" s="48" t="n">
        <x:f>A229</x:f>
        <x:v>0.892</x:v>
      </x:c>
      <x:c r="AF229" s="48" t="n">
        <x:f>(((SQRT((Inputs!$C$52+((Inputs!$H$6+Inputs!$L$6*(((Inputs!$I$6+(((A229)+1)/2)*(Inputs!$J$6-Inputs!$I$6)))/Inputs!$K$6)^2)))^2+Inputs!$C$52^2-2*(Inputs!$C$52+((Inputs!$H$6+Inputs!$L$6*(((Inputs!$I$6+(((A229)+1)/2)*(Inputs!$J$6-Inputs!$I$6)))/Inputs!$K$6)^2)))*Inputs!$C$52*COS(SQRT(((Inputs!$I$6+(((A229)+1)/2)*(Inputs!$J$6-Inputs!$I$6)))^2+Inputs!$C$6^2)/Inputs!$C$52)))-((Inputs!$H$6+Inputs!$L$6*(((Inputs!$I$6+(((A229)+1)/2)*(Inputs!$J$6-Inputs!$I$6)))/Inputs!$K$6)^2)))*1000/Inputs!$C$12)</x:f>
        <x:v>3038.3180386405807</x:v>
      </x:c>
      <x:c r="AG229" s="48" t="n">
        <x:f>(((SQRT((Inputs!$C$52+((Inputs!$H$7+Inputs!$L$7*(((Inputs!$I$7+(((A229)+1)/2)*(Inputs!$J$7-Inputs!$I$7)))/Inputs!$K$7)^2)))^2+Inputs!$C$52^2-2*(Inputs!$C$52+((Inputs!$H$7+Inputs!$L$7*(((Inputs!$I$7+(((A229)+1)/2)*(Inputs!$J$7-Inputs!$I$7)))/Inputs!$K$7)^2)))*Inputs!$C$52*COS(SQRT(((Inputs!$I$7+(((A229)+1)/2)*(Inputs!$J$7-Inputs!$I$7)))^2+Inputs!$C$6^2)/Inputs!$C$52)))-((Inputs!$H$7+Inputs!$L$7*(((Inputs!$I$7+(((A229)+1)/2)*(Inputs!$J$7-Inputs!$I$7)))/Inputs!$K$7)^2)))*1000/Inputs!$C$12)</x:f>
        <x:v>103546.71021044374</x:v>
      </x:c>
      <x:c r="AH229" s="48" t="n">
        <x:f>(((SQRT((Inputs!$C$52+((Inputs!$H$8+Inputs!$L$8*(((Inputs!$I$8+(((A229)+1)/2)*(Inputs!$J$8-Inputs!$I$8)))/Inputs!$K$8)^2)))^2+Inputs!$C$52^2-2*(Inputs!$C$52+((Inputs!$H$8+Inputs!$L$8*(((Inputs!$I$8+(((A229)+1)/2)*(Inputs!$J$8-Inputs!$I$8)))/Inputs!$K$8)^2)))*Inputs!$C$52*COS(SQRT(((Inputs!$I$8+(((A229)+1)/2)*(Inputs!$J$8-Inputs!$I$8)))^2+Inputs!$C$6^2)/Inputs!$C$52)))-((Inputs!$H$8+Inputs!$L$8*(((Inputs!$I$8+(((A229)+1)/2)*(Inputs!$J$8-Inputs!$I$8)))/Inputs!$K$8)^2)))*1000/Inputs!$C$12)</x:f>
        <x:v>214476.24093521526</x:v>
      </x:c>
      <x:c r="AI229" s="48" t="n">
        <x:f>(((SQRT((Inputs!$C$52+((Inputs!$H$9+Inputs!$L$9*(((Inputs!$I$9+(((A229)+1)/2)*(Inputs!$J$9-Inputs!$I$9)))/Inputs!$K$9)^2)))^2+Inputs!$C$52^2-2*(Inputs!$C$52+((Inputs!$H$9+Inputs!$L$9*(((Inputs!$I$9+(((A229)+1)/2)*(Inputs!$J$9-Inputs!$I$9)))/Inputs!$K$9)^2)))*Inputs!$C$52*COS(SQRT(((Inputs!$I$9+(((A229)+1)/2)*(Inputs!$J$9-Inputs!$I$9)))^2+Inputs!$C$6^2)/Inputs!$C$52)))-((Inputs!$H$9+Inputs!$L$9*(((Inputs!$I$9+(((A229)+1)/2)*(Inputs!$J$9-Inputs!$I$9)))/Inputs!$K$9)^2)))*1000/Inputs!$C$12)</x:f>
        <x:v>214691.0017849173</x:v>
      </x:c>
      <x:c r="AJ229" s="49"/>
      <x:c r="AK229" s="48" t="n">
        <x:f>A229</x:f>
        <x:v>0.892</x:v>
      </x:c>
      <x:c r="AL229" s="48" t="n">
        <x: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x:f>
        <x:v>-451.94897438622047</x:v>
      </x:c>
      <x:c r="AM229" s="48" t="n">
        <x: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x:f>
        <x:v>-3212.984320478493</x:v>
      </x:c>
      <x:c r="AN229" s="48" t="n">
        <x: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x:f>
        <x:v>-4209.216940133514</x:v>
      </x:c>
      <x:c r="AO229" s="48" t="n">
        <x: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x:f>
        <x:v>-4236.954517109988</x:v>
      </x:c>
      <x:c r="AP229" s="49"/>
      <x:c r="AQ229" s="48" t="n">
        <x:f>A229</x:f>
        <x:v>0.892</x:v>
      </x:c>
      <x:c r="AR229" s="48" t="n">
        <x:f>0</x:f>
        <x:v>0</x:v>
      </x:c>
      <x:c r="AS229" s="48" t="n">
        <x: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(0.45*SIN(2*PI()*((((Inputs!$I$6+(((A229)+1)/2)*(Inputs!$J$6-Inputs!$I$6)))/Inputs!$C$49)+Inputs!$C$47*0.137))+0.35*COS(2*PI()*(((Inputs!$C$6)/Inputs!$C$50)+Inputs!$C$47*0.173))+0.20*SIN(2*PI()*((((Inputs!$I$6+(((A229)+1)/2)*(Inputs!$J$6-Inputs!$I$6)))+(Inputs!$C$6))/(0.5*(Inputs!$C$49+Inputs!$C$50))+Inputs!$C$47*0.097)))+0.30*(2*((SIN((((Inputs!$I$6+(((A229)+1)/2)*(Inputs!$J$6-Inputs!$I$6)))*12.9898+(Inputs!$C$6)*78.233+Inputs!$C$47*37.719))*43758.5453)-INT((SIN((((Inputs!$I$6+(((A229)+1)/2)*(Inputs!$J$6-Inputs!$I$6)))*12.9898+(Inputs!$C$6)*78.233+Inputs!$C$47*37.719))*43758.5453)))-1))),NA())</x:f>
        <x:v>183.74266048734717</x:v>
      </x:c>
      <x:c r="AT229" s="48" t="n">
        <x: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(0.45*SIN(2*PI()*((((Inputs!$I$7+(((A229)+1)/2)*(Inputs!$J$7-Inputs!$I$7)))/Inputs!$C$49)+Inputs!$C$47*0.137))+0.35*COS(2*PI()*(((Inputs!$C$6)/Inputs!$C$50)+Inputs!$C$47*0.173))+0.20*SIN(2*PI()*((((Inputs!$I$7+(((A229)+1)/2)*(Inputs!$J$7-Inputs!$I$7)))+(Inputs!$C$6))/(0.5*(Inputs!$C$49+Inputs!$C$50))+Inputs!$C$47*0.097)))+0.30*(2*((SIN((((Inputs!$I$7+(((A229)+1)/2)*(Inputs!$J$7-Inputs!$I$7)))*12.9898+(Inputs!$C$6)*78.233+Inputs!$C$47*37.719))*43758.5453)-INT((SIN((((Inputs!$I$7+(((A229)+1)/2)*(Inputs!$J$7-Inputs!$I$7)))*12.9898+(Inputs!$C$6)*78.233+Inputs!$C$47*37.719))*43758.5453)))-1))),NA())</x:f>
        <x:v>93.91617404762736</x:v>
      </x:c>
      <x:c r="AU229" s="48" t="n">
        <x: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(0.45*SIN(2*PI()*((((Inputs!$I$8+(((A229)+1)/2)*(Inputs!$J$8-Inputs!$I$8)))/Inputs!$C$49)+Inputs!$C$47*0.137))+0.35*COS(2*PI()*(((Inputs!$C$6)/Inputs!$C$50)+Inputs!$C$47*0.173))+0.20*SIN(2*PI()*((((Inputs!$I$8+(((A229)+1)/2)*(Inputs!$J$8-Inputs!$I$8)))+(Inputs!$C$6))/(0.5*(Inputs!$C$49+Inputs!$C$50))+Inputs!$C$47*0.097)))+0.30*(2*((SIN((((Inputs!$I$8+(((A229)+1)/2)*(Inputs!$J$8-Inputs!$I$8)))*12.9898+(Inputs!$C$6)*78.233+Inputs!$C$47*37.719))*43758.5453)-INT((SIN((((Inputs!$I$8+(((A229)+1)/2)*(Inputs!$J$8-Inputs!$I$8)))*12.9898+(Inputs!$C$6)*78.233+Inputs!$C$47*37.719))*43758.5453)))-1))),NA())</x:f>
        <x:v>144.71243811681992</x:v>
      </x:c>
      <x:c r="AV229" s="48" t="n">
        <x: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(0.45*SIN(2*PI()*((((Inputs!$I$9+(((A229)+1)/2)*(Inputs!$J$9-Inputs!$I$9)))/Inputs!$C$49)+Inputs!$C$47*0.137))+0.35*COS(2*PI()*(((Inputs!$C$6)/Inputs!$C$50)+Inputs!$C$47*0.173))+0.20*SIN(2*PI()*((((Inputs!$I$9+(((A229)+1)/2)*(Inputs!$J$9-Inputs!$I$9)))+(Inputs!$C$6))/(0.5*(Inputs!$C$49+Inputs!$C$50))+Inputs!$C$47*0.097)))+0.30*(2*((SIN((((Inputs!$I$9+(((A229)+1)/2)*(Inputs!$J$9-Inputs!$I$9)))*12.9898+(Inputs!$C$6)*78.233+Inputs!$C$47*37.719))*43758.5453)-INT((SIN((((Inputs!$I$9+(((A229)+1)/2)*(Inputs!$J$9-Inputs!$I$9)))*12.9898+(Inputs!$C$6)*78.233+Inputs!$C$47*37.719))*43758.5453)))-1))),NA())</x:f>
        <x:v>144.71243811681992</x:v>
      </x:c>
      <x:c r="AW229" s="49"/>
      <x:c r="AX229" s="48" t="n">
        <x:f>A229</x:f>
        <x:v>0.892</x:v>
      </x:c>
      <x:c r="AY229" s="48" t="n">
        <x:f>0</x:f>
        <x:v>0</x:v>
      </x:c>
      <x:c r="AZ229" s="48" t="n">
        <x:f>IF(OR(Inputs!$F$6=TRUE,Inputs!$F$6="TRUE",Inputs!$F$6=1),(Inputs!$H$6+Inputs!$L$6*(((Inputs!$I$6+(((A229)+1)/2)*(Inputs!$J$6-Inputs!$I$6)))/Inputs!$K$6)^2),NA())</x:f>
        <x:v>403.182656</x:v>
      </x:c>
      <x:c r="BA229" s="48" t="n">
        <x:f>IF(OR(Inputs!$F$7=TRUE,Inputs!$F$7="TRUE",Inputs!$F$7=1),(Inputs!$H$7+Inputs!$L$7*(((Inputs!$I$7+(((A229)+1)/2)*(Inputs!$J$7-Inputs!$I$7)))/Inputs!$K$7)^2),NA())</x:f>
        <x:v>325.4173599999999</x:v>
      </x:c>
      <x:c r="BB229" s="48" t="n">
        <x:f>IF(OR(Inputs!$F$8=TRUE,Inputs!$F$8="TRUE",Inputs!$F$8=1),(Inputs!$H$8+Inputs!$L$8*(((Inputs!$I$8+(((A229)+1)/2)*(Inputs!$J$8-Inputs!$I$8)))/Inputs!$K$8)^2),NA())</x:f>
        <x:v>802.8157599999998</x:v>
      </x:c>
      <x:c r="BC229" s="48" t="n">
        <x:f>IF(OR(Inputs!$F$9=TRUE,Inputs!$F$9="TRUE",Inputs!$F$9=1),(Inputs!$H$9+Inputs!$L$9*(((Inputs!$I$9+(((A229)+1)/2)*(Inputs!$J$9-Inputs!$I$9)))/Inputs!$K$9)^2),NA())</x:f>
        <x:v>800.7723999999998</x:v>
      </x:c>
      <x:c r="BD229" s="49"/>
      <x:c r="BE229" s="48" t="n">
        <x:f>A229</x:f>
        <x:v>0.892</x:v>
      </x:c>
      <x:c r="BF229" s="48" t="n">
        <x:f>0</x:f>
        <x:v>0</x:v>
      </x:c>
      <x:c r="BG229" s="48"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BH229" s="48"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BI229" s="48"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BJ229" s="48"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row>
    <x:row r="230">
      <x:c r="A230" s="48" t="n">
        <x:f>ROUND(-1+228*2/240,3)</x:f>
        <x:v>0.9</x:v>
      </x:c>
      <x:c r="B230" s="48" t="n">
        <x:f>IF(OR(Inputs!$F$6=TRUE,Inputs!$F$6="TRUE",Inputs!$F$6=1),(Inputs!$H$6+Inputs!$L$6*(((Inputs!$I$6+(((A230)+1)/2)*(Inputs!$J$6-Inputs!$I$6)))/Inputs!$K$6)^2),NA())</x:f>
        <x:v>403.24</x:v>
      </x:c>
      <x:c r="C230" s="48" t="n">
        <x:f>IF(OR(Inputs!$F$7=TRUE,Inputs!$F$7="TRUE",Inputs!$F$7=1),(Inputs!$H$7+Inputs!$L$7*(((Inputs!$I$7+(((A230)+1)/2)*(Inputs!$J$7-Inputs!$I$7)))/Inputs!$K$7)^2),NA())</x:f>
        <x:v>330.65000000000003</x:v>
      </x:c>
      <x:c r="D230" s="48" t="n">
        <x:f>IF(OR(Inputs!$F$8=TRUE,Inputs!$F$8="TRUE",Inputs!$F$8=1),(Inputs!$H$8+Inputs!$L$8*(((Inputs!$I$8+(((A230)+1)/2)*(Inputs!$J$8-Inputs!$I$8)))/Inputs!$K$8)^2),NA())</x:f>
        <x:v>816.6500000000001</x:v>
      </x:c>
      <x:c r="E230" s="48" t="n">
        <x:f>IF(OR(Inputs!$F$9=TRUE,Inputs!$F$9="TRUE",Inputs!$F$9=1),(Inputs!$H$9+Inputs!$L$9*(((Inputs!$I$9+(((A230)+1)/2)*(Inputs!$J$9-Inputs!$I$9)))/Inputs!$K$9)^2),NA())</x:f>
        <x:v>814.75</x:v>
      </x:c>
      <x:c r="F230" s="49"/>
      <x:c r="G230" s="48" t="n">
        <x:f>A230</x:f>
        <x:v>0.9</x:v>
      </x:c>
      <x:c r="H230" s="48"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I230" s="48"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J230" s="48"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K230" s="48"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c r="L230" s="49"/>
      <x:c r="M230" s="48" t="n">
        <x:f>A230</x:f>
        <x:v>0.9</x:v>
      </x:c>
      <x:c r="N230" s="48" t="n">
        <x: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x:f>
        <x:v>-455.8919288810024</x:v>
      </x:c>
      <x:c r="O230" s="48" t="n">
        <x: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x:f>
        <x:v>-3235.1498150588423</x:v>
      </x:c>
      <x:c r="P230" s="48" t="n">
        <x: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x:f>
        <x:v>-4242.727293909547</x:v>
      </x:c>
      <x:c r="Q230" s="48" t="n">
        <x: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x:f>
        <x:v>-4270.920747988047</x:v>
      </x:c>
      <x:c r="R230" s="49"/>
      <x:c r="S230" s="48" t="n">
        <x:f>A230</x:f>
        <x:v>0.9</x:v>
      </x:c>
      <x:c r="T230" s="48" t="n">
        <x:f>(Inputs!$I$6+(((A230)+1)/2)*(Inputs!$J$6-Inputs!$I$6))</x:f>
        <x:v>54</x:v>
      </x:c>
      <x:c r="U230" s="48" t="n">
        <x:f>(Inputs!$I$7+(((A230)+1)/2)*(Inputs!$J$7-Inputs!$I$7))</x:f>
        <x:v>360</x:v>
      </x:c>
      <x:c r="V230" s="48" t="n">
        <x:f>(Inputs!$I$8+(((A230)+1)/2)*(Inputs!$J$8-Inputs!$I$8))</x:f>
        <x:v>720</x:v>
      </x:c>
      <x:c r="W230" s="48" t="n">
        <x:f>(Inputs!$I$9+(((A230)+1)/2)*(Inputs!$J$9-Inputs!$I$9))</x:f>
        <x:v>720</x:v>
      </x:c>
      <x:c r="X230" s="49"/>
      <x:c r="Y230" s="48" t="n">
        <x:f>A230</x:f>
        <x:v>0.9</x:v>
      </x:c>
      <x:c r="Z230" s="48" t="n">
        <x:f>(Inputs!$H$6+Inputs!$L$6*(((Inputs!$I$6+(((A230)+1)/2)*(Inputs!$J$6-Inputs!$I$6)))/Inputs!$K$6)^2)</x:f>
        <x:v>403.24</x:v>
      </x:c>
      <x:c r="AA230" s="48" t="n">
        <x:f>(Inputs!$H$7+Inputs!$L$7*(((Inputs!$I$7+(((A230)+1)/2)*(Inputs!$J$7-Inputs!$I$7)))/Inputs!$K$7)^2)</x:f>
        <x:v>330.65000000000003</x:v>
      </x:c>
      <x:c r="AB230" s="48" t="n">
        <x:f>(Inputs!$H$8+Inputs!$L$8*(((Inputs!$I$8+(((A230)+1)/2)*(Inputs!$J$8-Inputs!$I$8)))/Inputs!$K$8)^2)</x:f>
        <x:v>816.6500000000001</x:v>
      </x:c>
      <x:c r="AC230" s="48" t="n">
        <x:f>(Inputs!$H$9+Inputs!$L$9*(((Inputs!$I$9+(((A230)+1)/2)*(Inputs!$J$9-Inputs!$I$9)))/Inputs!$K$9)^2)</x:f>
        <x:v>814.75</x:v>
      </x:c>
      <x:c r="AD230" s="49"/>
      <x:c r="AE230" s="48" t="n">
        <x:f>A230</x:f>
        <x:v>0.9</x:v>
      </x:c>
      <x:c r="AF230" s="48" t="n">
        <x:f>(((SQRT((Inputs!$C$52+((Inputs!$H$6+Inputs!$L$6*(((Inputs!$I$6+(((A230)+1)/2)*(Inputs!$J$6-Inputs!$I$6)))/Inputs!$K$6)^2)))^2+Inputs!$C$52^2-2*(Inputs!$C$52+((Inputs!$H$6+Inputs!$L$6*(((Inputs!$I$6+(((A230)+1)/2)*(Inputs!$J$6-Inputs!$I$6)))/Inputs!$K$6)^2)))*Inputs!$C$52*COS(SQRT(((Inputs!$I$6+(((A230)+1)/2)*(Inputs!$J$6-Inputs!$I$6)))^2+Inputs!$C$6^2)/Inputs!$C$52)))-((Inputs!$H$6+Inputs!$L$6*(((Inputs!$I$6+(((A230)+1)/2)*(Inputs!$J$6-Inputs!$I$6)))/Inputs!$K$6)^2)))*1000/Inputs!$C$12)</x:f>
        <x:v>3082.60579501392</x:v>
      </x:c>
      <x:c r="AG230" s="48" t="n">
        <x:f>(((SQRT((Inputs!$C$52+((Inputs!$H$7+Inputs!$L$7*(((Inputs!$I$7+(((A230)+1)/2)*(Inputs!$J$7-Inputs!$I$7)))/Inputs!$K$7)^2)))^2+Inputs!$C$52^2-2*(Inputs!$C$52+((Inputs!$H$7+Inputs!$L$7*(((Inputs!$I$7+(((A230)+1)/2)*(Inputs!$J$7-Inputs!$I$7)))/Inputs!$K$7)^2)))*Inputs!$C$52*COS(SQRT(((Inputs!$I$7+(((A230)+1)/2)*(Inputs!$J$7-Inputs!$I$7)))^2+Inputs!$C$6^2)/Inputs!$C$52)))-((Inputs!$H$7+Inputs!$L$7*(((Inputs!$I$7+(((A230)+1)/2)*(Inputs!$J$7-Inputs!$I$7)))/Inputs!$K$7)^2)))*1000/Inputs!$C$12)</x:f>
        <x:v>104229.56547339146</x:v>
      </x:c>
      <x:c r="AH230" s="48" t="n">
        <x:f>(((SQRT((Inputs!$C$52+((Inputs!$H$8+Inputs!$L$8*(((Inputs!$I$8+(((A230)+1)/2)*(Inputs!$J$8-Inputs!$I$8)))/Inputs!$K$8)^2)))^2+Inputs!$C$52^2-2*(Inputs!$C$52+((Inputs!$H$8+Inputs!$L$8*(((Inputs!$I$8+(((A230)+1)/2)*(Inputs!$J$8-Inputs!$I$8)))/Inputs!$K$8)^2)))*Inputs!$C$52*COS(SQRT(((Inputs!$I$8+(((A230)+1)/2)*(Inputs!$J$8-Inputs!$I$8)))^2+Inputs!$C$6^2)/Inputs!$C$52)))-((Inputs!$H$8+Inputs!$L$8*(((Inputs!$I$8+(((A230)+1)/2)*(Inputs!$J$8-Inputs!$I$8)))/Inputs!$K$8)^2)))*1000/Inputs!$C$12)</x:f>
        <x:v>216200.7529964208</x:v>
      </x:c>
      <x:c r="AI230" s="48" t="n">
        <x:f>(((SQRT((Inputs!$C$52+((Inputs!$H$9+Inputs!$L$9*(((Inputs!$I$9+(((A230)+1)/2)*(Inputs!$J$9-Inputs!$I$9)))/Inputs!$K$9)^2)))^2+Inputs!$C$52^2-2*(Inputs!$C$52+((Inputs!$H$9+Inputs!$L$9*(((Inputs!$I$9+(((A230)+1)/2)*(Inputs!$J$9-Inputs!$I$9)))/Inputs!$K$9)^2)))*Inputs!$C$52*COS(SQRT(((Inputs!$I$9+(((A230)+1)/2)*(Inputs!$J$9-Inputs!$I$9)))^2+Inputs!$C$6^2)/Inputs!$C$52)))-((Inputs!$H$9+Inputs!$L$9*(((Inputs!$I$9+(((A230)+1)/2)*(Inputs!$J$9-Inputs!$I$9)))/Inputs!$K$9)^2)))*1000/Inputs!$C$12)</x:f>
        <x:v>216397.8187620005</x:v>
      </x:c>
      <x:c r="AJ230" s="49"/>
      <x:c r="AK230" s="48" t="n">
        <x:f>A230</x:f>
        <x:v>0.9</x:v>
      </x:c>
      <x:c r="AL230" s="48" t="n">
        <x: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x:f>
        <x:v>-455.8919288810024</x:v>
      </x:c>
      <x:c r="AM230" s="48" t="n">
        <x: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x:f>
        <x:v>-3235.1498150588423</x:v>
      </x:c>
      <x:c r="AN230" s="48" t="n">
        <x: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x:f>
        <x:v>-4242.727293909547</x:v>
      </x:c>
      <x:c r="AO230" s="48" t="n">
        <x: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x:f>
        <x:v>-4270.920747988047</x:v>
      </x:c>
      <x:c r="AP230" s="49"/>
      <x:c r="AQ230" s="48" t="n">
        <x:f>A230</x:f>
        <x:v>0.9</x:v>
      </x:c>
      <x:c r="AR230" s="48" t="n">
        <x:f>0</x:f>
        <x:v>0</x:v>
      </x:c>
      <x:c r="AS230" s="48" t="n">
        <x: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(0.45*SIN(2*PI()*((((Inputs!$I$6+(((A230)+1)/2)*(Inputs!$J$6-Inputs!$I$6)))/Inputs!$C$49)+Inputs!$C$47*0.137))+0.35*COS(2*PI()*(((Inputs!$C$6)/Inputs!$C$50)+Inputs!$C$47*0.173))+0.20*SIN(2*PI()*((((Inputs!$I$6+(((A230)+1)/2)*(Inputs!$J$6-Inputs!$I$6)))+(Inputs!$C$6))/(0.5*(Inputs!$C$49+Inputs!$C$50))+Inputs!$C$47*0.097)))+0.30*(2*((SIN((((Inputs!$I$6+(((A230)+1)/2)*(Inputs!$J$6-Inputs!$I$6)))*12.9898+(Inputs!$C$6)*78.233+Inputs!$C$47*37.719))*43758.5453)-INT((SIN((((Inputs!$I$6+(((A230)+1)/2)*(Inputs!$J$6-Inputs!$I$6)))*12.9898+(Inputs!$C$6)*78.233+Inputs!$C$47*37.719))*43758.5453)))-1))),NA())</x:f>
        <x:v>181.54184215615243</x:v>
      </x:c>
      <x:c r="AT230" s="48" t="n">
        <x: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(0.45*SIN(2*PI()*((((Inputs!$I$7+(((A230)+1)/2)*(Inputs!$J$7-Inputs!$I$7)))/Inputs!$C$49)+Inputs!$C$47*0.137))+0.35*COS(2*PI()*(((Inputs!$C$6)/Inputs!$C$50)+Inputs!$C$47*0.173))+0.20*SIN(2*PI()*((((Inputs!$I$7+(((A230)+1)/2)*(Inputs!$J$7-Inputs!$I$7)))+(Inputs!$C$6))/(0.5*(Inputs!$C$49+Inputs!$C$50))+Inputs!$C$47*0.097)))+0.30*(2*((SIN((((Inputs!$I$7+(((A230)+1)/2)*(Inputs!$J$7-Inputs!$I$7)))*12.9898+(Inputs!$C$6)*78.233+Inputs!$C$47*37.719))*43758.5453)-INT((SIN((((Inputs!$I$7+(((A230)+1)/2)*(Inputs!$J$7-Inputs!$I$7)))*12.9898+(Inputs!$C$6)*78.233+Inputs!$C$47*37.719))*43758.5453)))-1))),NA())</x:f>
        <x:v>147.40890122893921</x:v>
      </x:c>
      <x:c r="AU230" s="48" t="n">
        <x: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(0.45*SIN(2*PI()*((((Inputs!$I$8+(((A230)+1)/2)*(Inputs!$J$8-Inputs!$I$8)))/Inputs!$C$49)+Inputs!$C$47*0.137))+0.35*COS(2*PI()*(((Inputs!$C$6)/Inputs!$C$50)+Inputs!$C$47*0.173))+0.20*SIN(2*PI()*((((Inputs!$I$8+(((A230)+1)/2)*(Inputs!$J$8-Inputs!$I$8)))+(Inputs!$C$6))/(0.5*(Inputs!$C$49+Inputs!$C$50))+Inputs!$C$47*0.097)))+0.30*(2*((SIN((((Inputs!$I$8+(((A230)+1)/2)*(Inputs!$J$8-Inputs!$I$8)))*12.9898+(Inputs!$C$6)*78.233+Inputs!$C$47*37.719))*43758.5453)-INT((SIN((((Inputs!$I$8+(((A230)+1)/2)*(Inputs!$J$8-Inputs!$I$8)))*12.9898+(Inputs!$C$6)*78.233+Inputs!$C$47*37.719))*43758.5453)))-1))),NA())</x:f>
        <x:v>155.8424741961593</x:v>
      </x:c>
      <x:c r="AV230" s="48" t="n">
        <x: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(0.45*SIN(2*PI()*((((Inputs!$I$9+(((A230)+1)/2)*(Inputs!$J$9-Inputs!$I$9)))/Inputs!$C$49)+Inputs!$C$47*0.137))+0.35*COS(2*PI()*(((Inputs!$C$6)/Inputs!$C$50)+Inputs!$C$47*0.173))+0.20*SIN(2*PI()*((((Inputs!$I$9+(((A230)+1)/2)*(Inputs!$J$9-Inputs!$I$9)))+(Inputs!$C$6))/(0.5*(Inputs!$C$49+Inputs!$C$50))+Inputs!$C$47*0.097)))+0.30*(2*((SIN((((Inputs!$I$9+(((A230)+1)/2)*(Inputs!$J$9-Inputs!$I$9)))*12.9898+(Inputs!$C$6)*78.233+Inputs!$C$47*37.719))*43758.5453)-INT((SIN((((Inputs!$I$9+(((A230)+1)/2)*(Inputs!$J$9-Inputs!$I$9)))*12.9898+(Inputs!$C$6)*78.233+Inputs!$C$47*37.719))*43758.5453)))-1))),NA())</x:f>
        <x:v>155.8424741961593</x:v>
      </x:c>
      <x:c r="AW230" s="49"/>
      <x:c r="AX230" s="48" t="n">
        <x:f>A230</x:f>
        <x:v>0.9</x:v>
      </x:c>
      <x:c r="AY230" s="48" t="n">
        <x:f>0</x:f>
        <x:v>0</x:v>
      </x:c>
      <x:c r="AZ230" s="48" t="n">
        <x:f>IF(OR(Inputs!$F$6=TRUE,Inputs!$F$6="TRUE",Inputs!$F$6=1),(Inputs!$H$6+Inputs!$L$6*(((Inputs!$I$6+(((A230)+1)/2)*(Inputs!$J$6-Inputs!$I$6)))/Inputs!$K$6)^2),NA())</x:f>
        <x:v>403.24</x:v>
      </x:c>
      <x:c r="BA230" s="48" t="n">
        <x:f>IF(OR(Inputs!$F$7=TRUE,Inputs!$F$7="TRUE",Inputs!$F$7=1),(Inputs!$H$7+Inputs!$L$7*(((Inputs!$I$7+(((A230)+1)/2)*(Inputs!$J$7-Inputs!$I$7)))/Inputs!$K$7)^2),NA())</x:f>
        <x:v>330.65000000000003</x:v>
      </x:c>
      <x:c r="BB230" s="48" t="n">
        <x:f>IF(OR(Inputs!$F$8=TRUE,Inputs!$F$8="TRUE",Inputs!$F$8=1),(Inputs!$H$8+Inputs!$L$8*(((Inputs!$I$8+(((A230)+1)/2)*(Inputs!$J$8-Inputs!$I$8)))/Inputs!$K$8)^2),NA())</x:f>
        <x:v>816.6500000000001</x:v>
      </x:c>
      <x:c r="BC230" s="48" t="n">
        <x:f>IF(OR(Inputs!$F$9=TRUE,Inputs!$F$9="TRUE",Inputs!$F$9=1),(Inputs!$H$9+Inputs!$L$9*(((Inputs!$I$9+(((A230)+1)/2)*(Inputs!$J$9-Inputs!$I$9)))/Inputs!$K$9)^2),NA())</x:f>
        <x:v>814.75</x:v>
      </x:c>
      <x:c r="BD230" s="49"/>
      <x:c r="BE230" s="48" t="n">
        <x:f>A230</x:f>
        <x:v>0.9</x:v>
      </x:c>
      <x:c r="BF230" s="48" t="n">
        <x:f>0</x:f>
        <x:v>0</x:v>
      </x:c>
      <x:c r="BG230" s="48"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BH230" s="48"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BI230" s="48"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BJ230" s="48"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row>
    <x:row r="231">
      <x:c r="A231" s="48" t="n">
        <x:f>ROUND(-1+229*2/240,3)</x:f>
        <x:v>0.908</x:v>
      </x:c>
      <x:c r="B231" s="48" t="n">
        <x:f>IF(OR(Inputs!$F$6=TRUE,Inputs!$F$6="TRUE",Inputs!$F$6=1),(Inputs!$H$6+Inputs!$L$6*(((Inputs!$I$6+(((A231)+1)/2)*(Inputs!$J$6-Inputs!$I$6)))/Inputs!$K$6)^2),NA())</x:f>
        <x:v>403.297856</x:v>
      </x:c>
      <x:c r="C231" s="48" t="n">
        <x:f>IF(OR(Inputs!$F$7=TRUE,Inputs!$F$7="TRUE",Inputs!$F$7=1),(Inputs!$H$7+Inputs!$L$7*(((Inputs!$I$7+(((A231)+1)/2)*(Inputs!$J$7-Inputs!$I$7)))/Inputs!$K$7)^2),NA())</x:f>
        <x:v>335.92935999999986</x:v>
      </x:c>
      <x:c r="D231" s="48" t="n">
        <x:f>IF(OR(Inputs!$F$8=TRUE,Inputs!$F$8="TRUE",Inputs!$F$8=1),(Inputs!$H$8+Inputs!$L$8*(((Inputs!$I$8+(((A231)+1)/2)*(Inputs!$J$8-Inputs!$I$8)))/Inputs!$K$8)^2),NA())</x:f>
        <x:v>830.6077599999996</x:v>
      </x:c>
      <x:c r="E231" s="48" t="n">
        <x:f>IF(OR(Inputs!$F$9=TRUE,Inputs!$F$9="TRUE",Inputs!$F$9=1),(Inputs!$H$9+Inputs!$L$9*(((Inputs!$I$9+(((A231)+1)/2)*(Inputs!$J$9-Inputs!$I$9)))/Inputs!$K$9)^2),NA())</x:f>
        <x:v>828.8523999999996</x:v>
      </x:c>
      <x:c r="F231" s="49"/>
      <x:c r="G231" s="48" t="n">
        <x:f>A231</x:f>
        <x:v>0.908</x:v>
      </x:c>
      <x:c r="H231" s="48"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I231" s="48"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J231" s="48"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K231" s="48"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c r="L231" s="49"/>
      <x:c r="M231" s="48" t="n">
        <x:f>A231</x:f>
        <x:v>0.908</x:v>
      </x:c>
      <x:c r="N231" s="48" t="n">
        <x: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x:f>
        <x:v>-459.83203891503143</x:v>
      </x:c>
      <x:c r="O231" s="48" t="n">
        <x: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x:f>
        <x:v>-3257.3852775412934</x:v>
      </x:c>
      <x:c r="P231" s="48" t="n">
        <x: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x:f>
        <x:v>-4276.287808072188</x:v>
      </x:c>
      <x:c r="Q231" s="48" t="n">
        <x: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x:f>
        <x:v>-4304.935084500996</x:v>
      </x:c>
      <x:c r="R231" s="49"/>
      <x:c r="S231" s="48" t="n">
        <x:f>A231</x:f>
        <x:v>0.908</x:v>
      </x:c>
      <x:c r="T231" s="48" t="n">
        <x:f>(Inputs!$I$6+(((A231)+1)/2)*(Inputs!$J$6-Inputs!$I$6))</x:f>
        <x:v>54.47999999999999</x:v>
      </x:c>
      <x:c r="U231" s="48" t="n">
        <x:f>(Inputs!$I$7+(((A231)+1)/2)*(Inputs!$J$7-Inputs!$I$7))</x:f>
        <x:v>363.19999999999993</x:v>
      </x:c>
      <x:c r="V231" s="48" t="n">
        <x:f>(Inputs!$I$8+(((A231)+1)/2)*(Inputs!$J$8-Inputs!$I$8))</x:f>
        <x:v>726.3999999999999</x:v>
      </x:c>
      <x:c r="W231" s="48" t="n">
        <x:f>(Inputs!$I$9+(((A231)+1)/2)*(Inputs!$J$9-Inputs!$I$9))</x:f>
        <x:v>726.3999999999999</x:v>
      </x:c>
      <x:c r="X231" s="49"/>
      <x:c r="Y231" s="48" t="n">
        <x:f>A231</x:f>
        <x:v>0.908</x:v>
      </x:c>
      <x:c r="Z231" s="48" t="n">
        <x:f>(Inputs!$H$6+Inputs!$L$6*(((Inputs!$I$6+(((A231)+1)/2)*(Inputs!$J$6-Inputs!$I$6)))/Inputs!$K$6)^2)</x:f>
        <x:v>403.297856</x:v>
      </x:c>
      <x:c r="AA231" s="48" t="n">
        <x:f>(Inputs!$H$7+Inputs!$L$7*(((Inputs!$I$7+(((A231)+1)/2)*(Inputs!$J$7-Inputs!$I$7)))/Inputs!$K$7)^2)</x:f>
        <x:v>335.92935999999986</x:v>
      </x:c>
      <x:c r="AB231" s="48" t="n">
        <x:f>(Inputs!$H$8+Inputs!$L$8*(((Inputs!$I$8+(((A231)+1)/2)*(Inputs!$J$8-Inputs!$I$8)))/Inputs!$K$8)^2)</x:f>
        <x:v>830.6077599999996</x:v>
      </x:c>
      <x:c r="AC231" s="48" t="n">
        <x:f>(Inputs!$H$9+Inputs!$L$9*(((Inputs!$I$9+(((A231)+1)/2)*(Inputs!$J$9-Inputs!$I$9)))/Inputs!$K$9)^2)</x:f>
        <x:v>828.8523999999996</x:v>
      </x:c>
      <x:c r="AD231" s="49"/>
      <x:c r="AE231" s="48" t="n">
        <x:f>A231</x:f>
        <x:v>0.908</x:v>
      </x:c>
      <x:c r="AF231" s="48" t="n">
        <x:f>(((SQRT((Inputs!$C$52+((Inputs!$H$6+Inputs!$L$6*(((Inputs!$I$6+(((A231)+1)/2)*(Inputs!$J$6-Inputs!$I$6)))/Inputs!$K$6)^2)))^2+Inputs!$C$52^2-2*(Inputs!$C$52+((Inputs!$H$6+Inputs!$L$6*(((Inputs!$I$6+(((A231)+1)/2)*(Inputs!$J$6-Inputs!$I$6)))/Inputs!$K$6)^2)))*Inputs!$C$52*COS(SQRT(((Inputs!$I$6+(((A231)+1)/2)*(Inputs!$J$6-Inputs!$I$6)))^2+Inputs!$C$6^2)/Inputs!$C$52)))-((Inputs!$H$6+Inputs!$L$6*(((Inputs!$I$6+(((A231)+1)/2)*(Inputs!$J$6-Inputs!$I$6)))/Inputs!$K$6)^2)))*1000/Inputs!$C$12)</x:f>
        <x:v>3127.2702144169825</x:v>
      </x:c>
      <x:c r="AG231" s="48" t="n">
        <x:f>(((SQRT((Inputs!$C$52+((Inputs!$H$7+Inputs!$L$7*(((Inputs!$I$7+(((A231)+1)/2)*(Inputs!$J$7-Inputs!$I$7)))/Inputs!$K$7)^2)))^2+Inputs!$C$52^2-2*(Inputs!$C$52+((Inputs!$H$7+Inputs!$L$7*(((Inputs!$I$7+(((A231)+1)/2)*(Inputs!$J$7-Inputs!$I$7)))/Inputs!$K$7)^2)))*Inputs!$C$52*COS(SQRT(((Inputs!$I$7+(((A231)+1)/2)*(Inputs!$J$7-Inputs!$I$7)))^2+Inputs!$C$6^2)/Inputs!$C$52)))-((Inputs!$H$7+Inputs!$L$7*(((Inputs!$I$7+(((A231)+1)/2)*(Inputs!$J$7-Inputs!$I$7)))/Inputs!$K$7)^2)))*1000/Inputs!$C$12)</x:f>
        <x:v>104911.11802230604</x:v>
      </x:c>
      <x:c r="AH231" s="48" t="n">
        <x:f>(((SQRT((Inputs!$C$52+((Inputs!$H$8+Inputs!$L$8*(((Inputs!$I$8+(((A231)+1)/2)*(Inputs!$J$8-Inputs!$I$8)))/Inputs!$K$8)^2)))^2+Inputs!$C$52^2-2*(Inputs!$C$52+((Inputs!$H$8+Inputs!$L$8*(((Inputs!$I$8+(((A231)+1)/2)*(Inputs!$J$8-Inputs!$I$8)))/Inputs!$K$8)^2)))*Inputs!$C$52*COS(SQRT(((Inputs!$I$8+(((A231)+1)/2)*(Inputs!$J$8-Inputs!$I$8)))^2+Inputs!$C$6^2)/Inputs!$C$52)))-((Inputs!$H$8+Inputs!$L$8*(((Inputs!$I$8+(((A231)+1)/2)*(Inputs!$J$8-Inputs!$I$8)))/Inputs!$K$8)^2)))*1000/Inputs!$C$12)</x:f>
        <x:v>217931.23263736602</x:v>
      </x:c>
      <x:c r="AI231" s="48" t="n">
        <x:f>(((SQRT((Inputs!$C$52+((Inputs!$H$9+Inputs!$L$9*(((Inputs!$I$9+(((A231)+1)/2)*(Inputs!$J$9-Inputs!$I$9)))/Inputs!$K$9)^2)))^2+Inputs!$C$52^2-2*(Inputs!$C$52+((Inputs!$H$9+Inputs!$L$9*(((Inputs!$I$9+(((A231)+1)/2)*(Inputs!$J$9-Inputs!$I$9)))/Inputs!$K$9)^2)))*Inputs!$C$52*COS(SQRT(((Inputs!$I$9+(((A231)+1)/2)*(Inputs!$J$9-Inputs!$I$9)))^2+Inputs!$C$6^2)/Inputs!$C$52)))-((Inputs!$H$9+Inputs!$L$9*(((Inputs!$I$9+(((A231)+1)/2)*(Inputs!$J$9-Inputs!$I$9)))/Inputs!$K$9)^2)))*1000/Inputs!$C$12)</x:f>
        <x:v>218110.90634825992</x:v>
      </x:c>
      <x:c r="AJ231" s="49"/>
      <x:c r="AK231" s="48" t="n">
        <x:f>A231</x:f>
        <x:v>0.908</x:v>
      </x:c>
      <x:c r="AL231" s="48" t="n">
        <x: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x:f>
        <x:v>-459.83203891503143</x:v>
      </x:c>
      <x:c r="AM231" s="48" t="n">
        <x: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x:f>
        <x:v>-3257.3852775412934</x:v>
      </x:c>
      <x:c r="AN231" s="48" t="n">
        <x: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x:f>
        <x:v>-4276.287808072188</x:v>
      </x:c>
      <x:c r="AO231" s="48" t="n">
        <x: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x:f>
        <x:v>-4304.935084500996</x:v>
      </x:c>
      <x:c r="AP231" s="49"/>
      <x:c r="AQ231" s="48" t="n">
        <x:f>A231</x:f>
        <x:v>0.908</x:v>
      </x:c>
      <x:c r="AR231" s="48" t="n">
        <x:f>0</x:f>
        <x:v>0</x:v>
      </x:c>
      <x:c r="AS231" s="48" t="n">
        <x: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(0.45*SIN(2*PI()*((((Inputs!$I$6+(((A231)+1)/2)*(Inputs!$J$6-Inputs!$I$6)))/Inputs!$C$49)+Inputs!$C$47*0.137))+0.35*COS(2*PI()*(((Inputs!$C$6)/Inputs!$C$50)+Inputs!$C$47*0.173))+0.20*SIN(2*PI()*((((Inputs!$I$6+(((A231)+1)/2)*(Inputs!$J$6-Inputs!$I$6)))+(Inputs!$C$6))/(0.5*(Inputs!$C$49+Inputs!$C$50))+Inputs!$C$47*0.097)))+0.30*(2*((SIN((((Inputs!$I$6+(((A231)+1)/2)*(Inputs!$J$6-Inputs!$I$6)))*12.9898+(Inputs!$C$6)*78.233+Inputs!$C$47*37.719))*43758.5453)-INT((SIN((((Inputs!$I$6+(((A231)+1)/2)*(Inputs!$J$6-Inputs!$I$6)))*12.9898+(Inputs!$C$6)*78.233+Inputs!$C$47*37.719))*43758.5453)))-1))),NA())</x:f>
        <x:v>176.7818564465648</x:v>
      </x:c>
      <x:c r="AT231" s="48" t="n">
        <x: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(0.45*SIN(2*PI()*((((Inputs!$I$7+(((A231)+1)/2)*(Inputs!$J$7-Inputs!$I$7)))/Inputs!$C$49)+Inputs!$C$47*0.137))+0.35*COS(2*PI()*(((Inputs!$C$6)/Inputs!$C$50)+Inputs!$C$47*0.173))+0.20*SIN(2*PI()*((((Inputs!$I$7+(((A231)+1)/2)*(Inputs!$J$7-Inputs!$I$7)))+(Inputs!$C$6))/(0.5*(Inputs!$C$49+Inputs!$C$50))+Inputs!$C$47*0.097)))+0.30*(2*((SIN((((Inputs!$I$7+(((A231)+1)/2)*(Inputs!$J$7-Inputs!$I$7)))*12.9898+(Inputs!$C$6)*78.233+Inputs!$C$47*37.719))*43758.5453)-INT((SIN((((Inputs!$I$7+(((A231)+1)/2)*(Inputs!$J$7-Inputs!$I$7)))*12.9898+(Inputs!$C$6)*78.233+Inputs!$C$47*37.719))*43758.5453)))-1))),NA())</x:f>
        <x:v>210.253353558436</x:v>
      </x:c>
      <x:c r="AU231" s="48" t="n">
        <x: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(0.45*SIN(2*PI()*((((Inputs!$I$8+(((A231)+1)/2)*(Inputs!$J$8-Inputs!$I$8)))/Inputs!$C$49)+Inputs!$C$47*0.137))+0.35*COS(2*PI()*(((Inputs!$C$6)/Inputs!$C$50)+Inputs!$C$47*0.173))+0.20*SIN(2*PI()*((((Inputs!$I$8+(((A231)+1)/2)*(Inputs!$J$8-Inputs!$I$8)))+(Inputs!$C$6))/(0.5*(Inputs!$C$49+Inputs!$C$50))+Inputs!$C$47*0.097)))+0.30*(2*((SIN((((Inputs!$I$8+(((A231)+1)/2)*(Inputs!$J$8-Inputs!$I$8)))*12.9898+(Inputs!$C$6)*78.233+Inputs!$C$47*37.719))*43758.5453)-INT((SIN((((Inputs!$I$8+(((A231)+1)/2)*(Inputs!$J$8-Inputs!$I$8)))*12.9898+(Inputs!$C$6)*78.233+Inputs!$C$47*37.719))*43758.5453)))-1))),NA())</x:f>
        <x:v>228.36919814449112</x:v>
      </x:c>
      <x:c r="AV231" s="48" t="n">
        <x: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(0.45*SIN(2*PI()*((((Inputs!$I$9+(((A231)+1)/2)*(Inputs!$J$9-Inputs!$I$9)))/Inputs!$C$49)+Inputs!$C$47*0.137))+0.35*COS(2*PI()*(((Inputs!$C$6)/Inputs!$C$50)+Inputs!$C$47*0.173))+0.20*SIN(2*PI()*((((Inputs!$I$9+(((A231)+1)/2)*(Inputs!$J$9-Inputs!$I$9)))+(Inputs!$C$6))/(0.5*(Inputs!$C$49+Inputs!$C$50))+Inputs!$C$47*0.097)))+0.30*(2*((SIN((((Inputs!$I$9+(((A231)+1)/2)*(Inputs!$J$9-Inputs!$I$9)))*12.9898+(Inputs!$C$6)*78.233+Inputs!$C$47*37.719))*43758.5453)-INT((SIN((((Inputs!$I$9+(((A231)+1)/2)*(Inputs!$J$9-Inputs!$I$9)))*12.9898+(Inputs!$C$6)*78.233+Inputs!$C$47*37.719))*43758.5453)))-1))),NA())</x:f>
        <x:v>228.36919814449112</x:v>
      </x:c>
      <x:c r="AW231" s="49"/>
      <x:c r="AX231" s="48" t="n">
        <x:f>A231</x:f>
        <x:v>0.908</x:v>
      </x:c>
      <x:c r="AY231" s="48" t="n">
        <x:f>0</x:f>
        <x:v>0</x:v>
      </x:c>
      <x:c r="AZ231" s="48" t="n">
        <x:f>IF(OR(Inputs!$F$6=TRUE,Inputs!$F$6="TRUE",Inputs!$F$6=1),(Inputs!$H$6+Inputs!$L$6*(((Inputs!$I$6+(((A231)+1)/2)*(Inputs!$J$6-Inputs!$I$6)))/Inputs!$K$6)^2),NA())</x:f>
        <x:v>403.297856</x:v>
      </x:c>
      <x:c r="BA231" s="48" t="n">
        <x:f>IF(OR(Inputs!$F$7=TRUE,Inputs!$F$7="TRUE",Inputs!$F$7=1),(Inputs!$H$7+Inputs!$L$7*(((Inputs!$I$7+(((A231)+1)/2)*(Inputs!$J$7-Inputs!$I$7)))/Inputs!$K$7)^2),NA())</x:f>
        <x:v>335.92935999999986</x:v>
      </x:c>
      <x:c r="BB231" s="48" t="n">
        <x:f>IF(OR(Inputs!$F$8=TRUE,Inputs!$F$8="TRUE",Inputs!$F$8=1),(Inputs!$H$8+Inputs!$L$8*(((Inputs!$I$8+(((A231)+1)/2)*(Inputs!$J$8-Inputs!$I$8)))/Inputs!$K$8)^2),NA())</x:f>
        <x:v>830.6077599999996</x:v>
      </x:c>
      <x:c r="BC231" s="48" t="n">
        <x:f>IF(OR(Inputs!$F$9=TRUE,Inputs!$F$9="TRUE",Inputs!$F$9=1),(Inputs!$H$9+Inputs!$L$9*(((Inputs!$I$9+(((A231)+1)/2)*(Inputs!$J$9-Inputs!$I$9)))/Inputs!$K$9)^2),NA())</x:f>
        <x:v>828.8523999999996</x:v>
      </x:c>
      <x:c r="BD231" s="49"/>
      <x:c r="BE231" s="48" t="n">
        <x:f>A231</x:f>
        <x:v>0.908</x:v>
      </x:c>
      <x:c r="BF231" s="48" t="n">
        <x:f>0</x:f>
        <x:v>0</x:v>
      </x:c>
      <x:c r="BG231" s="48"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BH231" s="48"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BI231" s="48"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BJ231" s="48"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row>
    <x:row r="232">
      <x:c r="A232" s="48" t="n">
        <x:f>ROUND(-1+230*2/240,3)</x:f>
        <x:v>0.917</x:v>
      </x:c>
      <x:c r="B232" s="48" t="n">
        <x:f>IF(OR(Inputs!$F$6=TRUE,Inputs!$F$6="TRUE",Inputs!$F$6=1),(Inputs!$H$6+Inputs!$L$6*(((Inputs!$I$6+(((A232)+1)/2)*(Inputs!$J$6-Inputs!$I$6)))/Inputs!$K$6)^2),NA())</x:f>
        <x:v>403.363556</x:v>
      </x:c>
      <x:c r="C232" s="48" t="n">
        <x:f>IF(OR(Inputs!$F$7=TRUE,Inputs!$F$7="TRUE",Inputs!$F$7=1),(Inputs!$H$7+Inputs!$L$7*(((Inputs!$I$7+(((A232)+1)/2)*(Inputs!$J$7-Inputs!$I$7)))/Inputs!$K$7)^2),NA())</x:f>
        <x:v>341.92448500000006</x:v>
      </x:c>
      <x:c r="D232" s="48" t="n">
        <x:f>IF(OR(Inputs!$F$8=TRUE,Inputs!$F$8="TRUE",Inputs!$F$8=1),(Inputs!$H$8+Inputs!$L$8*(((Inputs!$I$8+(((A232)+1)/2)*(Inputs!$J$8-Inputs!$I$8)))/Inputs!$K$8)^2),NA())</x:f>
        <x:v>846.4578850000003</x:v>
      </x:c>
      <x:c r="E232" s="48" t="n">
        <x:f>IF(OR(Inputs!$F$9=TRUE,Inputs!$F$9="TRUE",Inputs!$F$9=1),(Inputs!$H$9+Inputs!$L$9*(((Inputs!$I$9+(((A232)+1)/2)*(Inputs!$J$9-Inputs!$I$9)))/Inputs!$K$9)^2),NA())</x:f>
        <x:v>844.8667750000002</x:v>
      </x:c>
      <x:c r="F232" s="49"/>
      <x:c r="G232" s="48" t="n">
        <x:f>A232</x:f>
        <x:v>0.917</x:v>
      </x:c>
      <x:c r="H232" s="48"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I232" s="48"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J232" s="48"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K232" s="48"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c r="L232" s="49"/>
      <x:c r="M232" s="48" t="n">
        <x:f>A232</x:f>
        <x:v>0.917</x:v>
      </x:c>
      <x:c r="N232" s="48" t="n">
        <x: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x:f>
        <x:v>-464.26123721308295</x:v>
      </x:c>
      <x:c r="O232" s="48" t="n">
        <x: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x:f>
        <x:v>-3282.482234451537</x:v>
      </x:c>
      <x:c r="P232" s="48" t="n">
        <x: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x:f>
        <x:v>-4314.101295687759</x:v>
      </x:c>
      <x:c r="Q232" s="48" t="n">
        <x: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x:f>
        <x:v>-4343.256691025419</x:v>
      </x:c>
      <x:c r="R232" s="49"/>
      <x:c r="S232" s="48" t="n">
        <x:f>A232</x:f>
        <x:v>0.917</x:v>
      </x:c>
      <x:c r="T232" s="48" t="n">
        <x:f>(Inputs!$I$6+(((A232)+1)/2)*(Inputs!$J$6-Inputs!$I$6))</x:f>
        <x:v>55.019999999999996</x:v>
      </x:c>
      <x:c r="U232" s="48" t="n">
        <x:f>(Inputs!$I$7+(((A232)+1)/2)*(Inputs!$J$7-Inputs!$I$7))</x:f>
        <x:v>366.80000000000007</x:v>
      </x:c>
      <x:c r="V232" s="48" t="n">
        <x:f>(Inputs!$I$8+(((A232)+1)/2)*(Inputs!$J$8-Inputs!$I$8))</x:f>
        <x:v>733.6000000000001</x:v>
      </x:c>
      <x:c r="W232" s="48" t="n">
        <x:f>(Inputs!$I$9+(((A232)+1)/2)*(Inputs!$J$9-Inputs!$I$9))</x:f>
        <x:v>733.6000000000001</x:v>
      </x:c>
      <x:c r="X232" s="49"/>
      <x:c r="Y232" s="48" t="n">
        <x:f>A232</x:f>
        <x:v>0.917</x:v>
      </x:c>
      <x:c r="Z232" s="48" t="n">
        <x:f>(Inputs!$H$6+Inputs!$L$6*(((Inputs!$I$6+(((A232)+1)/2)*(Inputs!$J$6-Inputs!$I$6)))/Inputs!$K$6)^2)</x:f>
        <x:v>403.363556</x:v>
      </x:c>
      <x:c r="AA232" s="48" t="n">
        <x:f>(Inputs!$H$7+Inputs!$L$7*(((Inputs!$I$7+(((A232)+1)/2)*(Inputs!$J$7-Inputs!$I$7)))/Inputs!$K$7)^2)</x:f>
        <x:v>341.92448500000006</x:v>
      </x:c>
      <x:c r="AB232" s="48" t="n">
        <x:f>(Inputs!$H$8+Inputs!$L$8*(((Inputs!$I$8+(((A232)+1)/2)*(Inputs!$J$8-Inputs!$I$8)))/Inputs!$K$8)^2)</x:f>
        <x:v>846.4578850000003</x:v>
      </x:c>
      <x:c r="AC232" s="48" t="n">
        <x:f>(Inputs!$H$9+Inputs!$L$9*(((Inputs!$I$9+(((A232)+1)/2)*(Inputs!$J$9-Inputs!$I$9)))/Inputs!$K$9)^2)</x:f>
        <x:v>844.8667750000002</x:v>
      </x:c>
      <x:c r="AD232" s="49"/>
      <x:c r="AE232" s="48" t="n">
        <x:f>A232</x:f>
        <x:v>0.917</x:v>
      </x:c>
      <x:c r="AF232" s="48" t="n">
        <x:f>(((SQRT((Inputs!$C$52+((Inputs!$H$6+Inputs!$L$6*(((Inputs!$I$6+(((A232)+1)/2)*(Inputs!$J$6-Inputs!$I$6)))/Inputs!$K$6)^2)))^2+Inputs!$C$52^2-2*(Inputs!$C$52+((Inputs!$H$6+Inputs!$L$6*(((Inputs!$I$6+(((A232)+1)/2)*(Inputs!$J$6-Inputs!$I$6)))/Inputs!$K$6)^2)))*Inputs!$C$52*COS(SQRT(((Inputs!$I$6+(((A232)+1)/2)*(Inputs!$J$6-Inputs!$I$6)))^2+Inputs!$C$6^2)/Inputs!$C$52)))-((Inputs!$H$6+Inputs!$L$6*(((Inputs!$I$6+(((A232)+1)/2)*(Inputs!$J$6-Inputs!$I$6)))/Inputs!$K$6)^2)))*1000/Inputs!$C$12)</x:f>
        <x:v>3177.9673170762962</x:v>
      </x:c>
      <x:c r="AG232" s="48" t="n">
        <x:f>(((SQRT((Inputs!$C$52+((Inputs!$H$7+Inputs!$L$7*(((Inputs!$I$7+(((A232)+1)/2)*(Inputs!$J$7-Inputs!$I$7)))/Inputs!$K$7)^2)))^2+Inputs!$C$52^2-2*(Inputs!$C$52+((Inputs!$H$7+Inputs!$L$7*(((Inputs!$I$7+(((A232)+1)/2)*(Inputs!$J$7-Inputs!$I$7)))/Inputs!$K$7)^2)))*Inputs!$C$52*COS(SQRT(((Inputs!$I$7+(((A232)+1)/2)*(Inputs!$J$7-Inputs!$I$7)))^2+Inputs!$C$6^2)/Inputs!$C$52)))-((Inputs!$H$7+Inputs!$L$7*(((Inputs!$I$7+(((A232)+1)/2)*(Inputs!$J$7-Inputs!$I$7)))/Inputs!$K$7)^2)))*1000/Inputs!$C$12)</x:f>
        <x:v>105676.40443464833</x:v>
      </x:c>
      <x:c r="AH232" s="48" t="n">
        <x:f>(((SQRT((Inputs!$C$52+((Inputs!$H$8+Inputs!$L$8*(((Inputs!$I$8+(((A232)+1)/2)*(Inputs!$J$8-Inputs!$I$8)))/Inputs!$K$8)^2)))^2+Inputs!$C$52^2-2*(Inputs!$C$52+((Inputs!$H$8+Inputs!$L$8*(((Inputs!$I$8+(((A232)+1)/2)*(Inputs!$J$8-Inputs!$I$8)))/Inputs!$K$8)^2)))*Inputs!$C$52*COS(SQRT(((Inputs!$I$8+(((A232)+1)/2)*(Inputs!$J$8-Inputs!$I$8)))^2+Inputs!$C$6^2)/Inputs!$C$52)))-((Inputs!$H$8+Inputs!$L$8*(((Inputs!$I$8+(((A232)+1)/2)*(Inputs!$J$8-Inputs!$I$8)))/Inputs!$K$8)^2)))*1000/Inputs!$C$12)</x:f>
        <x:v>219885.29324959015</x:v>
      </x:c>
      <x:c r="AI232" s="48" t="n">
        <x:f>(((SQRT((Inputs!$C$52+((Inputs!$H$9+Inputs!$L$9*(((Inputs!$I$9+(((A232)+1)/2)*(Inputs!$J$9-Inputs!$I$9)))/Inputs!$K$9)^2)))^2+Inputs!$C$52^2-2*(Inputs!$C$52+((Inputs!$H$9+Inputs!$L$9*(((Inputs!$I$9+(((A232)+1)/2)*(Inputs!$J$9-Inputs!$I$9)))/Inputs!$K$9)^2)))*Inputs!$C$52*COS(SQRT(((Inputs!$I$9+(((A232)+1)/2)*(Inputs!$J$9-Inputs!$I$9)))^2+Inputs!$C$6^2)/Inputs!$C$52)))-((Inputs!$H$9+Inputs!$L$9*(((Inputs!$I$9+(((A232)+1)/2)*(Inputs!$J$9-Inputs!$I$9)))/Inputs!$K$9)^2)))*1000/Inputs!$C$12)</x:f>
        <x:v>220045.75739405944</x:v>
      </x:c>
      <x:c r="AJ232" s="49"/>
      <x:c r="AK232" s="48" t="n">
        <x:f>A232</x:f>
        <x:v>0.917</x:v>
      </x:c>
      <x:c r="AL232" s="48" t="n">
        <x: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x:f>
        <x:v>-464.26123721308295</x:v>
      </x:c>
      <x:c r="AM232" s="48" t="n">
        <x: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x:f>
        <x:v>-3282.482234451537</x:v>
      </x:c>
      <x:c r="AN232" s="48" t="n">
        <x: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x:f>
        <x:v>-4314.101295687759</x:v>
      </x:c>
      <x:c r="AO232" s="48" t="n">
        <x: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x:f>
        <x:v>-4343.256691025419</x:v>
      </x:c>
      <x:c r="AP232" s="49"/>
      <x:c r="AQ232" s="48" t="n">
        <x:f>A232</x:f>
        <x:v>0.917</x:v>
      </x:c>
      <x:c r="AR232" s="48" t="n">
        <x:f>0</x:f>
        <x:v>0</x:v>
      </x:c>
      <x:c r="AS232" s="48" t="n">
        <x: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(0.45*SIN(2*PI()*((((Inputs!$I$6+(((A232)+1)/2)*(Inputs!$J$6-Inputs!$I$6)))/Inputs!$C$49)+Inputs!$C$47*0.137))+0.35*COS(2*PI()*(((Inputs!$C$6)/Inputs!$C$50)+Inputs!$C$47*0.173))+0.20*SIN(2*PI()*((((Inputs!$I$6+(((A232)+1)/2)*(Inputs!$J$6-Inputs!$I$6)))+(Inputs!$C$6))/(0.5*(Inputs!$C$49+Inputs!$C$50))+Inputs!$C$47*0.097)))+0.30*(2*((SIN((((Inputs!$I$6+(((A232)+1)/2)*(Inputs!$J$6-Inputs!$I$6)))*12.9898+(Inputs!$C$6)*78.233+Inputs!$C$47*37.719))*43758.5453)-INT((SIN((((Inputs!$I$6+(((A232)+1)/2)*(Inputs!$J$6-Inputs!$I$6)))*12.9898+(Inputs!$C$6)*78.233+Inputs!$C$47*37.719))*43758.5453)))-1))),NA())</x:f>
        <x:v>201.9709173167261</x:v>
      </x:c>
      <x:c r="AT232" s="48" t="n">
        <x: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(0.45*SIN(2*PI()*((((Inputs!$I$7+(((A232)+1)/2)*(Inputs!$J$7-Inputs!$I$7)))/Inputs!$C$49)+Inputs!$C$47*0.137))+0.35*COS(2*PI()*(((Inputs!$C$6)/Inputs!$C$50)+Inputs!$C$47*0.173))+0.20*SIN(2*PI()*((((Inputs!$I$7+(((A232)+1)/2)*(Inputs!$J$7-Inputs!$I$7)))+(Inputs!$C$6))/(0.5*(Inputs!$C$49+Inputs!$C$50))+Inputs!$C$47*0.097)))+0.30*(2*((SIN((((Inputs!$I$7+(((A232)+1)/2)*(Inputs!$J$7-Inputs!$I$7)))*12.9898+(Inputs!$C$6)*78.233+Inputs!$C$47*37.719))*43758.5453)-INT((SIN((((Inputs!$I$7+(((A232)+1)/2)*(Inputs!$J$7-Inputs!$I$7)))*12.9898+(Inputs!$C$6)*78.233+Inputs!$C$47*37.719))*43758.5453)))-1))),NA())</x:f>
        <x:v>206.57355529666475</x:v>
      </x:c>
      <x:c r="AU232" s="48" t="n">
        <x: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(0.45*SIN(2*PI()*((((Inputs!$I$8+(((A232)+1)/2)*(Inputs!$J$8-Inputs!$I$8)))/Inputs!$C$49)+Inputs!$C$47*0.137))+0.35*COS(2*PI()*(((Inputs!$C$6)/Inputs!$C$50)+Inputs!$C$47*0.173))+0.20*SIN(2*PI()*((((Inputs!$I$8+(((A232)+1)/2)*(Inputs!$J$8-Inputs!$I$8)))+(Inputs!$C$6))/(0.5*(Inputs!$C$49+Inputs!$C$50))+Inputs!$C$47*0.097)))+0.30*(2*((SIN((((Inputs!$I$8+(((A232)+1)/2)*(Inputs!$J$8-Inputs!$I$8)))*12.9898+(Inputs!$C$6)*78.233+Inputs!$C$47*37.719))*43758.5453)-INT((SIN((((Inputs!$I$8+(((A232)+1)/2)*(Inputs!$J$8-Inputs!$I$8)))*12.9898+(Inputs!$C$6)*78.233+Inputs!$C$47*37.719))*43758.5453)))-1))),NA())</x:f>
        <x:v>97.72007147764131</x:v>
      </x:c>
      <x:c r="AV232" s="48" t="n">
        <x: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(0.45*SIN(2*PI()*((((Inputs!$I$9+(((A232)+1)/2)*(Inputs!$J$9-Inputs!$I$9)))/Inputs!$C$49)+Inputs!$C$47*0.137))+0.35*COS(2*PI()*(((Inputs!$C$6)/Inputs!$C$50)+Inputs!$C$47*0.173))+0.20*SIN(2*PI()*((((Inputs!$I$9+(((A232)+1)/2)*(Inputs!$J$9-Inputs!$I$9)))+(Inputs!$C$6))/(0.5*(Inputs!$C$49+Inputs!$C$50))+Inputs!$C$47*0.097)))+0.30*(2*((SIN((((Inputs!$I$9+(((A232)+1)/2)*(Inputs!$J$9-Inputs!$I$9)))*12.9898+(Inputs!$C$6)*78.233+Inputs!$C$47*37.719))*43758.5453)-INT((SIN((((Inputs!$I$9+(((A232)+1)/2)*(Inputs!$J$9-Inputs!$I$9)))*12.9898+(Inputs!$C$6)*78.233+Inputs!$C$47*37.719))*43758.5453)))-1))),NA())</x:f>
        <x:v>97.72007147764131</x:v>
      </x:c>
      <x:c r="AW232" s="49"/>
      <x:c r="AX232" s="48" t="n">
        <x:f>A232</x:f>
        <x:v>0.917</x:v>
      </x:c>
      <x:c r="AY232" s="48" t="n">
        <x:f>0</x:f>
        <x:v>0</x:v>
      </x:c>
      <x:c r="AZ232" s="48" t="n">
        <x:f>IF(OR(Inputs!$F$6=TRUE,Inputs!$F$6="TRUE",Inputs!$F$6=1),(Inputs!$H$6+Inputs!$L$6*(((Inputs!$I$6+(((A232)+1)/2)*(Inputs!$J$6-Inputs!$I$6)))/Inputs!$K$6)^2),NA())</x:f>
        <x:v>403.363556</x:v>
      </x:c>
      <x:c r="BA232" s="48" t="n">
        <x:f>IF(OR(Inputs!$F$7=TRUE,Inputs!$F$7="TRUE",Inputs!$F$7=1),(Inputs!$H$7+Inputs!$L$7*(((Inputs!$I$7+(((A232)+1)/2)*(Inputs!$J$7-Inputs!$I$7)))/Inputs!$K$7)^2),NA())</x:f>
        <x:v>341.92448500000006</x:v>
      </x:c>
      <x:c r="BB232" s="48" t="n">
        <x:f>IF(OR(Inputs!$F$8=TRUE,Inputs!$F$8="TRUE",Inputs!$F$8=1),(Inputs!$H$8+Inputs!$L$8*(((Inputs!$I$8+(((A232)+1)/2)*(Inputs!$J$8-Inputs!$I$8)))/Inputs!$K$8)^2),NA())</x:f>
        <x:v>846.4578850000003</x:v>
      </x:c>
      <x:c r="BC232" s="48" t="n">
        <x:f>IF(OR(Inputs!$F$9=TRUE,Inputs!$F$9="TRUE",Inputs!$F$9=1),(Inputs!$H$9+Inputs!$L$9*(((Inputs!$I$9+(((A232)+1)/2)*(Inputs!$J$9-Inputs!$I$9)))/Inputs!$K$9)^2),NA())</x:f>
        <x:v>844.8667750000002</x:v>
      </x:c>
      <x:c r="BD232" s="49"/>
      <x:c r="BE232" s="48" t="n">
        <x:f>A232</x:f>
        <x:v>0.917</x:v>
      </x:c>
      <x:c r="BF232" s="48" t="n">
        <x:f>0</x:f>
        <x:v>0</x:v>
      </x:c>
      <x:c r="BG232" s="48"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BH232" s="48"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BI232" s="48"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BJ232" s="48"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row>
    <x:row r="233">
      <x:c r="A233" s="48" t="n">
        <x:f>ROUND(-1+231*2/240,3)</x:f>
        <x:v>0.925</x:v>
      </x:c>
      <x:c r="B233" s="48" t="n">
        <x:f>IF(OR(Inputs!$F$6=TRUE,Inputs!$F$6="TRUE",Inputs!$F$6=1),(Inputs!$H$6+Inputs!$L$6*(((Inputs!$I$6+(((A233)+1)/2)*(Inputs!$J$6-Inputs!$I$6)))/Inputs!$K$6)^2),NA())</x:f>
        <x:v>403.4225</x:v>
      </x:c>
      <x:c r="C233" s="48" t="n">
        <x:f>IF(OR(Inputs!$F$7=TRUE,Inputs!$F$7="TRUE",Inputs!$F$7=1),(Inputs!$H$7+Inputs!$L$7*(((Inputs!$I$7+(((A233)+1)/2)*(Inputs!$J$7-Inputs!$I$7)))/Inputs!$K$7)^2),NA())</x:f>
        <x:v>347.303125</x:v>
      </x:c>
      <x:c r="D233" s="48" t="n">
        <x:f>IF(OR(Inputs!$F$8=TRUE,Inputs!$F$8="TRUE",Inputs!$F$8=1),(Inputs!$H$8+Inputs!$L$8*(((Inputs!$I$8+(((A233)+1)/2)*(Inputs!$J$8-Inputs!$I$8)))/Inputs!$K$8)^2),NA())</x:f>
        <x:v>860.678125</x:v>
      </x:c>
      <x:c r="E233" s="48" t="n">
        <x:f>IF(OR(Inputs!$F$9=TRUE,Inputs!$F$9="TRUE",Inputs!$F$9=1),(Inputs!$H$9+Inputs!$L$9*(((Inputs!$I$9+(((A233)+1)/2)*(Inputs!$J$9-Inputs!$I$9)))/Inputs!$K$9)^2),NA())</x:f>
        <x:v>859.2343750000001</x:v>
      </x:c>
      <x:c r="F233" s="49"/>
      <x:c r="G233" s="48" t="n">
        <x:f>A233</x:f>
        <x:v>0.925</x:v>
      </x:c>
      <x:c r="H233" s="48"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I233" s="48"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J233" s="48"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K233" s="48"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c r="L233" s="49"/>
      <x:c r="M233" s="48" t="n">
        <x:f>A233</x:f>
        <x:v>0.925</x:v>
      </x:c>
      <x:c r="N233" s="48" t="n">
        <x: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x:f>
        <x:v>-468.1952349797457</x:v>
      </x:c>
      <x:c r="O233" s="48" t="n">
        <x: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x:f>
        <x:v>-3304.86220707818</x:v>
      </x:c>
      <x:c r="P233" s="48" t="n">
        <x: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x:f>
        <x:v>-4347.762987975836</x:v>
      </x:c>
      <x:c r="Q233" s="48" t="n">
        <x: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x:f>
        <x:v>-4377.367906392089</x:v>
      </x:c>
      <x:c r="R233" s="49"/>
      <x:c r="S233" s="48" t="n">
        <x:f>A233</x:f>
        <x:v>0.925</x:v>
      </x:c>
      <x:c r="T233" s="48" t="n">
        <x:f>(Inputs!$I$6+(((A233)+1)/2)*(Inputs!$J$6-Inputs!$I$6))</x:f>
        <x:v>55.5</x:v>
      </x:c>
      <x:c r="U233" s="48" t="n">
        <x:f>(Inputs!$I$7+(((A233)+1)/2)*(Inputs!$J$7-Inputs!$I$7))</x:f>
        <x:v>370</x:v>
      </x:c>
      <x:c r="V233" s="48" t="n">
        <x:f>(Inputs!$I$8+(((A233)+1)/2)*(Inputs!$J$8-Inputs!$I$8))</x:f>
        <x:v>740</x:v>
      </x:c>
      <x:c r="W233" s="48" t="n">
        <x:f>(Inputs!$I$9+(((A233)+1)/2)*(Inputs!$J$9-Inputs!$I$9))</x:f>
        <x:v>740</x:v>
      </x:c>
      <x:c r="X233" s="49"/>
      <x:c r="Y233" s="48" t="n">
        <x:f>A233</x:f>
        <x:v>0.925</x:v>
      </x:c>
      <x:c r="Z233" s="48" t="n">
        <x:f>(Inputs!$H$6+Inputs!$L$6*(((Inputs!$I$6+(((A233)+1)/2)*(Inputs!$J$6-Inputs!$I$6)))/Inputs!$K$6)^2)</x:f>
        <x:v>403.4225</x:v>
      </x:c>
      <x:c r="AA233" s="48" t="n">
        <x:f>(Inputs!$H$7+Inputs!$L$7*(((Inputs!$I$7+(((A233)+1)/2)*(Inputs!$J$7-Inputs!$I$7)))/Inputs!$K$7)^2)</x:f>
        <x:v>347.303125</x:v>
      </x:c>
      <x:c r="AB233" s="48" t="n">
        <x:f>(Inputs!$H$8+Inputs!$L$8*(((Inputs!$I$8+(((A233)+1)/2)*(Inputs!$J$8-Inputs!$I$8)))/Inputs!$K$8)^2)</x:f>
        <x:v>860.678125</x:v>
      </x:c>
      <x:c r="AC233" s="48" t="n">
        <x:f>(Inputs!$H$9+Inputs!$L$9*(((Inputs!$I$9+(((A233)+1)/2)*(Inputs!$J$9-Inputs!$I$9)))/Inputs!$K$9)^2)</x:f>
        <x:v>859.2343750000001</x:v>
      </x:c>
      <x:c r="AD233" s="49"/>
      <x:c r="AE233" s="48" t="n">
        <x:f>A233</x:f>
        <x:v>0.925</x:v>
      </x:c>
      <x:c r="AF233" s="48" t="n">
        <x:f>(((SQRT((Inputs!$C$52+((Inputs!$H$6+Inputs!$L$6*(((Inputs!$I$6+(((A233)+1)/2)*(Inputs!$J$6-Inputs!$I$6)))/Inputs!$K$6)^2)))^2+Inputs!$C$52^2-2*(Inputs!$C$52+((Inputs!$H$6+Inputs!$L$6*(((Inputs!$I$6+(((A233)+1)/2)*(Inputs!$J$6-Inputs!$I$6)))/Inputs!$K$6)^2)))*Inputs!$C$52*COS(SQRT(((Inputs!$I$6+(((A233)+1)/2)*(Inputs!$J$6-Inputs!$I$6)))^2+Inputs!$C$6^2)/Inputs!$C$52)))-((Inputs!$H$6+Inputs!$L$6*(((Inputs!$I$6+(((A233)+1)/2)*(Inputs!$J$6-Inputs!$I$6)))/Inputs!$K$6)^2)))*1000/Inputs!$C$12)</x:f>
        <x:v>3223.4305436364602</x:v>
      </x:c>
      <x:c r="AG233" s="48" t="n">
        <x:f>(((SQRT((Inputs!$C$52+((Inputs!$H$7+Inputs!$L$7*(((Inputs!$I$7+(((A233)+1)/2)*(Inputs!$J$7-Inputs!$I$7)))/Inputs!$K$7)^2)))^2+Inputs!$C$52^2-2*(Inputs!$C$52+((Inputs!$H$7+Inputs!$L$7*(((Inputs!$I$7+(((A233)+1)/2)*(Inputs!$J$7-Inputs!$I$7)))/Inputs!$K$7)^2)))*Inputs!$C$52*COS(SQRT(((Inputs!$I$7+(((A233)+1)/2)*(Inputs!$J$7-Inputs!$I$7)))^2+Inputs!$C$6^2)/Inputs!$C$52)))-((Inputs!$H$7+Inputs!$L$7*(((Inputs!$I$7+(((A233)+1)/2)*(Inputs!$J$7-Inputs!$I$7)))/Inputs!$K$7)^2)))*1000/Inputs!$C$12)</x:f>
        <x:v>106355.44562941928</x:v>
      </x:c>
      <x:c r="AH233" s="48" t="n">
        <x:f>(((SQRT((Inputs!$C$52+((Inputs!$H$8+Inputs!$L$8*(((Inputs!$I$8+(((A233)+1)/2)*(Inputs!$J$8-Inputs!$I$8)))/Inputs!$K$8)^2)))^2+Inputs!$C$52^2-2*(Inputs!$C$52+((Inputs!$H$8+Inputs!$L$8*(((Inputs!$I$8+(((A233)+1)/2)*(Inputs!$J$8-Inputs!$I$8)))/Inputs!$K$8)^2)))*Inputs!$C$52*COS(SQRT(((Inputs!$I$8+(((A233)+1)/2)*(Inputs!$J$8-Inputs!$I$8)))^2+Inputs!$C$6^2)/Inputs!$C$52)))-((Inputs!$H$8+Inputs!$L$8*(((Inputs!$I$8+(((A233)+1)/2)*(Inputs!$J$8-Inputs!$I$8)))/Inputs!$K$8)^2)))*1000/Inputs!$C$12)</x:f>
        <x:v>221628.81755188678</x:v>
      </x:c>
      <x:c r="AI233" s="48" t="n">
        <x:f>(((SQRT((Inputs!$C$52+((Inputs!$H$9+Inputs!$L$9*(((Inputs!$I$9+(((A233)+1)/2)*(Inputs!$J$9-Inputs!$I$9)))/Inputs!$K$9)^2)))^2+Inputs!$C$52^2-2*(Inputs!$C$52+((Inputs!$H$9+Inputs!$L$9*(((Inputs!$I$9+(((A233)+1)/2)*(Inputs!$J$9-Inputs!$I$9)))/Inputs!$K$9)^2)))*Inputs!$C$52*COS(SQRT(((Inputs!$I$9+(((A233)+1)/2)*(Inputs!$J$9-Inputs!$I$9)))^2+Inputs!$C$6^2)/Inputs!$C$52)))-((Inputs!$H$9+Inputs!$L$9*(((Inputs!$I$9+(((A233)+1)/2)*(Inputs!$J$9-Inputs!$I$9)))/Inputs!$K$9)^2)))*1000/Inputs!$C$12)</x:f>
        <x:v>221772.51837865092</x:v>
      </x:c>
      <x:c r="AJ233" s="49"/>
      <x:c r="AK233" s="48" t="n">
        <x:f>A233</x:f>
        <x:v>0.925</x:v>
      </x:c>
      <x:c r="AL233" s="48" t="n">
        <x: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x:f>
        <x:v>-468.1952349797457</x:v>
      </x:c>
      <x:c r="AM233" s="48" t="n">
        <x: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x:f>
        <x:v>-3304.86220707818</x:v>
      </x:c>
      <x:c r="AN233" s="48" t="n">
        <x: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x:f>
        <x:v>-4347.762987975836</x:v>
      </x:c>
      <x:c r="AO233" s="48" t="n">
        <x: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x:f>
        <x:v>-4377.367906392089</x:v>
      </x:c>
      <x:c r="AP233" s="49"/>
      <x:c r="AQ233" s="48" t="n">
        <x:f>A233</x:f>
        <x:v>0.925</x:v>
      </x:c>
      <x:c r="AR233" s="48" t="n">
        <x:f>0</x:f>
        <x:v>0</x:v>
      </x:c>
      <x:c r="AS233" s="48" t="n">
        <x: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(0.45*SIN(2*PI()*((((Inputs!$I$6+(((A233)+1)/2)*(Inputs!$J$6-Inputs!$I$6)))/Inputs!$C$49)+Inputs!$C$47*0.137))+0.35*COS(2*PI()*(((Inputs!$C$6)/Inputs!$C$50)+Inputs!$C$47*0.173))+0.20*SIN(2*PI()*((((Inputs!$I$6+(((A233)+1)/2)*(Inputs!$J$6-Inputs!$I$6)))+(Inputs!$C$6))/(0.5*(Inputs!$C$49+Inputs!$C$50))+Inputs!$C$47*0.097)))+0.30*(2*((SIN((((Inputs!$I$6+(((A233)+1)/2)*(Inputs!$J$6-Inputs!$I$6)))*12.9898+(Inputs!$C$6)*78.233+Inputs!$C$47*37.719))*43758.5453)-INT((SIN((((Inputs!$I$6+(((A233)+1)/2)*(Inputs!$J$6-Inputs!$I$6)))*12.9898+(Inputs!$C$6)*78.233+Inputs!$C$47*37.719))*43758.5453)))-1))),NA())</x:f>
        <x:v>182.5522692746181</x:v>
      </x:c>
      <x:c r="AT233" s="48" t="n">
        <x: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(0.45*SIN(2*PI()*((((Inputs!$I$7+(((A233)+1)/2)*(Inputs!$J$7-Inputs!$I$7)))/Inputs!$C$49)+Inputs!$C$47*0.137))+0.35*COS(2*PI()*(((Inputs!$C$6)/Inputs!$C$50)+Inputs!$C$47*0.173))+0.20*SIN(2*PI()*((((Inputs!$I$7+(((A233)+1)/2)*(Inputs!$J$7-Inputs!$I$7)))+(Inputs!$C$6))/(0.5*(Inputs!$C$49+Inputs!$C$50))+Inputs!$C$47*0.097)))+0.30*(2*((SIN((((Inputs!$I$7+(((A233)+1)/2)*(Inputs!$J$7-Inputs!$I$7)))*12.9898+(Inputs!$C$6)*78.233+Inputs!$C$47*37.719))*43758.5453)-INT((SIN((((Inputs!$I$7+(((A233)+1)/2)*(Inputs!$J$7-Inputs!$I$7)))*12.9898+(Inputs!$C$6)*78.233+Inputs!$C$47*37.719))*43758.5453)))-1))),NA())</x:f>
        <x:v>145.39340173065168</x:v>
      </x:c>
      <x:c r="AU233" s="48" t="n">
        <x: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(0.45*SIN(2*PI()*((((Inputs!$I$8+(((A233)+1)/2)*(Inputs!$J$8-Inputs!$I$8)))/Inputs!$C$49)+Inputs!$C$47*0.137))+0.35*COS(2*PI()*(((Inputs!$C$6)/Inputs!$C$50)+Inputs!$C$47*0.173))+0.20*SIN(2*PI()*((((Inputs!$I$8+(((A233)+1)/2)*(Inputs!$J$8-Inputs!$I$8)))+(Inputs!$C$6))/(0.5*(Inputs!$C$49+Inputs!$C$50))+Inputs!$C$47*0.097)))+0.30*(2*((SIN((((Inputs!$I$8+(((A233)+1)/2)*(Inputs!$J$8-Inputs!$I$8)))*12.9898+(Inputs!$C$6)*78.233+Inputs!$C$47*37.719))*43758.5453)-INT((SIN((((Inputs!$I$8+(((A233)+1)/2)*(Inputs!$J$8-Inputs!$I$8)))*12.9898+(Inputs!$C$6)*78.233+Inputs!$C$47*37.719))*43758.5453)))-1))),NA())</x:f>
        <x:v>160.0644046117087</x:v>
      </x:c>
      <x:c r="AV233" s="48" t="n">
        <x: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(0.45*SIN(2*PI()*((((Inputs!$I$9+(((A233)+1)/2)*(Inputs!$J$9-Inputs!$I$9)))/Inputs!$C$49)+Inputs!$C$47*0.137))+0.35*COS(2*PI()*(((Inputs!$C$6)/Inputs!$C$50)+Inputs!$C$47*0.173))+0.20*SIN(2*PI()*((((Inputs!$I$9+(((A233)+1)/2)*(Inputs!$J$9-Inputs!$I$9)))+(Inputs!$C$6))/(0.5*(Inputs!$C$49+Inputs!$C$50))+Inputs!$C$47*0.097)))+0.30*(2*((SIN((((Inputs!$I$9+(((A233)+1)/2)*(Inputs!$J$9-Inputs!$I$9)))*12.9898+(Inputs!$C$6)*78.233+Inputs!$C$47*37.719))*43758.5453)-INT((SIN((((Inputs!$I$9+(((A233)+1)/2)*(Inputs!$J$9-Inputs!$I$9)))*12.9898+(Inputs!$C$6)*78.233+Inputs!$C$47*37.719))*43758.5453)))-1))),NA())</x:f>
        <x:v>160.0644046117087</x:v>
      </x:c>
      <x:c r="AW233" s="49"/>
      <x:c r="AX233" s="48" t="n">
        <x:f>A233</x:f>
        <x:v>0.925</x:v>
      </x:c>
      <x:c r="AY233" s="48" t="n">
        <x:f>0</x:f>
        <x:v>0</x:v>
      </x:c>
      <x:c r="AZ233" s="48" t="n">
        <x:f>IF(OR(Inputs!$F$6=TRUE,Inputs!$F$6="TRUE",Inputs!$F$6=1),(Inputs!$H$6+Inputs!$L$6*(((Inputs!$I$6+(((A233)+1)/2)*(Inputs!$J$6-Inputs!$I$6)))/Inputs!$K$6)^2),NA())</x:f>
        <x:v>403.4225</x:v>
      </x:c>
      <x:c r="BA233" s="48" t="n">
        <x:f>IF(OR(Inputs!$F$7=TRUE,Inputs!$F$7="TRUE",Inputs!$F$7=1),(Inputs!$H$7+Inputs!$L$7*(((Inputs!$I$7+(((A233)+1)/2)*(Inputs!$J$7-Inputs!$I$7)))/Inputs!$K$7)^2),NA())</x:f>
        <x:v>347.303125</x:v>
      </x:c>
      <x:c r="BB233" s="48" t="n">
        <x:f>IF(OR(Inputs!$F$8=TRUE,Inputs!$F$8="TRUE",Inputs!$F$8=1),(Inputs!$H$8+Inputs!$L$8*(((Inputs!$I$8+(((A233)+1)/2)*(Inputs!$J$8-Inputs!$I$8)))/Inputs!$K$8)^2),NA())</x:f>
        <x:v>860.678125</x:v>
      </x:c>
      <x:c r="BC233" s="48" t="n">
        <x:f>IF(OR(Inputs!$F$9=TRUE,Inputs!$F$9="TRUE",Inputs!$F$9=1),(Inputs!$H$9+Inputs!$L$9*(((Inputs!$I$9+(((A233)+1)/2)*(Inputs!$J$9-Inputs!$I$9)))/Inputs!$K$9)^2),NA())</x:f>
        <x:v>859.2343750000001</x:v>
      </x:c>
      <x:c r="BD233" s="49"/>
      <x:c r="BE233" s="48" t="n">
        <x:f>A233</x:f>
        <x:v>0.925</x:v>
      </x:c>
      <x:c r="BF233" s="48" t="n">
        <x:f>0</x:f>
        <x:v>0</x:v>
      </x:c>
      <x:c r="BG233" s="48"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BH233" s="48"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BI233" s="48"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BJ233" s="48"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row>
    <x:row r="234">
      <x:c r="A234" s="48" t="n">
        <x:f>ROUND(-1+232*2/240,3)</x:f>
        <x:v>0.933</x:v>
      </x:c>
      <x:c r="B234" s="48" t="n">
        <x:f>IF(OR(Inputs!$F$6=TRUE,Inputs!$F$6="TRUE",Inputs!$F$6=1),(Inputs!$H$6+Inputs!$L$6*(((Inputs!$I$6+(((A234)+1)/2)*(Inputs!$J$6-Inputs!$I$6)))/Inputs!$K$6)^2),NA())</x:f>
        <x:v>403.481956</x:v>
      </x:c>
      <x:c r="C234" s="48" t="n">
        <x:f>IF(OR(Inputs!$F$7=TRUE,Inputs!$F$7="TRUE",Inputs!$F$7=1),(Inputs!$H$7+Inputs!$L$7*(((Inputs!$I$7+(((A234)+1)/2)*(Inputs!$J$7-Inputs!$I$7)))/Inputs!$K$7)^2),NA())</x:f>
        <x:v>352.7284850000001</x:v>
      </x:c>
      <x:c r="D234" s="48" t="n">
        <x:f>IF(OR(Inputs!$F$8=TRUE,Inputs!$F$8="TRUE",Inputs!$F$8=1),(Inputs!$H$8+Inputs!$L$8*(((Inputs!$I$8+(((A234)+1)/2)*(Inputs!$J$8-Inputs!$I$8)))/Inputs!$K$8)^2),NA())</x:f>
        <x:v>875.0218850000002</x:v>
      </x:c>
      <x:c r="E234" s="48" t="n">
        <x:f>IF(OR(Inputs!$F$9=TRUE,Inputs!$F$9="TRUE",Inputs!$F$9=1),(Inputs!$H$9+Inputs!$L$9*(((Inputs!$I$9+(((A234)+1)/2)*(Inputs!$J$9-Inputs!$I$9)))/Inputs!$K$9)^2),NA())</x:f>
        <x:v>873.7267750000003</x:v>
      </x:c>
      <x:c r="F234" s="49"/>
      <x:c r="G234" s="48" t="n">
        <x:f>A234</x:f>
        <x:v>0.933</x:v>
      </x:c>
      <x:c r="H234" s="48"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I234" s="48"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J234" s="48"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K234" s="48"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c r="L234" s="49"/>
      <x:c r="M234" s="48" t="n">
        <x:f>A234</x:f>
        <x:v>0.933</x:v>
      </x:c>
      <x:c r="N234" s="48" t="n">
        <x: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x:f>
        <x:v>-472.126324737249</x:v>
      </x:c>
      <x:c r="O234" s="48" t="n">
        <x: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x:f>
        <x:v>-3327.308259194152</x:v>
      </x:c>
      <x:c r="P234" s="48" t="n">
        <x: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x:f>
        <x:v>-4381.469837427133</x:v>
      </x:c>
      <x:c r="Q234" s="48" t="n">
        <x: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x:f>
        <x:v>-4411.522288810605</x:v>
      </x:c>
      <x:c r="R234" s="49"/>
      <x:c r="S234" s="48" t="n">
        <x:f>A234</x:f>
        <x:v>0.933</x:v>
      </x:c>
      <x:c r="T234" s="48" t="n">
        <x:f>(Inputs!$I$6+(((A234)+1)/2)*(Inputs!$J$6-Inputs!$I$6))</x:f>
        <x:v>55.980000000000004</x:v>
      </x:c>
      <x:c r="U234" s="48" t="n">
        <x:f>(Inputs!$I$7+(((A234)+1)/2)*(Inputs!$J$7-Inputs!$I$7))</x:f>
        <x:v>373.20000000000005</x:v>
      </x:c>
      <x:c r="V234" s="48" t="n">
        <x:f>(Inputs!$I$8+(((A234)+1)/2)*(Inputs!$J$8-Inputs!$I$8))</x:f>
        <x:v>746.4000000000001</x:v>
      </x:c>
      <x:c r="W234" s="48" t="n">
        <x:f>(Inputs!$I$9+(((A234)+1)/2)*(Inputs!$J$9-Inputs!$I$9))</x:f>
        <x:v>746.4000000000001</x:v>
      </x:c>
      <x:c r="X234" s="49"/>
      <x:c r="Y234" s="48" t="n">
        <x:f>A234</x:f>
        <x:v>0.933</x:v>
      </x:c>
      <x:c r="Z234" s="48" t="n">
        <x:f>(Inputs!$H$6+Inputs!$L$6*(((Inputs!$I$6+(((A234)+1)/2)*(Inputs!$J$6-Inputs!$I$6)))/Inputs!$K$6)^2)</x:f>
        <x:v>403.481956</x:v>
      </x:c>
      <x:c r="AA234" s="48" t="n">
        <x:f>(Inputs!$H$7+Inputs!$L$7*(((Inputs!$I$7+(((A234)+1)/2)*(Inputs!$J$7-Inputs!$I$7)))/Inputs!$K$7)^2)</x:f>
        <x:v>352.7284850000001</x:v>
      </x:c>
      <x:c r="AB234" s="48" t="n">
        <x:f>(Inputs!$H$8+Inputs!$L$8*(((Inputs!$I$8+(((A234)+1)/2)*(Inputs!$J$8-Inputs!$I$8)))/Inputs!$K$8)^2)</x:f>
        <x:v>875.0218850000002</x:v>
      </x:c>
      <x:c r="AC234" s="48" t="n">
        <x:f>(Inputs!$H$9+Inputs!$L$9*(((Inputs!$I$9+(((A234)+1)/2)*(Inputs!$J$9-Inputs!$I$9)))/Inputs!$K$9)^2)</x:f>
        <x:v>873.7267750000003</x:v>
      </x:c>
      <x:c r="AD234" s="49"/>
      <x:c r="AE234" s="48" t="n">
        <x:f>A234</x:f>
        <x:v>0.933</x:v>
      </x:c>
      <x:c r="AF234" s="48" t="n">
        <x:f>(((SQRT((Inputs!$C$52+((Inputs!$H$6+Inputs!$L$6*(((Inputs!$I$6+(((A234)+1)/2)*(Inputs!$J$6-Inputs!$I$6)))/Inputs!$K$6)^2)))^2+Inputs!$C$52^2-2*(Inputs!$C$52+((Inputs!$H$6+Inputs!$L$6*(((Inputs!$I$6+(((A234)+1)/2)*(Inputs!$J$6-Inputs!$I$6)))/Inputs!$K$6)^2)))*Inputs!$C$52*COS(SQRT(((Inputs!$I$6+(((A234)+1)/2)*(Inputs!$J$6-Inputs!$I$6)))^2+Inputs!$C$6^2)/Inputs!$C$52)))-((Inputs!$H$6+Inputs!$L$6*(((Inputs!$I$6+(((A234)+1)/2)*(Inputs!$J$6-Inputs!$I$6)))/Inputs!$K$6)^2)))*1000/Inputs!$C$12)</x:f>
        <x:v>3269.2689183040475</x:v>
      </x:c>
      <x:c r="AG234" s="48" t="n">
        <x:f>(((SQRT((Inputs!$C$52+((Inputs!$H$7+Inputs!$L$7*(((Inputs!$I$7+(((A234)+1)/2)*(Inputs!$J$7-Inputs!$I$7)))/Inputs!$K$7)^2)))^2+Inputs!$C$52^2-2*(Inputs!$C$52+((Inputs!$H$7+Inputs!$L$7*(((Inputs!$I$7+(((A234)+1)/2)*(Inputs!$J$7-Inputs!$I$7)))/Inputs!$K$7)^2)))*Inputs!$C$52*COS(SQRT(((Inputs!$I$7+(((A234)+1)/2)*(Inputs!$J$7-Inputs!$I$7)))^2+Inputs!$C$6^2)/Inputs!$C$52)))-((Inputs!$H$7+Inputs!$L$7*(((Inputs!$I$7+(((A234)+1)/2)*(Inputs!$J$7-Inputs!$I$7)))/Inputs!$K$7)^2)))*1000/Inputs!$C$12)</x:f>
        <x:v>107033.4229070712</x:v>
      </x:c>
      <x:c r="AH234" s="48" t="n">
        <x:f>(((SQRT((Inputs!$C$52+((Inputs!$H$8+Inputs!$L$8*(((Inputs!$I$8+(((A234)+1)/2)*(Inputs!$J$8-Inputs!$I$8)))/Inputs!$K$8)^2)))^2+Inputs!$C$52^2-2*(Inputs!$C$52+((Inputs!$H$8+Inputs!$L$8*(((Inputs!$I$8+(((A234)+1)/2)*(Inputs!$J$8-Inputs!$I$8)))/Inputs!$K$8)^2)))*Inputs!$C$52*COS(SQRT(((Inputs!$I$8+(((A234)+1)/2)*(Inputs!$J$8-Inputs!$I$8)))^2+Inputs!$C$6^2)/Inputs!$C$52)))-((Inputs!$H$8+Inputs!$L$8*(((Inputs!$I$8+(((A234)+1)/2)*(Inputs!$J$8-Inputs!$I$8)))/Inputs!$K$8)^2)))*1000/Inputs!$C$12)</x:f>
        <x:v>223378.64387405742</x:v>
      </x:c>
      <x:c r="AI234" s="48" t="n">
        <x:f>(((SQRT((Inputs!$C$52+((Inputs!$H$9+Inputs!$L$9*(((Inputs!$I$9+(((A234)+1)/2)*(Inputs!$J$9-Inputs!$I$9)))/Inputs!$K$9)^2)))^2+Inputs!$C$52^2-2*(Inputs!$C$52+((Inputs!$H$9+Inputs!$L$9*(((Inputs!$I$9+(((A234)+1)/2)*(Inputs!$J$9-Inputs!$I$9)))/Inputs!$K$9)^2)))*Inputs!$C$52*COS(SQRT(((Inputs!$I$9+(((A234)+1)/2)*(Inputs!$J$9-Inputs!$I$9)))^2+Inputs!$C$6^2)/Inputs!$C$52)))-((Inputs!$H$9+Inputs!$L$9*(((Inputs!$I$9+(((A234)+1)/2)*(Inputs!$J$9-Inputs!$I$9)))/Inputs!$K$9)^2)))*1000/Inputs!$C$12)</x:f>
        <x:v>223505.87020606681</x:v>
      </x:c>
      <x:c r="AJ234" s="49"/>
      <x:c r="AK234" s="48" t="n">
        <x:f>A234</x:f>
        <x:v>0.933</x:v>
      </x:c>
      <x:c r="AL234" s="48" t="n">
        <x: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x:f>
        <x:v>-472.126324737249</x:v>
      </x:c>
      <x:c r="AM234" s="48" t="n">
        <x: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x:f>
        <x:v>-3327.308259194152</x:v>
      </x:c>
      <x:c r="AN234" s="48" t="n">
        <x: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x:f>
        <x:v>-4381.469837427133</x:v>
      </x:c>
      <x:c r="AO234" s="48" t="n">
        <x: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x:f>
        <x:v>-4411.522288810605</x:v>
      </x:c>
      <x:c r="AP234" s="49"/>
      <x:c r="AQ234" s="48" t="n">
        <x:f>A234</x:f>
        <x:v>0.933</x:v>
      </x:c>
      <x:c r="AR234" s="48" t="n">
        <x:f>0</x:f>
        <x:v>0</x:v>
      </x:c>
      <x:c r="AS234" s="48" t="n">
        <x: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(0.45*SIN(2*PI()*((((Inputs!$I$6+(((A234)+1)/2)*(Inputs!$J$6-Inputs!$I$6)))/Inputs!$C$49)+Inputs!$C$47*0.137))+0.35*COS(2*PI()*(((Inputs!$C$6)/Inputs!$C$50)+Inputs!$C$47*0.173))+0.20*SIN(2*PI()*((((Inputs!$I$6+(((A234)+1)/2)*(Inputs!$J$6-Inputs!$I$6)))+(Inputs!$C$6))/(0.5*(Inputs!$C$49+Inputs!$C$50))+Inputs!$C$47*0.097)))+0.30*(2*((SIN((((Inputs!$I$6+(((A234)+1)/2)*(Inputs!$J$6-Inputs!$I$6)))*12.9898+(Inputs!$C$6)*78.233+Inputs!$C$47*37.719))*43758.5453)-INT((SIN((((Inputs!$I$6+(((A234)+1)/2)*(Inputs!$J$6-Inputs!$I$6)))*12.9898+(Inputs!$C$6)*78.233+Inputs!$C$47*37.719))*43758.5453)))-1))),NA())</x:f>
        <x:v>185.94476125950024</x:v>
      </x:c>
      <x:c r="AT234" s="48" t="n">
        <x: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(0.45*SIN(2*PI()*((((Inputs!$I$7+(((A234)+1)/2)*(Inputs!$J$7-Inputs!$I$7)))/Inputs!$C$49)+Inputs!$C$47*0.137))+0.35*COS(2*PI()*(((Inputs!$C$6)/Inputs!$C$50)+Inputs!$C$47*0.173))+0.20*SIN(2*PI()*((((Inputs!$I$7+(((A234)+1)/2)*(Inputs!$J$7-Inputs!$I$7)))+(Inputs!$C$6))/(0.5*(Inputs!$C$49+Inputs!$C$50))+Inputs!$C$47*0.097)))+0.30*(2*((SIN((((Inputs!$I$7+(((A234)+1)/2)*(Inputs!$J$7-Inputs!$I$7)))*12.9898+(Inputs!$C$6)*78.233+Inputs!$C$47*37.719))*43758.5453)-INT((SIN((((Inputs!$I$7+(((A234)+1)/2)*(Inputs!$J$7-Inputs!$I$7)))*12.9898+(Inputs!$C$6)*78.233+Inputs!$C$47*37.719))*43758.5453)))-1))),NA())</x:f>
        <x:v>98.11352403233904</x:v>
      </x:c>
      <x:c r="AU234" s="48" t="n">
        <x: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(0.45*SIN(2*PI()*((((Inputs!$I$8+(((A234)+1)/2)*(Inputs!$J$8-Inputs!$I$8)))/Inputs!$C$49)+Inputs!$C$47*0.137))+0.35*COS(2*PI()*(((Inputs!$C$6)/Inputs!$C$50)+Inputs!$C$47*0.173))+0.20*SIN(2*PI()*((((Inputs!$I$8+(((A234)+1)/2)*(Inputs!$J$8-Inputs!$I$8)))+(Inputs!$C$6))/(0.5*(Inputs!$C$49+Inputs!$C$50))+Inputs!$C$47*0.097)))+0.30*(2*((SIN((((Inputs!$I$8+(((A234)+1)/2)*(Inputs!$J$8-Inputs!$I$8)))*12.9898+(Inputs!$C$6)*78.233+Inputs!$C$47*37.719))*43758.5453)-INT((SIN((((Inputs!$I$8+(((A234)+1)/2)*(Inputs!$J$8-Inputs!$I$8)))*12.9898+(Inputs!$C$6)*78.233+Inputs!$C$47*37.719))*43758.5453)))-1))),NA())</x:f>
        <x:v>160.61002511432216</x:v>
      </x:c>
      <x:c r="AV234" s="48" t="n">
        <x: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(0.45*SIN(2*PI()*((((Inputs!$I$9+(((A234)+1)/2)*(Inputs!$J$9-Inputs!$I$9)))/Inputs!$C$49)+Inputs!$C$47*0.137))+0.35*COS(2*PI()*(((Inputs!$C$6)/Inputs!$C$50)+Inputs!$C$47*0.173))+0.20*SIN(2*PI()*((((Inputs!$I$9+(((A234)+1)/2)*(Inputs!$J$9-Inputs!$I$9)))+(Inputs!$C$6))/(0.5*(Inputs!$C$49+Inputs!$C$50))+Inputs!$C$47*0.097)))+0.30*(2*((SIN((((Inputs!$I$9+(((A234)+1)/2)*(Inputs!$J$9-Inputs!$I$9)))*12.9898+(Inputs!$C$6)*78.233+Inputs!$C$47*37.719))*43758.5453)-INT((SIN((((Inputs!$I$9+(((A234)+1)/2)*(Inputs!$J$9-Inputs!$I$9)))*12.9898+(Inputs!$C$6)*78.233+Inputs!$C$47*37.719))*43758.5453)))-1))),NA())</x:f>
        <x:v>160.61002511432216</x:v>
      </x:c>
      <x:c r="AW234" s="49"/>
      <x:c r="AX234" s="48" t="n">
        <x:f>A234</x:f>
        <x:v>0.933</x:v>
      </x:c>
      <x:c r="AY234" s="48" t="n">
        <x:f>0</x:f>
        <x:v>0</x:v>
      </x:c>
      <x:c r="AZ234" s="48" t="n">
        <x:f>IF(OR(Inputs!$F$6=TRUE,Inputs!$F$6="TRUE",Inputs!$F$6=1),(Inputs!$H$6+Inputs!$L$6*(((Inputs!$I$6+(((A234)+1)/2)*(Inputs!$J$6-Inputs!$I$6)))/Inputs!$K$6)^2),NA())</x:f>
        <x:v>403.481956</x:v>
      </x:c>
      <x:c r="BA234" s="48" t="n">
        <x:f>IF(OR(Inputs!$F$7=TRUE,Inputs!$F$7="TRUE",Inputs!$F$7=1),(Inputs!$H$7+Inputs!$L$7*(((Inputs!$I$7+(((A234)+1)/2)*(Inputs!$J$7-Inputs!$I$7)))/Inputs!$K$7)^2),NA())</x:f>
        <x:v>352.7284850000001</x:v>
      </x:c>
      <x:c r="BB234" s="48" t="n">
        <x:f>IF(OR(Inputs!$F$8=TRUE,Inputs!$F$8="TRUE",Inputs!$F$8=1),(Inputs!$H$8+Inputs!$L$8*(((Inputs!$I$8+(((A234)+1)/2)*(Inputs!$J$8-Inputs!$I$8)))/Inputs!$K$8)^2),NA())</x:f>
        <x:v>875.0218850000002</x:v>
      </x:c>
      <x:c r="BC234" s="48" t="n">
        <x:f>IF(OR(Inputs!$F$9=TRUE,Inputs!$F$9="TRUE",Inputs!$F$9=1),(Inputs!$H$9+Inputs!$L$9*(((Inputs!$I$9+(((A234)+1)/2)*(Inputs!$J$9-Inputs!$I$9)))/Inputs!$K$9)^2),NA())</x:f>
        <x:v>873.7267750000003</x:v>
      </x:c>
      <x:c r="BD234" s="49"/>
      <x:c r="BE234" s="48" t="n">
        <x:f>A234</x:f>
        <x:v>0.933</x:v>
      </x:c>
      <x:c r="BF234" s="48" t="n">
        <x:f>0</x:f>
        <x:v>0</x:v>
      </x:c>
      <x:c r="BG234" s="48"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BH234" s="48"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BI234" s="48"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BJ234" s="48"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row>
    <x:row r="235">
      <x:c r="A235" s="48" t="n">
        <x:f>ROUND(-1+233*2/240,3)</x:f>
        <x:v>0.942</x:v>
      </x:c>
      <x:c r="B235" s="48" t="n">
        <x:f>IF(OR(Inputs!$F$6=TRUE,Inputs!$F$6="TRUE",Inputs!$F$6=1),(Inputs!$H$6+Inputs!$L$6*(((Inputs!$I$6+(((A235)+1)/2)*(Inputs!$J$6-Inputs!$I$6)))/Inputs!$K$6)^2),NA())</x:f>
        <x:v>403.549456</x:v>
      </x:c>
      <x:c r="C235" s="48" t="n">
        <x:f>IF(OR(Inputs!$F$7=TRUE,Inputs!$F$7="TRUE",Inputs!$F$7=1),(Inputs!$H$7+Inputs!$L$7*(((Inputs!$I$7+(((A235)+1)/2)*(Inputs!$J$7-Inputs!$I$7)))/Inputs!$K$7)^2),NA())</x:f>
        <x:v>358.8878599999999</x:v>
      </x:c>
      <x:c r="D235" s="48" t="n">
        <x:f>IF(OR(Inputs!$F$8=TRUE,Inputs!$F$8="TRUE",Inputs!$F$8=1),(Inputs!$H$8+Inputs!$L$8*(((Inputs!$I$8+(((A235)+1)/2)*(Inputs!$J$8-Inputs!$I$8)))/Inputs!$K$8)^2),NA())</x:f>
        <x:v>891.3062599999997</x:v>
      </x:c>
      <x:c r="E235" s="48" t="n">
        <x:f>IF(OR(Inputs!$F$9=TRUE,Inputs!$F$9="TRUE",Inputs!$F$9=1),(Inputs!$H$9+Inputs!$L$9*(((Inputs!$I$9+(((A235)+1)/2)*(Inputs!$J$9-Inputs!$I$9)))/Inputs!$K$9)^2),NA())</x:f>
        <x:v>890.1798999999997</x:v>
      </x:c>
      <x:c r="F235" s="49"/>
      <x:c r="G235" s="48" t="n">
        <x:f>A235</x:f>
        <x:v>0.942</x:v>
      </x:c>
      <x:c r="H235" s="48"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I235" s="48"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J235" s="48"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K235" s="48"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c r="L235" s="49"/>
      <x:c r="M235" s="48" t="n">
        <x:f>A235</x:f>
        <x:v>0.942</x:v>
      </x:c>
      <x:c r="N235" s="48" t="n">
        <x: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x:f>
        <x:v>-476.54529972214686</x:v>
      </x:c>
      <x:c r="O235" s="48" t="n">
        <x: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x:f>
        <x:v>-3352.6375502318347</x:v>
      </x:c>
      <x:c r="P235" s="48" t="n">
        <x: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x:f>
        <x:v>-4419.442134466082</x:v>
      </x:c>
      <x:c r="Q235" s="48" t="n">
        <x: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x:f>
        <x:v>-4449.995709046931</x:v>
      </x:c>
      <x:c r="R235" s="49"/>
      <x:c r="S235" s="48" t="n">
        <x:f>A235</x:f>
        <x:v>0.942</x:v>
      </x:c>
      <x:c r="T235" s="48" t="n">
        <x:f>(Inputs!$I$6+(((A235)+1)/2)*(Inputs!$J$6-Inputs!$I$6))</x:f>
        <x:v>56.519999999999996</x:v>
      </x:c>
      <x:c r="U235" s="48" t="n">
        <x:f>(Inputs!$I$7+(((A235)+1)/2)*(Inputs!$J$7-Inputs!$I$7))</x:f>
        <x:v>376.79999999999995</x:v>
      </x:c>
      <x:c r="V235" s="48" t="n">
        <x:f>(Inputs!$I$8+(((A235)+1)/2)*(Inputs!$J$8-Inputs!$I$8))</x:f>
        <x:v>753.5999999999999</x:v>
      </x:c>
      <x:c r="W235" s="48" t="n">
        <x:f>(Inputs!$I$9+(((A235)+1)/2)*(Inputs!$J$9-Inputs!$I$9))</x:f>
        <x:v>753.5999999999999</x:v>
      </x:c>
      <x:c r="X235" s="49"/>
      <x:c r="Y235" s="48" t="n">
        <x:f>A235</x:f>
        <x:v>0.942</x:v>
      </x:c>
      <x:c r="Z235" s="48" t="n">
        <x:f>(Inputs!$H$6+Inputs!$L$6*(((Inputs!$I$6+(((A235)+1)/2)*(Inputs!$J$6-Inputs!$I$6)))/Inputs!$K$6)^2)</x:f>
        <x:v>403.549456</x:v>
      </x:c>
      <x:c r="AA235" s="48" t="n">
        <x:f>(Inputs!$H$7+Inputs!$L$7*(((Inputs!$I$7+(((A235)+1)/2)*(Inputs!$J$7-Inputs!$I$7)))/Inputs!$K$7)^2)</x:f>
        <x:v>358.8878599999999</x:v>
      </x:c>
      <x:c r="AB235" s="48" t="n">
        <x:f>(Inputs!$H$8+Inputs!$L$8*(((Inputs!$I$8+(((A235)+1)/2)*(Inputs!$J$8-Inputs!$I$8)))/Inputs!$K$8)^2)</x:f>
        <x:v>891.3062599999997</x:v>
      </x:c>
      <x:c r="AC235" s="48" t="n">
        <x:f>(Inputs!$H$9+Inputs!$L$9*(((Inputs!$I$9+(((A235)+1)/2)*(Inputs!$J$9-Inputs!$I$9)))/Inputs!$K$9)^2)</x:f>
        <x:v>890.1798999999997</x:v>
      </x:c>
      <x:c r="AD235" s="49"/>
      <x:c r="AE235" s="48" t="n">
        <x:f>A235</x:f>
        <x:v>0.942</x:v>
      </x:c>
      <x:c r="AF235" s="48" t="n">
        <x:f>(((SQRT((Inputs!$C$52+((Inputs!$H$6+Inputs!$L$6*(((Inputs!$I$6+(((A235)+1)/2)*(Inputs!$J$6-Inputs!$I$6)))/Inputs!$K$6)^2)))^2+Inputs!$C$52^2-2*(Inputs!$C$52+((Inputs!$H$6+Inputs!$L$6*(((Inputs!$I$6+(((A235)+1)/2)*(Inputs!$J$6-Inputs!$I$6)))/Inputs!$K$6)^2)))*Inputs!$C$52*COS(SQRT(((Inputs!$I$6+(((A235)+1)/2)*(Inputs!$J$6-Inputs!$I$6)))^2+Inputs!$C$6^2)/Inputs!$C$52)))-((Inputs!$H$6+Inputs!$L$6*(((Inputs!$I$6+(((A235)+1)/2)*(Inputs!$J$6-Inputs!$I$6)))/Inputs!$K$6)^2)))*1000/Inputs!$C$12)</x:f>
        <x:v>3321.28489653817</x:v>
      </x:c>
      <x:c r="AG235" s="48" t="n">
        <x:f>(((SQRT((Inputs!$C$52+((Inputs!$H$7+Inputs!$L$7*(((Inputs!$I$7+(((A235)+1)/2)*(Inputs!$J$7-Inputs!$I$7)))/Inputs!$K$7)^2)))^2+Inputs!$C$52^2-2*(Inputs!$C$52+((Inputs!$H$7+Inputs!$L$7*(((Inputs!$I$7+(((A235)+1)/2)*(Inputs!$J$7-Inputs!$I$7)))/Inputs!$K$7)^2)))*Inputs!$C$52*COS(SQRT(((Inputs!$I$7+(((A235)+1)/2)*(Inputs!$J$7-Inputs!$I$7)))^2+Inputs!$C$6^2)/Inputs!$C$52)))-((Inputs!$H$7+Inputs!$L$7*(((Inputs!$I$7+(((A235)+1)/2)*(Inputs!$J$7-Inputs!$I$7)))/Inputs!$K$7)^2)))*1000/Inputs!$C$12)</x:f>
        <x:v>107794.96717721704</x:v>
      </x:c>
      <x:c r="AH235" s="48" t="n">
        <x:f>(((SQRT((Inputs!$C$52+((Inputs!$H$8+Inputs!$L$8*(((Inputs!$I$8+(((A235)+1)/2)*(Inputs!$J$8-Inputs!$I$8)))/Inputs!$K$8)^2)))^2+Inputs!$C$52^2-2*(Inputs!$C$52+((Inputs!$H$8+Inputs!$L$8*(((Inputs!$I$8+(((A235)+1)/2)*(Inputs!$J$8-Inputs!$I$8)))/Inputs!$K$8)^2)))*Inputs!$C$52*COS(SQRT(((Inputs!$I$8+(((A235)+1)/2)*(Inputs!$J$8-Inputs!$I$8)))^2+Inputs!$C$6^2)/Inputs!$C$52)))-((Inputs!$H$8+Inputs!$L$8*(((Inputs!$I$8+(((A235)+1)/2)*(Inputs!$J$8-Inputs!$I$8)))/Inputs!$K$8)^2)))*1000/Inputs!$C$12)</x:f>
        <x:v>225354.85545907478</x:v>
      </x:c>
      <x:c r="AI235" s="48" t="n">
        <x:f>(((SQRT((Inputs!$C$52+((Inputs!$H$9+Inputs!$L$9*(((Inputs!$I$9+(((A235)+1)/2)*(Inputs!$J$9-Inputs!$I$9)))/Inputs!$K$9)^2)))^2+Inputs!$C$52^2-2*(Inputs!$C$52+((Inputs!$H$9+Inputs!$L$9*(((Inputs!$I$9+(((A235)+1)/2)*(Inputs!$J$9-Inputs!$I$9)))/Inputs!$K$9)^2)))*Inputs!$C$52*COS(SQRT(((Inputs!$I$9+(((A235)+1)/2)*(Inputs!$J$9-Inputs!$I$9)))^2+Inputs!$C$6^2)/Inputs!$C$52)))-((Inputs!$H$9+Inputs!$L$9*(((Inputs!$I$9+(((A235)+1)/2)*(Inputs!$J$9-Inputs!$I$9)))/Inputs!$K$9)^2)))*1000/Inputs!$C$12)</x:f>
        <x:v>225463.88768239436</x:v>
      </x:c>
      <x:c r="AJ235" s="49"/>
      <x:c r="AK235" s="48" t="n">
        <x:f>A235</x:f>
        <x:v>0.942</x:v>
      </x:c>
      <x:c r="AL235" s="48" t="n">
        <x: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x:f>
        <x:v>-476.54529972214686</x:v>
      </x:c>
      <x:c r="AM235" s="48" t="n">
        <x: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x:f>
        <x:v>-3352.6375502318347</x:v>
      </x:c>
      <x:c r="AN235" s="48" t="n">
        <x: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x:f>
        <x:v>-4419.442134466082</x:v>
      </x:c>
      <x:c r="AO235" s="48" t="n">
        <x: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x:f>
        <x:v>-4449.995709046931</x:v>
      </x:c>
      <x:c r="AP235" s="49"/>
      <x:c r="AQ235" s="48" t="n">
        <x:f>A235</x:f>
        <x:v>0.942</x:v>
      </x:c>
      <x:c r="AR235" s="48" t="n">
        <x:f>0</x:f>
        <x:v>0</x:v>
      </x:c>
      <x:c r="AS235" s="48" t="n">
        <x: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(0.45*SIN(2*PI()*((((Inputs!$I$6+(((A235)+1)/2)*(Inputs!$J$6-Inputs!$I$6)))/Inputs!$C$49)+Inputs!$C$47*0.137))+0.35*COS(2*PI()*(((Inputs!$C$6)/Inputs!$C$50)+Inputs!$C$47*0.173))+0.20*SIN(2*PI()*((((Inputs!$I$6+(((A235)+1)/2)*(Inputs!$J$6-Inputs!$I$6)))+(Inputs!$C$6))/(0.5*(Inputs!$C$49+Inputs!$C$50))+Inputs!$C$47*0.097)))+0.30*(2*((SIN((((Inputs!$I$6+(((A235)+1)/2)*(Inputs!$J$6-Inputs!$I$6)))*12.9898+(Inputs!$C$6)*78.233+Inputs!$C$47*37.719))*43758.5453)-INT((SIN((((Inputs!$I$6+(((A235)+1)/2)*(Inputs!$J$6-Inputs!$I$6)))*12.9898+(Inputs!$C$6)*78.233+Inputs!$C$47*37.719))*43758.5453)))-1))),NA())</x:f>
        <x:v>199.19208848085862</x:v>
      </x:c>
      <x:c r="AT235" s="48" t="n">
        <x: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(0.45*SIN(2*PI()*((((Inputs!$I$7+(((A235)+1)/2)*(Inputs!$J$7-Inputs!$I$7)))/Inputs!$C$49)+Inputs!$C$47*0.137))+0.35*COS(2*PI()*(((Inputs!$C$6)/Inputs!$C$50)+Inputs!$C$47*0.173))+0.20*SIN(2*PI()*((((Inputs!$I$7+(((A235)+1)/2)*(Inputs!$J$7-Inputs!$I$7)))+(Inputs!$C$6))/(0.5*(Inputs!$C$49+Inputs!$C$50))+Inputs!$C$47*0.097)))+0.30*(2*((SIN((((Inputs!$I$7+(((A235)+1)/2)*(Inputs!$J$7-Inputs!$I$7)))*12.9898+(Inputs!$C$6)*78.233+Inputs!$C$47*37.719))*43758.5453)-INT((SIN((((Inputs!$I$7+(((A235)+1)/2)*(Inputs!$J$7-Inputs!$I$7)))*12.9898+(Inputs!$C$6)*78.233+Inputs!$C$47*37.719))*43758.5453)))-1))),NA())</x:f>
        <x:v>136.80312199804771</x:v>
      </x:c>
      <x:c r="AU235" s="48" t="n">
        <x: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(0.45*SIN(2*PI()*((((Inputs!$I$8+(((A235)+1)/2)*(Inputs!$J$8-Inputs!$I$8)))/Inputs!$C$49)+Inputs!$C$47*0.137))+0.35*COS(2*PI()*(((Inputs!$C$6)/Inputs!$C$50)+Inputs!$C$47*0.173))+0.20*SIN(2*PI()*((((Inputs!$I$8+(((A235)+1)/2)*(Inputs!$J$8-Inputs!$I$8)))+(Inputs!$C$6))/(0.5*(Inputs!$C$49+Inputs!$C$50))+Inputs!$C$47*0.097)))+0.30*(2*((SIN((((Inputs!$I$8+(((A235)+1)/2)*(Inputs!$J$8-Inputs!$I$8)))*12.9898+(Inputs!$C$6)*78.233+Inputs!$C$47*37.719))*43758.5453)-INT((SIN((((Inputs!$I$8+(((A235)+1)/2)*(Inputs!$J$8-Inputs!$I$8)))*12.9898+(Inputs!$C$6)*78.233+Inputs!$C$47*37.719))*43758.5453)))-1))),NA())</x:f>
        <x:v>61.34041701701119</x:v>
      </x:c>
      <x:c r="AV235" s="48" t="n">
        <x: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(0.45*SIN(2*PI()*((((Inputs!$I$9+(((A235)+1)/2)*(Inputs!$J$9-Inputs!$I$9)))/Inputs!$C$49)+Inputs!$C$47*0.137))+0.35*COS(2*PI()*(((Inputs!$C$6)/Inputs!$C$50)+Inputs!$C$47*0.173))+0.20*SIN(2*PI()*((((Inputs!$I$9+(((A235)+1)/2)*(Inputs!$J$9-Inputs!$I$9)))+(Inputs!$C$6))/(0.5*(Inputs!$C$49+Inputs!$C$50))+Inputs!$C$47*0.097)))+0.30*(2*((SIN((((Inputs!$I$9+(((A235)+1)/2)*(Inputs!$J$9-Inputs!$I$9)))*12.9898+(Inputs!$C$6)*78.233+Inputs!$C$47*37.719))*43758.5453)-INT((SIN((((Inputs!$I$9+(((A235)+1)/2)*(Inputs!$J$9-Inputs!$I$9)))*12.9898+(Inputs!$C$6)*78.233+Inputs!$C$47*37.719))*43758.5453)))-1))),NA())</x:f>
        <x:v>61.34041701701119</x:v>
      </x:c>
      <x:c r="AW235" s="49"/>
      <x:c r="AX235" s="48" t="n">
        <x:f>A235</x:f>
        <x:v>0.942</x:v>
      </x:c>
      <x:c r="AY235" s="48" t="n">
        <x:f>0</x:f>
        <x:v>0</x:v>
      </x:c>
      <x:c r="AZ235" s="48" t="n">
        <x:f>IF(OR(Inputs!$F$6=TRUE,Inputs!$F$6="TRUE",Inputs!$F$6=1),(Inputs!$H$6+Inputs!$L$6*(((Inputs!$I$6+(((A235)+1)/2)*(Inputs!$J$6-Inputs!$I$6)))/Inputs!$K$6)^2),NA())</x:f>
        <x:v>403.549456</x:v>
      </x:c>
      <x:c r="BA235" s="48" t="n">
        <x:f>IF(OR(Inputs!$F$7=TRUE,Inputs!$F$7="TRUE",Inputs!$F$7=1),(Inputs!$H$7+Inputs!$L$7*(((Inputs!$I$7+(((A235)+1)/2)*(Inputs!$J$7-Inputs!$I$7)))/Inputs!$K$7)^2),NA())</x:f>
        <x:v>358.8878599999999</x:v>
      </x:c>
      <x:c r="BB235" s="48" t="n">
        <x:f>IF(OR(Inputs!$F$8=TRUE,Inputs!$F$8="TRUE",Inputs!$F$8=1),(Inputs!$H$8+Inputs!$L$8*(((Inputs!$I$8+(((A235)+1)/2)*(Inputs!$J$8-Inputs!$I$8)))/Inputs!$K$8)^2),NA())</x:f>
        <x:v>891.3062599999997</x:v>
      </x:c>
      <x:c r="BC235" s="48" t="n">
        <x:f>IF(OR(Inputs!$F$9=TRUE,Inputs!$F$9="TRUE",Inputs!$F$9=1),(Inputs!$H$9+Inputs!$L$9*(((Inputs!$I$9+(((A235)+1)/2)*(Inputs!$J$9-Inputs!$I$9)))/Inputs!$K$9)^2),NA())</x:f>
        <x:v>890.1798999999997</x:v>
      </x:c>
      <x:c r="BD235" s="49"/>
      <x:c r="BE235" s="48" t="n">
        <x:f>A235</x:f>
        <x:v>0.942</x:v>
      </x:c>
      <x:c r="BF235" s="48" t="n">
        <x:f>0</x:f>
        <x:v>0</x:v>
      </x:c>
      <x:c r="BG235" s="48"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BH235" s="48"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BI235" s="48"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BJ235" s="48"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row>
    <x:row r="236">
      <x:c r="A236" s="48" t="n">
        <x:f>ROUND(-1+234*2/240,3)</x:f>
        <x:v>0.95</x:v>
      </x:c>
      <x:c r="B236" s="48" t="n">
        <x:f>IF(OR(Inputs!$F$6=TRUE,Inputs!$F$6="TRUE",Inputs!$F$6=1),(Inputs!$H$6+Inputs!$L$6*(((Inputs!$I$6+(((A236)+1)/2)*(Inputs!$J$6-Inputs!$I$6)))/Inputs!$K$6)^2),NA())</x:f>
        <x:v>403.61</x:v>
      </x:c>
      <x:c r="C236" s="48" t="n">
        <x:f>IF(OR(Inputs!$F$7=TRUE,Inputs!$F$7="TRUE",Inputs!$F$7=1),(Inputs!$H$7+Inputs!$L$7*(((Inputs!$I$7+(((A236)+1)/2)*(Inputs!$J$7-Inputs!$I$7)))/Inputs!$K$7)^2),NA())</x:f>
        <x:v>364.41249999999997</x:v>
      </x:c>
      <x:c r="D236" s="48" t="n">
        <x:f>IF(OR(Inputs!$F$8=TRUE,Inputs!$F$8="TRUE",Inputs!$F$8=1),(Inputs!$H$8+Inputs!$L$8*(((Inputs!$I$8+(((A236)+1)/2)*(Inputs!$J$8-Inputs!$I$8)))/Inputs!$K$8)^2),NA())</x:f>
        <x:v>905.9125</x:v>
      </x:c>
      <x:c r="E236" s="48" t="n">
        <x:f>IF(OR(Inputs!$F$9=TRUE,Inputs!$F$9="TRUE",Inputs!$F$9=1),(Inputs!$H$9+Inputs!$L$9*(((Inputs!$I$9+(((A236)+1)/2)*(Inputs!$J$9-Inputs!$I$9)))/Inputs!$K$9)^2),NA())</x:f>
        <x:v>904.9375</x:v>
      </x:c>
      <x:c r="F236" s="49"/>
      <x:c r="G236" s="48" t="n">
        <x:f>A236</x:f>
        <x:v>0.95</x:v>
      </x:c>
      <x:c r="H236" s="48"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I236" s="48"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J236" s="48"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K236" s="48"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c r="L236" s="49"/>
      <x:c r="M236" s="48" t="n">
        <x:f>A236</x:f>
        <x:v>0.95</x:v>
      </x:c>
      <x:c r="N236" s="48" t="n">
        <x: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x:f>
        <x:v>-480.4701433956754</x:v>
      </x:c>
      <x:c r="O236" s="48" t="n">
        <x: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x:f>
        <x:v>-3375.220032880159</x:v>
      </x:c>
      <x:c r="P236" s="48" t="n">
        <x: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x:f>
        <x:v>-4453.239959937166</x:v>
      </x:c>
      <x:c r="Q236" s="48" t="n">
        <x: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x:f>
        <x:v>-4484.236912188276</x:v>
      </x:c>
      <x:c r="R236" s="49"/>
      <x:c r="S236" s="48" t="n">
        <x:f>A236</x:f>
        <x:v>0.95</x:v>
      </x:c>
      <x:c r="T236" s="48" t="n">
        <x:f>(Inputs!$I$6+(((A236)+1)/2)*(Inputs!$J$6-Inputs!$I$6))</x:f>
        <x:v>57</x:v>
      </x:c>
      <x:c r="U236" s="48" t="n">
        <x:f>(Inputs!$I$7+(((A236)+1)/2)*(Inputs!$J$7-Inputs!$I$7))</x:f>
        <x:v>380</x:v>
      </x:c>
      <x:c r="V236" s="48" t="n">
        <x:f>(Inputs!$I$8+(((A236)+1)/2)*(Inputs!$J$8-Inputs!$I$8))</x:f>
        <x:v>760</x:v>
      </x:c>
      <x:c r="W236" s="48" t="n">
        <x:f>(Inputs!$I$9+(((A236)+1)/2)*(Inputs!$J$9-Inputs!$I$9))</x:f>
        <x:v>760</x:v>
      </x:c>
      <x:c r="X236" s="49"/>
      <x:c r="Y236" s="48" t="n">
        <x:f>A236</x:f>
        <x:v>0.95</x:v>
      </x:c>
      <x:c r="Z236" s="48" t="n">
        <x:f>(Inputs!$H$6+Inputs!$L$6*(((Inputs!$I$6+(((A236)+1)/2)*(Inputs!$J$6-Inputs!$I$6)))/Inputs!$K$6)^2)</x:f>
        <x:v>403.61</x:v>
      </x:c>
      <x:c r="AA236" s="48" t="n">
        <x:f>(Inputs!$H$7+Inputs!$L$7*(((Inputs!$I$7+(((A236)+1)/2)*(Inputs!$J$7-Inputs!$I$7)))/Inputs!$K$7)^2)</x:f>
        <x:v>364.41249999999997</x:v>
      </x:c>
      <x:c r="AB236" s="48" t="n">
        <x:f>(Inputs!$H$8+Inputs!$L$8*(((Inputs!$I$8+(((A236)+1)/2)*(Inputs!$J$8-Inputs!$I$8)))/Inputs!$K$8)^2)</x:f>
        <x:v>905.9125</x:v>
      </x:c>
      <x:c r="AC236" s="48" t="n">
        <x:f>(Inputs!$H$9+Inputs!$L$9*(((Inputs!$I$9+(((A236)+1)/2)*(Inputs!$J$9-Inputs!$I$9)))/Inputs!$K$9)^2)</x:f>
        <x:v>904.9375</x:v>
      </x:c>
      <x:c r="AD236" s="49"/>
      <x:c r="AE236" s="48" t="n">
        <x:f>A236</x:f>
        <x:v>0.95</x:v>
      </x:c>
      <x:c r="AF236" s="48" t="n">
        <x:f>(((SQRT((Inputs!$C$52+((Inputs!$H$6+Inputs!$L$6*(((Inputs!$I$6+(((A236)+1)/2)*(Inputs!$J$6-Inputs!$I$6)))/Inputs!$K$6)^2)))^2+Inputs!$C$52^2-2*(Inputs!$C$52+((Inputs!$H$6+Inputs!$L$6*(((Inputs!$I$6+(((A236)+1)/2)*(Inputs!$J$6-Inputs!$I$6)))/Inputs!$K$6)^2)))*Inputs!$C$52*COS(SQRT(((Inputs!$I$6+(((A236)+1)/2)*(Inputs!$J$6-Inputs!$I$6)))^2+Inputs!$C$6^2)/Inputs!$C$52)))-((Inputs!$H$6+Inputs!$L$6*(((Inputs!$I$6+(((A236)+1)/2)*(Inputs!$J$6-Inputs!$I$6)))/Inputs!$K$6)^2)))*1000/Inputs!$C$12)</x:f>
        <x:v>3367.918823774454</x:v>
      </x:c>
      <x:c r="AG236" s="48" t="n">
        <x:f>(((SQRT((Inputs!$C$52+((Inputs!$H$7+Inputs!$L$7*(((Inputs!$I$7+(((A236)+1)/2)*(Inputs!$J$7-Inputs!$I$7)))/Inputs!$K$7)^2)))^2+Inputs!$C$52^2-2*(Inputs!$C$52+((Inputs!$H$7+Inputs!$L$7*(((Inputs!$I$7+(((A236)+1)/2)*(Inputs!$J$7-Inputs!$I$7)))/Inputs!$K$7)^2)))*Inputs!$C$52*COS(SQRT(((Inputs!$I$7+(((A236)+1)/2)*(Inputs!$J$7-Inputs!$I$7)))^2+Inputs!$C$6^2)/Inputs!$C$52)))-((Inputs!$H$7+Inputs!$L$7*(((Inputs!$I$7+(((A236)+1)/2)*(Inputs!$J$7-Inputs!$I$7)))/Inputs!$K$7)^2)))*1000/Inputs!$C$12)</x:f>
        <x:v>108470.92621776105</x:v>
      </x:c>
      <x:c r="AH236" s="48" t="n">
        <x:f>(((SQRT((Inputs!$C$52+((Inputs!$H$8+Inputs!$L$8*(((Inputs!$I$8+(((A236)+1)/2)*(Inputs!$J$8-Inputs!$I$8)))/Inputs!$K$8)^2)))^2+Inputs!$C$52^2-2*(Inputs!$C$52+((Inputs!$H$8+Inputs!$L$8*(((Inputs!$I$8+(((A236)+1)/2)*(Inputs!$J$8-Inputs!$I$8)))/Inputs!$K$8)^2)))*Inputs!$C$52*COS(SQRT(((Inputs!$I$8+(((A236)+1)/2)*(Inputs!$J$8-Inputs!$I$8)))^2+Inputs!$C$6^2)/Inputs!$C$52)))-((Inputs!$H$8+Inputs!$L$8*(((Inputs!$I$8+(((A236)+1)/2)*(Inputs!$J$8-Inputs!$I$8)))/Inputs!$K$8)^2)))*1000/Inputs!$C$12)</x:f>
        <x:v>227118.40064745268</x:v>
      </x:c>
      <x:c r="AI236" s="48" t="n">
        <x:f>(((SQRT((Inputs!$C$52+((Inputs!$H$9+Inputs!$L$9*(((Inputs!$I$9+(((A236)+1)/2)*(Inputs!$J$9-Inputs!$I$9)))/Inputs!$K$9)^2)))^2+Inputs!$C$52^2-2*(Inputs!$C$52+((Inputs!$H$9+Inputs!$L$9*(((Inputs!$I$9+(((A236)+1)/2)*(Inputs!$J$9-Inputs!$I$9)))/Inputs!$K$9)^2)))*Inputs!$C$52*COS(SQRT(((Inputs!$I$9+(((A236)+1)/2)*(Inputs!$J$9-Inputs!$I$9)))^2+Inputs!$C$6^2)/Inputs!$C$52)))-((Inputs!$H$9+Inputs!$L$9*(((Inputs!$I$9+(((A236)+1)/2)*(Inputs!$J$9-Inputs!$I$9)))/Inputs!$K$9)^2)))*1000/Inputs!$C$12)</x:f>
        <x:v>227211.55741989255</x:v>
      </x:c>
      <x:c r="AJ236" s="49"/>
      <x:c r="AK236" s="48" t="n">
        <x:f>A236</x:f>
        <x:v>0.95</x:v>
      </x:c>
      <x:c r="AL236" s="48" t="n">
        <x: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x:f>
        <x:v>-480.4701433956754</x:v>
      </x:c>
      <x:c r="AM236" s="48" t="n">
        <x: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x:f>
        <x:v>-3375.220032880159</x:v>
      </x:c>
      <x:c r="AN236" s="48" t="n">
        <x: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x:f>
        <x:v>-4453.239959937166</x:v>
      </x:c>
      <x:c r="AO236" s="48" t="n">
        <x: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x:f>
        <x:v>-4484.236912188276</x:v>
      </x:c>
      <x:c r="AP236" s="49"/>
      <x:c r="AQ236" s="48" t="n">
        <x:f>A236</x:f>
        <x:v>0.95</x:v>
      </x:c>
      <x:c r="AR236" s="48" t="n">
        <x:f>0</x:f>
        <x:v>0</x:v>
      </x:c>
      <x:c r="AS236" s="48" t="n">
        <x: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(0.45*SIN(2*PI()*((((Inputs!$I$6+(((A236)+1)/2)*(Inputs!$J$6-Inputs!$I$6)))/Inputs!$C$49)+Inputs!$C$47*0.137))+0.35*COS(2*PI()*(((Inputs!$C$6)/Inputs!$C$50)+Inputs!$C$47*0.173))+0.20*SIN(2*PI()*((((Inputs!$I$6+(((A236)+1)/2)*(Inputs!$J$6-Inputs!$I$6)))+(Inputs!$C$6))/(0.5*(Inputs!$C$49+Inputs!$C$50))+Inputs!$C$47*0.097)))+0.30*(2*((SIN((((Inputs!$I$6+(((A236)+1)/2)*(Inputs!$J$6-Inputs!$I$6)))*12.9898+(Inputs!$C$6)*78.233+Inputs!$C$47*37.719))*43758.5453)-INT((SIN((((Inputs!$I$6+(((A236)+1)/2)*(Inputs!$J$6-Inputs!$I$6)))*12.9898+(Inputs!$C$6)*78.233+Inputs!$C$47*37.719))*43758.5453)))-1))),NA())</x:f>
        <x:v>200.68454527158707</x:v>
      </x:c>
      <x:c r="AT236" s="48" t="n">
        <x: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(0.45*SIN(2*PI()*((((Inputs!$I$7+(((A236)+1)/2)*(Inputs!$J$7-Inputs!$I$7)))/Inputs!$C$49)+Inputs!$C$47*0.137))+0.35*COS(2*PI()*(((Inputs!$C$6)/Inputs!$C$50)+Inputs!$C$47*0.173))+0.20*SIN(2*PI()*((((Inputs!$I$7+(((A236)+1)/2)*(Inputs!$J$7-Inputs!$I$7)))+(Inputs!$C$6))/(0.5*(Inputs!$C$49+Inputs!$C$50))+Inputs!$C$47*0.097)))+0.30*(2*((SIN((((Inputs!$I$7+(((A236)+1)/2)*(Inputs!$J$7-Inputs!$I$7)))*12.9898+(Inputs!$C$6)*78.233+Inputs!$C$47*37.719))*43758.5453)-INT((SIN((((Inputs!$I$7+(((A236)+1)/2)*(Inputs!$J$7-Inputs!$I$7)))*12.9898+(Inputs!$C$6)*78.233+Inputs!$C$47*37.719))*43758.5453)))-1))),NA())</x:f>
        <x:v>190.6077590066482</x:v>
      </x:c>
      <x:c r="AU236" s="48" t="n">
        <x: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(0.45*SIN(2*PI()*((((Inputs!$I$8+(((A236)+1)/2)*(Inputs!$J$8-Inputs!$I$8)))/Inputs!$C$49)+Inputs!$C$47*0.137))+0.35*COS(2*PI()*(((Inputs!$C$6)/Inputs!$C$50)+Inputs!$C$47*0.173))+0.20*SIN(2*PI()*((((Inputs!$I$8+(((A236)+1)/2)*(Inputs!$J$8-Inputs!$I$8)))+(Inputs!$C$6))/(0.5*(Inputs!$C$49+Inputs!$C$50))+Inputs!$C$47*0.097)))+0.30*(2*((SIN((((Inputs!$I$8+(((A236)+1)/2)*(Inputs!$J$8-Inputs!$I$8)))*12.9898+(Inputs!$C$6)*78.233+Inputs!$C$47*37.719))*43758.5453)-INT((SIN((((Inputs!$I$8+(((A236)+1)/2)*(Inputs!$J$8-Inputs!$I$8)))*12.9898+(Inputs!$C$6)*78.233+Inputs!$C$47*37.719))*43758.5453)))-1))),NA())</x:f>
        <x:v>218.3637776453862</x:v>
      </x:c>
      <x:c r="AV236" s="48" t="n">
        <x: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(0.45*SIN(2*PI()*((((Inputs!$I$9+(((A236)+1)/2)*(Inputs!$J$9-Inputs!$I$9)))/Inputs!$C$49)+Inputs!$C$47*0.137))+0.35*COS(2*PI()*(((Inputs!$C$6)/Inputs!$C$50)+Inputs!$C$47*0.173))+0.20*SIN(2*PI()*((((Inputs!$I$9+(((A236)+1)/2)*(Inputs!$J$9-Inputs!$I$9)))+(Inputs!$C$6))/(0.5*(Inputs!$C$49+Inputs!$C$50))+Inputs!$C$47*0.097)))+0.30*(2*((SIN((((Inputs!$I$9+(((A236)+1)/2)*(Inputs!$J$9-Inputs!$I$9)))*12.9898+(Inputs!$C$6)*78.233+Inputs!$C$47*37.719))*43758.5453)-INT((SIN((((Inputs!$I$9+(((A236)+1)/2)*(Inputs!$J$9-Inputs!$I$9)))*12.9898+(Inputs!$C$6)*78.233+Inputs!$C$47*37.719))*43758.5453)))-1))),NA())</x:f>
        <x:v>218.3637776453862</x:v>
      </x:c>
      <x:c r="AW236" s="49"/>
      <x:c r="AX236" s="48" t="n">
        <x:f>A236</x:f>
        <x:v>0.95</x:v>
      </x:c>
      <x:c r="AY236" s="48" t="n">
        <x:f>0</x:f>
        <x:v>0</x:v>
      </x:c>
      <x:c r="AZ236" s="48" t="n">
        <x:f>IF(OR(Inputs!$F$6=TRUE,Inputs!$F$6="TRUE",Inputs!$F$6=1),(Inputs!$H$6+Inputs!$L$6*(((Inputs!$I$6+(((A236)+1)/2)*(Inputs!$J$6-Inputs!$I$6)))/Inputs!$K$6)^2),NA())</x:f>
        <x:v>403.61</x:v>
      </x:c>
      <x:c r="BA236" s="48" t="n">
        <x:f>IF(OR(Inputs!$F$7=TRUE,Inputs!$F$7="TRUE",Inputs!$F$7=1),(Inputs!$H$7+Inputs!$L$7*(((Inputs!$I$7+(((A236)+1)/2)*(Inputs!$J$7-Inputs!$I$7)))/Inputs!$K$7)^2),NA())</x:f>
        <x:v>364.41249999999997</x:v>
      </x:c>
      <x:c r="BB236" s="48" t="n">
        <x:f>IF(OR(Inputs!$F$8=TRUE,Inputs!$F$8="TRUE",Inputs!$F$8=1),(Inputs!$H$8+Inputs!$L$8*(((Inputs!$I$8+(((A236)+1)/2)*(Inputs!$J$8-Inputs!$I$8)))/Inputs!$K$8)^2),NA())</x:f>
        <x:v>905.9125</x:v>
      </x:c>
      <x:c r="BC236" s="48" t="n">
        <x:f>IF(OR(Inputs!$F$9=TRUE,Inputs!$F$9="TRUE",Inputs!$F$9=1),(Inputs!$H$9+Inputs!$L$9*(((Inputs!$I$9+(((A236)+1)/2)*(Inputs!$J$9-Inputs!$I$9)))/Inputs!$K$9)^2),NA())</x:f>
        <x:v>904.9375</x:v>
      </x:c>
      <x:c r="BD236" s="49"/>
      <x:c r="BE236" s="48" t="n">
        <x:f>A236</x:f>
        <x:v>0.95</x:v>
      </x:c>
      <x:c r="BF236" s="48" t="n">
        <x:f>0</x:f>
        <x:v>0</x:v>
      </x:c>
      <x:c r="BG236" s="48"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BH236" s="48"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BI236" s="48"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BJ236" s="48"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row>
    <x:row r="237">
      <x:c r="A237" s="48" t="n">
        <x:f>ROUND(-1+235*2/240,3)</x:f>
        <x:v>0.958</x:v>
      </x:c>
      <x:c r="B237" s="48" t="n">
        <x:f>IF(OR(Inputs!$F$6=TRUE,Inputs!$F$6="TRUE",Inputs!$F$6=1),(Inputs!$H$6+Inputs!$L$6*(((Inputs!$I$6+(((A237)+1)/2)*(Inputs!$J$6-Inputs!$I$6)))/Inputs!$K$6)^2),NA())</x:f>
        <x:v>403.671056</x:v>
      </x:c>
      <x:c r="C237" s="48" t="n">
        <x:f>IF(OR(Inputs!$F$7=TRUE,Inputs!$F$7="TRUE",Inputs!$F$7=1),(Inputs!$H$7+Inputs!$L$7*(((Inputs!$I$7+(((A237)+1)/2)*(Inputs!$J$7-Inputs!$I$7)))/Inputs!$K$7)^2),NA())</x:f>
        <x:v>369.9838599999999</x:v>
      </x:c>
      <x:c r="D237" s="48" t="n">
        <x:f>IF(OR(Inputs!$F$8=TRUE,Inputs!$F$8="TRUE",Inputs!$F$8=1),(Inputs!$H$8+Inputs!$L$8*(((Inputs!$I$8+(((A237)+1)/2)*(Inputs!$J$8-Inputs!$I$8)))/Inputs!$K$8)^2),NA())</x:f>
        <x:v>920.6422599999997</x:v>
      </x:c>
      <x:c r="E237" s="48" t="n">
        <x:f>IF(OR(Inputs!$F$9=TRUE,Inputs!$F$9="TRUE",Inputs!$F$9=1),(Inputs!$H$9+Inputs!$L$9*(((Inputs!$I$9+(((A237)+1)/2)*(Inputs!$J$9-Inputs!$I$9)))/Inputs!$K$9)^2),NA())</x:f>
        <x:v>919.8198999999997</x:v>
      </x:c>
      <x:c r="F237" s="49"/>
      <x:c r="G237" s="48" t="n">
        <x:f>A237</x:f>
        <x:v>0.958</x:v>
      </x:c>
      <x:c r="H237" s="48"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I237" s="48"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J237" s="48"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K237" s="48"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c r="L237" s="49"/>
      <x:c r="M237" s="48" t="n">
        <x:f>A237</x:f>
        <x:v>0.958</x:v>
      </x:c>
      <x:c r="N237" s="48" t="n">
        <x: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x:f>
        <x:v>-484.39201666720464</x:v>
      </x:c>
      <x:c r="O237" s="48" t="n">
        <x: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x:f>
        <x:v>-3397.8648793413604</x:v>
      </x:c>
      <x:c r="P237" s="48" t="n">
        <x: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x:f>
        <x:v>-4487.078336438277</x:v>
      </x:c>
      <x:c r="Q237" s="48" t="n">
        <x: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x:f>
        <x:v>-4518.5167466337525</x:v>
      </x:c>
      <x:c r="R237" s="49"/>
      <x:c r="S237" s="48" t="n">
        <x:f>A237</x:f>
        <x:v>0.958</x:v>
      </x:c>
      <x:c r="T237" s="48" t="n">
        <x:f>(Inputs!$I$6+(((A237)+1)/2)*(Inputs!$J$6-Inputs!$I$6))</x:f>
        <x:v>57.480000000000004</x:v>
      </x:c>
      <x:c r="U237" s="48" t="n">
        <x:f>(Inputs!$I$7+(((A237)+1)/2)*(Inputs!$J$7-Inputs!$I$7))</x:f>
        <x:v>383.19999999999993</x:v>
      </x:c>
      <x:c r="V237" s="48" t="n">
        <x:f>(Inputs!$I$8+(((A237)+1)/2)*(Inputs!$J$8-Inputs!$I$8))</x:f>
        <x:v>766.3999999999999</x:v>
      </x:c>
      <x:c r="W237" s="48" t="n">
        <x:f>(Inputs!$I$9+(((A237)+1)/2)*(Inputs!$J$9-Inputs!$I$9))</x:f>
        <x:v>766.3999999999999</x:v>
      </x:c>
      <x:c r="X237" s="49"/>
      <x:c r="Y237" s="48" t="n">
        <x:f>A237</x:f>
        <x:v>0.958</x:v>
      </x:c>
      <x:c r="Z237" s="48" t="n">
        <x:f>(Inputs!$H$6+Inputs!$L$6*(((Inputs!$I$6+(((A237)+1)/2)*(Inputs!$J$6-Inputs!$I$6)))/Inputs!$K$6)^2)</x:f>
        <x:v>403.671056</x:v>
      </x:c>
      <x:c r="AA237" s="48" t="n">
        <x:f>(Inputs!$H$7+Inputs!$L$7*(((Inputs!$I$7+(((A237)+1)/2)*(Inputs!$J$7-Inputs!$I$7)))/Inputs!$K$7)^2)</x:f>
        <x:v>369.9838599999999</x:v>
      </x:c>
      <x:c r="AB237" s="48" t="n">
        <x:f>(Inputs!$H$8+Inputs!$L$8*(((Inputs!$I$8+(((A237)+1)/2)*(Inputs!$J$8-Inputs!$I$8)))/Inputs!$K$8)^2)</x:f>
        <x:v>920.6422599999997</x:v>
      </x:c>
      <x:c r="AC237" s="48" t="n">
        <x:f>(Inputs!$H$9+Inputs!$L$9*(((Inputs!$I$9+(((A237)+1)/2)*(Inputs!$J$9-Inputs!$I$9)))/Inputs!$K$9)^2)</x:f>
        <x:v>919.8198999999997</x:v>
      </x:c>
      <x:c r="AD237" s="49"/>
      <x:c r="AE237" s="48" t="n">
        <x:f>A237</x:f>
        <x:v>0.958</x:v>
      </x:c>
      <x:c r="AF237" s="48" t="n">
        <x:f>(((SQRT((Inputs!$C$52+((Inputs!$H$6+Inputs!$L$6*(((Inputs!$I$6+(((A237)+1)/2)*(Inputs!$J$6-Inputs!$I$6)))/Inputs!$K$6)^2)))^2+Inputs!$C$52^2-2*(Inputs!$C$52+((Inputs!$H$6+Inputs!$L$6*(((Inputs!$I$6+(((A237)+1)/2)*(Inputs!$J$6-Inputs!$I$6)))/Inputs!$K$6)^2)))*Inputs!$C$52*COS(SQRT(((Inputs!$I$6+(((A237)+1)/2)*(Inputs!$J$6-Inputs!$I$6)))^2+Inputs!$C$6^2)/Inputs!$C$52)))-((Inputs!$H$6+Inputs!$L$6*(((Inputs!$I$6+(((A237)+1)/2)*(Inputs!$J$6-Inputs!$I$6)))/Inputs!$K$6)^2)))*1000/Inputs!$C$12)</x:f>
        <x:v>3414.9263510308238</x:v>
      </x:c>
      <x:c r="AG237" s="48" t="n">
        <x:f>(((SQRT((Inputs!$C$52+((Inputs!$H$7+Inputs!$L$7*(((Inputs!$I$7+(((A237)+1)/2)*(Inputs!$J$7-Inputs!$I$7)))/Inputs!$K$7)^2)))^2+Inputs!$C$52^2-2*(Inputs!$C$52+((Inputs!$H$7+Inputs!$L$7*(((Inputs!$I$7+(((A237)+1)/2)*(Inputs!$J$7-Inputs!$I$7)))/Inputs!$K$7)^2)))*Inputs!$C$52*COS(SQRT(((Inputs!$I$7+(((A237)+1)/2)*(Inputs!$J$7-Inputs!$I$7)))^2+Inputs!$C$6^2)/Inputs!$C$52)))-((Inputs!$H$7+Inputs!$L$7*(((Inputs!$I$7+(((A237)+1)/2)*(Inputs!$J$7-Inputs!$I$7)))/Inputs!$K$7)^2)))*1000/Inputs!$C$12)</x:f>
        <x:v>109146.04678789226</x:v>
      </x:c>
      <x:c r="AH237" s="48" t="n">
        <x:f>(((SQRT((Inputs!$C$52+((Inputs!$H$8+Inputs!$L$8*(((Inputs!$I$8+(((A237)+1)/2)*(Inputs!$J$8-Inputs!$I$8)))/Inputs!$K$8)^2)))^2+Inputs!$C$52^2-2*(Inputs!$C$52+((Inputs!$H$8+Inputs!$L$8*(((Inputs!$I$8+(((A237)+1)/2)*(Inputs!$J$8-Inputs!$I$8)))/Inputs!$K$8)^2)))*Inputs!$C$52*COS(SQRT(((Inputs!$I$8+(((A237)+1)/2)*(Inputs!$J$8-Inputs!$I$8)))^2+Inputs!$C$6^2)/Inputs!$C$52)))-((Inputs!$H$8+Inputs!$L$8*(((Inputs!$I$8+(((A237)+1)/2)*(Inputs!$J$8-Inputs!$I$8)))/Inputs!$K$8)^2)))*1000/Inputs!$C$12)</x:f>
        <x:v>228888.548574737</x:v>
      </x:c>
      <x:c r="AI237" s="48" t="n">
        <x:f>(((SQRT((Inputs!$C$52+((Inputs!$H$9+Inputs!$L$9*(((Inputs!$I$9+(((A237)+1)/2)*(Inputs!$J$9-Inputs!$I$9)))/Inputs!$K$9)^2)))^2+Inputs!$C$52^2-2*(Inputs!$C$52+((Inputs!$H$9+Inputs!$L$9*(((Inputs!$I$9+(((A237)+1)/2)*(Inputs!$J$9-Inputs!$I$9)))/Inputs!$K$9)^2)))*Inputs!$C$52*COS(SQRT(((Inputs!$I$9+(((A237)+1)/2)*(Inputs!$J$9-Inputs!$I$9)))^2+Inputs!$C$6^2)/Inputs!$C$52)))-((Inputs!$H$9+Inputs!$L$9*(((Inputs!$I$9+(((A237)+1)/2)*(Inputs!$J$9-Inputs!$I$9)))/Inputs!$K$9)^2)))*1000/Inputs!$C$12)</x:f>
        <x:v>228966.1049881447</x:v>
      </x:c>
      <x:c r="AJ237" s="49"/>
      <x:c r="AK237" s="48" t="n">
        <x:f>A237</x:f>
        <x:v>0.958</x:v>
      </x:c>
      <x:c r="AL237" s="48" t="n">
        <x: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x:f>
        <x:v>-484.39201666720464</x:v>
      </x:c>
      <x:c r="AM237" s="48" t="n">
        <x: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x:f>
        <x:v>-3397.8648793413604</x:v>
      </x:c>
      <x:c r="AN237" s="48" t="n">
        <x: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x:f>
        <x:v>-4487.078336438277</x:v>
      </x:c>
      <x:c r="AO237" s="48" t="n">
        <x: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x:f>
        <x:v>-4518.5167466337525</x:v>
      </x:c>
      <x:c r="AP237" s="49"/>
      <x:c r="AQ237" s="48" t="n">
        <x:f>A237</x:f>
        <x:v>0.958</x:v>
      </x:c>
      <x:c r="AR237" s="48" t="n">
        <x:f>0</x:f>
        <x:v>0</x:v>
      </x:c>
      <x:c r="AS237" s="48" t="n">
        <x: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(0.45*SIN(2*PI()*((((Inputs!$I$6+(((A237)+1)/2)*(Inputs!$J$6-Inputs!$I$6)))/Inputs!$C$49)+Inputs!$C$47*0.137))+0.35*COS(2*PI()*(((Inputs!$C$6)/Inputs!$C$50)+Inputs!$C$47*0.173))+0.20*SIN(2*PI()*((((Inputs!$I$6+(((A237)+1)/2)*(Inputs!$J$6-Inputs!$I$6)))+(Inputs!$C$6))/(0.5*(Inputs!$C$49+Inputs!$C$50))+Inputs!$C$47*0.097)))+0.30*(2*((SIN((((Inputs!$I$6+(((A237)+1)/2)*(Inputs!$J$6-Inputs!$I$6)))*12.9898+(Inputs!$C$6)*78.233+Inputs!$C$47*37.719))*43758.5453)-INT((SIN((((Inputs!$I$6+(((A237)+1)/2)*(Inputs!$J$6-Inputs!$I$6)))*12.9898+(Inputs!$C$6)*78.233+Inputs!$C$47*37.719))*43758.5453)))-1))),NA())</x:f>
        <x:v>174.79143562791538</x:v>
      </x:c>
      <x:c r="AT237" s="48" t="n">
        <x: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(0.45*SIN(2*PI()*((((Inputs!$I$7+(((A237)+1)/2)*(Inputs!$J$7-Inputs!$I$7)))/Inputs!$C$49)+Inputs!$C$47*0.137))+0.35*COS(2*PI()*(((Inputs!$C$6)/Inputs!$C$50)+Inputs!$C$47*0.173))+0.20*SIN(2*PI()*((((Inputs!$I$7+(((A237)+1)/2)*(Inputs!$J$7-Inputs!$I$7)))+(Inputs!$C$6))/(0.5*(Inputs!$C$49+Inputs!$C$50))+Inputs!$C$47*0.097)))+0.30*(2*((SIN((((Inputs!$I$7+(((A237)+1)/2)*(Inputs!$J$7-Inputs!$I$7)))*12.9898+(Inputs!$C$6)*78.233+Inputs!$C$47*37.719))*43758.5453)-INT((SIN((((Inputs!$I$7+(((A237)+1)/2)*(Inputs!$J$7-Inputs!$I$7)))*12.9898+(Inputs!$C$6)*78.233+Inputs!$C$47*37.719))*43758.5453)))-1))),NA())</x:f>
        <x:v>217.3768642222</x:v>
      </x:c>
      <x:c r="AU237" s="48" t="n">
        <x: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(0.45*SIN(2*PI()*((((Inputs!$I$8+(((A237)+1)/2)*(Inputs!$J$8-Inputs!$I$8)))/Inputs!$C$49)+Inputs!$C$47*0.137))+0.35*COS(2*PI()*(((Inputs!$C$6)/Inputs!$C$50)+Inputs!$C$47*0.173))+0.20*SIN(2*PI()*((((Inputs!$I$8+(((A237)+1)/2)*(Inputs!$J$8-Inputs!$I$8)))+(Inputs!$C$6))/(0.5*(Inputs!$C$49+Inputs!$C$50))+Inputs!$C$47*0.097)))+0.30*(2*((SIN((((Inputs!$I$8+(((A237)+1)/2)*(Inputs!$J$8-Inputs!$I$8)))*12.9898+(Inputs!$C$6)*78.233+Inputs!$C$47*37.719))*43758.5453)-INT((SIN((((Inputs!$I$8+(((A237)+1)/2)*(Inputs!$J$8-Inputs!$I$8)))*12.9898+(Inputs!$C$6)*78.233+Inputs!$C$47*37.719))*43758.5453)))-1))),NA())</x:f>
        <x:v>90.42702263053405</x:v>
      </x:c>
      <x:c r="AV237" s="48" t="n">
        <x: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(0.45*SIN(2*PI()*((((Inputs!$I$9+(((A237)+1)/2)*(Inputs!$J$9-Inputs!$I$9)))/Inputs!$C$49)+Inputs!$C$47*0.137))+0.35*COS(2*PI()*(((Inputs!$C$6)/Inputs!$C$50)+Inputs!$C$47*0.173))+0.20*SIN(2*PI()*((((Inputs!$I$9+(((A237)+1)/2)*(Inputs!$J$9-Inputs!$I$9)))+(Inputs!$C$6))/(0.5*(Inputs!$C$49+Inputs!$C$50))+Inputs!$C$47*0.097)))+0.30*(2*((SIN((((Inputs!$I$9+(((A237)+1)/2)*(Inputs!$J$9-Inputs!$I$9)))*12.9898+(Inputs!$C$6)*78.233+Inputs!$C$47*37.719))*43758.5453)-INT((SIN((((Inputs!$I$9+(((A237)+1)/2)*(Inputs!$J$9-Inputs!$I$9)))*12.9898+(Inputs!$C$6)*78.233+Inputs!$C$47*37.719))*43758.5453)))-1))),NA())</x:f>
        <x:v>90.42702263053405</x:v>
      </x:c>
      <x:c r="AW237" s="49"/>
      <x:c r="AX237" s="48" t="n">
        <x:f>A237</x:f>
        <x:v>0.958</x:v>
      </x:c>
      <x:c r="AY237" s="48" t="n">
        <x:f>0</x:f>
        <x:v>0</x:v>
      </x:c>
      <x:c r="AZ237" s="48" t="n">
        <x:f>IF(OR(Inputs!$F$6=TRUE,Inputs!$F$6="TRUE",Inputs!$F$6=1),(Inputs!$H$6+Inputs!$L$6*(((Inputs!$I$6+(((A237)+1)/2)*(Inputs!$J$6-Inputs!$I$6)))/Inputs!$K$6)^2),NA())</x:f>
        <x:v>403.671056</x:v>
      </x:c>
      <x:c r="BA237" s="48" t="n">
        <x:f>IF(OR(Inputs!$F$7=TRUE,Inputs!$F$7="TRUE",Inputs!$F$7=1),(Inputs!$H$7+Inputs!$L$7*(((Inputs!$I$7+(((A237)+1)/2)*(Inputs!$J$7-Inputs!$I$7)))/Inputs!$K$7)^2),NA())</x:f>
        <x:v>369.9838599999999</x:v>
      </x:c>
      <x:c r="BB237" s="48" t="n">
        <x:f>IF(OR(Inputs!$F$8=TRUE,Inputs!$F$8="TRUE",Inputs!$F$8=1),(Inputs!$H$8+Inputs!$L$8*(((Inputs!$I$8+(((A237)+1)/2)*(Inputs!$J$8-Inputs!$I$8)))/Inputs!$K$8)^2),NA())</x:f>
        <x:v>920.6422599999997</x:v>
      </x:c>
      <x:c r="BC237" s="48" t="n">
        <x:f>IF(OR(Inputs!$F$9=TRUE,Inputs!$F$9="TRUE",Inputs!$F$9=1),(Inputs!$H$9+Inputs!$L$9*(((Inputs!$I$9+(((A237)+1)/2)*(Inputs!$J$9-Inputs!$I$9)))/Inputs!$K$9)^2),NA())</x:f>
        <x:v>919.8198999999997</x:v>
      </x:c>
      <x:c r="BD237" s="49"/>
      <x:c r="BE237" s="48" t="n">
        <x:f>A237</x:f>
        <x:v>0.958</x:v>
      </x:c>
      <x:c r="BF237" s="48" t="n">
        <x:f>0</x:f>
        <x:v>0</x:v>
      </x:c>
      <x:c r="BG237" s="48"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BH237" s="48"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BI237" s="48"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BJ237" s="48"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row>
    <x:row r="238">
      <x:c r="A238" s="48" t="n">
        <x:f>ROUND(-1+236*2/240,3)</x:f>
        <x:v>0.967</x:v>
      </x:c>
      <x:c r="B238" s="48" t="n">
        <x:f>IF(OR(Inputs!$F$6=TRUE,Inputs!$F$6="TRUE",Inputs!$F$6=1),(Inputs!$H$6+Inputs!$L$6*(((Inputs!$I$6+(((A238)+1)/2)*(Inputs!$J$6-Inputs!$I$6)))/Inputs!$K$6)^2),NA())</x:f>
        <x:v>403.740356</x:v>
      </x:c>
      <x:c r="C238" s="48" t="n">
        <x:f>IF(OR(Inputs!$F$7=TRUE,Inputs!$F$7="TRUE",Inputs!$F$7=1),(Inputs!$H$7+Inputs!$L$7*(((Inputs!$I$7+(((A238)+1)/2)*(Inputs!$J$7-Inputs!$I$7)))/Inputs!$K$7)^2),NA())</x:f>
        <x:v>376.30748500000016</x:v>
      </x:c>
      <x:c r="D238" s="48" t="n">
        <x:f>IF(OR(Inputs!$F$8=TRUE,Inputs!$F$8="TRUE",Inputs!$F$8=1),(Inputs!$H$8+Inputs!$L$8*(((Inputs!$I$8+(((A238)+1)/2)*(Inputs!$J$8-Inputs!$I$8)))/Inputs!$K$8)^2),NA())</x:f>
        <x:v>937.3608850000004</x:v>
      </x:c>
      <x:c r="E238" s="48" t="n">
        <x:f>IF(OR(Inputs!$F$9=TRUE,Inputs!$F$9="TRUE",Inputs!$F$9=1),(Inputs!$H$9+Inputs!$L$9*(((Inputs!$I$9+(((A238)+1)/2)*(Inputs!$J$9-Inputs!$I$9)))/Inputs!$K$9)^2),NA())</x:f>
        <x:v>936.7117750000003</x:v>
      </x:c>
      <x:c r="F238" s="49"/>
      <x:c r="G238" s="48" t="n">
        <x:f>A238</x:f>
        <x:v>0.967</x:v>
      </x:c>
      <x:c r="H238" s="48"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I238" s="48"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J238" s="48"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K238" s="48"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c r="L238" s="49"/>
      <x:c r="M238" s="48" t="n">
        <x:f>A238</x:f>
        <x:v>0.967</x:v>
      </x:c>
      <x:c r="N238" s="48" t="n">
        <x: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x:f>
        <x:v>-488.80054899139805</x:v>
      </x:c>
      <x:c r="O238" s="48" t="n">
        <x: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x:f>
        <x:v>-3423.413441590813</x:v>
      </x:c>
      <x:c r="P238" s="48" t="n">
        <x: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x:f>
        <x:v>-4525.193245072664</x:v>
      </x:c>
      <x:c r="Q238" s="48" t="n">
        <x: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x:f>
        <x:v>-4557.126029936875</x:v>
      </x:c>
      <x:c r="R238" s="49"/>
      <x:c r="S238" s="48" t="n">
        <x:f>A238</x:f>
        <x:v>0.967</x:v>
      </x:c>
      <x:c r="T238" s="48" t="n">
        <x:f>(Inputs!$I$6+(((A238)+1)/2)*(Inputs!$J$6-Inputs!$I$6))</x:f>
        <x:v>58.02000000000001</x:v>
      </x:c>
      <x:c r="U238" s="48" t="n">
        <x:f>(Inputs!$I$7+(((A238)+1)/2)*(Inputs!$J$7-Inputs!$I$7))</x:f>
        <x:v>386.80000000000007</x:v>
      </x:c>
      <x:c r="V238" s="48" t="n">
        <x:f>(Inputs!$I$8+(((A238)+1)/2)*(Inputs!$J$8-Inputs!$I$8))</x:f>
        <x:v>773.6000000000001</x:v>
      </x:c>
      <x:c r="W238" s="48" t="n">
        <x:f>(Inputs!$I$9+(((A238)+1)/2)*(Inputs!$J$9-Inputs!$I$9))</x:f>
        <x:v>773.6000000000001</x:v>
      </x:c>
      <x:c r="X238" s="49"/>
      <x:c r="Y238" s="48" t="n">
        <x:f>A238</x:f>
        <x:v>0.967</x:v>
      </x:c>
      <x:c r="Z238" s="48" t="n">
        <x:f>(Inputs!$H$6+Inputs!$L$6*(((Inputs!$I$6+(((A238)+1)/2)*(Inputs!$J$6-Inputs!$I$6)))/Inputs!$K$6)^2)</x:f>
        <x:v>403.740356</x:v>
      </x:c>
      <x:c r="AA238" s="48" t="n">
        <x:f>(Inputs!$H$7+Inputs!$L$7*(((Inputs!$I$7+(((A238)+1)/2)*(Inputs!$J$7-Inputs!$I$7)))/Inputs!$K$7)^2)</x:f>
        <x:v>376.30748500000016</x:v>
      </x:c>
      <x:c r="AB238" s="48" t="n">
        <x:f>(Inputs!$H$8+Inputs!$L$8*(((Inputs!$I$8+(((A238)+1)/2)*(Inputs!$J$8-Inputs!$I$8)))/Inputs!$K$8)^2)</x:f>
        <x:v>937.3608850000004</x:v>
      </x:c>
      <x:c r="AC238" s="48" t="n">
        <x:f>(Inputs!$H$9+Inputs!$L$9*(((Inputs!$I$9+(((A238)+1)/2)*(Inputs!$J$9-Inputs!$I$9)))/Inputs!$K$9)^2)</x:f>
        <x:v>936.7117750000003</x:v>
      </x:c>
      <x:c r="AD238" s="49"/>
      <x:c r="AE238" s="48" t="n">
        <x:f>A238</x:f>
        <x:v>0.967</x:v>
      </x:c>
      <x:c r="AF238" s="48" t="n">
        <x:f>(((SQRT((Inputs!$C$52+((Inputs!$H$6+Inputs!$L$6*(((Inputs!$I$6+(((A238)+1)/2)*(Inputs!$J$6-Inputs!$I$6)))/Inputs!$K$6)^2)))^2+Inputs!$C$52^2-2*(Inputs!$C$52+((Inputs!$H$6+Inputs!$L$6*(((Inputs!$I$6+(((A238)+1)/2)*(Inputs!$J$6-Inputs!$I$6)))/Inputs!$K$6)^2)))*Inputs!$C$52*COS(SQRT(((Inputs!$I$6+(((A238)+1)/2)*(Inputs!$J$6-Inputs!$I$6)))^2+Inputs!$C$6^2)/Inputs!$C$52)))-((Inputs!$H$6+Inputs!$L$6*(((Inputs!$I$6+(((A238)+1)/2)*(Inputs!$J$6-Inputs!$I$6)))/Inputs!$K$6)^2)))*1000/Inputs!$C$12)</x:f>
        <x:v>3468.2557624255983</x:v>
      </x:c>
      <x:c r="AG238" s="48" t="n">
        <x:f>(((SQRT((Inputs!$C$52+((Inputs!$H$7+Inputs!$L$7*(((Inputs!$I$7+(((A238)+1)/2)*(Inputs!$J$7-Inputs!$I$7)))/Inputs!$K$7)^2)))^2+Inputs!$C$52^2-2*(Inputs!$C$52+((Inputs!$H$7+Inputs!$L$7*(((Inputs!$I$7+(((A238)+1)/2)*(Inputs!$J$7-Inputs!$I$7)))/Inputs!$K$7)^2)))*Inputs!$C$52*COS(SQRT(((Inputs!$I$7+(((A238)+1)/2)*(Inputs!$J$7-Inputs!$I$7)))^2+Inputs!$C$6^2)/Inputs!$C$52)))-((Inputs!$H$7+Inputs!$L$7*(((Inputs!$I$7+(((A238)+1)/2)*(Inputs!$J$7-Inputs!$I$7)))/Inputs!$K$7)^2)))*1000/Inputs!$C$12)</x:f>
        <x:v>109904.64158424943</x:v>
      </x:c>
      <x:c r="AH238" s="48" t="n">
        <x:f>(((SQRT((Inputs!$C$52+((Inputs!$H$8+Inputs!$L$8*(((Inputs!$I$8+(((A238)+1)/2)*(Inputs!$J$8-Inputs!$I$8)))/Inputs!$K$8)^2)))^2+Inputs!$C$52^2-2*(Inputs!$C$52+((Inputs!$H$8+Inputs!$L$8*(((Inputs!$I$8+(((A238)+1)/2)*(Inputs!$J$8-Inputs!$I$8)))/Inputs!$K$8)^2)))*Inputs!$C$52*COS(SQRT(((Inputs!$I$8+(((A238)+1)/2)*(Inputs!$J$8-Inputs!$I$8)))^2+Inputs!$C$6^2)/Inputs!$C$52)))-((Inputs!$H$8+Inputs!$L$8*(((Inputs!$I$8+(((A238)+1)/2)*(Inputs!$J$8-Inputs!$I$8)))/Inputs!$K$8)^2)))*1000/Inputs!$C$12)</x:f>
        <x:v>230887.9687099104</x:v>
      </x:c>
      <x:c r="AI238" s="48" t="n">
        <x:f>(((SQRT((Inputs!$C$52+((Inputs!$H$9+Inputs!$L$9*(((Inputs!$I$9+(((A238)+1)/2)*(Inputs!$J$9-Inputs!$I$9)))/Inputs!$K$9)^2)))^2+Inputs!$C$52^2-2*(Inputs!$C$52+((Inputs!$H$9+Inputs!$L$9*(((Inputs!$I$9+(((A238)+1)/2)*(Inputs!$J$9-Inputs!$I$9)))/Inputs!$K$9)^2)))*Inputs!$C$52*COS(SQRT(((Inputs!$I$9+(((A238)+1)/2)*(Inputs!$J$9-Inputs!$I$9)))^2+Inputs!$C$6^2)/Inputs!$C$52)))-((Inputs!$H$9+Inputs!$L$9*(((Inputs!$I$9+(((A238)+1)/2)*(Inputs!$J$9-Inputs!$I$9)))/Inputs!$K$9)^2)))*1000/Inputs!$C$12)</x:f>
        <x:v>230948.29820342336</x:v>
      </x:c>
      <x:c r="AJ238" s="49"/>
      <x:c r="AK238" s="48" t="n">
        <x:f>A238</x:f>
        <x:v>0.967</x:v>
      </x:c>
      <x:c r="AL238" s="48" t="n">
        <x: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x:f>
        <x:v>-488.80054899139805</x:v>
      </x:c>
      <x:c r="AM238" s="48" t="n">
        <x: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x:f>
        <x:v>-3423.413441590813</x:v>
      </x:c>
      <x:c r="AN238" s="48" t="n">
        <x: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x:f>
        <x:v>-4525.193245072664</x:v>
      </x:c>
      <x:c r="AO238" s="48" t="n">
        <x: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x:f>
        <x:v>-4557.126029936875</x:v>
      </x:c>
      <x:c r="AP238" s="49"/>
      <x:c r="AQ238" s="48" t="n">
        <x:f>A238</x:f>
        <x:v>0.967</x:v>
      </x:c>
      <x:c r="AR238" s="48" t="n">
        <x:f>0</x:f>
        <x:v>0</x:v>
      </x:c>
      <x:c r="AS238" s="48" t="n">
        <x: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(0.45*SIN(2*PI()*((((Inputs!$I$6+(((A238)+1)/2)*(Inputs!$J$6-Inputs!$I$6)))/Inputs!$C$49)+Inputs!$C$47*0.137))+0.35*COS(2*PI()*(((Inputs!$C$6)/Inputs!$C$50)+Inputs!$C$47*0.173))+0.20*SIN(2*PI()*((((Inputs!$I$6+(((A238)+1)/2)*(Inputs!$J$6-Inputs!$I$6)))+(Inputs!$C$6))/(0.5*(Inputs!$C$49+Inputs!$C$50))+Inputs!$C$47*0.097)))+0.30*(2*((SIN((((Inputs!$I$6+(((A238)+1)/2)*(Inputs!$J$6-Inputs!$I$6)))*12.9898+(Inputs!$C$6)*78.233+Inputs!$C$47*37.719))*43758.5453)-INT((SIN((((Inputs!$I$6+(((A238)+1)/2)*(Inputs!$J$6-Inputs!$I$6)))*12.9898+(Inputs!$C$6)*78.233+Inputs!$C$47*37.719))*43758.5453)))-1))),NA())</x:f>
        <x:v>195.1462906729702</x:v>
      </x:c>
      <x:c r="AT238" s="48" t="n">
        <x: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(0.45*SIN(2*PI()*((((Inputs!$I$7+(((A238)+1)/2)*(Inputs!$J$7-Inputs!$I$7)))/Inputs!$C$49)+Inputs!$C$47*0.137))+0.35*COS(2*PI()*(((Inputs!$C$6)/Inputs!$C$50)+Inputs!$C$47*0.173))+0.20*SIN(2*PI()*((((Inputs!$I$7+(((A238)+1)/2)*(Inputs!$J$7-Inputs!$I$7)))+(Inputs!$C$6))/(0.5*(Inputs!$C$49+Inputs!$C$50))+Inputs!$C$47*0.097)))+0.30*(2*((SIN((((Inputs!$I$7+(((A238)+1)/2)*(Inputs!$J$7-Inputs!$I$7)))*12.9898+(Inputs!$C$6)*78.233+Inputs!$C$47*37.719))*43758.5453)-INT((SIN((((Inputs!$I$7+(((A238)+1)/2)*(Inputs!$J$7-Inputs!$I$7)))*12.9898+(Inputs!$C$6)*78.233+Inputs!$C$47*37.719))*43758.5453)))-1))),NA())</x:f>
        <x:v>168.61305675602668</x:v>
      </x:c>
      <x:c r="AU238" s="48" t="n">
        <x: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(0.45*SIN(2*PI()*((((Inputs!$I$8+(((A238)+1)/2)*(Inputs!$J$8-Inputs!$I$8)))/Inputs!$C$49)+Inputs!$C$47*0.137))+0.35*COS(2*PI()*(((Inputs!$C$6)/Inputs!$C$50)+Inputs!$C$47*0.173))+0.20*SIN(2*PI()*((((Inputs!$I$8+(((A238)+1)/2)*(Inputs!$J$8-Inputs!$I$8)))+(Inputs!$C$6))/(0.5*(Inputs!$C$49+Inputs!$C$50))+Inputs!$C$47*0.097)))+0.30*(2*((SIN((((Inputs!$I$8+(((A238)+1)/2)*(Inputs!$J$8-Inputs!$I$8)))*12.9898+(Inputs!$C$6)*78.233+Inputs!$C$47*37.719))*43758.5453)-INT((SIN((((Inputs!$I$8+(((A238)+1)/2)*(Inputs!$J$8-Inputs!$I$8)))*12.9898+(Inputs!$C$6)*78.233+Inputs!$C$47*37.719))*43758.5453)))-1))),NA())</x:f>
        <x:v>163.25393411258835</x:v>
      </x:c>
      <x:c r="AV238" s="48" t="n">
        <x: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(0.45*SIN(2*PI()*((((Inputs!$I$9+(((A238)+1)/2)*(Inputs!$J$9-Inputs!$I$9)))/Inputs!$C$49)+Inputs!$C$47*0.137))+0.35*COS(2*PI()*(((Inputs!$C$6)/Inputs!$C$50)+Inputs!$C$47*0.173))+0.20*SIN(2*PI()*((((Inputs!$I$9+(((A238)+1)/2)*(Inputs!$J$9-Inputs!$I$9)))+(Inputs!$C$6))/(0.5*(Inputs!$C$49+Inputs!$C$50))+Inputs!$C$47*0.097)))+0.30*(2*((SIN((((Inputs!$I$9+(((A238)+1)/2)*(Inputs!$J$9-Inputs!$I$9)))*12.9898+(Inputs!$C$6)*78.233+Inputs!$C$47*37.719))*43758.5453)-INT((SIN((((Inputs!$I$9+(((A238)+1)/2)*(Inputs!$J$9-Inputs!$I$9)))*12.9898+(Inputs!$C$6)*78.233+Inputs!$C$47*37.719))*43758.5453)))-1))),NA())</x:f>
        <x:v>163.25393411258835</x:v>
      </x:c>
      <x:c r="AW238" s="49"/>
      <x:c r="AX238" s="48" t="n">
        <x:f>A238</x:f>
        <x:v>0.967</x:v>
      </x:c>
      <x:c r="AY238" s="48" t="n">
        <x:f>0</x:f>
        <x:v>0</x:v>
      </x:c>
      <x:c r="AZ238" s="48" t="n">
        <x:f>IF(OR(Inputs!$F$6=TRUE,Inputs!$F$6="TRUE",Inputs!$F$6=1),(Inputs!$H$6+Inputs!$L$6*(((Inputs!$I$6+(((A238)+1)/2)*(Inputs!$J$6-Inputs!$I$6)))/Inputs!$K$6)^2),NA())</x:f>
        <x:v>403.740356</x:v>
      </x:c>
      <x:c r="BA238" s="48" t="n">
        <x:f>IF(OR(Inputs!$F$7=TRUE,Inputs!$F$7="TRUE",Inputs!$F$7=1),(Inputs!$H$7+Inputs!$L$7*(((Inputs!$I$7+(((A238)+1)/2)*(Inputs!$J$7-Inputs!$I$7)))/Inputs!$K$7)^2),NA())</x:f>
        <x:v>376.30748500000016</x:v>
      </x:c>
      <x:c r="BB238" s="48" t="n">
        <x:f>IF(OR(Inputs!$F$8=TRUE,Inputs!$F$8="TRUE",Inputs!$F$8=1),(Inputs!$H$8+Inputs!$L$8*(((Inputs!$I$8+(((A238)+1)/2)*(Inputs!$J$8-Inputs!$I$8)))/Inputs!$K$8)^2),NA())</x:f>
        <x:v>937.3608850000004</x:v>
      </x:c>
      <x:c r="BC238" s="48" t="n">
        <x:f>IF(OR(Inputs!$F$9=TRUE,Inputs!$F$9="TRUE",Inputs!$F$9=1),(Inputs!$H$9+Inputs!$L$9*(((Inputs!$I$9+(((A238)+1)/2)*(Inputs!$J$9-Inputs!$I$9)))/Inputs!$K$9)^2),NA())</x:f>
        <x:v>936.7117750000003</x:v>
      </x:c>
      <x:c r="BD238" s="49"/>
      <x:c r="BE238" s="48" t="n">
        <x:f>A238</x:f>
        <x:v>0.967</x:v>
      </x:c>
      <x:c r="BF238" s="48" t="n">
        <x:f>0</x:f>
        <x:v>0</x:v>
      </x:c>
      <x:c r="BG238" s="48"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BH238" s="48"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BI238" s="48"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BJ238" s="48"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row>
    <x:row r="239">
      <x:c r="A239" s="48" t="n">
        <x:f>ROUND(-1+237*2/240,3)</x:f>
        <x:v>0.975</x:v>
      </x:c>
      <x:c r="B239" s="48" t="n">
        <x:f>IF(OR(Inputs!$F$6=TRUE,Inputs!$F$6="TRUE",Inputs!$F$6=1),(Inputs!$H$6+Inputs!$L$6*(((Inputs!$I$6+(((A239)+1)/2)*(Inputs!$J$6-Inputs!$I$6)))/Inputs!$K$6)^2),NA())</x:f>
        <x:v>403.8025</x:v>
      </x:c>
      <x:c r="C239" s="48" t="n">
        <x:f>IF(OR(Inputs!$F$7=TRUE,Inputs!$F$7="TRUE",Inputs!$F$7=1),(Inputs!$H$7+Inputs!$L$7*(((Inputs!$I$7+(((A239)+1)/2)*(Inputs!$J$7-Inputs!$I$7)))/Inputs!$K$7)^2),NA())</x:f>
        <x:v>381.978125</x:v>
      </x:c>
      <x:c r="D239" s="48" t="n">
        <x:f>IF(OR(Inputs!$F$8=TRUE,Inputs!$F$8="TRUE",Inputs!$F$8=1),(Inputs!$H$8+Inputs!$L$8*(((Inputs!$I$8+(((A239)+1)/2)*(Inputs!$J$8-Inputs!$I$8)))/Inputs!$K$8)^2),NA())</x:f>
        <x:v>952.353125</x:v>
      </x:c>
      <x:c r="E239" s="48" t="n">
        <x:f>IF(OR(Inputs!$F$9=TRUE,Inputs!$F$9="TRUE",Inputs!$F$9=1),(Inputs!$H$9+Inputs!$L$9*(((Inputs!$I$9+(((A239)+1)/2)*(Inputs!$J$9-Inputs!$I$9)))/Inputs!$K$9)^2),NA())</x:f>
        <x:v>951.859375</x:v>
      </x:c>
      <x:c r="F239" s="49"/>
      <x:c r="G239" s="48" t="n">
        <x:f>A239</x:f>
        <x:v>0.975</x:v>
      </x:c>
      <x:c r="H239" s="48"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I239" s="48"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J239" s="48"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K239" s="48"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c r="L239" s="49"/>
      <x:c r="M239" s="48" t="n">
        <x:f>A239</x:f>
        <x:v>0.975</x:v>
      </x:c>
      <x:c r="N239" s="48" t="n">
        <x: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x:f>
        <x:v>-492.71604483596866</x:v>
      </x:c>
      <x:c r="O239" s="48" t="n">
        <x: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x:f>
        <x:v>-3446.187006618493</x:v>
      </x:c>
      <x:c r="P239" s="48" t="n">
        <x: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x:f>
        <x:v>-4559.113204347543</x:v>
      </x:c>
      <x:c r="Q239" s="48" t="n">
        <x: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x:f>
        <x:v>-4591.483445852942</x:v>
      </x:c>
      <x:c r="R239" s="49"/>
      <x:c r="S239" s="48" t="n">
        <x:f>A239</x:f>
        <x:v>0.975</x:v>
      </x:c>
      <x:c r="T239" s="48" t="n">
        <x:f>(Inputs!$I$6+(((A239)+1)/2)*(Inputs!$J$6-Inputs!$I$6))</x:f>
        <x:v>58.5</x:v>
      </x:c>
      <x:c r="U239" s="48" t="n">
        <x:f>(Inputs!$I$7+(((A239)+1)/2)*(Inputs!$J$7-Inputs!$I$7))</x:f>
        <x:v>390</x:v>
      </x:c>
      <x:c r="V239" s="48" t="n">
        <x:f>(Inputs!$I$8+(((A239)+1)/2)*(Inputs!$J$8-Inputs!$I$8))</x:f>
        <x:v>780</x:v>
      </x:c>
      <x:c r="W239" s="48" t="n">
        <x:f>(Inputs!$I$9+(((A239)+1)/2)*(Inputs!$J$9-Inputs!$I$9))</x:f>
        <x:v>780</x:v>
      </x:c>
      <x:c r="X239" s="49"/>
      <x:c r="Y239" s="48" t="n">
        <x:f>A239</x:f>
        <x:v>0.975</x:v>
      </x:c>
      <x:c r="Z239" s="48" t="n">
        <x:f>(Inputs!$H$6+Inputs!$L$6*(((Inputs!$I$6+(((A239)+1)/2)*(Inputs!$J$6-Inputs!$I$6)))/Inputs!$K$6)^2)</x:f>
        <x:v>403.8025</x:v>
      </x:c>
      <x:c r="AA239" s="48" t="n">
        <x:f>(Inputs!$H$7+Inputs!$L$7*(((Inputs!$I$7+(((A239)+1)/2)*(Inputs!$J$7-Inputs!$I$7)))/Inputs!$K$7)^2)</x:f>
        <x:v>381.978125</x:v>
      </x:c>
      <x:c r="AB239" s="48" t="n">
        <x:f>(Inputs!$H$8+Inputs!$L$8*(((Inputs!$I$8+(((A239)+1)/2)*(Inputs!$J$8-Inputs!$I$8)))/Inputs!$K$8)^2)</x:f>
        <x:v>952.353125</x:v>
      </x:c>
      <x:c r="AC239" s="48" t="n">
        <x:f>(Inputs!$H$9+Inputs!$L$9*(((Inputs!$I$9+(((A239)+1)/2)*(Inputs!$J$9-Inputs!$I$9)))/Inputs!$K$9)^2)</x:f>
        <x:v>951.859375</x:v>
      </x:c>
      <x:c r="AD239" s="49"/>
      <x:c r="AE239" s="48" t="n">
        <x:f>A239</x:f>
        <x:v>0.975</x:v>
      </x:c>
      <x:c r="AF239" s="48" t="n">
        <x:f>(((SQRT((Inputs!$C$52+((Inputs!$H$6+Inputs!$L$6*(((Inputs!$I$6+(((A239)+1)/2)*(Inputs!$J$6-Inputs!$I$6)))/Inputs!$K$6)^2)))^2+Inputs!$C$52^2-2*(Inputs!$C$52+((Inputs!$H$6+Inputs!$L$6*(((Inputs!$I$6+(((A239)+1)/2)*(Inputs!$J$6-Inputs!$I$6)))/Inputs!$K$6)^2)))*Inputs!$C$52*COS(SQRT(((Inputs!$I$6+(((A239)+1)/2)*(Inputs!$J$6-Inputs!$I$6)))^2+Inputs!$C$6^2)/Inputs!$C$52)))-((Inputs!$H$6+Inputs!$L$6*(((Inputs!$I$6+(((A239)+1)/2)*(Inputs!$J$6-Inputs!$I$6)))/Inputs!$K$6)^2)))*1000/Inputs!$C$12)</x:f>
        <x:v>3516.055517830855</x:v>
      </x:c>
      <x:c r="AG239" s="48" t="n">
        <x:f>(((SQRT((Inputs!$C$52+((Inputs!$H$7+Inputs!$L$7*(((Inputs!$I$7+(((A239)+1)/2)*(Inputs!$J$7-Inputs!$I$7)))/Inputs!$K$7)^2)))^2+Inputs!$C$52^2-2*(Inputs!$C$52+((Inputs!$H$7+Inputs!$L$7*(((Inputs!$I$7+(((A239)+1)/2)*(Inputs!$J$7-Inputs!$I$7)))/Inputs!$K$7)^2)))*Inputs!$C$52*COS(SQRT(((Inputs!$I$7+(((A239)+1)/2)*(Inputs!$J$7-Inputs!$I$7)))^2+Inputs!$C$6^2)/Inputs!$C$52)))-((Inputs!$H$7+Inputs!$L$7*(((Inputs!$I$7+(((A239)+1)/2)*(Inputs!$J$7-Inputs!$I$7)))/Inputs!$K$7)^2)))*1000/Inputs!$C$12)</x:f>
        <x:v>110578.20931028113</x:v>
      </x:c>
      <x:c r="AH239" s="48" t="n">
        <x:f>(((SQRT((Inputs!$C$52+((Inputs!$H$8+Inputs!$L$8*(((Inputs!$I$8+(((A239)+1)/2)*(Inputs!$J$8-Inputs!$I$8)))/Inputs!$K$8)^2)))^2+Inputs!$C$52^2-2*(Inputs!$C$52+((Inputs!$H$8+Inputs!$L$8*(((Inputs!$I$8+(((A239)+1)/2)*(Inputs!$J$8-Inputs!$I$8)))/Inputs!$K$8)^2)))*Inputs!$C$52*COS(SQRT(((Inputs!$I$8+(((A239)+1)/2)*(Inputs!$J$8-Inputs!$I$8)))^2+Inputs!$C$6^2)/Inputs!$C$52)))-((Inputs!$H$8+Inputs!$L$8*(((Inputs!$I$8+(((A239)+1)/2)*(Inputs!$J$8-Inputs!$I$8)))/Inputs!$K$8)^2)))*1000/Inputs!$C$12)</x:f>
        <x:v>232672.44094466226</x:v>
      </x:c>
      <x:c r="AI239" s="48" t="n">
        <x:f>(((SQRT((Inputs!$C$52+((Inputs!$H$9+Inputs!$L$9*(((Inputs!$I$9+(((A239)+1)/2)*(Inputs!$J$9-Inputs!$I$9)))/Inputs!$K$9)^2)))^2+Inputs!$C$52^2-2*(Inputs!$C$52+((Inputs!$H$9+Inputs!$L$9*(((Inputs!$I$9+(((A239)+1)/2)*(Inputs!$J$9-Inputs!$I$9)))/Inputs!$K$9)^2)))*Inputs!$C$52*COS(SQRT(((Inputs!$I$9+(((A239)+1)/2)*(Inputs!$J$9-Inputs!$I$9)))^2+Inputs!$C$6^2)/Inputs!$C$52)))-((Inputs!$H$9+Inputs!$L$9*(((Inputs!$I$9+(((A239)+1)/2)*(Inputs!$J$9-Inputs!$I$9)))/Inputs!$K$9)^2)))*1000/Inputs!$C$12)</x:f>
        <x:v>232717.7404785958</x:v>
      </x:c>
      <x:c r="AJ239" s="49"/>
      <x:c r="AK239" s="48" t="n">
        <x:f>A239</x:f>
        <x:v>0.975</x:v>
      </x:c>
      <x:c r="AL239" s="48" t="n">
        <x: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x:f>
        <x:v>-492.71604483596866</x:v>
      </x:c>
      <x:c r="AM239" s="48" t="n">
        <x: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x:f>
        <x:v>-3446.187006618493</x:v>
      </x:c>
      <x:c r="AN239" s="48" t="n">
        <x: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x:f>
        <x:v>-4559.113204347543</x:v>
      </x:c>
      <x:c r="AO239" s="48" t="n">
        <x: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x:f>
        <x:v>-4591.483445852942</x:v>
      </x:c>
      <x:c r="AP239" s="49"/>
      <x:c r="AQ239" s="48" t="n">
        <x:f>A239</x:f>
        <x:v>0.975</x:v>
      </x:c>
      <x:c r="AR239" s="48" t="n">
        <x:f>0</x:f>
        <x:v>0</x:v>
      </x:c>
      <x:c r="AS239" s="48" t="n">
        <x: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(0.45*SIN(2*PI()*((((Inputs!$I$6+(((A239)+1)/2)*(Inputs!$J$6-Inputs!$I$6)))/Inputs!$C$49)+Inputs!$C$47*0.137))+0.35*COS(2*PI()*(((Inputs!$C$6)/Inputs!$C$50)+Inputs!$C$47*0.173))+0.20*SIN(2*PI()*((((Inputs!$I$6+(((A239)+1)/2)*(Inputs!$J$6-Inputs!$I$6)))+(Inputs!$C$6))/(0.5*(Inputs!$C$49+Inputs!$C$50))+Inputs!$C$47*0.097)))+0.30*(2*((SIN((((Inputs!$I$6+(((A239)+1)/2)*(Inputs!$J$6-Inputs!$I$6)))*12.9898+(Inputs!$C$6)*78.233+Inputs!$C$47*37.719))*43758.5453)-INT((SIN((((Inputs!$I$6+(((A239)+1)/2)*(Inputs!$J$6-Inputs!$I$6)))*12.9898+(Inputs!$C$6)*78.233+Inputs!$C$47*37.719))*43758.5453)))-1))),NA())</x:f>
        <x:v>188.33221875951745</x:v>
      </x:c>
      <x:c r="AT239" s="48" t="n">
        <x: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(0.45*SIN(2*PI()*((((Inputs!$I$7+(((A239)+1)/2)*(Inputs!$J$7-Inputs!$I$7)))/Inputs!$C$49)+Inputs!$C$47*0.137))+0.35*COS(2*PI()*(((Inputs!$C$6)/Inputs!$C$50)+Inputs!$C$47*0.173))+0.20*SIN(2*PI()*((((Inputs!$I$7+(((A239)+1)/2)*(Inputs!$J$7-Inputs!$I$7)))+(Inputs!$C$6))/(0.5*(Inputs!$C$49+Inputs!$C$50))+Inputs!$C$47*0.097)))+0.30*(2*((SIN((((Inputs!$I$7+(((A239)+1)/2)*(Inputs!$J$7-Inputs!$I$7)))*12.9898+(Inputs!$C$6)*78.233+Inputs!$C$47*37.719))*43758.5453)-INT((SIN((((Inputs!$I$7+(((A239)+1)/2)*(Inputs!$J$7-Inputs!$I$7)))*12.9898+(Inputs!$C$6)*78.233+Inputs!$C$47*37.719))*43758.5453)))-1))),NA())</x:f>
        <x:v>99.71913061962508</x:v>
      </x:c>
      <x:c r="AU239" s="48" t="n">
        <x: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(0.45*SIN(2*PI()*((((Inputs!$I$8+(((A239)+1)/2)*(Inputs!$J$8-Inputs!$I$8)))/Inputs!$C$49)+Inputs!$C$47*0.137))+0.35*COS(2*PI()*(((Inputs!$C$6)/Inputs!$C$50)+Inputs!$C$47*0.173))+0.20*SIN(2*PI()*((((Inputs!$I$8+(((A239)+1)/2)*(Inputs!$J$8-Inputs!$I$8)))+(Inputs!$C$6))/(0.5*(Inputs!$C$49+Inputs!$C$50))+Inputs!$C$47*0.097)))+0.30*(2*((SIN((((Inputs!$I$8+(((A239)+1)/2)*(Inputs!$J$8-Inputs!$I$8)))*12.9898+(Inputs!$C$6)*78.233+Inputs!$C$47*37.719))*43758.5453)-INT((SIN((((Inputs!$I$8+(((A239)+1)/2)*(Inputs!$J$8-Inputs!$I$8)))*12.9898+(Inputs!$C$6)*78.233+Inputs!$C$47*37.719))*43758.5453)))-1))),NA())</x:f>
        <x:v>188.3892139425484</x:v>
      </x:c>
      <x:c r="AV239" s="48" t="n">
        <x: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(0.45*SIN(2*PI()*((((Inputs!$I$9+(((A239)+1)/2)*(Inputs!$J$9-Inputs!$I$9)))/Inputs!$C$49)+Inputs!$C$47*0.137))+0.35*COS(2*PI()*(((Inputs!$C$6)/Inputs!$C$50)+Inputs!$C$47*0.173))+0.20*SIN(2*PI()*((((Inputs!$I$9+(((A239)+1)/2)*(Inputs!$J$9-Inputs!$I$9)))+(Inputs!$C$6))/(0.5*(Inputs!$C$49+Inputs!$C$50))+Inputs!$C$47*0.097)))+0.30*(2*((SIN((((Inputs!$I$9+(((A239)+1)/2)*(Inputs!$J$9-Inputs!$I$9)))*12.9898+(Inputs!$C$6)*78.233+Inputs!$C$47*37.719))*43758.5453)-INT((SIN((((Inputs!$I$9+(((A239)+1)/2)*(Inputs!$J$9-Inputs!$I$9)))*12.9898+(Inputs!$C$6)*78.233+Inputs!$C$47*37.719))*43758.5453)))-1))),NA())</x:f>
        <x:v>188.3892139425484</x:v>
      </x:c>
      <x:c r="AW239" s="49"/>
      <x:c r="AX239" s="48" t="n">
        <x:f>A239</x:f>
        <x:v>0.975</x:v>
      </x:c>
      <x:c r="AY239" s="48" t="n">
        <x:f>0</x:f>
        <x:v>0</x:v>
      </x:c>
      <x:c r="AZ239" s="48" t="n">
        <x:f>IF(OR(Inputs!$F$6=TRUE,Inputs!$F$6="TRUE",Inputs!$F$6=1),(Inputs!$H$6+Inputs!$L$6*(((Inputs!$I$6+(((A239)+1)/2)*(Inputs!$J$6-Inputs!$I$6)))/Inputs!$K$6)^2),NA())</x:f>
        <x:v>403.8025</x:v>
      </x:c>
      <x:c r="BA239" s="48" t="n">
        <x:f>IF(OR(Inputs!$F$7=TRUE,Inputs!$F$7="TRUE",Inputs!$F$7=1),(Inputs!$H$7+Inputs!$L$7*(((Inputs!$I$7+(((A239)+1)/2)*(Inputs!$J$7-Inputs!$I$7)))/Inputs!$K$7)^2),NA())</x:f>
        <x:v>381.978125</x:v>
      </x:c>
      <x:c r="BB239" s="48" t="n">
        <x:f>IF(OR(Inputs!$F$8=TRUE,Inputs!$F$8="TRUE",Inputs!$F$8=1),(Inputs!$H$8+Inputs!$L$8*(((Inputs!$I$8+(((A239)+1)/2)*(Inputs!$J$8-Inputs!$I$8)))/Inputs!$K$8)^2),NA())</x:f>
        <x:v>952.353125</x:v>
      </x:c>
      <x:c r="BC239" s="48" t="n">
        <x:f>IF(OR(Inputs!$F$9=TRUE,Inputs!$F$9="TRUE",Inputs!$F$9=1),(Inputs!$H$9+Inputs!$L$9*(((Inputs!$I$9+(((A239)+1)/2)*(Inputs!$J$9-Inputs!$I$9)))/Inputs!$K$9)^2),NA())</x:f>
        <x:v>951.859375</x:v>
      </x:c>
      <x:c r="BD239" s="49"/>
      <x:c r="BE239" s="48" t="n">
        <x:f>A239</x:f>
        <x:v>0.975</x:v>
      </x:c>
      <x:c r="BF239" s="48" t="n">
        <x:f>0</x:f>
        <x:v>0</x:v>
      </x:c>
      <x:c r="BG239" s="48"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BH239" s="48"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BI239" s="48"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BJ239" s="48"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row>
    <x:row r="240">
      <x:c r="A240" s="48" t="n">
        <x:f>ROUND(-1+238*2/240,3)</x:f>
        <x:v>0.983</x:v>
      </x:c>
      <x:c r="B240" s="48" t="n">
        <x:f>IF(OR(Inputs!$F$6=TRUE,Inputs!$F$6="TRUE",Inputs!$F$6=1),(Inputs!$H$6+Inputs!$L$6*(((Inputs!$I$6+(((A240)+1)/2)*(Inputs!$J$6-Inputs!$I$6)))/Inputs!$K$6)^2),NA())</x:f>
        <x:v>403.865156</x:v>
      </x:c>
      <x:c r="C240" s="48" t="n">
        <x:f>IF(OR(Inputs!$F$7=TRUE,Inputs!$F$7="TRUE",Inputs!$F$7=1),(Inputs!$H$7+Inputs!$L$7*(((Inputs!$I$7+(((A240)+1)/2)*(Inputs!$J$7-Inputs!$I$7)))/Inputs!$K$7)^2),NA())</x:f>
        <x:v>387.6954850000001</x:v>
      </x:c>
      <x:c r="D240" s="48" t="n">
        <x:f>IF(OR(Inputs!$F$8=TRUE,Inputs!$F$8="TRUE",Inputs!$F$8=1),(Inputs!$H$8+Inputs!$L$8*(((Inputs!$I$8+(((A240)+1)/2)*(Inputs!$J$8-Inputs!$I$8)))/Inputs!$K$8)^2),NA())</x:f>
        <x:v>967.4688850000001</x:v>
      </x:c>
      <x:c r="E240" s="48" t="n">
        <x:f>IF(OR(Inputs!$F$9=TRUE,Inputs!$F$9="TRUE",Inputs!$F$9=1),(Inputs!$H$9+Inputs!$L$9*(((Inputs!$I$9+(((A240)+1)/2)*(Inputs!$J$9-Inputs!$I$9)))/Inputs!$K$9)^2),NA())</x:f>
        <x:v>967.1317750000002</x:v>
      </x:c>
      <x:c r="F240" s="49"/>
      <x:c r="G240" s="48" t="n">
        <x:f>A240</x:f>
        <x:v>0.983</x:v>
      </x:c>
      <x:c r="H240" s="48"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I240" s="48"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J240" s="48"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K240" s="48"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c r="L240" s="49"/>
      <x:c r="M240" s="48" t="n">
        <x:f>A240</x:f>
        <x:v>0.983</x:v>
      </x:c>
      <x:c r="N240" s="48" t="n">
        <x: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x:f>
        <x:v>-496.62850905803106</x:v>
      </x:c>
      <x:c r="O240" s="48" t="n">
        <x: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x:f>
        <x:v>-3469.019392623123</x:v>
      </x:c>
      <x:c r="P240" s="48" t="n">
        <x: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x:f>
        <x:v>-4593.069473197382</x:v>
      </x:c>
      <x:c r="Q240" s="48" t="n">
        <x: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x:f>
        <x:v>-4625.875325779</x:v>
      </x:c>
      <x:c r="R240" s="49"/>
      <x:c r="S240" s="48" t="n">
        <x:f>A240</x:f>
        <x:v>0.983</x:v>
      </x:c>
      <x:c r="T240" s="48" t="n">
        <x:f>(Inputs!$I$6+(((A240)+1)/2)*(Inputs!$J$6-Inputs!$I$6))</x:f>
        <x:v>58.980000000000004</x:v>
      </x:c>
      <x:c r="U240" s="48" t="n">
        <x:f>(Inputs!$I$7+(((A240)+1)/2)*(Inputs!$J$7-Inputs!$I$7))</x:f>
        <x:v>393.20000000000005</x:v>
      </x:c>
      <x:c r="V240" s="48" t="n">
        <x:f>(Inputs!$I$8+(((A240)+1)/2)*(Inputs!$J$8-Inputs!$I$8))</x:f>
        <x:v>786.4000000000001</x:v>
      </x:c>
      <x:c r="W240" s="48" t="n">
        <x:f>(Inputs!$I$9+(((A240)+1)/2)*(Inputs!$J$9-Inputs!$I$9))</x:f>
        <x:v>786.4000000000001</x:v>
      </x:c>
      <x:c r="X240" s="49"/>
      <x:c r="Y240" s="48" t="n">
        <x:f>A240</x:f>
        <x:v>0.983</x:v>
      </x:c>
      <x:c r="Z240" s="48" t="n">
        <x:f>(Inputs!$H$6+Inputs!$L$6*(((Inputs!$I$6+(((A240)+1)/2)*(Inputs!$J$6-Inputs!$I$6)))/Inputs!$K$6)^2)</x:f>
        <x:v>403.865156</x:v>
      </x:c>
      <x:c r="AA240" s="48" t="n">
        <x:f>(Inputs!$H$7+Inputs!$L$7*(((Inputs!$I$7+(((A240)+1)/2)*(Inputs!$J$7-Inputs!$I$7)))/Inputs!$K$7)^2)</x:f>
        <x:v>387.6954850000001</x:v>
      </x:c>
      <x:c r="AB240" s="48" t="n">
        <x:f>(Inputs!$H$8+Inputs!$L$8*(((Inputs!$I$8+(((A240)+1)/2)*(Inputs!$J$8-Inputs!$I$8)))/Inputs!$K$8)^2)</x:f>
        <x:v>967.4688850000001</x:v>
      </x:c>
      <x:c r="AC240" s="48" t="n">
        <x:f>(Inputs!$H$9+Inputs!$L$9*(((Inputs!$I$9+(((A240)+1)/2)*(Inputs!$J$9-Inputs!$I$9)))/Inputs!$K$9)^2)</x:f>
        <x:v>967.1317750000002</x:v>
      </x:c>
      <x:c r="AD240" s="49"/>
      <x:c r="AE240" s="48" t="n">
        <x:f>A240</x:f>
        <x:v>0.983</x:v>
      </x:c>
      <x:c r="AF240" s="48" t="n">
        <x:f>(((SQRT((Inputs!$C$52+((Inputs!$H$6+Inputs!$L$6*(((Inputs!$I$6+(((A240)+1)/2)*(Inputs!$J$6-Inputs!$I$6)))/Inputs!$K$6)^2)))^2+Inputs!$C$52^2-2*(Inputs!$C$52+((Inputs!$H$6+Inputs!$L$6*(((Inputs!$I$6+(((A240)+1)/2)*(Inputs!$J$6-Inputs!$I$6)))/Inputs!$K$6)^2)))*Inputs!$C$52*COS(SQRT(((Inputs!$I$6+(((A240)+1)/2)*(Inputs!$J$6-Inputs!$I$6)))^2+Inputs!$C$6^2)/Inputs!$C$52)))-((Inputs!$H$6+Inputs!$L$6*(((Inputs!$I$6+(((A240)+1)/2)*(Inputs!$J$6-Inputs!$I$6)))/Inputs!$K$6)^2)))*1000/Inputs!$C$12)</x:f>
        <x:v>3564.2272926162314</x:v>
      </x:c>
      <x:c r="AG240" s="48" t="n">
        <x:f>(((SQRT((Inputs!$C$52+((Inputs!$H$7+Inputs!$L$7*(((Inputs!$I$7+(((A240)+1)/2)*(Inputs!$J$7-Inputs!$I$7)))/Inputs!$K$7)^2)))^2+Inputs!$C$52^2-2*(Inputs!$C$52+((Inputs!$H$7+Inputs!$L$7*(((Inputs!$I$7+(((A240)+1)/2)*(Inputs!$J$7-Inputs!$I$7)))/Inputs!$K$7)^2)))*Inputs!$C$52*COS(SQRT(((Inputs!$I$7+(((A240)+1)/2)*(Inputs!$J$7-Inputs!$I$7)))^2+Inputs!$C$6^2)/Inputs!$C$52)))-((Inputs!$H$7+Inputs!$L$7*(((Inputs!$I$7+(((A240)+1)/2)*(Inputs!$J$7-Inputs!$I$7)))/Inputs!$K$7)^2)))*1000/Inputs!$C$12)</x:f>
        <x:v>111251.15126968145</x:v>
      </x:c>
      <x:c r="AH240" s="48" t="n">
        <x:f>(((SQRT((Inputs!$C$52+((Inputs!$H$8+Inputs!$L$8*(((Inputs!$I$8+(((A240)+1)/2)*(Inputs!$J$8-Inputs!$I$8)))/Inputs!$K$8)^2)))^2+Inputs!$C$52^2-2*(Inputs!$C$52+((Inputs!$H$8+Inputs!$L$8*(((Inputs!$I$8+(((A240)+1)/2)*(Inputs!$J$8-Inputs!$I$8)))/Inputs!$K$8)^2)))*Inputs!$C$52*COS(SQRT(((Inputs!$I$8+(((A240)+1)/2)*(Inputs!$J$8-Inputs!$I$8)))^2+Inputs!$C$6^2)/Inputs!$C$52)))-((Inputs!$H$8+Inputs!$L$8*(((Inputs!$I$8+(((A240)+1)/2)*(Inputs!$J$8-Inputs!$I$8)))/Inputs!$K$8)^2)))*1000/Inputs!$C$12)</x:f>
        <x:v>234463.78558970054</x:v>
      </x:c>
      <x:c r="AI240" s="48" t="n">
        <x:f>(((SQRT((Inputs!$C$52+((Inputs!$H$9+Inputs!$L$9*(((Inputs!$I$9+(((A240)+1)/2)*(Inputs!$J$9-Inputs!$I$9)))/Inputs!$K$9)^2)))^2+Inputs!$C$52^2-2*(Inputs!$C$52+((Inputs!$H$9+Inputs!$L$9*(((Inputs!$I$9+(((A240)+1)/2)*(Inputs!$J$9-Inputs!$I$9)))/Inputs!$K$9)^2)))*Inputs!$C$52*COS(SQRT(((Inputs!$I$9+(((A240)+1)/2)*(Inputs!$J$9-Inputs!$I$9)))^2+Inputs!$C$6^2)/Inputs!$C$52)))-((Inputs!$H$9+Inputs!$L$9*(((Inputs!$I$9+(((A240)+1)/2)*(Inputs!$J$9-Inputs!$I$9)))/Inputs!$K$9)^2)))*1000/Inputs!$C$12)</x:f>
        <x:v>234494.31703337043</x:v>
      </x:c>
      <x:c r="AJ240" s="49"/>
      <x:c r="AK240" s="48" t="n">
        <x:f>A240</x:f>
        <x:v>0.983</x:v>
      </x:c>
      <x:c r="AL240" s="48" t="n">
        <x: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x:f>
        <x:v>-496.62850905803106</x:v>
      </x:c>
      <x:c r="AM240" s="48" t="n">
        <x: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x:f>
        <x:v>-3469.019392623123</x:v>
      </x:c>
      <x:c r="AN240" s="48" t="n">
        <x: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x:f>
        <x:v>-4593.069473197382</x:v>
      </x:c>
      <x:c r="AO240" s="48" t="n">
        <x: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x:f>
        <x:v>-4625.875325779</x:v>
      </x:c>
      <x:c r="AP240" s="49"/>
      <x:c r="AQ240" s="48" t="n">
        <x:f>A240</x:f>
        <x:v>0.983</x:v>
      </x:c>
      <x:c r="AR240" s="48" t="n">
        <x:f>0</x:f>
        <x:v>0</x:v>
      </x:c>
      <x:c r="AS240" s="48" t="n">
        <x: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(0.45*SIN(2*PI()*((((Inputs!$I$6+(((A240)+1)/2)*(Inputs!$J$6-Inputs!$I$6)))/Inputs!$C$49)+Inputs!$C$47*0.137))+0.35*COS(2*PI()*(((Inputs!$C$6)/Inputs!$C$50)+Inputs!$C$47*0.173))+0.20*SIN(2*PI()*((((Inputs!$I$6+(((A240)+1)/2)*(Inputs!$J$6-Inputs!$I$6)))+(Inputs!$C$6))/(0.5*(Inputs!$C$49+Inputs!$C$50))+Inputs!$C$47*0.097)))+0.30*(2*((SIN((((Inputs!$I$6+(((A240)+1)/2)*(Inputs!$J$6-Inputs!$I$6)))*12.9898+(Inputs!$C$6)*78.233+Inputs!$C$47*37.719))*43758.5453)-INT((SIN((((Inputs!$I$6+(((A240)+1)/2)*(Inputs!$J$6-Inputs!$I$6)))*12.9898+(Inputs!$C$6)*78.233+Inputs!$C$47*37.719))*43758.5453)))-1))),NA())</x:f>
        <x:v>179.72692406715734</x:v>
      </x:c>
      <x:c r="AT240" s="48" t="n">
        <x: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(0.45*SIN(2*PI()*((((Inputs!$I$7+(((A240)+1)/2)*(Inputs!$J$7-Inputs!$I$7)))/Inputs!$C$49)+Inputs!$C$47*0.137))+0.35*COS(2*PI()*(((Inputs!$C$6)/Inputs!$C$50)+Inputs!$C$47*0.173))+0.20*SIN(2*PI()*((((Inputs!$I$7+(((A240)+1)/2)*(Inputs!$J$7-Inputs!$I$7)))+(Inputs!$C$6))/(0.5*(Inputs!$C$49+Inputs!$C$50))+Inputs!$C$47*0.097)))+0.30*(2*((SIN((((Inputs!$I$7+(((A240)+1)/2)*(Inputs!$J$7-Inputs!$I$7)))*12.9898+(Inputs!$C$6)*78.233+Inputs!$C$47*37.719))*43758.5453)-INT((SIN((((Inputs!$I$7+(((A240)+1)/2)*(Inputs!$J$7-Inputs!$I$7)))*12.9898+(Inputs!$C$6)*78.233+Inputs!$C$47*37.719))*43758.5453)))-1))),NA())</x:f>
        <x:v>66.81644158580339</x:v>
      </x:c>
      <x:c r="AU240" s="48" t="n">
        <x: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(0.45*SIN(2*PI()*((((Inputs!$I$8+(((A240)+1)/2)*(Inputs!$J$8-Inputs!$I$8)))/Inputs!$C$49)+Inputs!$C$47*0.137))+0.35*COS(2*PI()*(((Inputs!$C$6)/Inputs!$C$50)+Inputs!$C$47*0.173))+0.20*SIN(2*PI()*((((Inputs!$I$8+(((A240)+1)/2)*(Inputs!$J$8-Inputs!$I$8)))+(Inputs!$C$6))/(0.5*(Inputs!$C$49+Inputs!$C$50))+Inputs!$C$47*0.097)))+0.30*(2*((SIN((((Inputs!$I$8+(((A240)+1)/2)*(Inputs!$J$8-Inputs!$I$8)))*12.9898+(Inputs!$C$6)*78.233+Inputs!$C$47*37.719))*43758.5453)-INT((SIN((((Inputs!$I$8+(((A240)+1)/2)*(Inputs!$J$8-Inputs!$I$8)))*12.9898+(Inputs!$C$6)*78.233+Inputs!$C$47*37.719))*43758.5453)))-1))),NA())</x:f>
        <x:v>109.3494327069107</x:v>
      </x:c>
      <x:c r="AV240" s="48" t="n">
        <x: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(0.45*SIN(2*PI()*((((Inputs!$I$9+(((A240)+1)/2)*(Inputs!$J$9-Inputs!$I$9)))/Inputs!$C$49)+Inputs!$C$47*0.137))+0.35*COS(2*PI()*(((Inputs!$C$6)/Inputs!$C$50)+Inputs!$C$47*0.173))+0.20*SIN(2*PI()*((((Inputs!$I$9+(((A240)+1)/2)*(Inputs!$J$9-Inputs!$I$9)))+(Inputs!$C$6))/(0.5*(Inputs!$C$49+Inputs!$C$50))+Inputs!$C$47*0.097)))+0.30*(2*((SIN((((Inputs!$I$9+(((A240)+1)/2)*(Inputs!$J$9-Inputs!$I$9)))*12.9898+(Inputs!$C$6)*78.233+Inputs!$C$47*37.719))*43758.5453)-INT((SIN((((Inputs!$I$9+(((A240)+1)/2)*(Inputs!$J$9-Inputs!$I$9)))*12.9898+(Inputs!$C$6)*78.233+Inputs!$C$47*37.719))*43758.5453)))-1))),NA())</x:f>
        <x:v>109.3494327069107</x:v>
      </x:c>
      <x:c r="AW240" s="49"/>
      <x:c r="AX240" s="48" t="n">
        <x:f>A240</x:f>
        <x:v>0.983</x:v>
      </x:c>
      <x:c r="AY240" s="48" t="n">
        <x:f>0</x:f>
        <x:v>0</x:v>
      </x:c>
      <x:c r="AZ240" s="48" t="n">
        <x:f>IF(OR(Inputs!$F$6=TRUE,Inputs!$F$6="TRUE",Inputs!$F$6=1),(Inputs!$H$6+Inputs!$L$6*(((Inputs!$I$6+(((A240)+1)/2)*(Inputs!$J$6-Inputs!$I$6)))/Inputs!$K$6)^2),NA())</x:f>
        <x:v>403.865156</x:v>
      </x:c>
      <x:c r="BA240" s="48" t="n">
        <x:f>IF(OR(Inputs!$F$7=TRUE,Inputs!$F$7="TRUE",Inputs!$F$7=1),(Inputs!$H$7+Inputs!$L$7*(((Inputs!$I$7+(((A240)+1)/2)*(Inputs!$J$7-Inputs!$I$7)))/Inputs!$K$7)^2),NA())</x:f>
        <x:v>387.6954850000001</x:v>
      </x:c>
      <x:c r="BB240" s="48" t="n">
        <x:f>IF(OR(Inputs!$F$8=TRUE,Inputs!$F$8="TRUE",Inputs!$F$8=1),(Inputs!$H$8+Inputs!$L$8*(((Inputs!$I$8+(((A240)+1)/2)*(Inputs!$J$8-Inputs!$I$8)))/Inputs!$K$8)^2),NA())</x:f>
        <x:v>967.4688850000001</x:v>
      </x:c>
      <x:c r="BC240" s="48" t="n">
        <x:f>IF(OR(Inputs!$F$9=TRUE,Inputs!$F$9="TRUE",Inputs!$F$9=1),(Inputs!$H$9+Inputs!$L$9*(((Inputs!$I$9+(((A240)+1)/2)*(Inputs!$J$9-Inputs!$I$9)))/Inputs!$K$9)^2),NA())</x:f>
        <x:v>967.1317750000002</x:v>
      </x:c>
      <x:c r="BD240" s="49"/>
      <x:c r="BE240" s="48" t="n">
        <x:f>A240</x:f>
        <x:v>0.983</x:v>
      </x:c>
      <x:c r="BF240" s="48" t="n">
        <x:f>0</x:f>
        <x:v>0</x:v>
      </x:c>
      <x:c r="BG240" s="48"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BH240" s="48"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BI240" s="48"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BJ240" s="48"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row>
    <x:row r="241">
      <x:c r="A241" s="48" t="n">
        <x:f>ROUND(-1+239*2/240,3)</x:f>
        <x:v>0.992</x:v>
      </x:c>
      <x:c r="B241" s="48" t="n">
        <x:f>IF(OR(Inputs!$F$6=TRUE,Inputs!$F$6="TRUE",Inputs!$F$6=1),(Inputs!$H$6+Inputs!$L$6*(((Inputs!$I$6+(((A241)+1)/2)*(Inputs!$J$6-Inputs!$I$6)))/Inputs!$K$6)^2),NA())</x:f>
        <x:v>403.936256</x:v>
      </x:c>
      <x:c r="C241" s="48" t="n">
        <x:f>IF(OR(Inputs!$F$7=TRUE,Inputs!$F$7="TRUE",Inputs!$F$7=1),(Inputs!$H$7+Inputs!$L$7*(((Inputs!$I$7+(((A241)+1)/2)*(Inputs!$J$7-Inputs!$I$7)))/Inputs!$K$7)^2),NA())</x:f>
        <x:v>394.1833599999999</x:v>
      </x:c>
      <x:c r="D241" s="48" t="n">
        <x:f>IF(OR(Inputs!$F$8=TRUE,Inputs!$F$8="TRUE",Inputs!$F$8=1),(Inputs!$H$8+Inputs!$L$8*(((Inputs!$I$8+(((A241)+1)/2)*(Inputs!$J$8-Inputs!$I$8)))/Inputs!$K$8)^2),NA())</x:f>
        <x:v>984.6217599999998</x:v>
      </x:c>
      <x:c r="E241" s="48" t="n">
        <x:f>IF(OR(Inputs!$F$9=TRUE,Inputs!$F$9="TRUE",Inputs!$F$9=1),(Inputs!$H$9+Inputs!$L$9*(((Inputs!$I$9+(((A241)+1)/2)*(Inputs!$J$9-Inputs!$I$9)))/Inputs!$K$9)^2),NA())</x:f>
        <x:v>984.4623999999998</x:v>
      </x:c>
      <x:c r="F241" s="49"/>
      <x:c r="G241" s="48" t="n">
        <x:f>A241</x:f>
        <x:v>0.992</x:v>
      </x:c>
      <x:c r="H241" s="48"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I241" s="48"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J241" s="48"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K241" s="48"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c r="L241" s="49"/>
      <x:c r="M241" s="48" t="n">
        <x:f>A241</x:f>
        <x:v>0.992</x:v>
      </x:c>
      <x:c r="N241" s="48" t="n">
        <x: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x:f>
        <x:v>-501.02638349531236</x:v>
      </x:c>
      <x:c r="O241" s="48" t="n">
        <x: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x:f>
        <x:v>-3494.7747705698566</x:v>
      </x:c>
      <x:c r="P241" s="48" t="n">
        <x: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x:f>
        <x:v>-4631.312077971796</x:v>
      </x:c>
      <x:c r="Q241" s="48" t="n">
        <x: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x:f>
        <x:v>-4664.60581720064</x:v>
      </x:c>
      <x:c r="R241" s="49"/>
      <x:c r="S241" s="48" t="n">
        <x:f>A241</x:f>
        <x:v>0.992</x:v>
      </x:c>
      <x:c r="T241" s="48" t="n">
        <x:f>(Inputs!$I$6+(((A241)+1)/2)*(Inputs!$J$6-Inputs!$I$6))</x:f>
        <x:v>59.519999999999996</x:v>
      </x:c>
      <x:c r="U241" s="48" t="n">
        <x:f>(Inputs!$I$7+(((A241)+1)/2)*(Inputs!$J$7-Inputs!$I$7))</x:f>
        <x:v>396.79999999999995</x:v>
      </x:c>
      <x:c r="V241" s="48" t="n">
        <x:f>(Inputs!$I$8+(((A241)+1)/2)*(Inputs!$J$8-Inputs!$I$8))</x:f>
        <x:v>793.5999999999999</x:v>
      </x:c>
      <x:c r="W241" s="48" t="n">
        <x:f>(Inputs!$I$9+(((A241)+1)/2)*(Inputs!$J$9-Inputs!$I$9))</x:f>
        <x:v>793.5999999999999</x:v>
      </x:c>
      <x:c r="X241" s="49"/>
      <x:c r="Y241" s="48" t="n">
        <x:f>A241</x:f>
        <x:v>0.992</x:v>
      </x:c>
      <x:c r="Z241" s="48" t="n">
        <x:f>(Inputs!$H$6+Inputs!$L$6*(((Inputs!$I$6+(((A241)+1)/2)*(Inputs!$J$6-Inputs!$I$6)))/Inputs!$K$6)^2)</x:f>
        <x:v>403.936256</x:v>
      </x:c>
      <x:c r="AA241" s="48" t="n">
        <x:f>(Inputs!$H$7+Inputs!$L$7*(((Inputs!$I$7+(((A241)+1)/2)*(Inputs!$J$7-Inputs!$I$7)))/Inputs!$K$7)^2)</x:f>
        <x:v>394.1833599999999</x:v>
      </x:c>
      <x:c r="AB241" s="48" t="n">
        <x:f>(Inputs!$H$8+Inputs!$L$8*(((Inputs!$I$8+(((A241)+1)/2)*(Inputs!$J$8-Inputs!$I$8)))/Inputs!$K$8)^2)</x:f>
        <x:v>984.6217599999998</x:v>
      </x:c>
      <x:c r="AC241" s="48" t="n">
        <x:f>(Inputs!$H$9+Inputs!$L$9*(((Inputs!$I$9+(((A241)+1)/2)*(Inputs!$J$9-Inputs!$I$9)))/Inputs!$K$9)^2)</x:f>
        <x:v>984.4623999999998</x:v>
      </x:c>
      <x:c r="AD241" s="49"/>
      <x:c r="AE241" s="48" t="n">
        <x:f>A241</x:f>
        <x:v>0.992</x:v>
      </x:c>
      <x:c r="AF241" s="48" t="n">
        <x:f>(((SQRT((Inputs!$C$52+((Inputs!$H$6+Inputs!$L$6*(((Inputs!$I$6+(((A241)+1)/2)*(Inputs!$J$6-Inputs!$I$6)))/Inputs!$K$6)^2)))^2+Inputs!$C$52^2-2*(Inputs!$C$52+((Inputs!$H$6+Inputs!$L$6*(((Inputs!$I$6+(((A241)+1)/2)*(Inputs!$J$6-Inputs!$I$6)))/Inputs!$K$6)^2)))*Inputs!$C$52*COS(SQRT(((Inputs!$I$6+(((A241)+1)/2)*(Inputs!$J$6-Inputs!$I$6)))^2+Inputs!$C$6^2)/Inputs!$C$52)))-((Inputs!$H$6+Inputs!$L$6*(((Inputs!$I$6+(((A241)+1)/2)*(Inputs!$J$6-Inputs!$I$6)))/Inputs!$K$6)^2)))*1000/Inputs!$C$12)</x:f>
        <x:v>3618.8645803163076</x:v>
      </x:c>
      <x:c r="AG241" s="48" t="n">
        <x:f>(((SQRT((Inputs!$C$52+((Inputs!$H$7+Inputs!$L$7*(((Inputs!$I$7+(((A241)+1)/2)*(Inputs!$J$7-Inputs!$I$7)))/Inputs!$K$7)^2)))^2+Inputs!$C$52^2-2*(Inputs!$C$52+((Inputs!$H$7+Inputs!$L$7*(((Inputs!$I$7+(((A241)+1)/2)*(Inputs!$J$7-Inputs!$I$7)))/Inputs!$K$7)^2)))*Inputs!$C$52*COS(SQRT(((Inputs!$I$7+(((A241)+1)/2)*(Inputs!$J$7-Inputs!$I$7)))^2+Inputs!$C$6^2)/Inputs!$C$52)))-((Inputs!$H$7+Inputs!$L$7*(((Inputs!$I$7+(((A241)+1)/2)*(Inputs!$J$7-Inputs!$I$7)))/Inputs!$K$7)^2)))*1000/Inputs!$C$12)</x:f>
        <x:v>112007.54446092209</x:v>
      </x:c>
      <x:c r="AH241" s="48" t="n">
        <x:f>(((SQRT((Inputs!$C$52+((Inputs!$H$8+Inputs!$L$8*(((Inputs!$I$8+(((A241)+1)/2)*(Inputs!$J$8-Inputs!$I$8)))/Inputs!$K$8)^2)))^2+Inputs!$C$52^2-2*(Inputs!$C$52+((Inputs!$H$8+Inputs!$L$8*(((Inputs!$I$8+(((A241)+1)/2)*(Inputs!$J$8-Inputs!$I$8)))/Inputs!$K$8)^2)))*Inputs!$C$52*COS(SQRT(((Inputs!$I$8+(((A241)+1)/2)*(Inputs!$J$8-Inputs!$I$8)))^2+Inputs!$C$6^2)/Inputs!$C$52)))-((Inputs!$H$8+Inputs!$L$8*(((Inputs!$I$8+(((A241)+1)/2)*(Inputs!$J$8-Inputs!$I$8)))/Inputs!$K$8)^2)))*1000/Inputs!$C$12)</x:f>
        <x:v>236487.36267071214</x:v>
      </x:c>
      <x:c r="AI241" s="48" t="n">
        <x:f>(((SQRT((Inputs!$C$52+((Inputs!$H$9+Inputs!$L$9*(((Inputs!$I$9+(((A241)+1)/2)*(Inputs!$J$9-Inputs!$I$9)))/Inputs!$K$9)^2)))^2+Inputs!$C$52^2-2*(Inputs!$C$52+((Inputs!$H$9+Inputs!$L$9*(((Inputs!$I$9+(((A241)+1)/2)*(Inputs!$J$9-Inputs!$I$9)))/Inputs!$K$9)^2)))*Inputs!$C$52*COS(SQRT(((Inputs!$I$9+(((A241)+1)/2)*(Inputs!$J$9-Inputs!$I$9)))^2+Inputs!$C$6^2)/Inputs!$C$52)))-((Inputs!$H$9+Inputs!$L$9*(((Inputs!$I$9+(((A241)+1)/2)*(Inputs!$J$9-Inputs!$I$9)))/Inputs!$K$9)^2)))*1000/Inputs!$C$12)</x:f>
        <x:v>236501.58790060173</x:v>
      </x:c>
      <x:c r="AJ241" s="49"/>
      <x:c r="AK241" s="48" t="n">
        <x:f>A241</x:f>
        <x:v>0.992</x:v>
      </x:c>
      <x:c r="AL241" s="48" t="n">
        <x: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x:f>
        <x:v>-501.02638349531236</x:v>
      </x:c>
      <x:c r="AM241" s="48" t="n">
        <x: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x:f>
        <x:v>-3494.7747705698566</x:v>
      </x:c>
      <x:c r="AN241" s="48" t="n">
        <x: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x:f>
        <x:v>-4631.312077971796</x:v>
      </x:c>
      <x:c r="AO241" s="48" t="n">
        <x: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x:f>
        <x:v>-4664.60581720064</x:v>
      </x:c>
      <x:c r="AP241" s="49"/>
      <x:c r="AQ241" s="48" t="n">
        <x:f>A241</x:f>
        <x:v>0.992</x:v>
      </x:c>
      <x:c r="AR241" s="48" t="n">
        <x:f>0</x:f>
        <x:v>0</x:v>
      </x:c>
      <x:c r="AS241" s="48" t="n">
        <x: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(0.45*SIN(2*PI()*((((Inputs!$I$6+(((A241)+1)/2)*(Inputs!$J$6-Inputs!$I$6)))/Inputs!$C$49)+Inputs!$C$47*0.137))+0.35*COS(2*PI()*(((Inputs!$C$6)/Inputs!$C$50)+Inputs!$C$47*0.173))+0.20*SIN(2*PI()*((((Inputs!$I$6+(((A241)+1)/2)*(Inputs!$J$6-Inputs!$I$6)))+(Inputs!$C$6))/(0.5*(Inputs!$C$49+Inputs!$C$50))+Inputs!$C$47*0.097)))+0.30*(2*((SIN((((Inputs!$I$6+(((A241)+1)/2)*(Inputs!$J$6-Inputs!$I$6)))*12.9898+(Inputs!$C$6)*78.233+Inputs!$C$47*37.719))*43758.5453)-INT((SIN((((Inputs!$I$6+(((A241)+1)/2)*(Inputs!$J$6-Inputs!$I$6)))*12.9898+(Inputs!$C$6)*78.233+Inputs!$C$47*37.719))*43758.5453)))-1))),NA())</x:f>
        <x:v>178.74691984017164</x:v>
      </x:c>
      <x:c r="AT241" s="48" t="n">
        <x: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(0.45*SIN(2*PI()*((((Inputs!$I$7+(((A241)+1)/2)*(Inputs!$J$7-Inputs!$I$7)))/Inputs!$C$49)+Inputs!$C$47*0.137))+0.35*COS(2*PI()*(((Inputs!$C$6)/Inputs!$C$50)+Inputs!$C$47*0.173))+0.20*SIN(2*PI()*((((Inputs!$I$7+(((A241)+1)/2)*(Inputs!$J$7-Inputs!$I$7)))+(Inputs!$C$6))/(0.5*(Inputs!$C$49+Inputs!$C$50))+Inputs!$C$47*0.097)))+0.30*(2*((SIN((((Inputs!$I$7+(((A241)+1)/2)*(Inputs!$J$7-Inputs!$I$7)))*12.9898+(Inputs!$C$6)*78.233+Inputs!$C$47*37.719))*43758.5453)-INT((SIN((((Inputs!$I$7+(((A241)+1)/2)*(Inputs!$J$7-Inputs!$I$7)))*12.9898+(Inputs!$C$6)*78.233+Inputs!$C$47*37.719))*43758.5453)))-1))),NA())</x:f>
        <x:v>160.47037363481115</x:v>
      </x:c>
      <x:c r="AU241" s="48" t="n">
        <x: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(0.45*SIN(2*PI()*((((Inputs!$I$8+(((A241)+1)/2)*(Inputs!$J$8-Inputs!$I$8)))/Inputs!$C$49)+Inputs!$C$47*0.137))+0.35*COS(2*PI()*(((Inputs!$C$6)/Inputs!$C$50)+Inputs!$C$47*0.173))+0.20*SIN(2*PI()*((((Inputs!$I$8+(((A241)+1)/2)*(Inputs!$J$8-Inputs!$I$8)))+(Inputs!$C$6))/(0.5*(Inputs!$C$49+Inputs!$C$50))+Inputs!$C$47*0.097)))+0.30*(2*((SIN((((Inputs!$I$8+(((A241)+1)/2)*(Inputs!$J$8-Inputs!$I$8)))*12.9898+(Inputs!$C$6)*78.233+Inputs!$C$47*37.719))*43758.5453)-INT((SIN((((Inputs!$I$8+(((A241)+1)/2)*(Inputs!$J$8-Inputs!$I$8)))*12.9898+(Inputs!$C$6)*78.233+Inputs!$C$47*37.719))*43758.5453)))-1))),NA())</x:f>
        <x:v>184.93589385004145</x:v>
      </x:c>
      <x:c r="AV241" s="48" t="n">
        <x: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(0.45*SIN(2*PI()*((((Inputs!$I$9+(((A241)+1)/2)*(Inputs!$J$9-Inputs!$I$9)))/Inputs!$C$49)+Inputs!$C$47*0.137))+0.35*COS(2*PI()*(((Inputs!$C$6)/Inputs!$C$50)+Inputs!$C$47*0.173))+0.20*SIN(2*PI()*((((Inputs!$I$9+(((A241)+1)/2)*(Inputs!$J$9-Inputs!$I$9)))+(Inputs!$C$6))/(0.5*(Inputs!$C$49+Inputs!$C$50))+Inputs!$C$47*0.097)))+0.30*(2*((SIN((((Inputs!$I$9+(((A241)+1)/2)*(Inputs!$J$9-Inputs!$I$9)))*12.9898+(Inputs!$C$6)*78.233+Inputs!$C$47*37.719))*43758.5453)-INT((SIN((((Inputs!$I$9+(((A241)+1)/2)*(Inputs!$J$9-Inputs!$I$9)))*12.9898+(Inputs!$C$6)*78.233+Inputs!$C$47*37.719))*43758.5453)))-1))),NA())</x:f>
        <x:v>184.93589385004145</x:v>
      </x:c>
      <x:c r="AW241" s="49"/>
      <x:c r="AX241" s="48" t="n">
        <x:f>A241</x:f>
        <x:v>0.992</x:v>
      </x:c>
      <x:c r="AY241" s="48" t="n">
        <x:f>0</x:f>
        <x:v>0</x:v>
      </x:c>
      <x:c r="AZ241" s="48" t="n">
        <x:f>IF(OR(Inputs!$F$6=TRUE,Inputs!$F$6="TRUE",Inputs!$F$6=1),(Inputs!$H$6+Inputs!$L$6*(((Inputs!$I$6+(((A241)+1)/2)*(Inputs!$J$6-Inputs!$I$6)))/Inputs!$K$6)^2),NA())</x:f>
        <x:v>403.936256</x:v>
      </x:c>
      <x:c r="BA241" s="48" t="n">
        <x:f>IF(OR(Inputs!$F$7=TRUE,Inputs!$F$7="TRUE",Inputs!$F$7=1),(Inputs!$H$7+Inputs!$L$7*(((Inputs!$I$7+(((A241)+1)/2)*(Inputs!$J$7-Inputs!$I$7)))/Inputs!$K$7)^2),NA())</x:f>
        <x:v>394.1833599999999</x:v>
      </x:c>
      <x:c r="BB241" s="48" t="n">
        <x:f>IF(OR(Inputs!$F$8=TRUE,Inputs!$F$8="TRUE",Inputs!$F$8=1),(Inputs!$H$8+Inputs!$L$8*(((Inputs!$I$8+(((A241)+1)/2)*(Inputs!$J$8-Inputs!$I$8)))/Inputs!$K$8)^2),NA())</x:f>
        <x:v>984.6217599999998</x:v>
      </x:c>
      <x:c r="BC241" s="48" t="n">
        <x:f>IF(OR(Inputs!$F$9=TRUE,Inputs!$F$9="TRUE",Inputs!$F$9=1),(Inputs!$H$9+Inputs!$L$9*(((Inputs!$I$9+(((A241)+1)/2)*(Inputs!$J$9-Inputs!$I$9)))/Inputs!$K$9)^2),NA())</x:f>
        <x:v>984.4623999999998</x:v>
      </x:c>
      <x:c r="BD241" s="49"/>
      <x:c r="BE241" s="48" t="n">
        <x:f>A241</x:f>
        <x:v>0.992</x:v>
      </x:c>
      <x:c r="BF241" s="48" t="n">
        <x:f>0</x:f>
        <x:v>0</x:v>
      </x:c>
      <x:c r="BG241" s="48"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BH241" s="48"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BI241" s="48"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BJ241" s="48"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row>
    <x:row r="242">
      <x:c r="A242" s="48" t="n">
        <x:f>ROUND(-1+240*2/240,3)</x:f>
        <x:v>1</x:v>
      </x:c>
      <x:c r="B242" s="48" t="n">
        <x:f>IF(OR(Inputs!$F$6=TRUE,Inputs!$F$6="TRUE",Inputs!$F$6=1),(Inputs!$H$6+Inputs!$L$6*(((Inputs!$I$6+(((A242)+1)/2)*(Inputs!$J$6-Inputs!$I$6)))/Inputs!$K$6)^2),NA())</x:f>
        <x:v>404</x:v>
      </x:c>
      <x:c r="C242" s="48" t="n">
        <x:f>IF(OR(Inputs!$F$7=TRUE,Inputs!$F$7="TRUE",Inputs!$F$7=1),(Inputs!$H$7+Inputs!$L$7*(((Inputs!$I$7+(((A242)+1)/2)*(Inputs!$J$7-Inputs!$I$7)))/Inputs!$K$7)^2),NA())</x:f>
        <x:v>400</x:v>
      </x:c>
      <x:c r="D242" s="48" t="n">
        <x:f>IF(OR(Inputs!$F$8=TRUE,Inputs!$F$8="TRUE",Inputs!$F$8=1),(Inputs!$H$8+Inputs!$L$8*(((Inputs!$I$8+(((A242)+1)/2)*(Inputs!$J$8-Inputs!$I$8)))/Inputs!$K$8)^2),NA())</x:f>
        <x:v>1000</x:v>
      </x:c>
      <x:c r="E242" s="48" t="n">
        <x:f>IF(OR(Inputs!$F$9=TRUE,Inputs!$F$9="TRUE",Inputs!$F$9=1),(Inputs!$H$9+Inputs!$L$9*(((Inputs!$I$9+(((A242)+1)/2)*(Inputs!$J$9-Inputs!$I$9)))/Inputs!$K$9)^2),NA())</x:f>
        <x:v>1000</x:v>
      </x:c>
      <x:c r="F242" s="49"/>
      <x:c r="G242" s="48" t="n">
        <x:f>A242</x:f>
        <x:v>1</x:v>
      </x:c>
      <x:c r="H242" s="48"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I242" s="48"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J242" s="48"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K242" s="48"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c r="L242" s="49"/>
      <x:c r="M242" s="48" t="n">
        <x:f>A242</x:f>
        <x:v>1</x:v>
      </x:c>
      <x:c r="N242" s="48" t="n">
        <x: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x:f>
        <x:v>-504.93234145565276</x:v>
      </x:c>
      <x:c r="O242" s="48" t="n">
        <x: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x:f>
        <x:v>-3517.728529041067</x:v>
      </x:c>
      <x:c r="P242" s="48" t="n">
        <x: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x:f>
        <x:v>-4665.341278693438</x:v>
      </x:c>
      <x:c r="Q242" s="48" t="n">
        <x: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x:f>
        <x:v>-4699.066787940814</x:v>
      </x:c>
      <x:c r="R242" s="49"/>
      <x:c r="S242" s="48" t="n">
        <x:f>A242</x:f>
        <x:v>1</x:v>
      </x:c>
      <x:c r="T242" s="48" t="n">
        <x:f>(Inputs!$I$6+(((A242)+1)/2)*(Inputs!$J$6-Inputs!$I$6))</x:f>
        <x:v>60</x:v>
      </x:c>
      <x:c r="U242" s="48" t="n">
        <x:f>(Inputs!$I$7+(((A242)+1)/2)*(Inputs!$J$7-Inputs!$I$7))</x:f>
        <x:v>400</x:v>
      </x:c>
      <x:c r="V242" s="48" t="n">
        <x:f>(Inputs!$I$8+(((A242)+1)/2)*(Inputs!$J$8-Inputs!$I$8))</x:f>
        <x:v>800</x:v>
      </x:c>
      <x:c r="W242" s="48" t="n">
        <x:f>(Inputs!$I$9+(((A242)+1)/2)*(Inputs!$J$9-Inputs!$I$9))</x:f>
        <x:v>800</x:v>
      </x:c>
      <x:c r="X242" s="49"/>
      <x:c r="Y242" s="48" t="n">
        <x:f>A242</x:f>
        <x:v>1</x:v>
      </x:c>
      <x:c r="Z242" s="48" t="n">
        <x:f>(Inputs!$H$6+Inputs!$L$6*(((Inputs!$I$6+(((A242)+1)/2)*(Inputs!$J$6-Inputs!$I$6)))/Inputs!$K$6)^2)</x:f>
        <x:v>404</x:v>
      </x:c>
      <x:c r="AA242" s="48" t="n">
        <x:f>(Inputs!$H$7+Inputs!$L$7*(((Inputs!$I$7+(((A242)+1)/2)*(Inputs!$J$7-Inputs!$I$7)))/Inputs!$K$7)^2)</x:f>
        <x:v>400</x:v>
      </x:c>
      <x:c r="AB242" s="48" t="n">
        <x:f>(Inputs!$H$8+Inputs!$L$8*(((Inputs!$I$8+(((A242)+1)/2)*(Inputs!$J$8-Inputs!$I$8)))/Inputs!$K$8)^2)</x:f>
        <x:v>1000</x:v>
      </x:c>
      <x:c r="AC242" s="48" t="n">
        <x:f>(Inputs!$H$9+Inputs!$L$9*(((Inputs!$I$9+(((A242)+1)/2)*(Inputs!$J$9-Inputs!$I$9)))/Inputs!$K$9)^2)</x:f>
        <x:v>1000</x:v>
      </x:c>
      <x:c r="AD242" s="49"/>
      <x:c r="AE242" s="48" t="n">
        <x:f>A242</x:f>
        <x:v>1</x:v>
      </x:c>
      <x:c r="AF242" s="48" t="n">
        <x:f>(((SQRT((Inputs!$C$52+((Inputs!$H$6+Inputs!$L$6*(((Inputs!$I$6+(((A242)+1)/2)*(Inputs!$J$6-Inputs!$I$6)))/Inputs!$K$6)^2)))^2+Inputs!$C$52^2-2*(Inputs!$C$52+((Inputs!$H$6+Inputs!$L$6*(((Inputs!$I$6+(((A242)+1)/2)*(Inputs!$J$6-Inputs!$I$6)))/Inputs!$K$6)^2)))*Inputs!$C$52*COS(SQRT(((Inputs!$I$6+(((A242)+1)/2)*(Inputs!$J$6-Inputs!$I$6)))^2+Inputs!$C$6^2)/Inputs!$C$52)))-((Inputs!$H$6+Inputs!$L$6*(((Inputs!$I$6+(((A242)+1)/2)*(Inputs!$J$6-Inputs!$I$6)))/Inputs!$K$6)^2)))*1000/Inputs!$C$12)</x:f>
        <x:v>3667.825190313778</x:v>
      </x:c>
      <x:c r="AG242" s="48" t="n">
        <x:f>(((SQRT((Inputs!$C$52+((Inputs!$H$7+Inputs!$L$7*(((Inputs!$I$7+(((A242)+1)/2)*(Inputs!$J$7-Inputs!$I$7)))/Inputs!$K$7)^2)))^2+Inputs!$C$52^2-2*(Inputs!$C$52+((Inputs!$H$7+Inputs!$L$7*(((Inputs!$I$7+(((A242)+1)/2)*(Inputs!$J$7-Inputs!$I$7)))/Inputs!$K$7)^2)))*Inputs!$C$52*COS(SQRT(((Inputs!$I$7+(((A242)+1)/2)*(Inputs!$J$7-Inputs!$I$7)))^2+Inputs!$C$6^2)/Inputs!$C$52)))-((Inputs!$H$7+Inputs!$L$7*(((Inputs!$I$7+(((A242)+1)/2)*(Inputs!$J$7-Inputs!$I$7)))/Inputs!$K$7)^2)))*1000/Inputs!$C$12)</x:f>
        <x:v>112679.37253407703</x:v>
      </x:c>
      <x:c r="AH242" s="48" t="n">
        <x:f>(((SQRT((Inputs!$C$52+((Inputs!$H$8+Inputs!$L$8*(((Inputs!$I$8+(((A242)+1)/2)*(Inputs!$J$8-Inputs!$I$8)))/Inputs!$K$8)^2)))^2+Inputs!$C$52^2-2*(Inputs!$C$52+((Inputs!$H$8+Inputs!$L$8*(((Inputs!$I$8+(((A242)+1)/2)*(Inputs!$J$8-Inputs!$I$8)))/Inputs!$K$8)^2)))*Inputs!$C$52*COS(SQRT(((Inputs!$I$8+(((A242)+1)/2)*(Inputs!$J$8-Inputs!$I$8)))^2+Inputs!$C$6^2)/Inputs!$C$52)))-((Inputs!$H$8+Inputs!$L$8*(((Inputs!$I$8+(((A242)+1)/2)*(Inputs!$J$8-Inputs!$I$8)))/Inputs!$K$8)^2)))*1000/Inputs!$C$12)</x:f>
        <x:v>238293.5737447618</x:v>
      </x:c>
      <x:c r="AI242" s="48" t="n">
        <x:f>(((SQRT((Inputs!$C$52+((Inputs!$H$9+Inputs!$L$9*(((Inputs!$I$9+(((A242)+1)/2)*(Inputs!$J$9-Inputs!$I$9)))/Inputs!$K$9)^2)))^2+Inputs!$C$52^2-2*(Inputs!$C$52+((Inputs!$H$9+Inputs!$L$9*(((Inputs!$I$9+(((A242)+1)/2)*(Inputs!$J$9-Inputs!$I$9)))/Inputs!$K$9)^2)))*Inputs!$C$52*COS(SQRT(((Inputs!$I$9+(((A242)+1)/2)*(Inputs!$J$9-Inputs!$I$9)))^2+Inputs!$C$6^2)/Inputs!$C$52)))-((Inputs!$H$9+Inputs!$L$9*(((Inputs!$I$9+(((A242)+1)/2)*(Inputs!$J$9-Inputs!$I$9)))/Inputs!$K$9)^2)))*1000/Inputs!$C$12)</x:f>
        <x:v>238293.5737447618</x:v>
      </x:c>
      <x:c r="AJ242" s="49"/>
      <x:c r="AK242" s="48" t="n">
        <x:f>A242</x:f>
        <x:v>1</x:v>
      </x:c>
      <x:c r="AL242" s="48" t="n">
        <x: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x:f>
        <x:v>-504.93234145565276</x:v>
      </x:c>
      <x:c r="AM242" s="48" t="n">
        <x: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x:f>
        <x:v>-3517.728529041067</x:v>
      </x:c>
      <x:c r="AN242" s="48" t="n">
        <x: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x:f>
        <x:v>-4665.341278693438</x:v>
      </x:c>
      <x:c r="AO242" s="48" t="n">
        <x: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x:f>
        <x:v>-4699.066787940814</x:v>
      </x:c>
      <x:c r="AP242" s="49"/>
      <x:c r="AQ242" s="48" t="n">
        <x:f>A242</x:f>
        <x:v>1</x:v>
      </x:c>
      <x:c r="AR242" s="48" t="n">
        <x:f>0</x:f>
        <x:v>0</x:v>
      </x:c>
      <x:c r="AS242" s="48" t="n">
        <x: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(0.45*SIN(2*PI()*((((Inputs!$I$6+(((A242)+1)/2)*(Inputs!$J$6-Inputs!$I$6)))/Inputs!$C$49)+Inputs!$C$47*0.137))+0.35*COS(2*PI()*(((Inputs!$C$6)/Inputs!$C$50)+Inputs!$C$47*0.173))+0.20*SIN(2*PI()*((((Inputs!$I$6+(((A242)+1)/2)*(Inputs!$J$6-Inputs!$I$6)))+(Inputs!$C$6))/(0.5*(Inputs!$C$49+Inputs!$C$50))+Inputs!$C$47*0.097)))+0.30*(2*((SIN((((Inputs!$I$6+(((A242)+1)/2)*(Inputs!$J$6-Inputs!$I$6)))*12.9898+(Inputs!$C$6)*78.233+Inputs!$C$47*37.719))*43758.5453)-INT((SIN((((Inputs!$I$6+(((A242)+1)/2)*(Inputs!$J$6-Inputs!$I$6)))*12.9898+(Inputs!$C$6)*78.233+Inputs!$C$47*37.719))*43758.5453)))-1))),NA())</x:f>
        <x:v>179.34901119414707</x:v>
      </x:c>
      <x:c r="AT242" s="48" t="n">
        <x: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(0.45*SIN(2*PI()*((((Inputs!$I$7+(((A242)+1)/2)*(Inputs!$J$7-Inputs!$I$7)))/Inputs!$C$49)+Inputs!$C$47*0.137))+0.35*COS(2*PI()*(((Inputs!$C$6)/Inputs!$C$50)+Inputs!$C$47*0.173))+0.20*SIN(2*PI()*((((Inputs!$I$7+(((A242)+1)/2)*(Inputs!$J$7-Inputs!$I$7)))+(Inputs!$C$6))/(0.5*(Inputs!$C$49+Inputs!$C$50))+Inputs!$C$47*0.097)))+0.30*(2*((SIN((((Inputs!$I$7+(((A242)+1)/2)*(Inputs!$J$7-Inputs!$I$7)))*12.9898+(Inputs!$C$6)*78.233+Inputs!$C$47*37.719))*43758.5453)-INT((SIN((((Inputs!$I$7+(((A242)+1)/2)*(Inputs!$J$7-Inputs!$I$7)))*12.9898+(Inputs!$C$6)*78.233+Inputs!$C$47*37.719))*43758.5453)))-1))),NA())</x:f>
        <x:v>200.7418453023654</x:v>
      </x:c>
      <x:c r="AU242" s="48" t="n">
        <x: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(0.45*SIN(2*PI()*((((Inputs!$I$8+(((A242)+1)/2)*(Inputs!$J$8-Inputs!$I$8)))/Inputs!$C$49)+Inputs!$C$47*0.137))+0.35*COS(2*PI()*(((Inputs!$C$6)/Inputs!$C$50)+Inputs!$C$47*0.173))+0.20*SIN(2*PI()*((((Inputs!$I$8+(((A242)+1)/2)*(Inputs!$J$8-Inputs!$I$8)))+(Inputs!$C$6))/(0.5*(Inputs!$C$49+Inputs!$C$50))+Inputs!$C$47*0.097)))+0.30*(2*((SIN((((Inputs!$I$8+(((A242)+1)/2)*(Inputs!$J$8-Inputs!$I$8)))*12.9898+(Inputs!$C$6)*78.233+Inputs!$C$47*37.719))*43758.5453)-INT((SIN((((Inputs!$I$8+(((A242)+1)/2)*(Inputs!$J$8-Inputs!$I$8)))*12.9898+(Inputs!$C$6)*78.233+Inputs!$C$47*37.719))*43758.5453)))-1))),NA())</x:f>
        <x:v>169.0266650218729</x:v>
      </x:c>
      <x:c r="AV242" s="48" t="n">
        <x: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(0.45*SIN(2*PI()*((((Inputs!$I$9+(((A242)+1)/2)*(Inputs!$J$9-Inputs!$I$9)))/Inputs!$C$49)+Inputs!$C$47*0.137))+0.35*COS(2*PI()*(((Inputs!$C$6)/Inputs!$C$50)+Inputs!$C$47*0.173))+0.20*SIN(2*PI()*((((Inputs!$I$9+(((A242)+1)/2)*(Inputs!$J$9-Inputs!$I$9)))+(Inputs!$C$6))/(0.5*(Inputs!$C$49+Inputs!$C$50))+Inputs!$C$47*0.097)))+0.30*(2*((SIN((((Inputs!$I$9+(((A242)+1)/2)*(Inputs!$J$9-Inputs!$I$9)))*12.9898+(Inputs!$C$6)*78.233+Inputs!$C$47*37.719))*43758.5453)-INT((SIN((((Inputs!$I$9+(((A242)+1)/2)*(Inputs!$J$9-Inputs!$I$9)))*12.9898+(Inputs!$C$6)*78.233+Inputs!$C$47*37.719))*43758.5453)))-1))),NA())</x:f>
        <x:v>169.0266650218729</x:v>
      </x:c>
      <x:c r="AW242" s="49"/>
      <x:c r="AX242" s="48" t="n">
        <x:f>A242</x:f>
        <x:v>1</x:v>
      </x:c>
      <x:c r="AY242" s="48" t="n">
        <x:f>0</x:f>
        <x:v>0</x:v>
      </x:c>
      <x:c r="AZ242" s="48" t="n">
        <x:f>IF(OR(Inputs!$F$6=TRUE,Inputs!$F$6="TRUE",Inputs!$F$6=1),(Inputs!$H$6+Inputs!$L$6*(((Inputs!$I$6+(((A242)+1)/2)*(Inputs!$J$6-Inputs!$I$6)))/Inputs!$K$6)^2),NA())</x:f>
        <x:v>404</x:v>
      </x:c>
      <x:c r="BA242" s="48" t="n">
        <x:f>IF(OR(Inputs!$F$7=TRUE,Inputs!$F$7="TRUE",Inputs!$F$7=1),(Inputs!$H$7+Inputs!$L$7*(((Inputs!$I$7+(((A242)+1)/2)*(Inputs!$J$7-Inputs!$I$7)))/Inputs!$K$7)^2),NA())</x:f>
        <x:v>400</x:v>
      </x:c>
      <x:c r="BB242" s="48" t="n">
        <x:f>IF(OR(Inputs!$F$8=TRUE,Inputs!$F$8="TRUE",Inputs!$F$8=1),(Inputs!$H$8+Inputs!$L$8*(((Inputs!$I$8+(((A242)+1)/2)*(Inputs!$J$8-Inputs!$I$8)))/Inputs!$K$8)^2),NA())</x:f>
        <x:v>1000</x:v>
      </x:c>
      <x:c r="BC242" s="48" t="n">
        <x:f>IF(OR(Inputs!$F$9=TRUE,Inputs!$F$9="TRUE",Inputs!$F$9=1),(Inputs!$H$9+Inputs!$L$9*(((Inputs!$I$9+(((A242)+1)/2)*(Inputs!$J$9-Inputs!$I$9)))/Inputs!$K$9)^2),NA())</x:f>
        <x:v>1000</x:v>
      </x:c>
      <x:c r="BD242" s="49"/>
      <x:c r="BE242" s="48" t="n">
        <x:f>A242</x:f>
        <x:v>1</x:v>
      </x:c>
      <x:c r="BF242" s="48" t="n">
        <x:f>0</x:f>
        <x:v>0</x:v>
      </x:c>
      <x:c r="BG242" s="48"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BH242" s="48"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BI242" s="48"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BJ242" s="48"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22" hidden="0" customWidth="1"/>
    <x:col min="4" max="4" width="22" hidden="0" customWidth="1"/>
    <x:col min="5" max="5" width="20" hidden="0" customWidth="1"/>
    <x:col min="6" max="6" width="30" hidden="0" customWidth="1"/>
  </x:cols>
  <x:sheetData>
    <x:row r="1">
      <x:c r="A1" s="4" t="str">
        <x:v>PRF and Pulse Timing Results</x:v>
      </x:c>
      <x:c r="B1" s="4"/>
      <x:c r="C1" s="4"/>
      <x:c r="D1" s="4"/>
      <x:c r="E1" s="4"/>
      <x:c r="F1" s="4"/>
    </x:row>
    <x:row r="3">
      <x:c r="A3" s="14" t="str">
        <x:v>PRF (Hz)</x:v>
      </x:c>
      <x:c r="B3" s="14" t="str">
        <x:v>Pulse interval (ms)</x:v>
      </x:c>
      <x:c r="C3" s="14" t="str">
        <x:v>Along-track spacing (m)</x:v>
      </x:c>
      <x:c r="D3" s="14" t="str">
        <x:v>Unambiguous range (km)</x:v>
      </x:c>
      <x:c r="E3" s="14" t="str">
        <x:v>Pulses in air at z0</x:v>
      </x:c>
      <x:c r="F3" s="14" t="str">
        <x:v>Doppler sampling status</x:v>
      </x:c>
    </x:row>
    <x:row r="4">
      <x:c r="A4" s="48" t="n">
        <x:f>Inputs!$C$18</x:f>
        <x:v>50</x:v>
      </x:c>
      <x:c r="B4" s="48" t="n">
        <x:f>1000/A4</x:f>
        <x:v>20</x:v>
      </x:c>
      <x:c r="C4" s="48" t="n">
        <x:f>Inputs!$C$11*1000/A4</x:f>
        <x:v>80</x:v>
      </x:c>
      <x:c r="D4" s="48" t="n">
        <x:f>Inputs!$C$21/(2*A4)/1000</x:f>
        <x:v>2997.92458</x:v>
      </x:c>
      <x:c r="E4" s="48" t="n">
        <x:f>A4*(2*Inputs!$C$5*1000/Inputs!$C$21)</x:f>
        <x:v>0.13342563807926083</x:v>
      </x:c>
      <x:c r="F4" s="11" t="str">
        <x:f>IF(A4&gt;=Dashboard!$B$16,"OK for modeled topo VHF Doppler","Below simple Doppler floor")</x:f>
        <x:v>Below simple Doppler floor</x:v>
      </x:c>
    </x:row>
    <x:row r="5">
      <x:c r="A5" s="48" t="n">
        <x:f>Inputs!$C$19</x:f>
        <x:v>500</x:v>
      </x:c>
      <x:c r="B5" s="48" t="n">
        <x:f>1000/A5</x:f>
        <x:v>2</x:v>
      </x:c>
      <x:c r="C5" s="48" t="n">
        <x:f>Inputs!$C$11*1000/A5</x:f>
        <x:v>8</x:v>
      </x:c>
      <x:c r="D5" s="48" t="n">
        <x:f>Inputs!$C$21/(2*A5)/1000</x:f>
        <x:v>299.792458</x:v>
      </x:c>
      <x:c r="E5" s="48" t="n">
        <x:f>A5*(2*Inputs!$C$5*1000/Inputs!$C$21)</x:f>
        <x:v>1.3342563807926082</x:v>
      </x:c>
      <x:c r="F5" s="11" t="str">
        <x:f>IF(A5&gt;=Dashboard!$B$16,"OK for modeled topo VHF Doppler","Below simple Doppler floor")</x:f>
        <x:v>Below simple Doppler floor</x:v>
      </x:c>
    </x:row>
    <x:row r="6">
      <x:c r="A6" s="48" t="n">
        <x:f>Inputs!$C$20</x:f>
        <x:v>3000</x:v>
      </x:c>
      <x:c r="B6" s="48" t="n">
        <x:f>1000/A6</x:f>
        <x:v>0.3333333333333333</x:v>
      </x:c>
      <x:c r="C6" s="48" t="n">
        <x:f>Inputs!$C$11*1000/A6</x:f>
        <x:v>1.3333333333333333</x:v>
      </x:c>
      <x:c r="D6" s="48" t="n">
        <x:f>Inputs!$C$21/(2*A6)/1000</x:f>
        <x:v>49.965409666666666</x:v>
      </x:c>
      <x:c r="E6" s="48" t="n">
        <x:f>A6*(2*Inputs!$C$5*1000/Inputs!$C$21)</x:f>
        <x:v>8.00553828475565</x:v>
      </x:c>
      <x:c r="F6" s="11" t="str">
        <x:f>IF(A6&gt;=Dashboard!$B$16,"OK for modeled topo VHF Doppler","Below simple Doppler floor")</x:f>
        <x:v>OK for modeled topo VHF Doppler</x:v>
      </x:c>
    </x:row>
  </x:sheetData>
  <x:mergeCells>
    <x:mergeCell ref="A1:F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5" hidden="0" customWidth="1"/>
    <x:col min="2" max="2" width="55" hidden="0" customWidth="1"/>
    <x:col min="3" max="3" width="36" hidden="0" customWidth="1"/>
    <x:col min="4" max="4" width="24" hidden="0" customWidth="1"/>
  </x:cols>
  <x:sheetData>
    <x:row r="1">
      <x:c r="A1" s="4" t="str">
        <x:v>Formula Guide</x:v>
      </x:c>
      <x:c r="B1" s="4"/>
      <x:c r="C1" s="4"/>
      <x:c r="D1" s="4"/>
    </x:row>
    <x:row r="3">
      <x:c r="A3" s="14" t="str">
        <x:v>Formula</x:v>
      </x:c>
      <x:c r="B3" s="14" t="str">
        <x:v>Meaning</x:v>
      </x:c>
      <x:c r="C3" s="14" t="str">
        <x:v>Inputs used</x:v>
      </x:c>
      <x:c r="D3" s="14" t="str">
        <x:v>Output produced</x:v>
      </x:c>
    </x:row>
    <x:row r="4">
      <x:c r="A4" s="11" t="str">
        <x:v>z(x) = z0 + Delta_z_edge*(x/x_edge)^2</x:v>
      </x:c>
      <x:c r="B4" s="11" t="str">
        <x:v>Parabolic altitude path.</x:v>
      </x:c>
      <x:c r="C4" s="11" t="str">
        <x:v>z0, Delta_z_edge, x, x_edge</x:v>
      </x:c>
      <x:c r="D4" s="11" t="str">
        <x:v>altitude z</x:v>
      </x:c>
    </x:row>
    <x:row r="5">
      <x:c r="A5" s="11" t="str">
        <x:v>Paper pass scenario = paper altitude/length values inserted into z(x)</x:v>
      </x:c>
      <x:c r="B5" s="11" t="str">
        <x:v>The paper gives altitude ranges and groundtrack lengths; this workbook converts them into comparable parabolic cases.</x:v>
      </x:c>
      <x:c r="C5" s="11" t="str">
        <x:v>Inputs F6:N9</x:v>
      </x:c>
      <x:c r="D5" s="11" t="str">
        <x:v>scenario overlays</x:v>
      </x:c>
    </x:row>
    <x:row r="6">
      <x:c r="A6" s="11" t="str">
        <x:v>scenario_show = TRUE/FALSE</x:v>
      </x:c>
      <x:c r="B6" s="11" t="str">
        <x:v>Controls whether a scenario line appears in the paper-pass charts. The summary table still calculates all scenarios.</x:v>
      </x:c>
      <x:c r="C6" s="11" t="str">
        <x:v>Inputs F6:F9</x:v>
      </x:c>
      <x:c r="D6" s="11" t="str">
        <x:v>visible chart series</x:v>
      </x:c>
    </x:row>
    <x:row r="7">
      <x:c r="A7" s="11" t="str">
        <x:v>theta = sqrt(x^2 + y^2) / R_e</x:v>
      </x:c>
      <x:c r="B7" s="11" t="str">
        <x:v>Angular surface separation on Europa.</x:v>
      </x:c>
      <x:c r="C7" s="11" t="str">
        <x:v>x, y, Europa radius</x:v>
      </x:c>
      <x:c r="D7" s="11" t="str">
        <x:v>central angle</x:v>
      </x:c>
    </x:row>
    <x:row r="8">
      <x:c r="A8" s="11" t="str">
        <x:v>R_off = sqrt((R_e+z)^2 + R_e^2 - 2*(R_e+z)*R_e*cos(theta))</x:v>
      </x:c>
      <x:c r="B8" s="11" t="str">
        <x:v>Curvature-corrected slant range from spacecraft to flat surface target.</x:v>
      </x:c>
      <x:c r="C8" s="11" t="str">
        <x:v>x, y, z, R_e</x:v>
      </x:c>
      <x:c r="D8" s="11" t="str">
        <x:v>off-nadir range</x:v>
      </x:c>
    </x:row>
    <x:row r="9">
      <x:c r="A9" s="11" t="str">
        <x:v>R_nadir = z</x:v>
      </x:c>
      <x:c r="B9" s="11" t="str">
        <x:v>Range to target directly below platform.</x:v>
      </x:c>
      <x:c r="C9" s="11" t="str">
        <x:v>z</x:v>
      </x:c>
      <x:c r="D9" s="11" t="str">
        <x:v>nadir range</x:v>
      </x:c>
    </x:row>
    <x:row r="10">
      <x:c r="A10" s="11" t="str">
        <x:v>Delta_R = R_off - R_nadir</x:v>
      </x:c>
      <x:c r="B10" s="11" t="str">
        <x:v>Extra one-way path from side offset.</x:v>
      </x:c>
      <x:c r="C10" s="11" t="str">
        <x:v>R_off, R_nadir</x:v>
      </x:c>
      <x:c r="D10" s="11" t="str">
        <x:v>extra range</x:v>
      </x:c>
    </x:row>
    <x:row r="11">
      <x:c r="A11" s="11" t="str">
        <x:v>d_app = Delta_R / n</x:v>
      </x:c>
      <x:c r="B11" s="11" t="str">
        <x:v>Maps extra range onto apparent in-ice depth.</x:v>
      </x:c>
      <x:c r="C11" s="11" t="str">
        <x:v>Delta_R, n</x:v>
      </x:c>
      <x:c r="D11" s="11" t="str">
        <x:v>apparent depth</x:v>
      </x:c>
    </x:row>
    <x:row r="12">
      <x:c r="A12" s="11" t="str">
        <x:v>Delta_t = 2*Delta_R/c</x:v>
      </x:c>
      <x:c r="B12" s="11" t="str">
        <x:v>Two-way extra echo delay.</x:v>
      </x:c>
      <x:c r="C12" s="11" t="str">
        <x:v>Delta_R, c</x:v>
      </x:c>
      <x:c r="D12" s="11" t="str">
        <x:v>extra delay</x:v>
      </x:c>
    </x:row>
    <x:row r="13">
      <x:c r="A13" s="11" t="str">
        <x:v>theta = atan(horizontal/z)</x:v>
      </x:c>
      <x:c r="B13" s="11" t="str">
        <x:v>Look angle away from nadir.</x:v>
      </x:c>
      <x:c r="C13" s="11" t="str">
        <x:v>x, y, z</x:v>
      </x:c>
      <x:c r="D13" s="11" t="str">
        <x:v>look angle</x:v>
      </x:c>
    </x:row>
    <x:row r="14">
      <x:c r="A14" s="11" t="str">
        <x:v>phi = (2*pi/lambda)*b*sin(theta)</x:v>
      </x:c>
      <x:c r="B14" s="11" t="str">
        <x:v>Interferometric phase for VHF baseline.</x:v>
      </x:c>
      <x:c r="C14" s="11" t="str">
        <x:v>lambda, b, theta</x:v>
      </x:c>
      <x:c r="D14" s="11" t="str">
        <x:v>phase</x:v>
      </x:c>
    </x:row>
    <x:row r="15">
      <x:c r="A15" s="11" t="str">
        <x:v>P_rel = (R_nadir/R_off)^4</x:v>
      </x:c>
      <x:c r="B15" s="11" t="str">
        <x:v>Simple geometry-only two-way range-power ratio.</x:v>
      </x:c>
      <x:c r="C15" s="11" t="str">
        <x:v>R_nadir, R_off</x:v>
      </x:c>
      <x:c r="D15" s="11" t="str">
        <x:v>relative power</x:v>
      </x:c>
    </x:row>
    <x:row r="16">
      <x:c r="A16" s="11" t="str">
        <x:v>dz/dx = 2*a*x</x:v>
      </x:c>
      <x:c r="B16" s="11" t="str">
        <x:v>Slope of parabolic altitude path.</x:v>
      </x:c>
      <x:c r="C16" s="11" t="str">
        <x:v>a, x</x:v>
      </x:c>
      <x:c r="D16" s="11" t="str">
        <x:v>vertical slope</x:v>
      </x:c>
    </x:row>
    <x:row r="17">
      <x:c r="A17" s="11" t="str">
        <x:v>dz/dt = dz/dx * v</x:v>
      </x:c>
      <x:c r="B17" s="11" t="str">
        <x:v>Vertical speed caused by moving along the parabola.</x:v>
      </x:c>
      <x:c r="C17" s="11" t="str">
        <x:v>dz/dx, v</x:v>
      </x:c>
      <x:c r="D17" s="11" t="str">
        <x:v>vertical speed</x:v>
      </x:c>
    </x:row>
    <x:row r="18">
      <x:c r="A18" s="11" t="str">
        <x:v>dR/dt = (x*v + z*dz/dt)/R</x:v>
      </x:c>
      <x:c r="B18" s="11" t="str">
        <x:v>Range rate from chain rule.</x:v>
      </x:c>
      <x:c r="C18" s="11" t="str">
        <x:v>x, v, z, dz/dt, R</x:v>
      </x:c>
      <x:c r="D18" s="11" t="str">
        <x:v>range rate</x:v>
      </x:c>
    </x:row>
    <x:row r="19">
      <x:c r="A19" s="11" t="str">
        <x:v>f_D = -2*(dR/dt)/lambda</x:v>
      </x:c>
      <x:c r="B19" s="11" t="str">
        <x:v>Two-way Doppler shift.</x:v>
      </x:c>
      <x:c r="C19" s="11" t="str">
        <x:v>range rate, lambda</x:v>
      </x:c>
      <x:c r="D19" s="11" t="str">
        <x:v>Doppler</x:v>
      </x:c>
    </x:row>
    <x:row r="20">
      <x:c r="A20" s="11" t="str">
        <x:v>PRF_min = 2*max(abs(f_D))</x:v>
      </x:c>
      <x:c r="B20" s="11" t="str">
        <x:v>Simple Doppler sampling floor.</x:v>
      </x:c>
      <x:c r="C20" s="11" t="str">
        <x:v>Doppler</x:v>
      </x:c>
      <x:c r="D20" s="11" t="str">
        <x:v>minimum PRF</x:v>
      </x:c>
    </x:row>
    <x:row r="21">
      <x:c r="A21" s="11" t="str">
        <x:v>h_project = S_dem*(ridge + scallop + chaos + along_bulge)</x:v>
      </x:c>
      <x:c r="B21" s="11" t="str">
        <x:v>Project synthetic DEM-style terrain from reason_common.py, rewritten in Excel formulas.</x:v>
      </x:c>
      <x:c r="C21" s="11" t="str">
        <x:v>S_dem, x, y</x:v>
      </x:c>
      <x:c r="D21" s="11" t="str">
        <x:v>baseline representative surface</x:v>
      </x:c>
    </x:row>
    <x:row r="22">
      <x:c r="A22" s="11" t="str">
        <x:v>h_seeded = A_seeded*(smooth waves + deterministic hash)</x:v>
      </x:c>
      <x:c r="B22" s="11" t="str">
        <x:v>Seed-controlled random-looking terrain. Same seed repeats the same surface; changing the seed changes the surface.</x:v>
      </x:c>
      <x:c r="C22" s="11" t="str">
        <x:v>terrain_seed, A_seeded, L_seed_x, L_seed_y</x:v>
      </x:c>
      <x:c r="D22" s="11" t="str">
        <x:v>dynamic terrain variation</x:v>
      </x:c>
    </x:row>
    <x:row r="23">
      <x:c r="A23" s="11" t="str">
        <x:v>h_total = h_project + h_ridge + h_crater + h_chaos + h_rough + h_trough + h_seeded</x:v>
      </x:c>
      <x:c r="B23" s="11" t="str">
        <x:v>Representative Europa topography model.</x:v>
      </x:c>
      <x:c r="C23" s="11" t="str">
        <x:v>topography controls and seed controls</x:v>
      </x:c>
      <x:c r="D23" s="11" t="str">
        <x:v>surface height</x:v>
      </x:c>
    </x:row>
    <x:row r="24">
      <x:c r="A24" s="11" t="str">
        <x:v>h_ridge = A*exp(-(x-x0)^2/(2*sx^2))*exp(-(y-y0)^2/(2*sy^2))</x:v>
      </x:c>
      <x:c r="B24" s="11" t="str">
        <x:v>Raised ridge / band feature.</x:v>
      </x:c>
      <x:c r="C24" s="11" t="str">
        <x:v>ridge height, center, length, width</x:v>
      </x:c>
      <x:c r="D24" s="11" t="str">
        <x:v>ridge height</x:v>
      </x:c>
    </x:row>
    <x:row r="25">
      <x:c r="A25" s="11" t="str">
        <x:v>h_crater = -D*exp(-((x-x0)^2+(y-y0)^2)/(2*sigma^2))</x:v>
      </x:c>
      <x:c r="B25" s="11" t="str">
        <x:v>Depression or crater-like low area.</x:v>
      </x:c>
      <x:c r="C25" s="11" t="str">
        <x:v>crater depth, center, width</x:v>
      </x:c>
      <x:c r="D25" s="11" t="str">
        <x:v>depression height</x:v>
      </x:c>
    </x:row>
    <x:row r="26">
      <x:c r="A26" s="11" t="str">
        <x:v>h_rough = A*sin(2*pi*x/Lx)*sin(2*pi*y/Ly)</x:v>
      </x:c>
      <x:c r="B26" s="11" t="str">
        <x:v>Fine roughness variation.</x:v>
      </x:c>
      <x:c r="C26" s="11" t="str">
        <x:v>roughness amplitude and wavelength</x:v>
      </x:c>
      <x:c r="D26" s="11" t="str">
        <x:v>roughness height</x:v>
      </x:c>
    </x:row>
    <x:row r="27">
      <x:c r="A27" s="11" t="str">
        <x:v>R_off_topo = sqrt((R_e+z)^2 + (R_e+h_target/1000)^2 - 2*(R_e+z)*(R_e+h_target/1000)*cos(theta))</x:v>
      </x:c>
      <x:c r="B27" s="11" t="str">
        <x:v>Curvature-corrected slant range to the topographic target.</x:v>
      </x:c>
      <x:c r="C27" s="11" t="str">
        <x:v>x, y, z, h_target, R_e</x:v>
      </x:c>
      <x:c r="D27" s="11" t="str">
        <x:v>topographic range</x:v>
      </x:c>
    </x:row>
    <x:row r="28">
      <x:c r="A28" s="11" t="str">
        <x:v>R_nadir_topo = z - h_nadir/1000</x:v>
      </x:c>
      <x:c r="B28" s="11" t="str">
        <x:v>Nadir range after local surface elevation is included.</x:v>
      </x:c>
      <x:c r="C28" s="11" t="str">
        <x:v>z, nadir height</x:v>
      </x:c>
      <x:c r="D28" s="11" t="str">
        <x:v>topographic nadir range</x:v>
      </x:c>
    </x:row>
    <x:row r="29">
      <x:c r="A29" s="11" t="str">
        <x:v>d_app_topo = (R_off_topo - R_nadir_topo)/n</x:v>
      </x:c>
      <x:c r="B29" s="11" t="str">
        <x:v>Topography-adjusted apparent depth.</x:v>
      </x:c>
      <x:c r="C29" s="11" t="str">
        <x:v>topographic ranges, n</x:v>
      </x:c>
      <x:c r="D29" s="11" t="str">
        <x:v>apparent depth with topography</x:v>
      </x:c>
    </x:row>
    <x:row r="30">
      <x:c r="A30" s="11" t="str">
        <x:v>surface_signal = h_target - h_nadir</x:v>
      </x:c>
      <x:c r="B30" s="11" t="str">
        <x:v>The original modeled surface/topography difference between the target path and nadir path.</x:v>
      </x:c>
      <x:c r="C30" s="11" t="str">
        <x:v>h_target, h_nadir</x:v>
      </x:c>
      <x:c r="D30" s="11" t="str">
        <x:v>true surface signal</x:v>
      </x:c>
    </x:row>
    <x:row r="31">
      <x:c r="A31" s="11" t="str">
        <x:v>apparent_surface_height = -n*(d_app_topo - d_app_flat)</x:v>
      </x:c>
      <x:c r="B31" s="11" t="str">
        <x:v>Converts the topography-caused apparent-depth change back into surface-height-equivalent meters for comparison with h_target and h_nadir.</x:v>
      </x:c>
      <x:c r="C31" s="11" t="str">
        <x:v>d_app_topo, d_app_flat, n</x:v>
      </x:c>
      <x:c r="D31" s="11" t="str">
        <x:v>radar apparent surface height</x:v>
      </x:c>
    </x:row>
    <x:row r="32">
      <x:c r="A32" s="11" t="str">
        <x:v>constant-altitude shift</x:v>
      </x:c>
      <x:c r="B32" s="11" t="str">
        <x:v>Same topography shift calculation, but with z held constant at z0 instead of using the parabola.</x:v>
      </x:c>
      <x:c r="C32" s="11" t="str">
        <x:v>z0, h_target, h_nadir</x:v>
      </x:c>
      <x:c r="D32" s="11" t="str">
        <x:v>path-motion comparison</x:v>
      </x:c>
    </x:row>
  </x:sheetData>
  <x:mergeCells>
    <x:mergeCell ref="A1:D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74" hidden="0" customWidth="1"/>
    <x:col min="3" max="3" width="44" hidden="0" customWidth="1"/>
    <x:col min="4" max="4" width="40" hidden="0" customWidth="1"/>
    <x:col min="5" max="5" width="48" hidden="0" customWidth="1"/>
  </x:cols>
  <x:sheetData>
    <x:row r="1">
      <x:c r="A1" s="4" t="str">
        <x:v>Topography Formula Explanation</x:v>
      </x:c>
      <x:c r="B1" s="4"/>
      <x:c r="C1" s="4"/>
      <x:c r="D1" s="4"/>
      <x:c r="E1" s="4"/>
    </x:row>
    <x:row r="2">
      <x:c r="A2" s="51" t="str">
        <x:v>This sheet explains the representative Europa topography model used when Inputs!C27 is TRUE. It is not a real imported DEM; it combines the project's synthetic DEM-style terrain with a seed-controlled random terrain term for testing multiple possible surfaces.</x:v>
      </x:c>
      <x:c r="B2" s="51"/>
      <x:c r="C2" s="51"/>
      <x:c r="D2" s="51"/>
      <x:c r="E2" s="51"/>
    </x:row>
    <x:row r="4">
      <x:c r="A4" s="14" t="str">
        <x:v>Piece</x:v>
      </x:c>
      <x:c r="B4" s="14" t="str">
        <x:v>Formula</x:v>
      </x:c>
      <x:c r="C4" s="14" t="str">
        <x:v>What it represents</x:v>
      </x:c>
      <x:c r="D4" s="14" t="str">
        <x:v>Changeable inputs</x:v>
      </x:c>
      <x:c r="E4" s="14" t="str">
        <x:v>Effect on radar output</x:v>
      </x:c>
    </x:row>
    <x:row r="5">
      <x:c r="A5" s="11" t="str">
        <x:v>Checkbox / toggle</x:v>
      </x:c>
      <x:c r="B5" s="56" t="str">
        <x:v>topography_factor = IF(OR(Inputs!C27=TRUE, Inputs!C27="TRUE", Inputs!C27=1), 1, 0)</x:v>
      </x:c>
      <x:c r="C5" s="11" t="str">
        <x:v>Turns all terrain terms on or off.</x:v>
      </x:c>
      <x:c r="D5" s="11" t="str">
        <x:v>Inputs!C27</x:v>
      </x:c>
      <x:c r="E5" s="11" t="str">
        <x:v>TRUE includes terrain height; FALSE makes all h(x,y) terms equal 0.</x:v>
      </x:c>
    </x:row>
    <x:row r="6">
      <x:c r="A6" s="11" t="str">
        <x:v>Project DEM-style surface</x:v>
      </x:c>
      <x:c r="B6" s="56" t="str">
        <x:v>h_project = S_dem*(115*EXP(-((y-25)^2)/(4.5^2)) + 70*EXP(-((y+38)^2)/(7^2))*(0.55+0.45*SIN(2*PI()*x/45)) + 24*SIN(2*PI()*y/9+x/18)*EXP(-((y+5)^2)/(22^2)) + 18*SIN(2*PI()*x/70))</x:v>
      </x:c>
      <x:c r="C6" s="11" t="str">
        <x:v>The same style as the existing local make_synthetic_dem model: an off-nadir ridge, scalloped terrain, chaos-like variation, and along-track bulge.</x:v>
      </x:c>
      <x:c r="D6" s="11" t="str">
        <x:v>S_dem, x, y</x:v>
      </x:c>
      <x:c r="E6" s="11" t="str">
        <x:v>Provides a repeatable baseline terrain pattern based on the existing project model.</x:v>
      </x:c>
    </x:row>
    <x:row r="7">
      <x:c r="A7" s="11" t="str">
        <x:v>Seeded dynamic terrain</x:v>
      </x:c>
      <x:c r="B7" s="56" t="str">
        <x:v>h_seeded = A_seeded*(0.70*smooth_seeded_waves + 0.30*deterministic_hash(x,y,seed))</x:v>
      </x:c>
      <x:c r="C7" s="11" t="str">
        <x:v>A random-looking but repeatable terrain term. It avoids volatile RAND(), so the graph stays stable until the seed is changed.</x:v>
      </x:c>
      <x:c r="D7" s="11" t="str">
        <x:v>terrain_seed, A_seeded, L_seed_x, L_seed_y</x:v>
      </x:c>
      <x:c r="E7" s="11" t="str">
        <x:v>Changing the seed tests a different possible topographic case.</x:v>
      </x:c>
    </x:row>
    <x:row r="8">
      <x:c r="A8" s="11" t="str">
        <x:v>Raised ridge</x:v>
      </x:c>
      <x:c r="B8" s="56" t="str">
        <x:v>h_ridge = A_ridge*EXP(-((x-ridge_x0)^2)/(2*ridge_sigma_x^2))*EXP(-((y-ridge_y0)^2)/(2*ridge_sigma_y^2))</x:v>
      </x:c>
      <x:c r="C8" s="11" t="str">
        <x:v>A long, narrow positive-height ridge or band, similar to a simplified Europa lineament/ridge.</x:v>
      </x:c>
      <x:c r="D8" s="11" t="str">
        <x:v>A_ridge, ridge_x0, ridge_y0, ridge_sigma_x, ridge_sigma_y</x:v>
      </x:c>
      <x:c r="E8" s="11" t="str">
        <x:v>A raised target usually shortens the target range and can pull apparent depth upward/shallower.</x:v>
      </x:c>
    </x:row>
    <x:row r="9">
      <x:c r="A9" s="11" t="str">
        <x:v>Crater/depression</x:v>
      </x:c>
      <x:c r="B9" s="56" t="str">
        <x:v>h_crater = -D_crater*EXP(-(((x-crater_x0)^2+(y-crater_y0)^2)/(2*crater_sigma^2)))</x:v>
      </x:c>
      <x:c r="C9" s="11" t="str">
        <x:v>A negative-height circular depression.</x:v>
      </x:c>
      <x:c r="D9" s="11" t="str">
        <x:v>D_crater, crater_x0, crater_y0, crater_sigma</x:v>
      </x:c>
      <x:c r="E9" s="11" t="str">
        <x:v>A depression usually lengthens the target range and can push apparent depth deeper.</x:v>
      </x:c>
    </x:row>
    <x:row r="10">
      <x:c r="A10" s="11" t="str">
        <x:v>Chaos terrain</x:v>
      </x:c>
      <x:c r="B10" s="56" t="str">
        <x:v>h_chaos = A_chaos*(0.55*SIN(2*PI()*x/Lx)+0.35*COS(2*PI()*y/Ly)+0.2*SIN(2*PI()*(x+y)/(0.5*(Lx+Ly))))</x:v>
      </x:c>
      <x:c r="C10" s="11" t="str">
        <x:v>A mixed wave term that gives irregular terrain instead of a single smooth hill.</x:v>
      </x:c>
      <x:c r="D10" s="11" t="str">
        <x:v>A_chaos, Lx, Ly</x:v>
      </x:c>
      <x:c r="E10" s="11" t="str">
        <x:v>Adds broad, uneven changes to terrain height along the pass.</x:v>
      </x:c>
    </x:row>
    <x:row r="11">
      <x:c r="A11" s="11" t="str">
        <x:v>Fine roughness</x:v>
      </x:c>
      <x:c r="B11" s="56" t="str">
        <x:v>h_rough = A_rough*SIN(2*PI()*x/Lx)*SIN(2*PI()*y/Ly)</x:v>
      </x:c>
      <x:c r="C11" s="11" t="str">
        <x:v>Smaller oscillating roughness on top of the larger terrain terms.</x:v>
      </x:c>
      <x:c r="D11" s="11" t="str">
        <x:v>A_rough, Lx, Ly</x:v>
      </x:c>
      <x:c r="E11" s="11" t="str">
        <x:v>Creates smaller-scale wiggles in topography-adjusted range/depth.</x:v>
      </x:c>
    </x:row>
    <x:row r="12">
      <x:c r="A12" s="11" t="str">
        <x:v>Trough/fracture</x:v>
      </x:c>
      <x:c r="B12" s="56" t="str">
        <x:v>h_trough = -D_trough*EXP(-((y-trough_y0)^2)/(2*trough_sigma_y^2))*EXP(-((x-trough_x0)^2)/(2*trough_sigma_x^2))</x:v>
      </x:c>
      <x:c r="C12" s="11" t="str">
        <x:v>A long negative-height trough or fracture-like feature.</x:v>
      </x:c>
      <x:c r="D12" s="11" t="str">
        <x:v>D_trough, trough_x0, trough_y0, trough_sigma_y, trough_sigma_x</x:v>
      </x:c>
      <x:c r="E12" s="11" t="str">
        <x:v>Can create a localized deeper apparent-depth shift.</x:v>
      </x:c>
    </x:row>
    <x:row r="13">
      <x:c r="A13" s="11" t="str">
        <x:v>Total surface height</x:v>
      </x:c>
      <x:c r="B13" s="56" t="str">
        <x:v>h_total(x,y) = topography_factor*(h_project + h_ridge + h_crater + h_chaos + h_rough + h_trough + h_seeded)</x:v>
      </x:c>
      <x:c r="C13" s="11" t="str">
        <x:v>The combined representative terrain surface used by the model.</x:v>
      </x:c>
      <x:c r="D13" s="11" t="str">
        <x:v>All topography and seed controls</x:v>
      </x:c>
      <x:c r="E13" s="11" t="str">
        <x:v>This is the terrain height used in the range equations.</x:v>
      </x:c>
    </x:row>
    <x:row r="14">
      <x:c r="A14" s="11" t="str">
        <x:v>Nadir topographic height</x:v>
      </x:c>
      <x:c r="B14" s="56" t="str">
        <x:v>h_nadir = h_total(x, 0)</x:v>
      </x:c>
      <x:c r="C14" s="11" t="str">
        <x:v>Surface height directly below the spacecraft path.</x:v>
      </x:c>
      <x:c r="D14" s="11" t="str">
        <x:v>x plus all topography controls</x:v>
      </x:c>
      <x:c r="E14" s="11" t="str">
        <x:v>Changes the reference/nadir range.</x:v>
      </x:c>
    </x:row>
    <x:row r="15">
      <x:c r="A15" s="11" t="str">
        <x:v>Target topographic height</x:v>
      </x:c>
      <x:c r="B15" s="56" t="str">
        <x:v>h_target = h_total(x, y)</x:v>
      </x:c>
      <x:c r="C15" s="11" t="str">
        <x:v>Surface height at the side-offset target path.</x:v>
      </x:c>
      <x:c r="D15" s="11" t="str">
        <x:v>x, y plus all topography controls</x:v>
      </x:c>
      <x:c r="E15" s="11" t="str">
        <x:v>Changes the off-nadir slant range.</x:v>
      </x:c>
    </x:row>
    <x:row r="16">
      <x:c r="A16" s="11" t="str">
        <x:v>Topographic nadir range</x:v>
      </x:c>
      <x:c r="B16" s="56" t="str">
        <x:v>R_nadir_topo = z(x) - h_nadir/1000</x:v>
      </x:c>
      <x:c r="C16" s="11" t="str">
        <x:v>Distance from spacecraft to the raised/lowered nadir surface.</x:v>
      </x:c>
      <x:c r="D16" s="11" t="str">
        <x:v>z(x), h_nadir</x:v>
      </x:c>
      <x:c r="E16" s="11" t="str">
        <x:v>Raised nadir terrain shortens the reference range.</x:v>
      </x:c>
    </x:row>
    <x:row r="17">
      <x:c r="A17" s="11" t="str">
        <x:v>Topographic off-nadir range</x:v>
      </x:c>
      <x:c r="B17" s="56" t="str">
        <x:v>theta = SQRT(x^2+y^2)/R_e; R_off_topo = SQRT((R_e+z)^2+(R_e+h_target/1000)^2-2*(R_e+z)*(R_e+h_target/1000)*COS(theta))</x:v>
      </x:c>
      <x:c r="C17" s="11" t="str">
        <x:v>Curvature-corrected slant range to the side-offset target after terrain height is included.</x:v>
      </x:c>
      <x:c r="D17" s="11" t="str">
        <x:v>x, y, z(x), h_target, R_e</x:v>
      </x:c>
      <x:c r="E17" s="11" t="str">
        <x:v>Raised target terrain changes the spherical slant range.</x:v>
      </x:c>
    </x:row>
    <x:row r="18">
      <x:c r="A18" s="11" t="str">
        <x:v>Topographic apparent depth</x:v>
      </x:c>
      <x:c r="B18" s="56" t="str">
        <x:v>d_app_topo = (R_off_topo - R_nadir_topo)*1000/n</x:v>
      </x:c>
      <x:c r="C18" s="11" t="str">
        <x:v>The apparent depth after topography changes both reference and target ranges.</x:v>
      </x:c>
      <x:c r="D18" s="11" t="str">
        <x:v>R_off_topo, R_nadir_topo, n</x:v>
      </x:c>
      <x:c r="E18" s="11" t="str">
        <x:v>This is the main output compared against flat apparent depth.</x:v>
      </x:c>
    </x:row>
    <x:row r="19">
      <x:c r="A19" s="11" t="str">
        <x:v>Topography depth difference</x:v>
      </x:c>
      <x:c r="B19" s="56" t="str">
        <x:v>depth_change = d_app_topo - d_app_flat</x:v>
      </x:c>
      <x:c r="C19" s="11" t="str">
        <x:v>How much terrain changes the apparent-depth result.</x:v>
      </x:c>
      <x:c r="D19" s="11" t="str">
        <x:v>d_app_topo, d_app_flat</x:v>
      </x:c>
      <x:c r="E19" s="11" t="str">
        <x:v>Negative means topography makes the echo appear shallower; positive means deeper.</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56" hidden="0" customWidth="1"/>
  </x:cols>
  <x:sheetData>
    <x:row r="1">
      <x:c r="A1" s="4" t="str">
        <x:v>Workbook Checks</x:v>
      </x:c>
      <x:c r="B1" s="4"/>
      <x:c r="C1" s="4"/>
    </x:row>
    <x:row r="3">
      <x:c r="A3" s="14" t="str">
        <x:v>Check</x:v>
      </x:c>
      <x:c r="B3" s="14" t="str">
        <x:v>Status</x:v>
      </x:c>
      <x:c r="C3" s="14" t="str">
        <x:v>Formula</x:v>
      </x:c>
    </x:row>
    <x:row r="4">
      <x:c r="A4" s="11" t="str">
        <x:v>x_min &lt; x_max</x:v>
      </x:c>
      <x:c r="B4" s="11" t="str">
        <x:f>IF(Inputs!C7&lt;Inputs!C8,"OK","Fix x_min/x_max")</x:f>
        <x:v>OK</x:v>
      </x:c>
      <x:c r="C4" s="11" t="str">
        <x:v>Inputs!C7 must be less than Inputs!C8</x:v>
      </x:c>
    </x:row>
    <x:row r="5">
      <x:c r="A5" s="11" t="str">
        <x:v>z0 positive</x:v>
      </x:c>
      <x:c r="B5" s="11" t="str">
        <x:f>IF(Inputs!C5&gt;0,"OK","Fix z0")</x:f>
        <x:v>OK</x:v>
      </x:c>
      <x:c r="C5" s="11" t="str">
        <x:v>Closest altitude must be positive</x:v>
      </x:c>
    </x:row>
    <x:row r="6">
      <x:c r="A6" s="11" t="str">
        <x:v>x_edge positive</x:v>
      </x:c>
      <x:c r="B6" s="11" t="str">
        <x:f>IF(Inputs!C10&gt;0,"OK","Fix x_edge")</x:f>
        <x:v>OK</x:v>
      </x:c>
      <x:c r="C6" s="11" t="str">
        <x:v>Parabola edge must be positive</x:v>
      </x:c>
    </x:row>
    <x:row r="7">
      <x:c r="A7" s="11" t="str">
        <x:v>ice refractive index positive</x:v>
      </x:c>
      <x:c r="B7" s="11" t="str">
        <x:f>IF(Inputs!C12&gt;0,"OK","Fix n")</x:f>
        <x:v>OK</x:v>
      </x:c>
      <x:c r="C7" s="11" t="str">
        <x:v>n must be positive</x:v>
      </x:c>
    </x:row>
    <x:row r="8">
      <x:c r="A8" s="11" t="str">
        <x:v>wavelengths positive</x:v>
      </x:c>
      <x:c r="B8" s="11" t="str">
        <x:f>IF(AND(Inputs!C13&gt;0,Inputs!C14&gt;0),"OK","Fix wavelengths")</x:f>
        <x:v>OK</x:v>
      </x:c>
      <x:c r="C8" s="11" t="str">
        <x:v>HF and VHF wavelengths must be positive</x:v>
      </x:c>
    </x:row>
    <x:row r="9">
      <x:c r="A9" s="11" t="str">
        <x:v>baseline positive</x:v>
      </x:c>
      <x:c r="B9" s="11" t="str">
        <x:f>IF(Inputs!C15&gt;0,"OK","Fix baseline")</x:f>
        <x:v>OK</x:v>
      </x:c>
      <x:c r="C9" s="11" t="str">
        <x:v>Interferometry baseline must be positive</x:v>
      </x:c>
    </x:row>
    <x:row r="10">
      <x:c r="A10" s="11" t="str">
        <x:v>topography toggle valid</x:v>
      </x:c>
      <x:c r="B10" s="11" t="str">
        <x:f>IF(OR(Inputs!C27=TRUE,Inputs!C27=FALSE,Inputs!C27="TRUE",Inputs!C27="FALSE",Inputs!C27=1,Inputs!C27=0),"OK","Fix topography toggle")</x:f>
        <x:v>OK</x:v>
      </x:c>
      <x:c r="C10" s="11" t="str">
        <x:v>Inputs!C27 must be TRUE or FALSE</x:v>
      </x:c>
    </x:row>
    <x:row r="11">
      <x:c r="A11" s="11" t="str">
        <x:v>topography widths positive</x:v>
      </x:c>
      <x:c r="B11" s="11" t="str">
        <x:f>IF(AND(Inputs!C31&gt;0,Inputs!C32&gt;0,Inputs!C36&gt;0,Inputs!C39&gt;0,Inputs!C40&gt;0,Inputs!C44&gt;0,Inputs!C45&gt;0),"OK","Fix topography width")</x:f>
        <x:v>OK</x:v>
      </x:c>
      <x:c r="C11" s="11" t="str">
        <x:v>Terrain sigma/width/wavelength values must be positive</x:v>
      </x:c>
    </x:row>
    <x:row r="12">
      <x:c r="A12" s="11" t="str">
        <x:v>terrain uncertainty nonnegative</x:v>
      </x:c>
      <x:c r="B12" s="11" t="str">
        <x:f>IF(Inputs!C46&gt;=0,"OK","Fix terrain uncertainty")</x:f>
        <x:v>OK</x:v>
      </x:c>
      <x:c r="C12" s="11" t="str">
        <x:v>Representative vertical uncertainty should be &gt;= 0</x:v>
      </x:c>
    </x:row>
    <x:row r="13">
      <x:c r="A13" s="11" t="str">
        <x:v>seeded terrain scales positive</x:v>
      </x:c>
      <x:c r="B13" s="11" t="str">
        <x:f>IF(AND(Inputs!C49&gt;0,Inputs!C50&gt;0),"OK","Fix seeded terrain scale")</x:f>
        <x:v>OK</x:v>
      </x:c>
      <x:c r="C13" s="11" t="str">
        <x:v>Seeded random terrain scales must be positive</x:v>
      </x:c>
    </x:row>
    <x:row r="14">
      <x:c r="A14" s="11" t="str">
        <x:v>seeded random amplitude nonnegative</x:v>
      </x:c>
      <x:c r="B14" s="11" t="str">
        <x:f>IF(Inputs!C48&gt;=0,"OK","Fix seeded amplitude")</x:f>
        <x:v>OK</x:v>
      </x:c>
      <x:c r="C14" s="11" t="str">
        <x:v>Seeded random terrain amplitude should be &gt;= 0</x:v>
      </x:c>
    </x:row>
    <x:row r="15">
      <x:c r="A15" s="11" t="str">
        <x:v>project DEM scale nonnegative</x:v>
      </x:c>
      <x:c r="B15" s="11" t="str">
        <x:f>IF(Inputs!C51&gt;=0,"OK","Fix DEM scale")</x:f>
        <x:v>OK</x:v>
      </x:c>
      <x:c r="C15" s="11" t="str">
        <x:v>Existing DEM-style scale should be &gt;= 0</x:v>
      </x:c>
    </x:row>
    <x:row r="16">
      <x:c r="A16" s="11" t="str">
        <x:v>Europa radius positive</x:v>
      </x:c>
      <x:c r="B16" s="11" t="str">
        <x:f>IF(Inputs!C52&gt;0,"OK","Fix Europa radius")</x:f>
        <x:v>OK</x:v>
      </x:c>
      <x:c r="C16" s="11" t="str">
        <x:v>Europa radius must be positive for spherical geometry</x:v>
      </x:c>
    </x:row>
    <x:row r="17">
      <x:c r="A17" s="11" t="str">
        <x:v>scenario toggles valid</x:v>
      </x:c>
      <x:c r="B17" s="11" t="str">
        <x: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x:f>
        <x:v>OK</x:v>
      </x:c>
      <x:c r="C17" s="11" t="str">
        <x:v>Inputs!F6:F9 must be TRUE or FALSE</x:v>
      </x:c>
    </x:row>
    <x:row r="18">
      <x:c r="A18" s="11" t="str">
        <x:v>scenario lengths positive</x:v>
      </x:c>
      <x:c r="B18" s="11" t="str">
        <x:f>IF(AND(Inputs!I6&lt;Inputs!J6,Inputs!K6&gt;0,Inputs!I7&lt;Inputs!J7,Inputs!K7&gt;0,Inputs!I8&lt;Inputs!J8,Inputs!K8&gt;0,Inputs!I9&lt;Inputs!J9,Inputs!K9&gt;0),"OK","Fix scenario length")</x:f>
        <x:v>OK</x:v>
      </x:c>
      <x:c r="C18" s="11" t="str">
        <x:v>Each scenario must have x_min &lt; x_max and x_edge &gt; 0</x:v>
      </x:c>
    </x:row>
    <x:row r="19">
      <x:c r="A19" s="11" t="str">
        <x:v>PRF high vs simple PRF floor</x:v>
      </x:c>
      <x:c r="B19" s="11" t="str">
        <x:f>IF(Inputs!C20&gt;=Dashboard!B16,"OK","High PRF below simple floor")</x:f>
        <x:v>OK</x:v>
      </x:c>
      <x:c r="C19" s="11" t="str">
        <x:v>PRF_3 should exceed Dashboard topo minimum PRF for the default check</x:v>
      </x:c>
    </x:row>
    <x:row r="20">
      <x:c r="A20" s="11" t="str">
        <x:v>model rows available</x:v>
      </x:c>
      <x:c r="B20" s="11" t="str">
        <x:f>IF(COUNTA(Model_Data!A2:A242)=241,"OK","Missing rows")</x:f>
        <x:v>OK</x:v>
      </x:c>
      <x:c r="C20" s="11" t="str">
        <x:v>Model_Data contains 241 plotted positions</x:v>
      </x:c>
    </x:row>
    <x:row r="21">
      <x:c r="A21" s="11" t="str">
        <x:v>chart off-nadir surface link</x:v>
      </x:c>
      <x:c r="B21" s="11" t="str">
        <x:f>IF(Chart_Data!L122=Model_Data!Y122,"OK","Fix off-nadir chart link")</x:f>
        <x:v>OK</x:v>
      </x:c>
      <x:c r="C21" s="11" t="str">
        <x:v>Chart_Data off-nadir surface line must reference Model_Data h_target</x:v>
      </x:c>
    </x:row>
    <x:row r="22">
      <x:c r="A22" s="11" t="str">
        <x:v>chart nadir surface link</x:v>
      </x:c>
      <x:c r="B22" s="11" t="str">
        <x:f>IF(Chart_Data!M122=Model_Data!X122,"OK","Fix nadir chart link")</x:f>
        <x:v>OK</x:v>
      </x:c>
      <x:c r="C22" s="11" t="str">
        <x:v>Chart_Data nadir surface line must reference Model_Data h_nadir</x:v>
      </x:c>
    </x:row>
    <x:row r="23">
      <x:c r="A23" s="11" t="str">
        <x:v>chart apparent-height conversion</x:v>
      </x:c>
      <x:c r="B23" s="11" t="str">
        <x:f>IF(ABS(Chart_Data!N122+Model_Data!AI122*Inputs!C12)&lt;0.001,"OK","Fix apparent-height conversion")</x:f>
        <x:v>OK</x:v>
      </x:c>
      <x:c r="C23" s="11" t="str">
        <x:v>Chart apparent surface height must equal -n*(topo depth - flat depth)</x:v>
      </x:c>
    </x:row>
    <x:row r="25">
      <x:c r="A25" s="61" t="str">
        <x:v>Chart/graph communication checks</x:v>
      </x:c>
      <x:c r="B25" s="61"/>
      <x:c r="C25" s="61"/>
    </x:row>
    <x:row r="26">
      <x:c r="A26" s="73" t="str">
        <x:v>Baseline legends</x:v>
      </x:c>
      <x:c r="B26" s="71" t="str">
        <x:v>OK</x:v>
      </x:c>
      <x:c r="C26" s="71" t="str">
        <x:v>Reference floor and zero-depth baselines are renamed/styled as neutral references, not scenario outputs.</x:v>
      </x:c>
    </x:row>
    <x:row r="27">
      <x:c r="A27" s="73" t="str">
        <x:v>Graph explanations</x:v>
      </x:c>
      <x:c r="B27" s="71" t="str">
        <x:v>OK</x:v>
      </x:c>
      <x:c r="C27" s="71" t="str">
        <x:v>Dashboard rows 65-71 and Graph_Guide explain every chart and its source range.</x:v>
      </x:c>
    </x:row>
  </x:sheetData>
  <x:mergeCells>
    <x:mergeCell ref="A1:C1"/>
  </x:mergeCells>
  <x:conditionalFormatting sqref="B4:B23">
    <x:cfRule type="containsText" dxfId="0" priority="1" operator="containsText" text="OK"/>
    <x:cfRule type="notContainsText" dxfId="1" priority="2" text="OK"/>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5.6299991607666" hidden="0" customWidth="1"/>
    <x:col min="2" max="2" width="45" hidden="0" customWidth="1"/>
    <x:col min="3" max="3" width="35" hidden="0" customWidth="1"/>
    <x:col min="4" max="4" width="31.25" hidden="0" customWidth="1"/>
    <x:col min="5" max="5" width="22.5" hidden="0" customWidth="1"/>
    <x:col min="6" max="6" width="45" hidden="0" customWidth="1"/>
    <x:col min="7" max="7" width="22.5" hidden="0" customWidth="1"/>
  </x:cols>
  <x:sheetData>
    <x:row r="1" ht="22.5" customHeight="1">
      <x:c r="A1" s="100" t="str">
        <x:v>Graph Guide and Formula Audit</x:v>
      </x:c>
      <x:c r="B1" s="100"/>
      <x:c r="C1" s="100"/>
      <x:c r="D1" s="100"/>
      <x:c r="E1" s="100"/>
      <x:c r="F1" s="100"/>
      <x:c r="G1" s="100"/>
    </x:row>
    <x:row r="2" ht="25.5" customHeight="1">
      <x:c r="A2" s="91" t="str">
        <x:v>Grey baseline lines are references only. For the motion-only chart, flat ground means terrain height is zero; the curved blue line is the radar reading caused by the satellite's parabolic path and changing slant range, not a curved ground surface.</x:v>
      </x:c>
      <x:c r="B2" s="92"/>
      <x:c r="C2" s="92"/>
      <x:c r="D2" s="92"/>
      <x:c r="E2" s="92"/>
      <x:c r="F2" s="92"/>
      <x:c r="G2" s="93"/>
    </x:row>
    <x:row r="3" ht="31.5" customHeight="1">
      <x:c r="A3" s="94"/>
      <x:c r="B3" s="94"/>
      <x:c r="C3" s="94"/>
      <x:c r="D3" s="94"/>
      <x:c r="E3" s="94"/>
      <x:c r="F3" s="94"/>
      <x:c r="G3" s="94"/>
    </x:row>
    <x:row r="4" ht="31.5" customHeight="1">
      <x:c r="A4" s="101" t="str">
        <x:v>Graph</x:v>
      </x:c>
      <x:c r="B4" s="101" t="str">
        <x:v>What it shows</x:v>
      </x:c>
      <x:c r="C4" s="101" t="str">
        <x:v>Why it matters</x:v>
      </x:c>
      <x:c r="D4" s="101" t="str">
        <x:v>How to read the baseline</x:v>
      </x:c>
      <x:c r="E4" s="101" t="str">
        <x:v>Source range</x:v>
      </x:c>
      <x:c r="F4" s="101" t="str">
        <x:v>Formula basis</x:v>
      </x:c>
      <x:c r="G4" s="101" t="str">
        <x:v>Audit status</x:v>
      </x:c>
    </x:row>
    <x:row r="5" ht="43.5" customHeight="1">
      <x:c r="A5" s="96" t="str">
        <x:v>Apparent Depth: Motion vs Topography</x:v>
      </x:c>
      <x:c r="B5" s="97" t="str">
        <x:v>Compares the zero-depth nadir reference, a constant-altitude off-nadir reading, the parabolic flat-surface reading, and the parabolic topography-adjusted reading across x.</x:v>
      </x:c>
      <x:c r="C5" s="97" t="str">
        <x:v>Separates spacecraft motion effects from terrain effects in the radar apparent-depth output.</x:v>
      </x:c>
      <x:c r="D5" s="97" t="str">
        <x:v>The grey zero-depth line is just the nadir reference. It is not a floor/topography result.</x:v>
      </x:c>
      <x:c r="E5" s="97" t="str">
        <x:v>Chart_Data!A:E</x:v>
      </x:c>
      <x:c r="F5" s="97" t="str">
        <x:v>apparent_depth = (R_off - R_nadir)*1000/n; topo version uses h_nadir and h_target.</x:v>
      </x:c>
      <x:c r="G5" s="97" t="str">
        <x:v>Linked to Checks!B21:B23</x:v>
      </x:c>
    </x:row>
    <x:row r="6" ht="43.5" customHeight="1">
      <x:c r="A6" s="96" t="str">
        <x:v>Surface Height: Reference Floor, Target, and Nadir</x:v>
      </x:c>
      <x:c r="B6" s="97" t="str">
        <x:v>Plots modeled terrain height at the side-looking target path and directly below the spacecraft.</x:v>
      </x:c>
      <x:c r="C6" s="97" t="str">
        <x:v>Shows the terrain terms that feed the topography-adjusted range equations.</x:v>
      </x:c>
      <x:c r="D6" s="97" t="str">
        <x:v>The grey 0 m floor is a reference. Orange/green are actual terrain profiles.</x:v>
      </x:c>
      <x:c r="E6" s="97" t="str">
        <x:v>Chart_Data!G:J</x:v>
      </x:c>
      <x:c r="F6" s="97" t="str">
        <x:v>h_total(x,y) = h_project + ridge + crater + chaos + roughness + trough + seeded terrain.</x:v>
      </x:c>
      <x:c r="G6" s="97" t="str">
        <x:v>Inputs validated in Checks!B10:B16</x:v>
      </x:c>
    </x:row>
    <x:row r="7" ht="43.5" customHeight="1">
      <x:c r="A7" s="96" t="str">
        <x:v>Doppler: Flat Geometry vs Topography</x:v>
      </x:c>
      <x:c r="B7" s="97" t="str">
        <x:v>Compares VHF/HF Doppler shifts with flat geometry and with topography-adjusted geometry.</x:v>
      </x:c>
      <x:c r="C7" s="97" t="str">
        <x:v>Shows the PRF pressure caused by maximum modeled range-rate magnitude.</x:v>
      </x:c>
      <x:c r="D7" s="97" t="str">
        <x:v>Zero Hz is the sign-change reference around closest approach.</x:v>
      </x:c>
      <x:c r="E7" s="97" t="str">
        <x:v>Chart_Data!P:T</x:v>
      </x:c>
      <x:c r="F7" s="97" t="str">
        <x:v>doppler = -2*range_rate/lambda; range_rate is from adjacent slant-range samples.</x:v>
      </x:c>
      <x:c r="G7" s="97" t="str">
        <x:v>PRF check in Checks!B19</x:v>
      </x:c>
    </x:row>
    <x:row r="8" ht="43.5" customHeight="1">
      <x:c r="A8" s="96" t="str">
        <x:v>Flat Ground Reading: Constant vs Parabolic Satellite Path</x:v>
      </x:c>
      <x:c r="B8" s="97" t="str">
        <x:v>This is not a ground-height chart. It calculates the apparent radar depth/readout to flat ground while changing only the satellite path geometry.</x:v>
      </x:c>
      <x:c r="C8" s="97" t="str">
        <x:v>Shows that a flat surface can still produce a curved radar reading because the satellite altitude and off-nadir slant range change along track.</x:v>
      </x:c>
      <x:c r="D8" s="97" t="str">
        <x:v>The grey zero-depth line is only the nadir reference. The blue curve is flat ground plus parabolic satellite motion, not a parabolic ground surface.</x:v>
      </x:c>
      <x:c r="E8" s="97" t="str">
        <x:v>Chart_Data!Y:AB</x:v>
      </x:c>
      <x:c r="F8" s="97" t="str">
        <x:v>Ground height is held at h=0. The reading is (R_off - R_nadir)*1000/n; blue uses z(x)=z0+Delta_z_edge*(x/x_edge)^2.</x:v>
      </x:c>
      <x:c r="G8" s="97" t="str">
        <x:v>Core inputs validated in Checks!B4:B9</x:v>
      </x:c>
    </x:row>
    <x:row r="9" ht="43.5" customHeight="1">
      <x:c r="A9" s="96" t="str">
        <x:v>Scenario Off-Nadir Surface Height</x:v>
      </x:c>
      <x:c r="B9" s="97" t="str">
        <x:v>Plots the expected off-nadir surface height for each checked pass case on a normalized pass axis.</x:v>
      </x:c>
      <x:c r="C9" s="97" t="str">
        <x:v>Shows how the same terrain model is sampled under each scenario overlay.</x:v>
      </x:c>
      <x:c r="D9" s="97" t="str">
        <x:v>The grey reference floor is 0 m, not a selected scenario.</x:v>
      </x:c>
      <x:c r="E9" s="97" t="str">
        <x:v>Scenario_Data!AQ:AV</x:v>
      </x:c>
      <x:c r="F9" s="97" t="str">
        <x:v>Uses scenario x mapping plus h_total(x,y), gated by Inputs!F6:F9 and Inputs!C27.</x:v>
      </x:c>
      <x:c r="G9" s="97" t="str">
        <x:v>Scenario checks in Checks!B17:B18</x:v>
      </x:c>
    </x:row>
    <x:row r="10" ht="43.5" customHeight="1">
      <x:c r="A10" s="96" t="str">
        <x:v>Scenario Apparent-Depth Outcomes</x:v>
      </x:c>
      <x:c r="B10" s="97" t="str">
        <x:v>Compares apparent-depth outcomes for the checked custom and paper-derived pass cases.</x:v>
      </x:c>
      <x:c r="C10" s="97" t="str">
        <x:v>Shows why long, low-altitude passes can dominate apparent-depth scale.</x:v>
      </x:c>
      <x:c r="D10" s="97" t="str">
        <x:v>The grey zero-depth reference is not a model run.</x:v>
      </x:c>
      <x:c r="E10" s="97" t="str">
        <x:v>Scenario_Data!BE:BJ</x:v>
      </x:c>
      <x:c r="F10" s="97" t="str">
        <x:v>Scenario apparent_depth = (R_off - R_nadir)*1000/n using each scenario z(x).</x:v>
      </x:c>
      <x:c r="G10" s="97" t="str">
        <x:v>Scenario checks in Checks!B17:B18</x:v>
      </x:c>
    </x:row>
    <x:row r="11" ht="43.5" customHeight="1">
      <x:c r="A11" s="96" t="str">
        <x:v>Scenario Altitude Profiles</x:v>
      </x:c>
      <x:c r="B11" s="97" t="str">
        <x:v>Plots altitude versus normalized pass position for the checked custom and paper-derived pass cases.</x:v>
      </x:c>
      <x:c r="C11" s="97" t="str">
        <x:v>Shows the parabolic path assumptions used to convert the paper constraints into comparable runs.</x:v>
      </x:c>
      <x:c r="D11" s="97" t="str">
        <x:v>The grey surface floor is 0 km and is not a spacecraft trajectory.</x:v>
      </x:c>
      <x:c r="E11" s="97" t="str">
        <x:v>Scenario_Data!AX:BC</x:v>
      </x:c>
      <x:c r="F11" s="97" t="str">
        <x:v>z(x) = z0 + Delta_z_edge*(x/x_edge)^2.</x:v>
      </x:c>
      <x:c r="G11" s="97" t="str">
        <x:v>Scenario checks in Checks!B17:B18</x:v>
      </x:c>
    </x:row>
    <x:row r="12" ht="31.5" customHeight="1">
      <x:c r="A12" s="94"/>
      <x:c r="B12" s="94"/>
      <x:c r="C12" s="94"/>
      <x:c r="D12" s="94"/>
      <x:c r="E12" s="94"/>
      <x:c r="F12" s="94"/>
      <x:c r="G12" s="94"/>
    </x:row>
    <x:row r="13" ht="31.5" customHeight="1">
      <x:c r="A13" s="100" t="str">
        <x:v>Formula Audit Summary</x:v>
      </x:c>
      <x:c r="B13" s="100"/>
      <x:c r="C13" s="100"/>
      <x:c r="D13" s="100"/>
      <x:c r="E13" s="100"/>
      <x:c r="F13" s="100"/>
      <x:c r="G13" s="100"/>
    </x:row>
    <x:row r="14" ht="31.5" customHeight="1">
      <x:c r="A14" s="101" t="str">
        <x:v>Audit item</x:v>
      </x:c>
      <x:c r="B14" s="101" t="str">
        <x:v>Live result</x:v>
      </x:c>
      <x:c r="C14" s="101" t="str">
        <x:v>Unit</x:v>
      </x:c>
      <x:c r="D14" s="101" t="str">
        <x:v>Formula / source</x:v>
      </x:c>
      <x:c r="E14" s="101" t="str">
        <x:v>Why it matters</x:v>
      </x:c>
      <x:c r="F14" s="94"/>
      <x:c r="G14" s="94"/>
    </x:row>
    <x:row r="15" ht="40.5" customHeight="1">
      <x:c r="A15" s="96" t="str">
        <x:v>Workbook checks</x:v>
      </x:c>
      <x:c r="B15" s="98" t="str">
        <x:f>IF(COUNTIF(Checks!B4:B23,"OK")=ROWS(Checks!B4:B23),"OK","Review Checks")</x:f>
        <x:v>OK</x:v>
      </x:c>
      <x:c r="C15" s="97"/>
      <x:c r="D15" s="97" t="str">
        <x:v>=IF(COUNTIF(Checks!B4:B23,"OK")=ROWS(Checks!B4:B23),"OK","Review Checks")</x:v>
      </x:c>
      <x:c r="E15" s="97" t="str">
        <x:v>Confirms input bounds, chart helper links, and apparent-height conversion checks.</x:v>
      </x:c>
      <x:c r="F15" s="94"/>
      <x:c r="G15" s="94"/>
    </x:row>
    <x:row r="16" ht="40.5" customHeight="1">
      <x:c r="A16" s="96" t="str">
        <x:v>Flat apparent depth at mid-pass</x:v>
      </x:c>
      <x:c r="B16" s="99" t="n">
        <x:f>Dashboard!B7</x:f>
        <x:v>550.6998603390537</x:v>
      </x:c>
      <x:c r="C16" s="97" t="str">
        <x:v>m</x:v>
      </x:c>
      <x:c r="D16" s="97" t="str">
        <x:v>=Dashboard!B7</x:v>
      </x:c>
      <x:c r="E16" s="97" t="str">
        <x:v>Expected flat-surface radar apparent depth before topography is applied.</x:v>
      </x:c>
      <x:c r="F16" s="94"/>
      <x:c r="G16" s="94"/>
    </x:row>
    <x:row r="17" ht="40.5" customHeight="1">
      <x:c r="A17" s="96" t="str">
        <x:v>Topography-adjusted apparent depth at mid-pass</x:v>
      </x:c>
      <x:c r="B17" s="99" t="n">
        <x:f>Dashboard!B8</x:f>
        <x:v>278.8355336025972</x:v>
      </x:c>
      <x:c r="C17" s="97" t="str">
        <x:v>m</x:v>
      </x:c>
      <x:c r="D17" s="97" t="str">
        <x:v>=Dashboard!B8</x:v>
      </x:c>
      <x:c r="E17" s="97" t="str">
        <x:v>Same geometry after terrain height changes the nadir and target ranges.</x:v>
      </x:c>
      <x:c r="F17" s="94"/>
      <x:c r="G17" s="94"/>
    </x:row>
    <x:row r="18" ht="40.5" customHeight="1">
      <x:c r="A18" s="96" t="str">
        <x:v>Depth change from topography</x:v>
      </x:c>
      <x:c r="B18" s="99" t="n">
        <x:f>Dashboard!B9</x:f>
        <x:v>-271.86432673645646</x:v>
      </x:c>
      <x:c r="C18" s="97" t="str">
        <x:v>m</x:v>
      </x:c>
      <x:c r="D18" s="97" t="str">
        <x:v>=Dashboard!B9</x:v>
      </x:c>
      <x:c r="E18" s="97" t="str">
        <x:v>Topo apparent depth minus flat apparent depth; negative means the echo appears shallower.</x:v>
      </x:c>
      <x:c r="F18" s="94"/>
      <x:c r="G18" s="94"/>
    </x:row>
    <x:row r="19" ht="40.5" customHeight="1">
      <x:c r="A19" s="96" t="str">
        <x:v>Simple minimum PRF with topo</x:v>
      </x:c>
      <x:c r="B19" s="99" t="n">
        <x:f>Dashboard!B16</x:f>
        <x:v>1068.1204298898592</x:v>
      </x:c>
      <x:c r="C19" s="97" t="str">
        <x:v>Hz</x:v>
      </x:c>
      <x:c r="D19" s="97" t="str">
        <x:v>=Dashboard!B16</x:v>
      </x:c>
      <x:c r="E19" s="97" t="str">
        <x:v>Twice max absolute topography-adjusted VHF Doppler.</x:v>
      </x:c>
      <x:c r="F19" s="94"/>
      <x:c r="G19" s="94"/>
    </x:row>
    <x:row r="20" ht="40.5" customHeight="1">
      <x:c r="A20" s="96" t="str">
        <x:v>Chart baseline treatment</x:v>
      </x:c>
      <x:c r="B20" s="98" t="str">
        <x:v>OK</x:v>
      </x:c>
      <x:c r="C20" s="97"/>
      <x:c r="D20" s="97" t="str">
        <x:v>Baselines renamed and styled neutral grey.</x:v>
      </x:c>
      <x:c r="E20" s="97" t="str">
        <x:v>Prevents reference floors from reading like orange model output lines.</x:v>
      </x:c>
      <x:c r="F20" s="94"/>
      <x:c r="G20" s="94"/>
    </x:row>
  </x:sheetData>
  <x:mergeCells>
    <x:mergeCell ref="A1:G1"/>
    <x:mergeCell ref="A2:G2"/>
    <x:mergeCell ref="A13:G13"/>
  </x:mergeCells>
  <x:pageMargins left="0.7" right="0.7" top="0.75" bottom="0.75" header="0.3" footer="0.3"/>
</x:worksheet>
</file>