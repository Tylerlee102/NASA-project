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8.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c9a20fa236341d6" /></Relationships>
</file>

<file path=xl/workbook.xml><?xml version="1.0" encoding="utf-8"?>
<x:workbook xmlns:x="http://schemas.openxmlformats.org/spreadsheetml/2006/main">
  <x:sheets>
    <x:sheet xmlns:r="http://schemas.openxmlformats.org/officeDocument/2006/relationships" name="Dashboard" sheetId="1" r:id="R2fd4c6f6ce8b4893"/>
    <x:sheet xmlns:r="http://schemas.openxmlformats.org/officeDocument/2006/relationships" name="Inputs" sheetId="2" r:id="Rf49dd95874b1401c"/>
    <x:sheet xmlns:r="http://schemas.openxmlformats.org/officeDocument/2006/relationships" name="Model_Data" sheetId="3" r:id="Ra5cf1ed2ce804a09"/>
    <x:sheet xmlns:r="http://schemas.openxmlformats.org/officeDocument/2006/relationships" name="Chart_Data" sheetId="4" r:id="Re4b35e3bc6734fbf"/>
    <x:sheet xmlns:r="http://schemas.openxmlformats.org/officeDocument/2006/relationships" name="Scenario_Data" sheetId="5" r:id="R8dd2b7efab924628"/>
    <x:sheet xmlns:r="http://schemas.openxmlformats.org/officeDocument/2006/relationships" name="PRF_Results" sheetId="6" r:id="R39b372beb5164398"/>
    <x:sheet xmlns:r="http://schemas.openxmlformats.org/officeDocument/2006/relationships" name="Formula_Guide" sheetId="7" r:id="R1d99d2c67f694130"/>
    <x:sheet xmlns:r="http://schemas.openxmlformats.org/officeDocument/2006/relationships" name="Topography_Formulas" sheetId="8" r:id="R1f4769eb800846c5"/>
    <x:sheet xmlns:r="http://schemas.openxmlformats.org/officeDocument/2006/relationships" name="Checks" sheetId="9" r:id="R66812d267d804490"/>
    <x:sheet xmlns:r="http://schemas.openxmlformats.org/officeDocument/2006/relationships" name="Graph_Guide" sheetId="10" r:id="Rd534e22267f348c8"/>
    <x:sheet xmlns:r="http://schemas.openxmlformats.org/officeDocument/2006/relationships" name="Terrain_Baseline_Chart" sheetId="11" r:id="R0656ee136cbf4a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17">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i/>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s>
  <x:fills count="21">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0B1F3A"/>
      </x:patternFill>
    </x:fill>
    <x:fill>
      <x:patternFill patternType="solid">
        <x:fgColor rgb="FFFFF4D6"/>
      </x:patternFill>
    </x:fill>
    <x:fill>
      <x:patternFill patternType="solid">
        <x:fgColor rgb="FFD9EAF7"/>
      </x:patternFill>
    </x:fill>
  </x:fills>
  <x:borders count="17">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s>
  <x:cellStyleXfs count="1">
    <x:xf numFmtId="0" fontId="0" fillId="0" borderId="0"/>
  </x:cellStyleXfs>
  <x:cellXfs count="2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6" xfId="0" applyNumberFormat="1" applyFont="1" applyFill="1" applyBorder="1"/>
    <x:xf numFmtId="0" fontId="11" fillId="10" borderId="7" xfId="0" applyNumberFormat="1" applyFont="1" applyFill="1" applyBorder="1"/>
    <x:xf numFmtId="0" fontId="11" fillId="10" borderId="8" xfId="0" applyNumberFormat="1" applyFont="1" applyFill="1" applyBorder="1"/>
    <x:xf numFmtId="0" fontId="11" fillId="10" borderId="6" xfId="0" applyNumberFormat="1" applyFont="1" applyFill="1" applyBorder="1" applyAlignment="1">
      <x:alignment wrapText="1"/>
    </x:xf>
    <x:xf numFmtId="0" fontId="11" fillId="10" borderId="7" xfId="0" applyNumberFormat="1" applyFont="1" applyFill="1" applyBorder="1" applyAlignment="1">
      <x:alignment wrapText="1"/>
    </x:xf>
    <x:xf numFmtId="0" fontId="11" fillId="10" borderId="8" xfId="0" applyNumberFormat="1" applyFont="1" applyFill="1" applyBorder="1" applyAlignment="1">
      <x:alignment wrapText="1"/>
    </x:xf>
    <x:xf numFmtId="203" fontId="10" fillId="0" borderId="0" xfId="0" applyNumberFormat="1" applyFont="1" applyFill="1" applyBorder="1"/>
    <x:xf numFmtId="203" fontId="10" fillId="0" borderId="5" xfId="0" applyNumberFormat="1" applyFont="1" applyFill="1" applyBorder="1"/>
    <x:xf numFmtId="203" fontId="10" fillId="0" borderId="5" xfId="0" applyNumberFormat="1" applyFont="1" applyFill="1" applyBorder="1" applyAlignment="1">
      <x:alignment wrapText="1"/>
    </x:xf>
    <x:xf numFmtId="203" fontId="10" fillId="0" borderId="5" xfId="0" applyNumberFormat="1" applyFont="1" applyFill="1" applyBorder="1" applyAlignment="1">
      <x:alignment vertical="top" wrapText="1"/>
    </x:xf>
    <x:xf numFmtId="0" fontId="10" fillId="11" borderId="5" xfId="0" applyNumberFormat="1" applyFont="1" applyFill="1" applyBorder="1" applyAlignment="1">
      <x:alignment vertical="top" wrapText="1"/>
    </x:xf>
    <x:xf numFmtId="203" fontId="10" fillId="11" borderId="5"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203" fontId="9" fillId="11" borderId="5" xfId="0" applyNumberFormat="1" applyFont="1" applyFill="1" applyBorder="1" applyAlignment="1">
      <x:alignment vertical="top" wrapText="1"/>
    </x:xf>
    <x:xf numFmtId="0" fontId="12" fillId="7" borderId="0" xfId="0" applyNumberFormat="1" applyFont="1" applyFill="1" applyBorder="1" applyAlignment="1">
      <x:alignment horizontal="center" vertical="center" wrapText="1"/>
    </x:xf>
    <x:xf numFmtId="0" fontId="13" fillId="10" borderId="6" xfId="0" applyNumberFormat="1" applyFont="1" applyFill="1" applyBorder="1" applyAlignment="1">
      <x:alignment wrapText="1"/>
    </x:xf>
    <x:xf numFmtId="0" fontId="13" fillId="10" borderId="7" xfId="0" applyNumberFormat="1" applyFont="1" applyFill="1" applyBorder="1" applyAlignment="1">
      <x:alignment wrapText="1"/>
    </x:xf>
    <x:xf numFmtId="0" fontId="13" fillId="10" borderId="8" xfId="0" applyNumberFormat="1" applyFont="1" applyFill="1" applyBorder="1" applyAlignment="1">
      <x:alignment wrapText="1"/>
    </x:xf>
    <x:xf numFmtId="0" fontId="14" fillId="0" borderId="0" xfId="0" applyNumberFormat="1" applyFont="1" applyFill="1" applyBorder="1"/>
    <x:xf numFmtId="0" fontId="12" fillId="8" borderId="5" xfId="0" applyNumberFormat="1" applyFont="1" applyFill="1" applyBorder="1" applyAlignment="1">
      <x:alignment horizontal="center" vertical="center" wrapText="1"/>
    </x:xf>
    <x:xf numFmtId="0" fontId="12" fillId="9"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203" fontId="12" fillId="11" borderId="5" xfId="0" applyNumberFormat="1" applyFont="1" applyFill="1" applyBorder="1" applyAlignment="1">
      <x:alignment vertical="top" wrapText="1"/>
    </x:xf>
    <x:xf numFmtId="0" fontId="15" fillId="7" borderId="0" xfId="0" applyNumberFormat="1" applyFont="1" applyFill="1" applyBorder="1" applyAlignment="1">
      <x:alignment horizontal="center" vertical="center" wrapText="1"/>
    </x:xf>
    <x:xf numFmtId="0" fontId="16" fillId="8" borderId="5" xfId="0" applyNumberFormat="1" applyFont="1" applyFill="1" applyBorder="1" applyAlignment="1">
      <x:alignment horizontal="center"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horizontal="center" wrapText="1"/>
    </x:xf>
    <x:xf numFmtId="0" fontId="8" fillId="12" borderId="0" xfId="0" applyNumberFormat="1" applyFont="1" applyFill="1" applyBorder="1" applyAlignment="1">
      <x:alignment horizontal="center" vertical="center" wrapText="1"/>
    </x:xf>
    <x:xf numFmtId="0" fontId="0" fillId="13" borderId="0" xfId="0" applyNumberFormat="1" applyFont="1" applyFill="1" applyBorder="1"/>
    <x:xf numFmtId="0" fontId="11" fillId="13" borderId="0" xfId="0" applyNumberFormat="1" applyFont="1" applyFill="1" applyBorder="1"/>
    <x:xf numFmtId="0" fontId="11" fillId="13" borderId="9" xfId="0" applyNumberFormat="1" applyFont="1" applyFill="1" applyBorder="1"/>
    <x:xf numFmtId="0" fontId="11" fillId="13" borderId="10" xfId="0" applyNumberFormat="1" applyFont="1" applyFill="1" applyBorder="1"/>
    <x:xf numFmtId="0" fontId="11" fillId="13" borderId="11" xfId="0" applyNumberFormat="1" applyFont="1" applyFill="1" applyBorder="1"/>
    <x:xf numFmtId="0" fontId="11" fillId="13" borderId="12" xfId="0" applyNumberFormat="1" applyFont="1" applyFill="1" applyBorder="1"/>
    <x:xf numFmtId="0" fontId="11" fillId="13" xfId="0" applyNumberFormat="1" applyFont="1" applyFill="1" applyBorder="0"/>
    <x:xf numFmtId="0" fontId="11" fillId="13" borderId="13" xfId="0" applyNumberFormat="1" applyFont="1" applyFill="1" applyBorder="1"/>
    <x:xf numFmtId="0" fontId="11" fillId="13" borderId="14"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9" xfId="0" applyNumberFormat="1" applyFont="1" applyFill="1" applyBorder="1" applyAlignment="1">
      <x:alignment wrapText="1"/>
    </x:xf>
    <x:xf numFmtId="0" fontId="11" fillId="13" borderId="10" xfId="0" applyNumberFormat="1" applyFont="1" applyFill="1" applyBorder="1" applyAlignment="1">
      <x:alignment wrapText="1"/>
    </x:xf>
    <x:xf numFmtId="0" fontId="11" fillId="13" borderId="11" xfId="0" applyNumberFormat="1" applyFont="1" applyFill="1" applyBorder="1" applyAlignment="1">
      <x:alignment wrapText="1"/>
    </x:xf>
    <x:xf numFmtId="0" fontId="11" fillId="13" borderId="12" xfId="0" applyNumberFormat="1" applyFont="1" applyFill="1" applyBorder="1" applyAlignment="1">
      <x:alignment wrapText="1"/>
    </x:xf>
    <x:xf numFmtId="0" fontId="11" fillId="13" xfId="0" applyNumberFormat="1" applyFont="1" applyFill="1" applyBorder="0" applyAlignment="1">
      <x:alignment wrapText="1"/>
    </x:xf>
    <x:xf numFmtId="0" fontId="11" fillId="13" borderId="13" xfId="0" applyNumberFormat="1" applyFont="1" applyFill="1" applyBorder="1" applyAlignment="1">
      <x:alignment wrapText="1"/>
    </x:xf>
    <x:xf numFmtId="0" fontId="11" fillId="13" borderId="14" xfId="0" applyNumberFormat="1" applyFont="1" applyFill="1" applyBorder="1" applyAlignment="1">
      <x:alignment wrapText="1"/>
    </x:xf>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9" xfId="0" applyNumberFormat="1" applyFont="1" applyFill="1" applyBorder="1" applyAlignment="1">
      <x:alignment vertical="top" wrapText="1"/>
    </x:xf>
    <x:xf numFmtId="0" fontId="11" fillId="13" borderId="10" xfId="0" applyNumberFormat="1" applyFont="1" applyFill="1" applyBorder="1" applyAlignment="1">
      <x:alignment vertical="top" wrapText="1"/>
    </x:xf>
    <x:xf numFmtId="0" fontId="11" fillId="13" borderId="11" xfId="0" applyNumberFormat="1" applyFont="1" applyFill="1" applyBorder="1" applyAlignment="1">
      <x:alignment vertical="top" wrapText="1"/>
    </x:xf>
    <x:xf numFmtId="0" fontId="11" fillId="13" borderId="12" xfId="0" applyNumberFormat="1" applyFont="1" applyFill="1" applyBorder="1" applyAlignment="1">
      <x:alignment vertical="top" wrapText="1"/>
    </x:xf>
    <x:xf numFmtId="0" fontId="11" fillId="13" xfId="0" applyNumberFormat="1" applyFont="1" applyFill="1" applyBorder="0" applyAlignment="1">
      <x:alignment vertical="top" wrapText="1"/>
    </x:xf>
    <x:xf numFmtId="0" fontId="11" fillId="13" borderId="13" xfId="0" applyNumberFormat="1" applyFont="1" applyFill="1" applyBorder="1" applyAlignment="1">
      <x:alignment vertical="top" wrapText="1"/>
    </x:xf>
    <x:xf numFmtId="0" fontId="11" fillId="13" borderId="14" xfId="0" applyNumberFormat="1" applyFont="1" applyFill="1" applyBorder="1" applyAlignment="1">
      <x:alignment vertical="top" wrapText="1"/>
    </x:xf>
    <x:xf numFmtId="0" fontId="11" fillId="13" borderId="15" xfId="0" applyNumberFormat="1" applyFont="1" applyFill="1" applyBorder="1" applyAlignment="1">
      <x:alignment vertical="top" wrapText="1"/>
    </x:xf>
    <x:xf numFmtId="0" fontId="11" fillId="13" borderId="16"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5" xfId="0" applyNumberFormat="1" applyFont="1" applyFill="1" applyBorder="1"/>
    <x:xf numFmtId="0" fontId="9" fillId="14" borderId="5" xfId="0" applyNumberFormat="1" applyFont="1" applyFill="1" applyBorder="1" applyAlignment="1">
      <x:alignment wrapText="1"/>
    </x:xf>
    <x:xf numFmtId="0" fontId="9" fillId="14" borderId="5" xfId="0" applyNumberFormat="1" applyFont="1" applyFill="1" applyBorder="1" applyAlignment="1">
      <x:alignment horizontal="center" wrapText="1"/>
    </x:xf>
    <x:xf numFmtId="0" fontId="9" fillId="14" borderId="5" xfId="0" applyNumberFormat="1" applyFont="1" applyFill="1" applyBorder="1" applyAlignment="1">
      <x:alignment horizontal="center" vertical="center" wrapText="1"/>
    </x:xf>
    <x:xf numFmtId="0" fontId="10" fillId="14" borderId="5"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8" fillId="15" borderId="0" xfId="0" applyNumberFormat="1" applyFont="1" applyFill="1" applyBorder="1" applyAlignment="1">
      <x:alignment horizontal="center" wrapText="1"/>
    </x:xf>
    <x:xf numFmtId="0" fontId="8" fillId="15" borderId="0" xfId="0" applyNumberFormat="1" applyFont="1" applyFill="1" applyBorder="1" applyAlignment="1">
      <x:alignment horizontal="center" vertical="center" wrapText="1"/>
    </x:xf>
    <x:xf numFmtId="0" fontId="0" fillId="16" borderId="0" xfId="0" applyNumberFormat="1" applyFont="1" applyFill="1" applyBorder="1"/>
    <x:xf numFmtId="0" fontId="11" fillId="16" borderId="0" xfId="0" applyNumberFormat="1" applyFont="1" applyFill="1" applyBorder="1"/>
    <x:xf numFmtId="0" fontId="11" fillId="16" borderId="9" xfId="0" applyNumberFormat="1" applyFont="1" applyFill="1" applyBorder="1"/>
    <x:xf numFmtId="0" fontId="11" fillId="16" borderId="10" xfId="0" applyNumberFormat="1" applyFont="1" applyFill="1" applyBorder="1"/>
    <x:xf numFmtId="0" fontId="11" fillId="16" borderId="11" xfId="0" applyNumberFormat="1" applyFont="1" applyFill="1" applyBorder="1"/>
    <x:xf numFmtId="0" fontId="11" fillId="16" borderId="12" xfId="0" applyNumberFormat="1" applyFont="1" applyFill="1" applyBorder="1"/>
    <x:xf numFmtId="0" fontId="11" fillId="16" xfId="0" applyNumberFormat="1" applyFont="1" applyFill="1" applyBorder="0"/>
    <x:xf numFmtId="0" fontId="11" fillId="16" borderId="13" xfId="0" applyNumberFormat="1" applyFont="1" applyFill="1" applyBorder="1"/>
    <x:xf numFmtId="0" fontId="11" fillId="16" borderId="14" xfId="0" applyNumberFormat="1" applyFont="1" applyFill="1" applyBorder="1"/>
    <x:xf numFmtId="0" fontId="11" fillId="16" borderId="15" xfId="0" applyNumberFormat="1" applyFont="1" applyFill="1" applyBorder="1"/>
    <x:xf numFmtId="0" fontId="11" fillId="16" borderId="16" xfId="0" applyNumberFormat="1" applyFont="1" applyFill="1" applyBorder="1"/>
    <x:xf numFmtId="0" fontId="11" fillId="16" borderId="9" xfId="0" applyNumberFormat="1" applyFont="1" applyFill="1" applyBorder="1" applyAlignment="1">
      <x:alignment wrapText="1"/>
    </x:xf>
    <x:xf numFmtId="0" fontId="11" fillId="16" borderId="10" xfId="0" applyNumberFormat="1" applyFont="1" applyFill="1" applyBorder="1" applyAlignment="1">
      <x:alignment wrapText="1"/>
    </x:xf>
    <x:xf numFmtId="0" fontId="11" fillId="16" borderId="11" xfId="0" applyNumberFormat="1" applyFont="1" applyFill="1" applyBorder="1" applyAlignment="1">
      <x:alignment wrapText="1"/>
    </x:xf>
    <x:xf numFmtId="0" fontId="11" fillId="16" borderId="12" xfId="0" applyNumberFormat="1" applyFont="1" applyFill="1" applyBorder="1" applyAlignment="1">
      <x:alignment wrapText="1"/>
    </x:xf>
    <x:xf numFmtId="0" fontId="11" fillId="16" xfId="0" applyNumberFormat="1" applyFont="1" applyFill="1" applyBorder="0" applyAlignment="1">
      <x:alignment wrapText="1"/>
    </x:xf>
    <x:xf numFmtId="0" fontId="11" fillId="16" borderId="13" xfId="0" applyNumberFormat="1" applyFont="1" applyFill="1" applyBorder="1" applyAlignment="1">
      <x:alignment wrapText="1"/>
    </x:xf>
    <x:xf numFmtId="0" fontId="11" fillId="16" borderId="14" xfId="0" applyNumberFormat="1" applyFont="1" applyFill="1" applyBorder="1" applyAlignment="1">
      <x:alignment wrapText="1"/>
    </x:xf>
    <x:xf numFmtId="0" fontId="11" fillId="16" borderId="15" xfId="0" applyNumberFormat="1" applyFont="1" applyFill="1" applyBorder="1" applyAlignment="1">
      <x:alignment wrapText="1"/>
    </x:xf>
    <x:xf numFmtId="0" fontId="11" fillId="16" borderId="16" xfId="0" applyNumberFormat="1" applyFont="1" applyFill="1" applyBorder="1" applyAlignment="1">
      <x:alignment wrapText="1"/>
    </x:xf>
    <x:xf numFmtId="0" fontId="11" fillId="16" borderId="9" xfId="0" applyNumberFormat="1" applyFont="1" applyFill="1" applyBorder="1" applyAlignment="1">
      <x:alignment vertical="top" wrapText="1"/>
    </x:xf>
    <x:xf numFmtId="0" fontId="11" fillId="16" borderId="10" xfId="0" applyNumberFormat="1" applyFont="1" applyFill="1" applyBorder="1" applyAlignment="1">
      <x:alignment vertical="top" wrapText="1"/>
    </x:xf>
    <x:xf numFmtId="0" fontId="11" fillId="16" borderId="11" xfId="0" applyNumberFormat="1" applyFont="1" applyFill="1" applyBorder="1" applyAlignment="1">
      <x:alignment vertical="top" wrapText="1"/>
    </x:xf>
    <x:xf numFmtId="0" fontId="11" fillId="16" borderId="12" xfId="0" applyNumberFormat="1" applyFont="1" applyFill="1" applyBorder="1" applyAlignment="1">
      <x:alignment vertical="top" wrapText="1"/>
    </x:xf>
    <x:xf numFmtId="0" fontId="11" fillId="16" xfId="0" applyNumberFormat="1" applyFont="1" applyFill="1" applyBorder="0" applyAlignment="1">
      <x:alignment vertical="top" wrapText="1"/>
    </x:xf>
    <x:xf numFmtId="0" fontId="11" fillId="16" borderId="13" xfId="0" applyNumberFormat="1" applyFont="1" applyFill="1" applyBorder="1" applyAlignment="1">
      <x:alignment vertical="top" wrapText="1"/>
    </x:xf>
    <x:xf numFmtId="0" fontId="11" fillId="16" borderId="14" xfId="0" applyNumberFormat="1" applyFont="1" applyFill="1" applyBorder="1" applyAlignment="1">
      <x:alignment vertical="top" wrapText="1"/>
    </x:xf>
    <x:xf numFmtId="0" fontId="11" fillId="16" borderId="15" xfId="0" applyNumberFormat="1" applyFont="1" applyFill="1" applyBorder="1" applyAlignment="1">
      <x:alignment vertical="top" wrapText="1"/>
    </x:xf>
    <x:xf numFmtId="0" fontId="11" fillId="16" borderId="16"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5" xfId="0" applyNumberFormat="1" applyFont="1" applyFill="1" applyBorder="1"/>
    <x:xf numFmtId="0" fontId="9" fillId="17" borderId="5" xfId="0" applyNumberFormat="1" applyFont="1" applyFill="1" applyBorder="1" applyAlignment="1">
      <x:alignment wrapText="1"/>
    </x:xf>
    <x:xf numFmtId="0" fontId="9" fillId="17" borderId="5" xfId="0" applyNumberFormat="1" applyFont="1" applyFill="1" applyBorder="1" applyAlignment="1">
      <x:alignment horizontal="center" wrapText="1"/>
    </x:xf>
    <x:xf numFmtId="0" fontId="9" fillId="17" borderId="5" xfId="0" applyNumberFormat="1" applyFont="1" applyFill="1" applyBorder="1" applyAlignment="1">
      <x:alignment horizontal="center" vertical="center" wrapText="1"/>
    </x:xf>
    <x:xf numFmtId="0" fontId="10" fillId="17" borderId="5"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8" fillId="18" borderId="0" xfId="0" applyNumberFormat="1" applyFont="1" applyFill="1" applyBorder="1" applyAlignment="1">
      <x:alignment wrapText="1"/>
    </x:xf>
    <x:xf numFmtId="0" fontId="8" fillId="18" borderId="0" xfId="0" applyNumberFormat="1" applyFont="1" applyFill="1" applyBorder="1" applyAlignment="1">
      <x:alignment horizontal="center" wrapText="1"/>
    </x:xf>
    <x:xf numFmtId="0" fontId="8" fillId="18" borderId="0" xfId="0" applyNumberFormat="1" applyFont="1" applyFill="1" applyBorder="1" applyAlignment="1">
      <x:alignment horizontal="center" vertical="center" wrapText="1"/>
    </x:xf>
    <x:xf numFmtId="0" fontId="0" fillId="19" borderId="0" xfId="0" applyNumberFormat="1" applyFont="1" applyFill="1" applyBorder="1"/>
    <x:xf numFmtId="0" fontId="11" fillId="19" borderId="0" xfId="0" applyNumberFormat="1" applyFont="1" applyFill="1" applyBorder="1"/>
    <x:xf numFmtId="0" fontId="11" fillId="19" borderId="9" xfId="0" applyNumberFormat="1" applyFont="1" applyFill="1" applyBorder="1"/>
    <x:xf numFmtId="0" fontId="11" fillId="19" borderId="10" xfId="0" applyNumberFormat="1" applyFont="1" applyFill="1" applyBorder="1"/>
    <x:xf numFmtId="0" fontId="11" fillId="19" borderId="11" xfId="0" applyNumberFormat="1" applyFont="1" applyFill="1" applyBorder="1"/>
    <x:xf numFmtId="0" fontId="11" fillId="19" borderId="12" xfId="0" applyNumberFormat="1" applyFont="1" applyFill="1" applyBorder="1"/>
    <x:xf numFmtId="0" fontId="11" fillId="19" xfId="0" applyNumberFormat="1" applyFont="1" applyFill="1" applyBorder="0"/>
    <x:xf numFmtId="0" fontId="11" fillId="19" borderId="13" xfId="0" applyNumberFormat="1" applyFont="1" applyFill="1" applyBorder="1"/>
    <x:xf numFmtId="0" fontId="11" fillId="19" borderId="14" xfId="0" applyNumberFormat="1" applyFont="1" applyFill="1" applyBorder="1"/>
    <x:xf numFmtId="0" fontId="11" fillId="19" borderId="15" xfId="0" applyNumberFormat="1" applyFont="1" applyFill="1" applyBorder="1"/>
    <x:xf numFmtId="0" fontId="11" fillId="19" borderId="16" xfId="0" applyNumberFormat="1" applyFont="1" applyFill="1" applyBorder="1"/>
    <x:xf numFmtId="0" fontId="11" fillId="19" borderId="9" xfId="0" applyNumberFormat="1" applyFont="1" applyFill="1" applyBorder="1" applyAlignment="1">
      <x:alignment wrapText="1"/>
    </x:xf>
    <x:xf numFmtId="0" fontId="11" fillId="19" borderId="10" xfId="0" applyNumberFormat="1" applyFont="1" applyFill="1" applyBorder="1" applyAlignment="1">
      <x:alignment wrapText="1"/>
    </x:xf>
    <x:xf numFmtId="0" fontId="11" fillId="19" borderId="11" xfId="0" applyNumberFormat="1" applyFont="1" applyFill="1" applyBorder="1" applyAlignment="1">
      <x:alignment wrapText="1"/>
    </x:xf>
    <x:xf numFmtId="0" fontId="11" fillId="19" borderId="12" xfId="0" applyNumberFormat="1" applyFont="1" applyFill="1" applyBorder="1" applyAlignment="1">
      <x:alignment wrapText="1"/>
    </x:xf>
    <x:xf numFmtId="0" fontId="11" fillId="19" xfId="0" applyNumberFormat="1" applyFont="1" applyFill="1" applyBorder="0" applyAlignment="1">
      <x:alignment wrapText="1"/>
    </x:xf>
    <x:xf numFmtId="0" fontId="11" fillId="19" borderId="13" xfId="0" applyNumberFormat="1" applyFont="1" applyFill="1" applyBorder="1" applyAlignment="1">
      <x:alignment wrapText="1"/>
    </x:xf>
    <x:xf numFmtId="0" fontId="11" fillId="19" borderId="14" xfId="0" applyNumberFormat="1" applyFont="1" applyFill="1" applyBorder="1" applyAlignment="1">
      <x:alignment wrapText="1"/>
    </x:xf>
    <x:xf numFmtId="0" fontId="11" fillId="19" borderId="15" xfId="0" applyNumberFormat="1" applyFont="1" applyFill="1" applyBorder="1" applyAlignment="1">
      <x:alignment wrapText="1"/>
    </x:xf>
    <x:xf numFmtId="0" fontId="11" fillId="19" borderId="16" xfId="0" applyNumberFormat="1" applyFont="1" applyFill="1" applyBorder="1" applyAlignment="1">
      <x:alignment wrapText="1"/>
    </x:xf>
    <x:xf numFmtId="0" fontId="11" fillId="19" borderId="9" xfId="0" applyNumberFormat="1" applyFont="1" applyFill="1" applyBorder="1" applyAlignment="1">
      <x:alignment vertical="top" wrapText="1"/>
    </x:xf>
    <x:xf numFmtId="0" fontId="11" fillId="19" borderId="10" xfId="0" applyNumberFormat="1" applyFont="1" applyFill="1" applyBorder="1" applyAlignment="1">
      <x:alignment vertical="top" wrapText="1"/>
    </x:xf>
    <x:xf numFmtId="0" fontId="11" fillId="19" borderId="11" xfId="0" applyNumberFormat="1" applyFont="1" applyFill="1" applyBorder="1" applyAlignment="1">
      <x:alignment vertical="top" wrapText="1"/>
    </x:xf>
    <x:xf numFmtId="0" fontId="11" fillId="19" borderId="12" xfId="0" applyNumberFormat="1" applyFont="1" applyFill="1" applyBorder="1" applyAlignment="1">
      <x:alignment vertical="top" wrapText="1"/>
    </x:xf>
    <x:xf numFmtId="0" fontId="11" fillId="19" xfId="0" applyNumberFormat="1" applyFont="1" applyFill="1" applyBorder="0" applyAlignment="1">
      <x:alignment vertical="top" wrapText="1"/>
    </x:xf>
    <x:xf numFmtId="0" fontId="11" fillId="19" borderId="13" xfId="0" applyNumberFormat="1" applyFont="1" applyFill="1" applyBorder="1" applyAlignment="1">
      <x:alignment vertical="top" wrapText="1"/>
    </x:xf>
    <x:xf numFmtId="0" fontId="11" fillId="19" borderId="14" xfId="0" applyNumberFormat="1" applyFont="1" applyFill="1" applyBorder="1" applyAlignment="1">
      <x:alignment vertical="top" wrapText="1"/>
    </x:xf>
    <x:xf numFmtId="0" fontId="11" fillId="19" borderId="15" xfId="0" applyNumberFormat="1" applyFont="1" applyFill="1" applyBorder="1" applyAlignment="1">
      <x:alignment vertical="top" wrapText="1"/>
    </x:xf>
    <x:xf numFmtId="0" fontId="11" fillId="19" borderId="16" xfId="0" applyNumberFormat="1" applyFont="1" applyFill="1" applyBorder="1" applyAlignment="1">
      <x:alignment vertical="top" wrapText="1"/>
    </x:xf>
    <x:xf numFmtId="0" fontId="0" fillId="20" borderId="0" xfId="0" applyNumberFormat="1" applyFont="1" applyFill="1" applyBorder="1"/>
    <x:xf numFmtId="0" fontId="9" fillId="20" borderId="0" xfId="0" applyNumberFormat="1" applyFont="1" applyFill="1" applyBorder="1"/>
    <x:xf numFmtId="0" fontId="9" fillId="20" borderId="5" xfId="0" applyNumberFormat="1" applyFont="1" applyFill="1" applyBorder="1"/>
    <x:xf numFmtId="0" fontId="9" fillId="20" borderId="5" xfId="0" applyNumberFormat="1" applyFont="1" applyFill="1" applyBorder="1" applyAlignment="1">
      <x:alignment wrapText="1"/>
    </x:xf>
    <x:xf numFmtId="0" fontId="9" fillId="20" borderId="5" xfId="0" applyNumberFormat="1" applyFont="1" applyFill="1" applyBorder="1" applyAlignment="1">
      <x:alignment horizontal="center" wrapText="1"/>
    </x:xf>
    <x:xf numFmtId="0" fontId="9" fillId="20" borderId="5" xfId="0" applyNumberFormat="1" applyFont="1" applyFill="1" applyBorder="1" applyAlignment="1">
      <x:alignment horizontal="center" vertical="center" wrapText="1"/>
    </x:xf>
    <x:xf numFmtId="0" fontId="10" fillId="20" borderId="5" xfId="0" applyNumberFormat="1" applyFont="1" applyFill="1" applyBorder="1" applyAlignment="1">
      <x:alignment vertical="top" wrapText="1"/>
    </x:xf>
    <x:xf numFmtId="0" fontId="9" fillId="20" borderId="5" xfId="0" applyNumberFormat="1" applyFont="1" applyFill="1" applyBorder="1" applyAlignment="1">
      <x:alignment vertical="top" wrapText="1"/>
    </x:xf>
  </x:cellXfs>
  <x:cellStyles count="1">
    <x:cellStyle name="Normal" xfId="0"/>
  </x:cellStyles>
  <x:dxfs count="2">
    <x:dxf>
      <x:font>
        <x:b/>
        <x:color rgb="FF0B2545"/>
      </x:font>
      <x:fill>
        <x:patternFill>
          <x:bgColor rgb="FFDFF4E6"/>
        </x:patternFill>
      </x:fill>
    </x:dxf>
    <x:dxf>
      <x:font>
        <x:b/>
        <x:color rgb="FF0B2545"/>
      </x:font>
      <x:fill>
        <x:patternFill>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fe126d036a4dcf" /><Relationship Type="http://schemas.openxmlformats.org/officeDocument/2006/relationships/theme" Target="/xl/theme/theme1.xml" Id="R7a4c5fe02ba84296" /><Relationship Type="http://schemas.openxmlformats.org/officeDocument/2006/relationships/sharedStrings" Target="/xl/sharedStrings.xml" Id="R84c153633458422b" /><Relationship Type="http://schemas.openxmlformats.org/officeDocument/2006/relationships/worksheet" Target="/xl/worksheets/sheet1.xml" Id="R2fd4c6f6ce8b4893" /><Relationship Type="http://schemas.openxmlformats.org/officeDocument/2006/relationships/worksheet" Target="/xl/worksheets/sheet2.xml" Id="Rf49dd95874b1401c" /><Relationship Type="http://schemas.openxmlformats.org/officeDocument/2006/relationships/worksheet" Target="/xl/worksheets/sheet3.xml" Id="Ra5cf1ed2ce804a09" /><Relationship Type="http://schemas.openxmlformats.org/officeDocument/2006/relationships/worksheet" Target="/xl/worksheets/sheet4.xml" Id="Re4b35e3bc6734fbf" /><Relationship Type="http://schemas.openxmlformats.org/officeDocument/2006/relationships/worksheet" Target="/xl/worksheets/sheet5.xml" Id="R8dd2b7efab924628" /><Relationship Type="http://schemas.openxmlformats.org/officeDocument/2006/relationships/worksheet" Target="/xl/worksheets/sheet6.xml" Id="R39b372beb5164398" /><Relationship Type="http://schemas.openxmlformats.org/officeDocument/2006/relationships/worksheet" Target="/xl/worksheets/sheet7.xml" Id="R1d99d2c67f694130" /><Relationship Type="http://schemas.openxmlformats.org/officeDocument/2006/relationships/worksheet" Target="/xl/worksheets/sheet8.xml" Id="R1f4769eb800846c5" /><Relationship Type="http://schemas.openxmlformats.org/officeDocument/2006/relationships/worksheet" Target="/xl/worksheets/sheet9.xml" Id="R66812d267d804490" /><Relationship Type="http://schemas.openxmlformats.org/officeDocument/2006/relationships/worksheet" Target="/xl/worksheets/sheet10.xml" Id="Rd534e22267f348c8" /><Relationship Type="http://schemas.openxmlformats.org/officeDocument/2006/relationships/worksheet" Target="/xl/worksheets/sheet11.xml" Id="R0656ee136cbf4a6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57eda3a1b6148a0" /><Relationship Type="http://schemas.openxmlformats.org/officeDocument/2006/relationships/chart" Target="/xl/drawings/charts/chart2.xml" Id="R303bb81e05f343e3" /><Relationship Type="http://schemas.openxmlformats.org/officeDocument/2006/relationships/chart" Target="/xl/drawings/charts/chart3.xml" Id="R0c1d3d1c9f614201" /><Relationship Type="http://schemas.openxmlformats.org/officeDocument/2006/relationships/chart" Target="/xl/drawings/charts/chart4.xml" Id="R65dac95c9ed74921" /><Relationship Type="http://schemas.openxmlformats.org/officeDocument/2006/relationships/chart" Target="/xl/drawings/charts/chart5.xml" Id="R6ee0664c0a24401e" /><Relationship Type="http://schemas.openxmlformats.org/officeDocument/2006/relationships/chart" Target="/xl/drawings/charts/chart6.xml" Id="Ra4883089614e4565" /><Relationship Type="http://schemas.openxmlformats.org/officeDocument/2006/relationships/chart" Target="/xl/drawings/charts/chart7.xml" Id="Rafa26c03875f4323" /></Relationships>
</file>

<file path=xl/drawings/_rels/drawing2.xml.rels>&#65279;<?xml version="1.0" encoding="utf-8"?><Relationships xmlns="http://schemas.openxmlformats.org/package/2006/relationships"><Relationship Type="http://schemas.openxmlformats.org/officeDocument/2006/relationships/chart" Target="/xl/drawings/charts/chart8.xml" Id="R29295fff1a30453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Apparent Depth: Motion vs Topography</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c:v>
          </c:tx>
          <c:spPr>
            <a:ln xmlns:a="http://schemas.openxmlformats.org/drawingml/2006/main" w="15240">
              <a:solidFill>
                <a:srgbClr val="8A8F98"/>
              </a:solidFill>
              <a:prstDash val="dash"/>
            </a:ln>
          </c:spPr>
          <c:marker>
            <c:symbol val="none"/>
          </c:marker>
          <c:cat>
            <c:strRef>
              <c:f>'Chart_Data'!$A$2:$A$242</c:f>
              <c:strCache>
                <c:ptCount val="0"/>
              </c:strCache>
            </c:strRef>
          </c:cat>
          <c:val>
            <c:numRef>
              <c:f>'Chart_Data'!$B$2:$B$242</c:f>
              <c:numCache>
                <c:formatCode>0.000</c:formatCode>
                <c:ptCount val="0"/>
              </c:numCache>
            </c:numRef>
          </c:val>
          <c:smooth val="0"/>
        </c:ser>
        <c:ser>
          <c:idx val="1"/>
          <c:order val="1"/>
          <c:tx>
            <c:v>Constant-altitude off-nadir (m)</c:v>
          </c:tx>
          <c:spPr>
            <a:ln xmlns:a="http://schemas.openxmlformats.org/drawingml/2006/main" w="19050">
              <a:solidFill>
                <a:srgbClr val="F97316"/>
              </a:solidFill>
            </a:ln>
          </c:spPr>
          <c:marker>
            <c:symbol val="none"/>
          </c:marker>
          <c:cat>
            <c:strRef>
              <c:f>'Chart_Data'!$A$2:$A$242</c:f>
              <c:strCache>
                <c:ptCount val="0"/>
              </c:strCache>
            </c:strRef>
          </c:cat>
          <c:val>
            <c:numRef>
              <c:f>'Chart_Data'!$C$2:$C$242</c:f>
              <c:numCache>
                <c:formatCode>0.000</c:formatCode>
                <c:ptCount val="0"/>
              </c:numCache>
            </c:numRef>
          </c:val>
          <c:smooth val="0"/>
        </c:ser>
        <c:ser>
          <c:idx val="2"/>
          <c:order val="2"/>
          <c:tx>
            <c:v>Parabolic flat-surface (m)</c:v>
          </c:tx>
          <c:spPr>
            <a:ln xmlns:a="http://schemas.openxmlformats.org/drawingml/2006/main" w="19050">
              <a:solidFill>
                <a:srgbClr val="2563EB"/>
              </a:solidFill>
            </a:ln>
          </c:spPr>
          <c:marker>
            <c:symbol val="none"/>
          </c:marker>
          <c:cat>
            <c:strRef>
              <c:f>'Chart_Data'!$A$2:$A$242</c:f>
              <c:strCache>
                <c:ptCount val="0"/>
              </c:strCache>
            </c:strRef>
          </c:cat>
          <c:val>
            <c:numRef>
              <c:f>'Chart_Data'!$D$2:$D$242</c:f>
              <c:numCache>
                <c:formatCode>0.000</c:formatCode>
                <c:ptCount val="0"/>
              </c:numCache>
            </c:numRef>
          </c:val>
          <c:smooth val="0"/>
        </c:ser>
        <c:ser>
          <c:idx val="3"/>
          <c:order val="3"/>
          <c:tx>
            <c:v>Parabolic + topography (m)</c:v>
          </c:tx>
          <c:spPr>
            <a:ln xmlns:a="http://schemas.openxmlformats.org/drawingml/2006/main" w="19050">
              <a:solidFill>
                <a:srgbClr val="16A34A"/>
              </a:solidFill>
            </a:ln>
          </c:spPr>
          <c:marker>
            <c:symbol val="none"/>
          </c:marker>
          <c:cat>
            <c:strRef>
              <c:f>'Chart_Data'!$A$2:$A$242</c:f>
              <c:strCache>
                <c:ptCount val="0"/>
              </c:strCache>
            </c:strRef>
          </c:cat>
          <c:val>
            <c:numRef>
              <c:f>'Chart_Data'!$E$2:$E$242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depth / radar reading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Surface Height: Reference Floor, Target, and Nadir</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m, not a run)</c:v>
          </c:tx>
          <c:spPr>
            <a:ln xmlns:a="http://schemas.openxmlformats.org/drawingml/2006/main" w="15240">
              <a:solidFill>
                <a:srgbClr val="8A8F98"/>
              </a:solidFill>
              <a:prstDash val="dash"/>
            </a:ln>
          </c:spPr>
          <c:marker>
            <c:symbol val="none"/>
          </c:marker>
          <c:cat>
            <c:strRef>
              <c:f>'Chart_Data'!$G$2:$G$242</c:f>
              <c:strCache>
                <c:ptCount val="0"/>
              </c:strCache>
            </c:strRef>
          </c:cat>
          <c:val>
            <c:numRef>
              <c:f>'Chart_Data'!$H$2:$H$242</c:f>
              <c:numCache>
                <c:formatCode>0.000</c:formatCode>
                <c:ptCount val="0"/>
              </c:numCache>
            </c:numRef>
          </c:val>
          <c:smooth val="0"/>
        </c:ser>
        <c:ser>
          <c:idx val="1"/>
          <c:order val="1"/>
          <c:tx>
            <c:v>Off-nadir target terrain (m)</c:v>
          </c:tx>
          <c:spPr>
            <a:ln xmlns:a="http://schemas.openxmlformats.org/drawingml/2006/main" w="19050">
              <a:solidFill>
                <a:srgbClr val="F97316"/>
              </a:solidFill>
            </a:ln>
          </c:spPr>
          <c:marker>
            <c:symbol val="none"/>
          </c:marker>
          <c:cat>
            <c:strRef>
              <c:f>'Chart_Data'!$G$2:$G$242</c:f>
              <c:strCache>
                <c:ptCount val="0"/>
              </c:strCache>
            </c:strRef>
          </c:cat>
          <c:val>
            <c:numRef>
              <c:f>'Chart_Data'!$I$2:$I$242</c:f>
              <c:numCache>
                <c:formatCode>0.000</c:formatCode>
                <c:ptCount val="0"/>
              </c:numCache>
            </c:numRef>
          </c:val>
          <c:smooth val="0"/>
        </c:ser>
        <c:ser>
          <c:idx val="2"/>
          <c:order val="2"/>
          <c:tx>
            <c:v>Nadir terrain (m)</c:v>
          </c:tx>
          <c:spPr>
            <a:ln xmlns:a="http://schemas.openxmlformats.org/drawingml/2006/main" w="19050">
              <a:solidFill>
                <a:srgbClr val="16A34A"/>
              </a:solidFill>
            </a:ln>
          </c:spPr>
          <c:marker>
            <c:symbol val="none"/>
          </c:marker>
          <c:cat>
            <c:strRef>
              <c:f>'Chart_Data'!$G$2:$G$242</c:f>
              <c:strCache>
                <c:ptCount val="0"/>
              </c:strCache>
            </c:strRef>
          </c:cat>
          <c:val>
            <c:numRef>
              <c:f>'Chart_Data'!$J$2:$J$242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Surface height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Doppler: Flat Geometry vs Topography</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Flat VHF Doppler (Hz)</c:v>
          </c:tx>
          <c:spPr>
            <a:ln xmlns:a="http://schemas.openxmlformats.org/drawingml/2006/main" w="19050">
              <a:solidFill>
                <a:srgbClr val="2563EB"/>
              </a:solidFill>
            </a:ln>
          </c:spPr>
          <c:marker>
            <c:symbol val="none"/>
          </c:marker>
          <c:cat>
            <c:strRef>
              <c:f>'Chart_Data'!$P$2:$P$242</c:f>
              <c:strCache>
                <c:ptCount val="0"/>
              </c:strCache>
            </c:strRef>
          </c:cat>
          <c:val>
            <c:numRef>
              <c:f>'Chart_Data'!$Q$2:$Q$242</c:f>
              <c:numCache>
                <c:formatCode>0.000</c:formatCode>
                <c:ptCount val="0"/>
              </c:numCache>
            </c:numRef>
          </c:val>
          <c:smooth val="0"/>
        </c:ser>
        <c:ser>
          <c:idx val="1"/>
          <c:order val="1"/>
          <c:tx>
            <c:v>Topo VHF Doppler (Hz)</c:v>
          </c:tx>
          <c:spPr>
            <a:ln xmlns:a="http://schemas.openxmlformats.org/drawingml/2006/main" w="19050">
              <a:solidFill>
                <a:srgbClr val="F97316"/>
              </a:solidFill>
            </a:ln>
          </c:spPr>
          <c:marker>
            <c:symbol val="none"/>
          </c:marker>
          <c:cat>
            <c:strRef>
              <c:f>'Chart_Data'!$P$2:$P$242</c:f>
              <c:strCache>
                <c:ptCount val="0"/>
              </c:strCache>
            </c:strRef>
          </c:cat>
          <c:val>
            <c:numRef>
              <c:f>'Chart_Data'!$R$2:$R$242</c:f>
              <c:numCache>
                <c:formatCode>0.000</c:formatCode>
                <c:ptCount val="0"/>
              </c:numCache>
            </c:numRef>
          </c:val>
          <c:smooth val="0"/>
        </c:ser>
        <c:ser>
          <c:idx val="2"/>
          <c:order val="2"/>
          <c:tx>
            <c:v>Flat HF Doppler (Hz)</c:v>
          </c:tx>
          <c:spPr>
            <a:ln xmlns:a="http://schemas.openxmlformats.org/drawingml/2006/main" w="19050">
              <a:solidFill>
                <a:srgbClr val="16A34A"/>
              </a:solidFill>
            </a:ln>
          </c:spPr>
          <c:marker>
            <c:symbol val="none"/>
          </c:marker>
          <c:cat>
            <c:strRef>
              <c:f>'Chart_Data'!$P$2:$P$242</c:f>
              <c:strCache>
                <c:ptCount val="0"/>
              </c:strCache>
            </c:strRef>
          </c:cat>
          <c:val>
            <c:numRef>
              <c:f>'Chart_Data'!$S$2:$S$242</c:f>
              <c:numCache>
                <c:formatCode>0.000</c:formatCode>
                <c:ptCount val="0"/>
              </c:numCache>
            </c:numRef>
          </c:val>
          <c:smooth val="0"/>
        </c:ser>
        <c:ser>
          <c:idx val="3"/>
          <c:order val="3"/>
          <c:tx>
            <c:v>Topo HF Doppler (Hz)</c:v>
          </c:tx>
          <c:spPr>
            <a:ln xmlns:a="http://schemas.openxmlformats.org/drawingml/2006/main" w="19050">
              <a:solidFill>
                <a:srgbClr val="0EA5E9"/>
              </a:solidFill>
            </a:ln>
          </c:spPr>
          <c:marker>
            <c:symbol val="none"/>
          </c:marker>
          <c:cat>
            <c:strRef>
              <c:f>'Chart_Data'!$P$2:$P$242</c:f>
              <c:strCache>
                <c:ptCount val="0"/>
              </c:strCache>
            </c:strRef>
          </c:cat>
          <c:val>
            <c:numRef>
              <c:f>'Chart_Data'!$T$2:$T$242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Doppler shift (Hz)</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Altitude Profiles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km, not a run)</c:v>
          </c:tx>
          <c:spPr>
            <a:ln xmlns:a="http://schemas.openxmlformats.org/drawingml/2006/main" w="15240">
              <a:solidFill>
                <a:srgbClr val="8A8F98"/>
              </a:solidFill>
              <a:prstDash val="dash"/>
            </a:ln>
          </c:spPr>
          <c:marker>
            <c:symbol val="none"/>
          </c:marker>
          <c:cat>
            <c:strRef>
              <c:f>'Scenario_Data'!$AX$2:$AX$242</c:f>
              <c:strCache>
                <c:ptCount val="0"/>
              </c:strCache>
            </c:strRef>
          </c:cat>
          <c:val>
            <c:numRef>
              <c:f>'Scenario_Data'!$AY$2:$AY$242</c:f>
              <c:numCache>
                <c:formatCode>0.000</c:formatCode>
                <c:ptCount val="0"/>
              </c:numCache>
            </c:numRef>
          </c:val>
          <c:smooth val="0"/>
        </c:ser>
        <c:ser>
          <c:idx val="1"/>
          <c:order val="1"/>
          <c:tx>
            <c:v>Current custom altitude (km)</c:v>
          </c:tx>
          <c:spPr>
            <a:ln xmlns:a="http://schemas.openxmlformats.org/drawingml/2006/main" w="19050">
              <a:solidFill>
                <a:srgbClr val="F97316"/>
              </a:solidFill>
            </a:ln>
          </c:spPr>
          <c:marker>
            <c:symbol val="none"/>
          </c:marker>
          <c:cat>
            <c:strRef>
              <c:f>'Scenario_Data'!$AX$2:$AX$242</c:f>
              <c:strCache>
                <c:ptCount val="0"/>
              </c:strCache>
            </c:strRef>
          </c:cat>
          <c:val>
            <c:numRef>
              <c:f>'Scenario_Data'!$AZ$2:$AZ$242</c:f>
              <c:numCache>
                <c:formatCode>0.000</c:formatCode>
                <c:ptCount val="0"/>
              </c:numCache>
            </c:numRef>
          </c:val>
          <c:smooth val="0"/>
        </c:ser>
        <c:ser>
          <c:idx val="2"/>
          <c:order val="2"/>
          <c:tx>
            <c:v>Paper 800-km low-altitude altitude (km)</c:v>
          </c:tx>
          <c:spPr>
            <a:ln xmlns:a="http://schemas.openxmlformats.org/drawingml/2006/main" w="19050">
              <a:solidFill>
                <a:srgbClr val="16A34A"/>
              </a:solidFill>
            </a:ln>
          </c:spPr>
          <c:marker>
            <c:symbol val="none"/>
          </c:marker>
          <c:cat>
            <c:strRef>
              <c:f>'Scenario_Data'!$AX$2:$AX$242</c:f>
              <c:strCache>
                <c:ptCount val="0"/>
              </c:strCache>
            </c:strRef>
          </c:cat>
          <c:val>
            <c:numRef>
              <c:f>'Scenario_Data'!$BA$2:$BA$242</c:f>
              <c:numCache>
                <c:formatCode>0.000</c:formatCode>
                <c:ptCount val="0"/>
              </c:numCache>
            </c:numRef>
          </c:val>
          <c:smooth val="0"/>
        </c:ser>
        <c:ser>
          <c:idx val="3"/>
          <c:order val="3"/>
          <c:tx>
            <c:v>Paper 1600-km ice-ocean altitude (km)</c:v>
          </c:tx>
          <c:spPr>
            <a:ln xmlns:a="http://schemas.openxmlformats.org/drawingml/2006/main" w="19050">
              <a:solidFill>
                <a:srgbClr val="0EA5E9"/>
              </a:solidFill>
            </a:ln>
          </c:spPr>
          <c:marker>
            <c:symbol val="none"/>
          </c:marker>
          <c:cat>
            <c:strRef>
              <c:f>'Scenario_Data'!$AX$2:$AX$242</c:f>
              <c:strCache>
                <c:ptCount val="0"/>
              </c:strCache>
            </c:strRef>
          </c:cat>
          <c:val>
            <c:numRef>
              <c:f>'Scenario_Data'!$BB$2:$BB$242</c:f>
              <c:numCache>
                <c:formatCode>0.000</c:formatCode>
                <c:ptCount val="0"/>
              </c:numCache>
            </c:numRef>
          </c:val>
          <c:smooth val="0"/>
        </c:ser>
        <c:ser>
          <c:idx val="4"/>
          <c:order val="4"/>
          <c:tx>
            <c:v>Paper 25-to-1000-km operating altitude (km)</c:v>
          </c:tx>
          <c:spPr>
            <a:ln xmlns:a="http://schemas.openxmlformats.org/drawingml/2006/main" w="19050">
              <a:solidFill>
                <a:srgbClr val="7C3AED"/>
              </a:solidFill>
            </a:ln>
          </c:spPr>
          <c:marker>
            <c:symbol val="none"/>
          </c:marker>
          <c:cat>
            <c:strRef>
              <c:f>'Scenario_Data'!$AX$2:$AX$242</c:f>
              <c:strCache>
                <c:ptCount val="0"/>
              </c:strCache>
            </c:strRef>
          </c:cat>
          <c:val>
            <c:numRef>
              <c:f>'Scenario_Data'!$BC$2:$BC$242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Altitude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Flat Ground Reading: Constant vs Parabolic Satellite Path</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c:v>
          </c:tx>
          <c:spPr>
            <a:ln xmlns:a="http://schemas.openxmlformats.org/drawingml/2006/main" w="15240">
              <a:solidFill>
                <a:srgbClr val="8A8F98"/>
              </a:solidFill>
              <a:prstDash val="dash"/>
            </a:ln>
          </c:spPr>
          <c:marker>
            <c:symbol val="none"/>
          </c:marker>
          <c:cat>
            <c:strRef>
              <c:f>'Chart_Data'!$Y$2:$Y$242</c:f>
              <c:strCache>
                <c:ptCount val="0"/>
              </c:strCache>
            </c:strRef>
          </c:cat>
          <c:val>
            <c:numRef>
              <c:f>'Chart_Data'!$Z$2:$Z$242</c:f>
              <c:numCache>
                <c:formatCode>0.000</c:formatCode>
                <c:ptCount val="0"/>
              </c:numCache>
            </c:numRef>
          </c:val>
          <c:smooth val="0"/>
        </c:ser>
        <c:ser>
          <c:idx val="1"/>
          <c:order val="1"/>
          <c:tx>
            <c:v>Flat ground + constant satellite altitude (m)</c:v>
          </c:tx>
          <c:spPr>
            <a:ln xmlns:a="http://schemas.openxmlformats.org/drawingml/2006/main" w="19050">
              <a:solidFill>
                <a:srgbClr val="F97316"/>
              </a:solidFill>
            </a:ln>
          </c:spPr>
          <c:marker>
            <c:symbol val="none"/>
          </c:marker>
          <c:cat>
            <c:strRef>
              <c:f>'Chart_Data'!$Y$2:$Y$242</c:f>
              <c:strCache>
                <c:ptCount val="0"/>
              </c:strCache>
            </c:strRef>
          </c:cat>
          <c:val>
            <c:numRef>
              <c:f>'Chart_Data'!$AA$2:$AA$242</c:f>
              <c:numCache>
                <c:formatCode>0.000</c:formatCode>
                <c:ptCount val="0"/>
              </c:numCache>
            </c:numRef>
          </c:val>
          <c:smooth val="0"/>
        </c:ser>
        <c:ser>
          <c:idx val="2"/>
          <c:order val="2"/>
          <c:tx>
            <c:v>Flat ground + parabolic satellite path (m)</c:v>
          </c:tx>
          <c:spPr>
            <a:ln xmlns:a="http://schemas.openxmlformats.org/drawingml/2006/main" w="19050">
              <a:solidFill>
                <a:srgbClr val="2563EB"/>
              </a:solidFill>
            </a:ln>
          </c:spPr>
          <c:marker>
            <c:symbol val="none"/>
          </c:marker>
          <c:cat>
            <c:strRef>
              <c:f>'Chart_Data'!$Y$2:$Y$242</c:f>
              <c:strCache>
                <c:ptCount val="0"/>
              </c:strCache>
            </c:strRef>
          </c:cat>
          <c:val>
            <c:numRef>
              <c:f>'Chart_Data'!$AB$2:$AB$242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radar reading from flat ground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Apparent-Depth Outcomes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 not a run)</c:v>
          </c:tx>
          <c:spPr>
            <a:ln xmlns:a="http://schemas.openxmlformats.org/drawingml/2006/main" w="15240">
              <a:solidFill>
                <a:srgbClr val="8A8F98"/>
              </a:solidFill>
              <a:prstDash val="dash"/>
            </a:ln>
          </c:spPr>
          <c:marker>
            <c:symbol val="none"/>
          </c:marker>
          <c:cat>
            <c:strRef>
              <c:f>'Scenario_Data'!$BE$2:$BE$242</c:f>
              <c:strCache>
                <c:ptCount val="0"/>
              </c:strCache>
            </c:strRef>
          </c:cat>
          <c:val>
            <c:numRef>
              <c:f>'Scenario_Data'!$BF$2:$BF$242</c:f>
              <c:numCache>
                <c:formatCode>0.000</c:formatCode>
                <c:ptCount val="0"/>
              </c:numCache>
            </c:numRef>
          </c:val>
          <c:smooth val="0"/>
        </c:ser>
        <c:ser>
          <c:idx val="1"/>
          <c:order val="1"/>
          <c:tx>
            <c:v>Current custom apparent depth (m)</c:v>
          </c:tx>
          <c:spPr>
            <a:ln xmlns:a="http://schemas.openxmlformats.org/drawingml/2006/main" w="19050">
              <a:solidFill>
                <a:srgbClr val="F97316"/>
              </a:solidFill>
            </a:ln>
          </c:spPr>
          <c:marker>
            <c:symbol val="none"/>
          </c:marker>
          <c:cat>
            <c:strRef>
              <c:f>'Scenario_Data'!$BE$2:$BE$242</c:f>
              <c:strCache>
                <c:ptCount val="0"/>
              </c:strCache>
            </c:strRef>
          </c:cat>
          <c:val>
            <c:numRef>
              <c:f>'Scenario_Data'!$BG$2:$BG$242</c:f>
              <c:numCache>
                <c:formatCode>0.000</c:formatCode>
                <c:ptCount val="0"/>
              </c:numCache>
            </c:numRef>
          </c:val>
          <c:smooth val="0"/>
        </c:ser>
        <c:ser>
          <c:idx val="2"/>
          <c:order val="2"/>
          <c:tx>
            <c:v>Paper 800-km low-altitude apparent depth (m)</c:v>
          </c:tx>
          <c:spPr>
            <a:ln xmlns:a="http://schemas.openxmlformats.org/drawingml/2006/main" w="19050">
              <a:solidFill>
                <a:srgbClr val="16A34A"/>
              </a:solidFill>
            </a:ln>
          </c:spPr>
          <c:marker>
            <c:symbol val="none"/>
          </c:marker>
          <c:cat>
            <c:strRef>
              <c:f>'Scenario_Data'!$BE$2:$BE$242</c:f>
              <c:strCache>
                <c:ptCount val="0"/>
              </c:strCache>
            </c:strRef>
          </c:cat>
          <c:val>
            <c:numRef>
              <c:f>'Scenario_Data'!$BH$2:$BH$242</c:f>
              <c:numCache>
                <c:formatCode>0.000</c:formatCode>
                <c:ptCount val="0"/>
              </c:numCache>
            </c:numRef>
          </c:val>
          <c:smooth val="0"/>
        </c:ser>
        <c:ser>
          <c:idx val="3"/>
          <c:order val="3"/>
          <c:tx>
            <c:v>Paper 1600-km ice-ocean apparent depth (m)</c:v>
          </c:tx>
          <c:spPr>
            <a:ln xmlns:a="http://schemas.openxmlformats.org/drawingml/2006/main" w="19050">
              <a:solidFill>
                <a:srgbClr val="0EA5E9"/>
              </a:solidFill>
            </a:ln>
          </c:spPr>
          <c:marker>
            <c:symbol val="none"/>
          </c:marker>
          <c:cat>
            <c:strRef>
              <c:f>'Scenario_Data'!$BE$2:$BE$242</c:f>
              <c:strCache>
                <c:ptCount val="0"/>
              </c:strCache>
            </c:strRef>
          </c:cat>
          <c:val>
            <c:numRef>
              <c:f>'Scenario_Data'!$BI$2:$BI$242</c:f>
              <c:numCache>
                <c:formatCode>0.000</c:formatCode>
                <c:ptCount val="0"/>
              </c:numCache>
            </c:numRef>
          </c:val>
          <c:smooth val="0"/>
        </c:ser>
        <c:ser>
          <c:idx val="4"/>
          <c:order val="4"/>
          <c:tx>
            <c:v>Paper 25-to-1000-km operating apparent depth (m)</c:v>
          </c:tx>
          <c:spPr>
            <a:ln xmlns:a="http://schemas.openxmlformats.org/drawingml/2006/main" w="19050">
              <a:solidFill>
                <a:srgbClr val="7C3AED"/>
              </a:solidFill>
            </a:ln>
          </c:spPr>
          <c:marker>
            <c:symbol val="none"/>
          </c:marker>
          <c:cat>
            <c:strRef>
              <c:f>'Scenario_Data'!$BE$2:$BE$242</c:f>
              <c:strCache>
                <c:ptCount val="0"/>
              </c:strCache>
            </c:strRef>
          </c:cat>
          <c:val>
            <c:numRef>
              <c:f>'Scenario_Data'!$BJ$2:$BJ$242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depth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Off-Nadir Surface Height</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m, not a run)</c:v>
          </c:tx>
          <c:spPr>
            <a:ln xmlns:a="http://schemas.openxmlformats.org/drawingml/2006/main" w="15240">
              <a:solidFill>
                <a:srgbClr val="8A8F98"/>
              </a:solidFill>
              <a:prstDash val="dash"/>
            </a:ln>
          </c:spPr>
          <c:marker>
            <c:symbol val="none"/>
          </c:marker>
          <c:cat>
            <c:strRef>
              <c:f>'Scenario_Data'!$AQ$2:$AQ$242</c:f>
              <c:strCache>
                <c:ptCount val="0"/>
              </c:strCache>
            </c:strRef>
          </c:cat>
          <c:val>
            <c:numRef>
              <c:f>'Scenario_Data'!$AR$2:$AR$242</c:f>
              <c:numCache>
                <c:formatCode>0.000</c:formatCode>
                <c:ptCount val="0"/>
              </c:numCache>
            </c:numRef>
          </c:val>
          <c:smooth val="0"/>
        </c:ser>
        <c:ser>
          <c:idx val="1"/>
          <c:order val="1"/>
          <c:tx>
            <c:v>Current custom off-nadir surface (m)</c:v>
          </c:tx>
          <c:spPr>
            <a:ln xmlns:a="http://schemas.openxmlformats.org/drawingml/2006/main" w="19050">
              <a:solidFill>
                <a:srgbClr val="F97316"/>
              </a:solidFill>
            </a:ln>
          </c:spPr>
          <c:marker>
            <c:symbol val="none"/>
          </c:marker>
          <c:cat>
            <c:strRef>
              <c:f>'Scenario_Data'!$AQ$2:$AQ$242</c:f>
              <c:strCache>
                <c:ptCount val="0"/>
              </c:strCache>
            </c:strRef>
          </c:cat>
          <c:val>
            <c:numRef>
              <c:f>'Scenario_Data'!$AS$2:$AS$242</c:f>
              <c:numCache>
                <c:formatCode>0.000</c:formatCode>
                <c:ptCount val="0"/>
              </c:numCache>
            </c:numRef>
          </c:val>
          <c:smooth val="0"/>
        </c:ser>
        <c:ser>
          <c:idx val="2"/>
          <c:order val="2"/>
          <c:tx>
            <c:v>Paper 800-km low-altitude surface (m)</c:v>
          </c:tx>
          <c:spPr>
            <a:ln xmlns:a="http://schemas.openxmlformats.org/drawingml/2006/main" w="19050">
              <a:solidFill>
                <a:srgbClr val="16A34A"/>
              </a:solidFill>
            </a:ln>
          </c:spPr>
          <c:marker>
            <c:symbol val="none"/>
          </c:marker>
          <c:cat>
            <c:strRef>
              <c:f>'Scenario_Data'!$AQ$2:$AQ$242</c:f>
              <c:strCache>
                <c:ptCount val="0"/>
              </c:strCache>
            </c:strRef>
          </c:cat>
          <c:val>
            <c:numRef>
              <c:f>'Scenario_Data'!$AT$2:$AT$242</c:f>
              <c:numCache>
                <c:formatCode>0.000</c:formatCode>
                <c:ptCount val="0"/>
              </c:numCache>
            </c:numRef>
          </c:val>
          <c:smooth val="0"/>
        </c:ser>
        <c:ser>
          <c:idx val="3"/>
          <c:order val="3"/>
          <c:tx>
            <c:v>Paper 1600-km ice-ocean surface (m)</c:v>
          </c:tx>
          <c:spPr>
            <a:ln xmlns:a="http://schemas.openxmlformats.org/drawingml/2006/main" w="19050">
              <a:solidFill>
                <a:srgbClr val="0EA5E9"/>
              </a:solidFill>
            </a:ln>
          </c:spPr>
          <c:marker>
            <c:symbol val="none"/>
          </c:marker>
          <c:cat>
            <c:strRef>
              <c:f>'Scenario_Data'!$AQ$2:$AQ$242</c:f>
              <c:strCache>
                <c:ptCount val="0"/>
              </c:strCache>
            </c:strRef>
          </c:cat>
          <c:val>
            <c:numRef>
              <c:f>'Scenario_Data'!$AU$2:$AU$242</c:f>
              <c:numCache>
                <c:formatCode>0.000</c:formatCode>
                <c:ptCount val="0"/>
              </c:numCache>
            </c:numRef>
          </c:val>
          <c:smooth val="0"/>
        </c:ser>
        <c:ser>
          <c:idx val="4"/>
          <c:order val="4"/>
          <c:tx>
            <c:v>Paper 25-to-1000-km operating surface (m)</c:v>
          </c:tx>
          <c:spPr>
            <a:ln xmlns:a="http://schemas.openxmlformats.org/drawingml/2006/main" w="19050">
              <a:solidFill>
                <a:srgbClr val="7C3AED"/>
              </a:solidFill>
            </a:ln>
          </c:spPr>
          <c:marker>
            <c:symbol val="none"/>
          </c:marker>
          <c:cat>
            <c:strRef>
              <c:f>'Scenario_Data'!$AQ$2:$AQ$242</c:f>
              <c:strCache>
                <c:ptCount val="0"/>
              </c:strCache>
            </c:strRef>
          </c:cat>
          <c:val>
            <c:numRef>
              <c:f>'Scenario_Data'!$AV$2:$AV$242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Surface height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Radar Apparent Elevation Relative to Generated Topography</a:t>
            </a:r>
          </a:p>
        </c:rich>
      </c:tx>
      <c:overlay val="0"/>
      <c:txPr>
        <a:bodyPr xmlns:a="http://schemas.openxmlformats.org/drawingml/2006/main" anchorCtr="1"/>
        <a:lstStyle xmlns:a="http://schemas.openxmlformats.org/drawingml/2006/main"/>
        <a:p xmlns:a="http://schemas.openxmlformats.org/drawingml/2006/main">
          <a:pPr>
            <a:defRPr sz="975"/>
          </a:pPr>
        </a:p>
      </c:txPr>
    </c:title>
    <c:autoTitleDeleted val="0"/>
    <c:plotArea>
      <c:layout/>
      <c:lineChart>
        <c:grouping val="standard"/>
        <c:ser>
          <c:idx val="0"/>
          <c:order val="0"/>
          <c:tx>
            <c:v>Generated Topography Surface (Baseline)</c:v>
          </c:tx>
          <c:spPr>
            <a:ln xmlns:a="http://schemas.openxmlformats.org/drawingml/2006/main" w="28575">
              <a:solidFill>
                <a:srgbClr val="16A34A"/>
              </a:solidFill>
              <a:prstDash val="solid"/>
            </a:ln>
          </c:spPr>
          <c:cat>
            <c:strRef>
              <c:f>'Terrain_Baseline_Chart'!$A$36:$A$276</c:f>
              <c:strCache>
                <c:ptCount val="0"/>
              </c:strCache>
            </c:strRef>
          </c:cat>
          <c:val>
            <c:numRef>
              <c:f>'Terrain_Baseline_Chart'!$B$36:$B$276</c:f>
              <c:numCache>
                <c:formatCode>0.000</c:formatCode>
                <c:ptCount val="0"/>
              </c:numCache>
            </c:numRef>
          </c:val>
          <c:smooth val="0"/>
        </c:ser>
        <c:ser>
          <c:idx val="1"/>
          <c:order val="1"/>
          <c:tx>
            <c:v>Apparent Radar Horizon (Flat Geometry)</c:v>
          </c:tx>
          <c:spPr>
            <a:ln xmlns:a="http://schemas.openxmlformats.org/drawingml/2006/main" w="19050">
              <a:solidFill>
                <a:srgbClr val="2563EB"/>
              </a:solidFill>
              <a:prstDash val="dash"/>
            </a:ln>
          </c:spPr>
          <c:cat>
            <c:strRef>
              <c:f>'Terrain_Baseline_Chart'!$A$36:$A$276</c:f>
              <c:strCache>
                <c:ptCount val="0"/>
              </c:strCache>
            </c:strRef>
          </c:cat>
          <c:val>
            <c:numRef>
              <c:f>'Terrain_Baseline_Chart'!$C$36:$C$276</c:f>
              <c:numCache>
                <c:formatCode>0.000</c:formatCode>
                <c:ptCount val="0"/>
              </c:numCache>
            </c:numRef>
          </c:val>
          <c:smooth val="0"/>
        </c:ser>
        <c:ser>
          <c:idx val="2"/>
          <c:order val="2"/>
          <c:tx>
            <c:v>Apparent Radar Horizon (Topo-Adjusted)</c:v>
          </c:tx>
          <c:spPr>
            <a:ln xmlns:a="http://schemas.openxmlformats.org/drawingml/2006/main" w="23813">
              <a:solidFill>
                <a:srgbClr val="F97316"/>
              </a:solidFill>
              <a:prstDash val="solid"/>
            </a:ln>
          </c:spPr>
          <c:cat>
            <c:strRef>
              <c:f>'Terrain_Baseline_Chart'!$A$36:$A$276</c:f>
              <c:strCache>
                <c:ptCount val="0"/>
              </c:strCache>
            </c:strRef>
          </c:cat>
          <c:val>
            <c:numRef>
              <c:f>'Terrain_Baseline_Chart'!$D$36:$D$276</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Along-track Distance x (km)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Elevation (m)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75"/>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7eda3a1b6148a0"/>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3bb81e05f343e3"/>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1d3d1c9f614201"/>
        </a:graphicData>
      </a:graphic>
    </xdr:graphicFrame>
    <xdr:clientData/>
  </xdr:twoCellAnchor>
  <xdr:twoCellAnchor>
    <xdr:from>
      <xdr:col>0</xdr:col>
      <xdr:colOff>0</xdr:colOff>
      <xdr:row>93</xdr:row>
      <xdr:rowOff>0</xdr:rowOff>
    </xdr:from>
    <xdr:to>
      <xdr:col>9</xdr:col>
      <xdr:colOff>0</xdr:colOff>
      <xdr:row>112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dac95c9ed74921"/>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e0664c0a24401e"/>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883089614e4565"/>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a26c03875f4323"/>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5</xdr:row>
      <xdr:rowOff>0</xdr:rowOff>
    </xdr:from>
    <xdr:to>
      <xdr:col>10</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295fff1a30453f"/>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c5c86da54ac4857" /></Relationships>
</file>

<file path=xl/worksheets/_rels/sheet3.xml.rels>&#65279;<?xml version="1.0" encoding="utf-8"?><Relationships xmlns="http://schemas.openxmlformats.org/package/2006/relationships"><Relationship Type="http://schemas.openxmlformats.org/officeDocument/2006/relationships/table" Target="/xl/tables/table1.xml" Id="R81ab68cdf4334544" /></Relationships>
</file>

<file path=xl/worksheets/_rels/sheet11.xml.rels>&#65279;<?xml version="1.0" encoding="utf-8"?><Relationships xmlns="http://schemas.openxmlformats.org/package/2006/relationships"><Relationship Type="http://schemas.openxmlformats.org/officeDocument/2006/relationships/drawing" Target="/xl/drawings/drawing2.xml" Id="R7eafdf9c1f614ebd"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row r="65" ht="27" customHeight="1">
      <x:c r="A65" s="61" t="str">
        <x:v>Quick Graph Guide</x:v>
      </x:c>
      <x:c r="B65" s="61"/>
      <x:c r="C65" s="61"/>
      <x:c r="D65" s="61"/>
      <x:c r="E65" s="61"/>
      <x:c r="F65" s="61"/>
      <x:c r="G65" s="61"/>
      <x:c r="H65" s="61"/>
      <x:c r="I65" s="61"/>
    </x:row>
    <x:row r="66" ht="27" customHeight="1">
      <x:c r="A66" s="67" t="str">
        <x:v>Graph</x:v>
      </x:c>
      <x:c r="B66" s="67" t="str">
        <x:v>What it is trying to show</x:v>
      </x:c>
      <x:c r="C66" s="67"/>
      <x:c r="D66" s="67"/>
      <x:c r="E66" s="67"/>
      <x:c r="F66" s="67" t="str">
        <x:v>How to read the baseline</x:v>
      </x:c>
      <x:c r="G66" s="67"/>
      <x:c r="H66" s="67"/>
      <x:c r="I66" s="67"/>
    </x:row>
    <x:row r="67" ht="27" customHeight="1">
      <x:c r="A67" s="73" t="str">
        <x:v>Apparent depth</x:v>
      </x:c>
      <x:c r="B67" s="71" t="str">
        <x:v>Motion and topography change the apparent radar depth relative to the nadir reference.</x:v>
      </x:c>
      <x:c r="C67" s="71"/>
      <x:c r="D67" s="71"/>
      <x:c r="E67" s="71"/>
      <x:c r="F67" s="71" t="str">
        <x:v>Grey zero line is a reference, not a plotted terrain/run result.</x:v>
      </x:c>
      <x:c r="G67" s="71"/>
      <x:c r="H67" s="71"/>
      <x:c r="I67" s="71"/>
    </x:row>
    <x:row r="68" ht="27" customHeight="1">
      <x:c r="A68" s="73" t="str">
        <x:v>Surface height</x:v>
      </x:c>
      <x:c r="B68" s="71" t="str">
        <x:v>Off-nadir and nadir terrain heights used by the topography-adjusted range formulas.</x:v>
      </x:c>
      <x:c r="C68" s="71"/>
      <x:c r="D68" s="71"/>
      <x:c r="E68" s="71"/>
      <x:c r="F68" s="71" t="str">
        <x:v>Grey floor is the 0 m surface reference; colored lines are terrain heights.</x:v>
      </x:c>
      <x:c r="G68" s="71"/>
      <x:c r="H68" s="71"/>
      <x:c r="I68" s="71"/>
    </x:row>
    <x:row r="69" ht="27" customHeight="1">
      <x:c r="A69" s="73" t="str">
        <x:v>Doppler</x:v>
      </x:c>
      <x:c r="B69" s="71" t="str">
        <x:v>Range-rate-driven VHF/HF Doppler, with flat geometry compared against topography-adjusted geometry.</x:v>
      </x:c>
      <x:c r="C69" s="71"/>
      <x:c r="D69" s="71"/>
      <x:c r="E69" s="71"/>
      <x:c r="F69" s="71" t="str">
        <x:v>Crossing 0 Hz means the radial motion changes sign near closest approach.</x:v>
      </x:c>
      <x:c r="G69" s="71"/>
      <x:c r="H69" s="71"/>
      <x:c r="I69" s="71"/>
    </x:row>
    <x:row r="70" ht="27" customHeight="1">
      <x:c r="A70" s="73" t="str">
        <x:v>Motion-only / scenarios</x:v>
      </x:c>
      <x:c r="B70" s="71" t="str">
        <x:v>The motion-only chart is a radar reading from flat ground. It is not ground height; the curve comes from satellite path and slant-range geometry.</x:v>
      </x:c>
      <x:c r="C70" s="71"/>
      <x:c r="D70" s="71"/>
      <x:c r="E70" s="71"/>
      <x:c r="F70" s="71" t="str">
        <x:v>Scenario baselines are grey reference floors; they are intentionally not orange model lines.</x:v>
      </x:c>
      <x:c r="G70" s="71"/>
      <x:c r="H70" s="71"/>
      <x:c r="I70" s="71"/>
    </x:row>
    <x:row r="71" ht="27" customHeight="1">
      <x:c r="A71" s="73" t="str">
        <x:v>Detailed notes</x:v>
      </x:c>
      <x:c r="B71" s="71" t="str">
        <x:v>See the Graph_Guide tab for every chart, source range, formula basis, and audit status.</x:v>
      </x:c>
      <x:c r="C71" s="71"/>
      <x:c r="D71" s="71"/>
      <x:c r="E71" s="71"/>
      <x:c r="F71" s="71" t="str">
        <x:v>Checks!B4:B23 remains the formula-health checklist.</x:v>
      </x:c>
      <x:c r="G71" s="71"/>
      <x:c r="H71" s="71"/>
      <x:c r="I71" s="71"/>
    </x:row>
    <x:row r="72">
      <x:c r="A72"/>
      <x:c r="B72"/>
      <x:c r="C72"/>
      <x:c r="D72"/>
      <x:c r="E72"/>
      <x:c r="F72"/>
      <x:c r="G72"/>
      <x:c r="H72"/>
      <x:c r="I72"/>
    </x:row>
  </x:sheetData>
  <x:mergeCells>
    <x:mergeCell ref="A1:H1"/>
    <x:mergeCell ref="A2:H2"/>
    <x:mergeCell ref="A4:D4"/>
    <x:mergeCell ref="A19:F19"/>
    <x:mergeCell ref="A25:H25"/>
    <x:mergeCell ref="A26:H26"/>
    <x:mergeCell ref="A57:I57"/>
    <x:mergeCell ref="B63:I63"/>
    <x:mergeCell ref="A65:I65"/>
    <x:mergeCell ref="B66:E66"/>
    <x:mergeCell ref="F66:I66"/>
    <x:mergeCell ref="B67:E67"/>
    <x:mergeCell ref="F67:I67"/>
    <x:mergeCell ref="B68:E68"/>
    <x:mergeCell ref="F68:I68"/>
    <x:mergeCell ref="B69:E69"/>
    <x:mergeCell ref="F69:I69"/>
    <x:mergeCell ref="B70:E70"/>
    <x:mergeCell ref="F70:I70"/>
    <x:mergeCell ref="B71:E71"/>
    <x:mergeCell ref="F71:I71"/>
  </x:mergeCells>
  <x:dataValidations count="1">
    <x:dataValidation type="list" sqref="B59:B62">
      <x:formula1>"TRUE,FALSE"</x:formula1>
    </x:dataValidation>
  </x:dataValidations>
  <x:pageMargins left="0.7" right="0.7" top="0.75" bottom="0.75" header="0.3" footer="0.3"/>
  <x:drawing xmlns:r="http://schemas.openxmlformats.org/officeDocument/2006/relationships" r:id="R3c5c86da54ac4857"/>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81ab68cdf43345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Zero-depth nadir reference (0 m)</x:v>
      </x:c>
      <x:c r="C1" s="14" t="str">
        <x:v>Constant-altitude off-nadir reading (m)</x:v>
      </x:c>
      <x:c r="D1" s="14" t="str">
        <x:v>Parabolic flat-surface reading (m)</x:v>
      </x:c>
      <x:c r="E1" s="14" t="str">
        <x:v>Parabolic topography-adjusted reading (m)</x:v>
      </x:c>
      <x:c r="G1" s="14" t="str">
        <x:v>x (km)</x:v>
      </x:c>
      <x:c r="H1" s="14" t="str">
        <x:v>Reference floor (0 m, not a run)</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Flat-geometry VHF Doppler (Hz)</x:v>
      </x:c>
      <x:c r="R1" s="14" t="str">
        <x:v>Topography-adjusted VHF Doppler (Hz)</x:v>
      </x:c>
      <x:c r="S1" s="14" t="str">
        <x:v>Flat-geometry HF Doppler (Hz)</x:v>
      </x:c>
      <x:c r="T1" s="14" t="str">
        <x:v>Topography-adjusted HF Doppler (Hz)</x:v>
      </x:c>
      <x:c r="V1" s="14" t="str">
        <x:v>x (km)</x:v>
      </x:c>
      <x:c r="W1" s="14" t="str">
        <x:v>Altitude rise above z0 (km)</x:v>
      </x:c>
      <x:c r="Y1" s="14" t="str">
        <x:v>x (km)</x:v>
      </x:c>
      <x:c r="Z1" s="14" t="str">
        <x:v>Zero-depth nadir reference (0 m)</x:v>
      </x:c>
      <x:c r="AA1" s="14" t="str">
        <x:v>Flat ground + constant satellite altitude reading (m)</x:v>
      </x:c>
      <x:c r="AB1" s="14" t="str">
        <x:v>Flat ground + parabolic satellite path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Reference floor (0 m, not a run)</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Reference surface floor (0 km, not a run)</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Zero-depth reference (0 m, not a run)</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row r="25">
      <x:c r="A25" s="61" t="str">
        <x:v>Chart/graph communication checks</x:v>
      </x:c>
      <x:c r="B25" s="61"/>
      <x:c r="C25" s="61"/>
    </x:row>
    <x:row r="26">
      <x:c r="A26" s="73" t="str">
        <x:v>Baseline legends</x:v>
      </x:c>
      <x:c r="B26" s="71" t="str">
        <x:v>OK</x:v>
      </x:c>
      <x:c r="C26" s="71" t="str">
        <x:v>Reference floor and zero-depth baselines are renamed/styled as neutral references, not scenario outputs.</x:v>
      </x:c>
    </x:row>
    <x:row r="27">
      <x:c r="A27" s="73" t="str">
        <x:v>Graph explanations</x:v>
      </x:c>
      <x:c r="B27" s="71" t="str">
        <x:v>OK</x:v>
      </x:c>
      <x:c r="C27" s="71" t="str">
        <x:v>Dashboard rows 65-71 and Graph_Guide explain every chart and its source range.</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45" hidden="0" customWidth="1"/>
    <x:col min="3" max="3" width="35" hidden="0" customWidth="1"/>
    <x:col min="4" max="4" width="31.25" hidden="0" customWidth="1"/>
    <x:col min="5" max="5" width="22.5" hidden="0" customWidth="1"/>
    <x:col min="6" max="6" width="45" hidden="0" customWidth="1"/>
    <x:col min="7" max="7" width="22.5" hidden="0" customWidth="1"/>
  </x:cols>
  <x:sheetData>
    <x:row r="1" ht="22.5" customHeight="1">
      <x:c r="A1" s="100" t="str">
        <x:v>Graph Guide and Formula Audit</x:v>
      </x:c>
      <x:c r="B1" s="100"/>
      <x:c r="C1" s="100"/>
      <x:c r="D1" s="100"/>
      <x:c r="E1" s="100"/>
      <x:c r="F1" s="100"/>
      <x:c r="G1" s="100"/>
    </x:row>
    <x:row r="2" ht="25.5" customHeight="1">
      <x:c r="A2" s="91" t="str">
        <x:v>Grey baseline lines are references only. For the motion-only chart, flat ground means terrain height is zero; the curved blue line is the radar reading caused by the satellite's parabolic path and changing slant range, not a curved ground surface.</x:v>
      </x:c>
      <x:c r="B2" s="92"/>
      <x:c r="C2" s="92"/>
      <x:c r="D2" s="92"/>
      <x:c r="E2" s="92"/>
      <x:c r="F2" s="92"/>
      <x:c r="G2" s="93"/>
    </x:row>
    <x:row r="3" ht="31.5" customHeight="1">
      <x:c r="A3" s="94"/>
      <x:c r="B3" s="94"/>
      <x:c r="C3" s="94"/>
      <x:c r="D3" s="94"/>
      <x:c r="E3" s="94"/>
      <x:c r="F3" s="94"/>
      <x:c r="G3" s="94"/>
    </x:row>
    <x:row r="4" ht="31.5" customHeight="1">
      <x:c r="A4" s="101" t="str">
        <x:v>Graph</x:v>
      </x:c>
      <x:c r="B4" s="101" t="str">
        <x:v>What it shows</x:v>
      </x:c>
      <x:c r="C4" s="101" t="str">
        <x:v>Why it matters</x:v>
      </x:c>
      <x:c r="D4" s="101" t="str">
        <x:v>How to read the baseline</x:v>
      </x:c>
      <x:c r="E4" s="101" t="str">
        <x:v>Source range</x:v>
      </x:c>
      <x:c r="F4" s="101" t="str">
        <x:v>Formula basis</x:v>
      </x:c>
      <x:c r="G4" s="101" t="str">
        <x:v>Audit status</x:v>
      </x:c>
    </x:row>
    <x:row r="5" ht="43.5" customHeight="1">
      <x:c r="A5" s="96" t="str">
        <x:v>Apparent Depth: Motion vs Topography</x:v>
      </x:c>
      <x:c r="B5" s="97" t="str">
        <x:v>Compares the zero-depth nadir reference, a constant-altitude off-nadir reading, the parabolic flat-surface reading, and the parabolic topography-adjusted reading across x.</x:v>
      </x:c>
      <x:c r="C5" s="97" t="str">
        <x:v>Separates spacecraft motion effects from terrain effects in the radar apparent-depth output.</x:v>
      </x:c>
      <x:c r="D5" s="97" t="str">
        <x:v>The grey zero-depth line is just the nadir reference. It is not a floor/topography result.</x:v>
      </x:c>
      <x:c r="E5" s="97" t="str">
        <x:v>Chart_Data!A:E</x:v>
      </x:c>
      <x:c r="F5" s="97" t="str">
        <x:v>apparent_depth = (R_off - R_nadir)*1000/n; topo version uses h_nadir and h_target.</x:v>
      </x:c>
      <x:c r="G5" s="97" t="str">
        <x:v>Linked to Checks!B21:B23</x:v>
      </x:c>
    </x:row>
    <x:row r="6" ht="43.5" customHeight="1">
      <x:c r="A6" s="96" t="str">
        <x:v>Surface Height: Reference Floor, Target, and Nadir</x:v>
      </x:c>
      <x:c r="B6" s="97" t="str">
        <x:v>Plots modeled terrain height at the side-looking target path and directly below the spacecraft.</x:v>
      </x:c>
      <x:c r="C6" s="97" t="str">
        <x:v>Shows the terrain terms that feed the topography-adjusted range equations.</x:v>
      </x:c>
      <x:c r="D6" s="97" t="str">
        <x:v>The grey 0 m floor is a reference. Orange/green are actual terrain profiles.</x:v>
      </x:c>
      <x:c r="E6" s="97" t="str">
        <x:v>Chart_Data!G:J</x:v>
      </x:c>
      <x:c r="F6" s="97" t="str">
        <x:v>h_total(x,y) = h_project + ridge + crater + chaos + roughness + trough + seeded terrain.</x:v>
      </x:c>
      <x:c r="G6" s="97" t="str">
        <x:v>Inputs validated in Checks!B10:B16</x:v>
      </x:c>
    </x:row>
    <x:row r="7" ht="43.5" customHeight="1">
      <x:c r="A7" s="96" t="str">
        <x:v>Doppler: Flat Geometry vs Topography</x:v>
      </x:c>
      <x:c r="B7" s="97" t="str">
        <x:v>Compares VHF/HF Doppler shifts with flat geometry and with topography-adjusted geometry.</x:v>
      </x:c>
      <x:c r="C7" s="97" t="str">
        <x:v>Shows the PRF pressure caused by maximum modeled range-rate magnitude.</x:v>
      </x:c>
      <x:c r="D7" s="97" t="str">
        <x:v>Zero Hz is the sign-change reference around closest approach.</x:v>
      </x:c>
      <x:c r="E7" s="97" t="str">
        <x:v>Chart_Data!P:T</x:v>
      </x:c>
      <x:c r="F7" s="97" t="str">
        <x:v>doppler = -2*range_rate/lambda; range_rate is from adjacent slant-range samples.</x:v>
      </x:c>
      <x:c r="G7" s="97" t="str">
        <x:v>PRF check in Checks!B19</x:v>
      </x:c>
    </x:row>
    <x:row r="8" ht="43.5" customHeight="1">
      <x:c r="A8" s="96" t="str">
        <x:v>Flat Ground Reading: Constant vs Parabolic Satellite Path</x:v>
      </x:c>
      <x:c r="B8" s="97" t="str">
        <x:v>This is not a ground-height chart. It calculates the apparent radar depth/readout to flat ground while changing only the satellite path geometry.</x:v>
      </x:c>
      <x:c r="C8" s="97" t="str">
        <x:v>Shows that a flat surface can still produce a curved radar reading because the satellite altitude and off-nadir slant range change along track.</x:v>
      </x:c>
      <x:c r="D8" s="97" t="str">
        <x:v>The grey zero-depth line is only the nadir reference. The blue curve is flat ground plus parabolic satellite motion, not a parabolic ground surface.</x:v>
      </x:c>
      <x:c r="E8" s="97" t="str">
        <x:v>Chart_Data!Y:AB</x:v>
      </x:c>
      <x:c r="F8" s="97" t="str">
        <x:v>Ground height is held at h=0. The reading is (R_off - R_nadir)*1000/n; blue uses z(x)=z0+Delta_z_edge*(x/x_edge)^2.</x:v>
      </x:c>
      <x:c r="G8" s="97" t="str">
        <x:v>Core inputs validated in Checks!B4:B9</x:v>
      </x:c>
    </x:row>
    <x:row r="9" ht="43.5" customHeight="1">
      <x:c r="A9" s="96" t="str">
        <x:v>Scenario Off-Nadir Surface Height</x:v>
      </x:c>
      <x:c r="B9" s="97" t="str">
        <x:v>Plots the expected off-nadir surface height for each checked pass case on a normalized pass axis.</x:v>
      </x:c>
      <x:c r="C9" s="97" t="str">
        <x:v>Shows how the same terrain model is sampled under each scenario overlay.</x:v>
      </x:c>
      <x:c r="D9" s="97" t="str">
        <x:v>The grey reference floor is 0 m, not a selected scenario.</x:v>
      </x:c>
      <x:c r="E9" s="97" t="str">
        <x:v>Scenario_Data!AQ:AV</x:v>
      </x:c>
      <x:c r="F9" s="97" t="str">
        <x:v>Uses scenario x mapping plus h_total(x,y), gated by Inputs!F6:F9 and Inputs!C27.</x:v>
      </x:c>
      <x:c r="G9" s="97" t="str">
        <x:v>Scenario checks in Checks!B17:B18</x:v>
      </x:c>
    </x:row>
    <x:row r="10" ht="43.5" customHeight="1">
      <x:c r="A10" s="96" t="str">
        <x:v>Scenario Apparent-Depth Outcomes</x:v>
      </x:c>
      <x:c r="B10" s="97" t="str">
        <x:v>Compares apparent-depth outcomes for the checked custom and paper-derived pass cases.</x:v>
      </x:c>
      <x:c r="C10" s="97" t="str">
        <x:v>Shows why long, low-altitude passes can dominate apparent-depth scale.</x:v>
      </x:c>
      <x:c r="D10" s="97" t="str">
        <x:v>The grey zero-depth reference is not a model run.</x:v>
      </x:c>
      <x:c r="E10" s="97" t="str">
        <x:v>Scenario_Data!BE:BJ</x:v>
      </x:c>
      <x:c r="F10" s="97" t="str">
        <x:v>Scenario apparent_depth = (R_off - R_nadir)*1000/n using each scenario z(x).</x:v>
      </x:c>
      <x:c r="G10" s="97" t="str">
        <x:v>Scenario checks in Checks!B17:B18</x:v>
      </x:c>
    </x:row>
    <x:row r="11" ht="43.5" customHeight="1">
      <x:c r="A11" s="96" t="str">
        <x:v>Scenario Altitude Profiles</x:v>
      </x:c>
      <x:c r="B11" s="97" t="str">
        <x:v>Plots altitude versus normalized pass position for the checked custom and paper-derived pass cases.</x:v>
      </x:c>
      <x:c r="C11" s="97" t="str">
        <x:v>Shows the parabolic path assumptions used to convert the paper constraints into comparable runs.</x:v>
      </x:c>
      <x:c r="D11" s="97" t="str">
        <x:v>The grey surface floor is 0 km and is not a spacecraft trajectory.</x:v>
      </x:c>
      <x:c r="E11" s="97" t="str">
        <x:v>Scenario_Data!AX:BC</x:v>
      </x:c>
      <x:c r="F11" s="97" t="str">
        <x:v>z(x) = z0 + Delta_z_edge*(x/x_edge)^2.</x:v>
      </x:c>
      <x:c r="G11" s="97" t="str">
        <x:v>Scenario checks in Checks!B17:B18</x:v>
      </x:c>
    </x:row>
    <x:row r="12" ht="31.5" customHeight="1">
      <x:c r="A12" s="94"/>
      <x:c r="B12" s="94"/>
      <x:c r="C12" s="94"/>
      <x:c r="D12" s="94"/>
      <x:c r="E12" s="94"/>
      <x:c r="F12" s="94"/>
      <x:c r="G12" s="94"/>
    </x:row>
    <x:row r="13" ht="31.5" customHeight="1">
      <x:c r="A13" s="100" t="str">
        <x:v>Formula Audit Summary</x:v>
      </x:c>
      <x:c r="B13" s="100"/>
      <x:c r="C13" s="100"/>
      <x:c r="D13" s="100"/>
      <x:c r="E13" s="100"/>
      <x:c r="F13" s="100"/>
      <x:c r="G13" s="100"/>
    </x:row>
    <x:row r="14" ht="31.5" customHeight="1">
      <x:c r="A14" s="101" t="str">
        <x:v>Audit item</x:v>
      </x:c>
      <x:c r="B14" s="101" t="str">
        <x:v>Live result</x:v>
      </x:c>
      <x:c r="C14" s="101" t="str">
        <x:v>Unit</x:v>
      </x:c>
      <x:c r="D14" s="101" t="str">
        <x:v>Formula / source</x:v>
      </x:c>
      <x:c r="E14" s="101" t="str">
        <x:v>Why it matters</x:v>
      </x:c>
      <x:c r="F14" s="94"/>
      <x:c r="G14" s="94"/>
    </x:row>
    <x:row r="15" ht="40.5" customHeight="1">
      <x:c r="A15" s="96" t="str">
        <x:v>Workbook checks</x:v>
      </x:c>
      <x:c r="B15" s="98" t="str">
        <x:f>IF(COUNTIF(Checks!B4:B23,"OK")=ROWS(Checks!B4:B23),"OK","Review Checks")</x:f>
        <x:v>OK</x:v>
      </x:c>
      <x:c r="C15" s="97"/>
      <x:c r="D15" s="97" t="str">
        <x:v>=IF(COUNTIF(Checks!B4:B23,"OK")=ROWS(Checks!B4:B23),"OK","Review Checks")</x:v>
      </x:c>
      <x:c r="E15" s="97" t="str">
        <x:v>Confirms input bounds, chart helper links, and apparent-height conversion checks.</x:v>
      </x:c>
      <x:c r="F15" s="94"/>
      <x:c r="G15" s="94"/>
    </x:row>
    <x:row r="16" ht="40.5" customHeight="1">
      <x:c r="A16" s="96" t="str">
        <x:v>Flat apparent depth at mid-pass</x:v>
      </x:c>
      <x:c r="B16" s="99" t="n">
        <x:f>Dashboard!B7</x:f>
        <x:v>550.6998603390537</x:v>
      </x:c>
      <x:c r="C16" s="97" t="str">
        <x:v>m</x:v>
      </x:c>
      <x:c r="D16" s="97" t="str">
        <x:v>=Dashboard!B7</x:v>
      </x:c>
      <x:c r="E16" s="97" t="str">
        <x:v>Expected flat-surface radar apparent depth before topography is applied.</x:v>
      </x:c>
      <x:c r="F16" s="94"/>
      <x:c r="G16" s="94"/>
    </x:row>
    <x:row r="17" ht="40.5" customHeight="1">
      <x:c r="A17" s="96" t="str">
        <x:v>Topography-adjusted apparent depth at mid-pass</x:v>
      </x:c>
      <x:c r="B17" s="99" t="n">
        <x:f>Dashboard!B8</x:f>
        <x:v>278.8355336025972</x:v>
      </x:c>
      <x:c r="C17" s="97" t="str">
        <x:v>m</x:v>
      </x:c>
      <x:c r="D17" s="97" t="str">
        <x:v>=Dashboard!B8</x:v>
      </x:c>
      <x:c r="E17" s="97" t="str">
        <x:v>Same geometry after terrain height changes the nadir and target ranges.</x:v>
      </x:c>
      <x:c r="F17" s="94"/>
      <x:c r="G17" s="94"/>
    </x:row>
    <x:row r="18" ht="40.5" customHeight="1">
      <x:c r="A18" s="96" t="str">
        <x:v>Depth change from topography</x:v>
      </x:c>
      <x:c r="B18" s="99" t="n">
        <x:f>Dashboard!B9</x:f>
        <x:v>-271.86432673645646</x:v>
      </x:c>
      <x:c r="C18" s="97" t="str">
        <x:v>m</x:v>
      </x:c>
      <x:c r="D18" s="97" t="str">
        <x:v>=Dashboard!B9</x:v>
      </x:c>
      <x:c r="E18" s="97" t="str">
        <x:v>Topo apparent depth minus flat apparent depth; negative means the echo appears shallower.</x:v>
      </x:c>
      <x:c r="F18" s="94"/>
      <x:c r="G18" s="94"/>
    </x:row>
    <x:row r="19" ht="40.5" customHeight="1">
      <x:c r="A19" s="96" t="str">
        <x:v>Simple minimum PRF with topo</x:v>
      </x:c>
      <x:c r="B19" s="99" t="n">
        <x:f>Dashboard!B16</x:f>
        <x:v>1068.1204298898592</x:v>
      </x:c>
      <x:c r="C19" s="97" t="str">
        <x:v>Hz</x:v>
      </x:c>
      <x:c r="D19" s="97" t="str">
        <x:v>=Dashboard!B16</x:v>
      </x:c>
      <x:c r="E19" s="97" t="str">
        <x:v>Twice max absolute topography-adjusted VHF Doppler.</x:v>
      </x:c>
      <x:c r="F19" s="94"/>
      <x:c r="G19" s="94"/>
    </x:row>
    <x:row r="20" ht="40.5" customHeight="1">
      <x:c r="A20" s="96" t="str">
        <x:v>Chart baseline treatment</x:v>
      </x:c>
      <x:c r="B20" s="98" t="str">
        <x:v>OK</x:v>
      </x:c>
      <x:c r="C20" s="97"/>
      <x:c r="D20" s="97" t="str">
        <x:v>Baselines renamed and styled neutral grey.</x:v>
      </x:c>
      <x:c r="E20" s="97" t="str">
        <x:v>Prevents reference floors from reading like orange model output lines.</x:v>
      </x:c>
      <x:c r="F20" s="94"/>
      <x:c r="G20" s="94"/>
    </x:row>
  </x:sheetData>
  <x:mergeCells>
    <x:mergeCell ref="A1:G1"/>
    <x:mergeCell ref="A2:G2"/>
    <x:mergeCell ref="A13:G1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6.25" hidden="0" customWidth="1"/>
    <x:col min="2" max="2" width="26.25" hidden="0" customWidth="1"/>
    <x:col min="3" max="3" width="26.25" hidden="0" customWidth="1"/>
    <x:col min="4" max="4" width="26.25" hidden="0" customWidth="1"/>
    <x:col min="6" max="6" width="23.75" hidden="0" customWidth="1"/>
    <x:col min="7" max="7" width="16.25" hidden="0" customWidth="1"/>
    <x:col min="8" max="8" width="16.25" hidden="0" customWidth="1"/>
    <x:col min="9" max="9" width="16.25" hidden="0" customWidth="1"/>
    <x:col min="10" max="10" width="16.25" hidden="0" customWidth="1"/>
  </x:cols>
  <x:sheetData>
    <x:row r="1" ht="22.5" customHeight="1">
      <x:c r="A1" s="190" t="str">
        <x:v>Radar Apparent Elevation Relative to Generated Topography</x:v>
      </x:c>
      <x:c r="B1" s="190"/>
      <x:c r="C1" s="190"/>
      <x:c r="D1" s="190"/>
      <x:c r="E1" s="190"/>
      <x:c r="F1" s="190"/>
      <x:c r="G1" s="190"/>
      <x:c r="H1" s="190"/>
      <x:c r="I1" s="190"/>
      <x:c r="J1" s="190"/>
    </x:row>
    <x:row r="2" ht="24" customHeight="1">
      <x:c r="A2" s="211" t="str">
        <x:v>This chart replaces the flat 0 m baseline with the generated nadir topography surface from Chart_Data. The radar depth readings are transformed into apparent elevation by subtracting depth from the generated topography height, so the visual shows how generated topography shifts the apparent radar horizon relative to the modeled terrain.</x:v>
      </x:c>
      <x:c r="B2" s="212"/>
      <x:c r="C2" s="212"/>
      <x:c r="D2" s="212"/>
      <x:c r="E2" s="212"/>
      <x:c r="F2" s="212"/>
      <x:c r="G2" s="212"/>
      <x:c r="H2" s="212"/>
      <x:c r="I2" s="212"/>
      <x:c r="J2" s="213"/>
    </x:row>
    <x:row r="3" ht="24" customHeight="1">
      <x:c r="A3" s="214"/>
      <x:c r="B3" s="215"/>
      <x:c r="C3" s="215"/>
      <x:c r="D3" s="215"/>
      <x:c r="E3" s="215"/>
      <x:c r="F3" s="215"/>
      <x:c r="G3" s="215"/>
      <x:c r="H3" s="215"/>
      <x:c r="I3" s="215"/>
      <x:c r="J3" s="216"/>
    </x:row>
    <x:row r="4" ht="24" customHeight="1">
      <x:c r="A4" s="217"/>
      <x:c r="B4" s="218"/>
      <x:c r="C4" s="218"/>
      <x:c r="D4" s="218"/>
      <x:c r="E4" s="218"/>
      <x:c r="F4" s="218"/>
      <x:c r="G4" s="218"/>
      <x:c r="H4" s="218"/>
      <x:c r="I4" s="218"/>
      <x:c r="J4" s="219"/>
    </x:row>
    <x:row r="35" ht="27" customHeight="1">
      <x:c r="A35" s="225" t="str">
        <x:v>Along-track Distance x (km)</x:v>
      </x:c>
      <x:c r="B35" s="225" t="str">
        <x:v>Generated Topography Surface (Baseline)</x:v>
      </x:c>
      <x:c r="C35" s="225" t="str">
        <x:v>Apparent Radar Horizon (Flat Geometry)</x:v>
      </x:c>
      <x:c r="D35" s="225" t="str">
        <x:v>Apparent Radar Horizon (Topo-Adjusted)</x:v>
      </x:c>
      <x:c r="F35" s="190" t="str">
        <x:v>Formula notes</x:v>
      </x:c>
      <x:c r="G35" s="190"/>
      <x:c r="H35" s="190"/>
      <x:c r="I35" s="190"/>
      <x:c r="J35" s="190"/>
    </x:row>
    <x:row r="36" ht="27" customHeight="1">
      <x:c r="A36" s="85" t="n">
        <x:f>Chart_Data!A2</x:f>
        <x:v>-60</x:v>
      </x:c>
      <x:c r="B36" s="85" t="n">
        <x:f>Chart_Data!J2</x:f>
        <x:v>2.7642790376402013</x:v>
      </x:c>
      <x:c r="C36" s="85" t="n">
        <x:f>Chart_Data!J2-Chart_Data!D2</x:f>
        <x:v>-3665.0609112761376</x:v>
      </x:c>
      <x:c r="D36" s="85" t="n">
        <x:f>Chart_Data!J2-Chart_Data!E2</x:f>
        <x:v>-3600.866208023147</x:v>
      </x:c>
      <x:c r="F36" s="227" t="str">
        <x:v>Generated Topography Surface</x:v>
      </x:c>
      <x:c r="G36" s="71" t="str">
        <x:v>Generated nadir topography height from Chart_Data!J</x:v>
      </x:c>
      <x:c r="H36" s="71"/>
      <x:c r="I36" s="71"/>
      <x:c r="J36" s="71"/>
    </x:row>
    <x:row r="37" ht="27" customHeight="1">
      <x:c r="A37" s="85" t="n">
        <x:f>Chart_Data!A3</x:f>
        <x:v>-59.5</x:v>
      </x:c>
      <x:c r="B37" s="85" t="n">
        <x:f>Chart_Data!J3</x:f>
        <x:v>19.645117006397193</x:v>
      </x:c>
      <x:c r="C37" s="85" t="n">
        <x:f>Chart_Data!J3-Chart_Data!D3</x:f>
        <x:v>-3597.1874839178913</x:v>
      </x:c>
      <x:c r="D37" s="85" t="n">
        <x:f>Chart_Data!J3-Chart_Data!E3</x:f>
        <x:v>-3547.2657237226995</x:v>
      </x:c>
      <x:c r="F37" s="227" t="str">
        <x:v>Flat Geometry Horizon</x:v>
      </x:c>
      <x:c r="G37" s="71" t="str">
        <x:v>Generated nadir topography height - Parabolic flat-surface reading</x:v>
      </x:c>
      <x:c r="H37" s="71"/>
      <x:c r="I37" s="71"/>
      <x:c r="J37" s="71"/>
    </x:row>
    <x:row r="38" ht="27" customHeight="1">
      <x:c r="A38" s="85" t="n">
        <x:f>Chart_Data!A4</x:f>
        <x:v>-59</x:v>
      </x:c>
      <x:c r="B38" s="85" t="n">
        <x:f>Chart_Data!J4</x:f>
        <x:v>7.970448353767724</x:v>
      </x:c>
      <x:c r="C38" s="85" t="n">
        <x:f>Chart_Data!J4-Chart_Data!D4</x:f>
        <x:v>-3558.2720673236554</x:v>
      </x:c>
      <x:c r="D38" s="85" t="n">
        <x:f>Chart_Data!J4-Chart_Data!E4</x:f>
        <x:v>-3500.509907124999</x:v>
      </x:c>
      <x:c r="F38" s="227" t="str">
        <x:v>Topo-Adjusted Horizon</x:v>
      </x:c>
      <x:c r="G38" s="71" t="str">
        <x:v>Generated nadir topography height - Parabolic topography-adjusted reading</x:v>
      </x:c>
      <x:c r="H38" s="71"/>
      <x:c r="I38" s="71"/>
      <x:c r="J38" s="71"/>
    </x:row>
    <x:row r="39" ht="27" customHeight="1">
      <x:c r="A39" s="85" t="n">
        <x:f>Chart_Data!A5</x:f>
        <x:v>-58.5</x:v>
      </x:c>
      <x:c r="B39" s="85" t="n">
        <x:f>Chart_Data!J5</x:f>
        <x:v>21.747313566550197</x:v>
      </x:c>
      <x:c r="C39" s="85" t="n">
        <x:f>Chart_Data!J5-Chart_Data!D5</x:f>
        <x:v>-3494.308204264305</x:v>
      </x:c>
      <x:c r="D39" s="85" t="n">
        <x:f>Chart_Data!J5-Chart_Data!E5</x:f>
        <x:v>-3432.4813211685514</x:v>
      </x:c>
      <x:c r="F39" s="227" t="str">
        <x:v>Source columns</x:v>
      </x:c>
      <x:c r="G39" s="71" t="str">
        <x:v>Chart_Data A, D, E, J</x:v>
      </x:c>
      <x:c r="H39" s="71"/>
      <x:c r="I39" s="71"/>
      <x:c r="J39" s="71"/>
    </x:row>
    <x:row r="40">
      <x:c r="A40" s="85" t="n">
        <x:f>Chart_Data!A6</x:f>
        <x:v>-58</x:v>
      </x:c>
      <x:c r="B40" s="85" t="n">
        <x:f>Chart_Data!J6</x:f>
        <x:v>31.86691354901535</x:v>
      </x:c>
      <x:c r="C40" s="85" t="n">
        <x:f>Chart_Data!J6-Chart_Data!D6</x:f>
        <x:v>-3434.4052732726323</x:v>
      </x:c>
      <x:c r="D40" s="85" t="n">
        <x:f>Chart_Data!J6-Chart_Data!E6</x:f>
        <x:v>-3386.1335957602987</x:v>
      </x:c>
    </x:row>
    <x:row r="41">
      <x:c r="A41" s="85" t="n">
        <x:f>Chart_Data!A7</x:f>
        <x:v>-57.5</x:v>
      </x:c>
      <x:c r="B41" s="85" t="n">
        <x:f>Chart_Data!J7</x:f>
        <x:v>34.58634748797326</x:v>
      </x:c>
      <x:c r="C41" s="85" t="n">
        <x:f>Chart_Data!J7-Chart_Data!D7</x:f>
        <x:v>-3382.306750744683</x:v>
      </x:c>
      <x:c r="D41" s="85" t="n">
        <x:f>Chart_Data!J7-Chart_Data!E7</x:f>
        <x:v>-3325.1633200196866</x:v>
      </x:c>
    </x:row>
    <x:row r="42">
      <x:c r="A42" s="85" t="n">
        <x:f>Chart_Data!A8</x:f>
        <x:v>-57</x:v>
      </x:c>
      <x:c r="B42" s="85" t="n">
        <x:f>Chart_Data!J8</x:f>
        <x:v>55.44088303799376</x:v>
      </x:c>
      <x:c r="C42" s="85" t="n">
        <x:f>Chart_Data!J8-Chart_Data!D8</x:f>
        <x:v>-3312.47794073646</x:v>
      </x:c>
      <x:c r="D42" s="85" t="n">
        <x:f>Chart_Data!J8-Chart_Data!E8</x:f>
        <x:v>-3267.8216127264295</x:v>
      </x:c>
    </x:row>
    <x:row r="43">
      <x:c r="A43" s="85" t="n">
        <x:f>Chart_Data!A9</x:f>
        <x:v>-56.5</x:v>
      </x:c>
      <x:c r="B43" s="85" t="n">
        <x:f>Chart_Data!J9</x:f>
        <x:v>57.32564727891993</x:v>
      </x:c>
      <x:c r="C43" s="85" t="n">
        <x:f>Chart_Data!J9-Chart_Data!D9</x:f>
        <x:v>-3262.02428397898</x:v>
      </x:c>
      <x:c r="D43" s="85" t="n">
        <x:f>Chart_Data!J9-Chart_Data!E9</x:f>
        <x:v>-3216.206043858449</x:v>
      </x:c>
    </x:row>
    <x:row r="44">
      <x:c r="A44" s="85" t="n">
        <x:f>Chart_Data!A10</x:f>
        <x:v>-56</x:v>
      </x:c>
      <x:c r="B44" s="85" t="n">
        <x:f>Chart_Data!J10</x:f>
        <x:v>61.55956835196879</x:v>
      </x:c>
      <x:c r="C44" s="85" t="n">
        <x:f>Chart_Data!J10-Chart_Data!D10</x:f>
        <x:v>-3209.6274162137793</x:v>
      </x:c>
      <x:c r="D44" s="85" t="n">
        <x:f>Chart_Data!J10-Chart_Data!E10</x:f>
        <x:v>-3152.0105013090665</x:v>
      </x:c>
    </x:row>
    <x:row r="45">
      <x:c r="A45" s="85" t="n">
        <x:f>Chart_Data!A11</x:f>
        <x:v>-55.5</x:v>
      </x:c>
      <x:c r="B45" s="85" t="n">
        <x:f>Chart_Data!J11</x:f>
        <x:v>38.49658216595124</x:v>
      </x:c>
      <x:c r="C45" s="85" t="n">
        <x:f>Chart_Data!J11-Chart_Data!D11</x:f>
        <x:v>-3184.933961470509</x:v>
      </x:c>
      <x:c r="D45" s="85" t="n">
        <x:f>Chart_Data!J11-Chart_Data!E11</x:f>
        <x:v>-3117.9430927814774</x:v>
      </x:c>
    </x:row>
    <x:row r="46">
      <x:c r="A46" s="85" t="n">
        <x:f>Chart_Data!A12</x:f>
        <x:v>-55</x:v>
      </x:c>
      <x:c r="B46" s="85" t="n">
        <x:f>Chart_Data!J12</x:f>
        <x:v>46.51195593176057</x:v>
      </x:c>
      <x:c r="C46" s="85" t="n">
        <x:f>Chart_Data!J12-Chart_Data!D12</x:f>
        <x:v>-3129.5692084981765</x:v>
      </x:c>
      <x:c r="D46" s="85" t="n">
        <x:f>Chart_Data!J12-Chart_Data!E12</x:f>
        <x:v>-3058.4856055829136</x:v>
      </x:c>
    </x:row>
    <x:row r="47">
      <x:c r="A47" s="85" t="n">
        <x:f>Chart_Data!A13</x:f>
        <x:v>-54.5</x:v>
      </x:c>
      <x:c r="B47" s="85" t="n">
        <x:f>Chart_Data!J13</x:f>
        <x:v>49.77469341509185</x:v>
      </x:c>
      <x:c r="C47" s="85" t="n">
        <x:f>Chart_Data!J13-Chart_Data!D13</x:f>
        <x:v>-3079.364705494031</x:v>
      </x:c>
      <x:c r="D47" s="85" t="n">
        <x:f>Chart_Data!J13-Chart_Data!E13</x:f>
        <x:v>-2999.985006610745</x:v>
      </x:c>
    </x:row>
    <x:row r="48">
      <x:c r="A48" s="85" t="n">
        <x:f>Chart_Data!A14</x:f>
        <x:v>-54</x:v>
      </x:c>
      <x:c r="B48" s="85" t="n">
        <x:f>Chart_Data!J14</x:f>
        <x:v>37.91568406723211</x:v>
      </x:c>
      <x:c r="C48" s="85" t="n">
        <x:f>Chart_Data!J14-Chart_Data!D14</x:f>
        <x:v>-3044.690110946688</x:v>
      </x:c>
      <x:c r="D48" s="85" t="n">
        <x:f>Chart_Data!J14-Chart_Data!E14</x:f>
        <x:v>-2957.523444863127</x:v>
      </x:c>
    </x:row>
    <x:row r="49">
      <x:c r="A49" s="85" t="n">
        <x:f>Chart_Data!A15</x:f>
        <x:v>-53.5</x:v>
      </x:c>
      <x:c r="B49" s="85" t="n">
        <x:f>Chart_Data!J15</x:f>
        <x:v>49.305692333608725</x:v>
      </x:c>
      <x:c r="C49" s="85" t="n">
        <x:f>Chart_Data!J15-Chart_Data!D15</x:f>
        <x:v>-2987.17520430257</x:v>
      </x:c>
      <x:c r="D49" s="85" t="n">
        <x:f>Chart_Data!J15-Chart_Data!E15</x:f>
        <x:v>-2896.078004659443</x:v>
      </x:c>
    </x:row>
    <x:row r="50">
      <x:c r="A50" s="85" t="n">
        <x:f>Chart_Data!A16</x:f>
        <x:v>-53</x:v>
      </x:c>
      <x:c r="B50" s="85" t="n">
        <x:f>Chart_Data!J16</x:f>
        <x:v>54.9618266833629</x:v>
      </x:c>
      <x:c r="C50" s="85" t="n">
        <x:f>Chart_Data!J16-Chart_Data!D16</x:f>
        <x:v>-2935.8034169140788</x:v>
      </x:c>
      <x:c r="D50" s="85" t="n">
        <x:f>Chart_Data!J16-Chart_Data!E16</x:f>
        <x:v>-2844.9621858618107</x:v>
      </x:c>
    </x:row>
    <x:row r="51">
      <x:c r="A51" s="85" t="n">
        <x:f>Chart_Data!A17</x:f>
        <x:v>-52.5</x:v>
      </x:c>
      <x:c r="B51" s="85" t="n">
        <x:f>Chart_Data!J17</x:f>
        <x:v>41.913539426844665</x:v>
      </x:c>
      <x:c r="C51" s="85" t="n">
        <x:f>Chart_Data!J17-Chart_Data!D17</x:f>
        <x:v>-2903.5458321922715</x:v>
      </x:c>
      <x:c r="D51" s="85" t="n">
        <x:f>Chart_Data!J17-Chart_Data!E17</x:f>
        <x:v>-2800.807840765969</x:v>
      </x:c>
    </x:row>
    <x:row r="52">
      <x:c r="A52" s="85" t="n">
        <x:f>Chart_Data!A18</x:f>
        <x:v>-52</x:v>
      </x:c>
      <x:c r="B52" s="85" t="n">
        <x:f>Chart_Data!J18</x:f>
        <x:v>44.0092440465048</x:v>
      </x:c>
      <x:c r="C52" s="85" t="n">
        <x:f>Chart_Data!J18-Chart_Data!D18</x:f>
        <x:v>-2856.554568264219</x:v>
      </x:c>
      <x:c r="D52" s="85" t="n">
        <x:f>Chart_Data!J18-Chart_Data!E18</x:f>
        <x:v>-2747.90967763853</x:v>
      </x:c>
    </x:row>
    <x:row r="53">
      <x:c r="A53" s="85" t="n">
        <x:f>Chart_Data!A19</x:f>
        <x:v>-51.5</x:v>
      </x:c>
      <x:c r="B53" s="85" t="n">
        <x:f>Chart_Data!J19</x:f>
        <x:v>32.491619283106324</x:v>
      </x:c>
      <x:c r="C53" s="85" t="n">
        <x:f>Chart_Data!J19-Chart_Data!D19</x:f>
        <x:v>-2823.587473850291</x:v>
      </x:c>
      <x:c r="D53" s="85" t="n">
        <x:f>Chart_Data!J19-Chart_Data!E19</x:f>
        <x:v>-2697.2959202880943</x:v>
      </x:c>
    </x:row>
    <x:row r="54">
      <x:c r="A54" s="85" t="n">
        <x:f>Chart_Data!A20</x:f>
        <x:v>-51</x:v>
      </x:c>
      <x:c r="B54" s="85" t="n">
        <x:f>Chart_Data!J20</x:f>
        <x:v>39.10881658677256</x:v>
      </x:c>
      <x:c r="C54" s="85" t="n">
        <x:f>Chart_Data!J20-Chart_Data!D20</x:f>
        <x:v>-2772.8969207944915</x:v>
      </x:c>
      <x:c r="D54" s="85" t="n">
        <x:f>Chart_Data!J20-Chart_Data!E20</x:f>
        <x:v>-2655.50304679846</x:v>
      </x:c>
    </x:row>
    <x:row r="55">
      <x:c r="A55" s="85" t="n">
        <x:f>Chart_Data!A21</x:f>
        <x:v>-50.5</x:v>
      </x:c>
      <x:c r="B55" s="85" t="n">
        <x:f>Chart_Data!J21</x:f>
        <x:v>47.99583170220943</x:v>
      </x:c>
      <x:c r="C55" s="85" t="n">
        <x:f>Chart_Data!J21-Chart_Data!D21</x:f>
        <x:v>-2720.348432459022</x:v>
      </x:c>
      <x:c r="D55" s="85" t="n">
        <x:f>Chart_Data!J21-Chart_Data!E21</x:f>
        <x:v>-2609.1528200044827</x:v>
      </x:c>
    </x:row>
    <x:row r="56">
      <x:c r="A56" s="85" t="n">
        <x:f>Chart_Data!A22</x:f>
        <x:v>-50</x:v>
      </x:c>
      <x:c r="B56" s="85" t="n">
        <x:f>Chart_Data!J22</x:f>
        <x:v>29.034419664389077</x:v>
      </x:c>
      <x:c r="C56" s="85" t="n">
        <x:f>Chart_Data!J22-Chart_Data!D22</x:f>
        <x:v>-2696.0607686980975</x:v>
      </x:c>
      <x:c r="D56" s="85" t="n">
        <x:f>Chart_Data!J22-Chart_Data!E22</x:f>
        <x:v>-2560.906186379701</x:v>
      </x:c>
    </x:row>
    <x:row r="57">
      <x:c r="A57" s="85" t="n">
        <x:f>Chart_Data!A23</x:f>
        <x:v>-49.5</x:v>
      </x:c>
      <x:c r="B57" s="85" t="n">
        <x:f>Chart_Data!J23</x:f>
        <x:v>51.90461728837901</x:v>
      </x:c>
      <x:c r="C57" s="85" t="n">
        <x:f>Chart_Data!J23-Chart_Data!D23</x:f>
        <x:v>-2630.3544033532735</x:v>
      </x:c>
      <x:c r="D57" s="85" t="n">
        <x:f>Chart_Data!J23-Chart_Data!E23</x:f>
        <x:v>-2516.2030091696447</x:v>
      </x:c>
    </x:row>
    <x:row r="58">
      <x:c r="A58" s="85" t="n">
        <x:f>Chart_Data!A24</x:f>
        <x:v>-49</x:v>
      </x:c>
      <x:c r="B58" s="85" t="n">
        <x:f>Chart_Data!J24</x:f>
        <x:v>39.64300304421553</x:v>
      </x:c>
      <x:c r="C58" s="85" t="n">
        <x:f>Chart_Data!J24-Chart_Data!D24</x:f>
        <x:v>-2600.1932643485497</x:v>
      </x:c>
      <x:c r="D58" s="85" t="n">
        <x:f>Chart_Data!J24-Chart_Data!E24</x:f>
        <x:v>-2473.6527034310893</x:v>
      </x:c>
    </x:row>
    <x:row r="59">
      <x:c r="A59" s="85" t="n">
        <x:f>Chart_Data!A25</x:f>
        <x:v>-48.5</x:v>
      </x:c>
      <x:c r="B59" s="85" t="n">
        <x:f>Chart_Data!J25</x:f>
        <x:v>40.329360187280464</x:v>
      </x:c>
      <x:c r="C59" s="85" t="n">
        <x:f>Chart_Data!J25-Chart_Data!D25</x:f>
        <x:v>-2557.498070539331</x:v>
      </x:c>
      <x:c r="D59" s="85" t="n">
        <x:f>Chart_Data!J25-Chart_Data!E25</x:f>
        <x:v>-2433.1418621086655</x:v>
      </x:c>
    </x:row>
    <x:row r="60">
      <x:c r="A60" s="85" t="n">
        <x:f>Chart_Data!A26</x:f>
        <x:v>-48</x:v>
      </x:c>
      <x:c r="B60" s="85" t="n">
        <x:f>Chart_Data!J26</x:f>
        <x:v>55.67705400563339</x:v>
      </x:c>
      <x:c r="C60" s="85" t="n">
        <x:f>Chart_Data!J26-Chart_Data!D26</x:f>
        <x:v>-2500.555954445174</x:v>
      </x:c>
      <x:c r="D60" s="85" t="n">
        <x:f>Chart_Data!J26-Chart_Data!E26</x:f>
        <x:v>-2391.349388221727</x:v>
      </x:c>
    </x:row>
    <x:row r="61">
      <x:c r="A61" s="85" t="n">
        <x:f>Chart_Data!A27</x:f>
        <x:v>-47.5</x:v>
      </x:c>
      <x:c r="B61" s="85" t="n">
        <x:f>Chart_Data!J27</x:f>
        <x:v>53.974959185609514</x:v>
      </x:c>
      <x:c r="C61" s="85" t="n">
        <x:f>Chart_Data!J27-Chart_Data!D27</x:f>
        <x:v>-2461.078534856302</x:v>
      </x:c>
      <x:c r="D61" s="85" t="n">
        <x:f>Chart_Data!J27-Chart_Data!E27</x:f>
        <x:v>-2345.832604538768</x:v>
      </x:c>
    </x:row>
    <x:row r="62">
      <x:c r="A62" s="85" t="n">
        <x:f>Chart_Data!A28</x:f>
        <x:v>-47</x:v>
      </x:c>
      <x:c r="B62" s="85" t="n">
        <x:f>Chart_Data!J28</x:f>
        <x:v>61.213442747759345</x:v>
      </x:c>
      <x:c r="C62" s="85" t="n">
        <x:f>Chart_Data!J28-Chart_Data!D28</x:f>
        <x:v>-2413.0759338790554</x:v>
      </x:c>
      <x:c r="D62" s="85" t="n">
        <x:f>Chart_Data!J28-Chart_Data!E28</x:f>
        <x:v>-2306.7624589550433</x:v>
      </x:c>
    </x:row>
    <x:row r="63">
      <x:c r="A63" s="85" t="n">
        <x:f>Chart_Data!A29</x:f>
        <x:v>-46.5</x:v>
      </x:c>
      <x:c r="B63" s="85" t="n">
        <x:f>Chart_Data!J29</x:f>
        <x:v>57.529820703344</x:v>
      </x:c>
      <x:c r="C63" s="85" t="n">
        <x:f>Chart_Data!J29-Chart_Data!D29</x:f>
        <x:v>-2376.411320256429</x:v>
      </x:c>
      <x:c r="D63" s="85" t="n">
        <x:f>Chart_Data!J29-Chart_Data!E29</x:f>
        <x:v>-2268.089486196859</x:v>
      </x:c>
    </x:row>
    <x:row r="64">
      <x:c r="A64" s="85" t="n">
        <x:f>Chart_Data!A30</x:f>
        <x:v>-46</x:v>
      </x:c>
      <x:c r="B64" s="85" t="n">
        <x:f>Chart_Data!J30</x:f>
        <x:v>49.53962065283257</x:v>
      </x:c>
      <x:c r="C64" s="85" t="n">
        <x:f>Chart_Data!J30-Chart_Data!D30</x:f>
        <x:v>-2344.469646747289</x:v>
      </x:c>
      <x:c r="D64" s="85" t="n">
        <x:f>Chart_Data!J30-Chart_Data!E30</x:f>
        <x:v>-2240.688488912801</x:v>
      </x:c>
    </x:row>
    <x:row r="65">
      <x:c r="A65" s="85" t="n">
        <x:f>Chart_Data!A31</x:f>
        <x:v>-45.5</x:v>
      </x:c>
      <x:c r="B65" s="85" t="n">
        <x:f>Chart_Data!J31</x:f>
        <x:v>36.8829185081177</x:v>
      </x:c>
      <x:c r="C65" s="85" t="n">
        <x:f>Chart_Data!J31-Chart_Data!D31</x:f>
        <x:v>-2317.6113133830463</x:v>
      </x:c>
      <x:c r="D65" s="85" t="n">
        <x:f>Chart_Data!J31-Chart_Data!E31</x:f>
        <x:v>-2210.777302591421</x:v>
      </x:c>
    </x:row>
    <x:row r="66">
      <x:c r="A66" s="85" t="n">
        <x:f>Chart_Data!A32</x:f>
        <x:v>-45</x:v>
      </x:c>
      <x:c r="B66" s="85" t="n">
        <x:f>Chart_Data!J32</x:f>
        <x:v>46.59917835352822</x:v>
      </x:c>
      <x:c r="C66" s="85" t="n">
        <x:f>Chart_Data!J32-Chart_Data!D32</x:f>
        <x:v>-2268.7973275787344</x:v>
      </x:c>
      <x:c r="D66" s="85" t="n">
        <x:f>Chart_Data!J32-Chart_Data!E32</x:f>
        <x:v>-2179.1596832647356</x:v>
      </x:c>
    </x:row>
    <x:row r="67">
      <x:c r="A67" s="85" t="n">
        <x:f>Chart_Data!A33</x:f>
        <x:v>-44.5</x:v>
      </x:c>
      <x:c r="B67" s="85" t="n">
        <x:f>Chart_Data!J33</x:f>
        <x:v>27.91531821493412</x:v>
      </x:c>
      <x:c r="C67" s="85" t="n">
        <x:f>Chart_Data!J33-Chart_Data!D33</x:f>
        <x:v>-2248.8012383533974</x:v>
      </x:c>
      <x:c r="D67" s="85" t="n">
        <x:f>Chart_Data!J33-Chart_Data!E33</x:f>
        <x:v>-2152.6130540159606</x:v>
      </x:c>
    </x:row>
    <x:row r="68">
      <x:c r="A68" s="85" t="n">
        <x:f>Chart_Data!A34</x:f>
        <x:v>-44</x:v>
      </x:c>
      <x:c r="B68" s="85" t="n">
        <x:f>Chart_Data!J34</x:f>
        <x:v>18.82539201019003</x:v>
      </x:c>
      <x:c r="C68" s="85" t="n">
        <x:f>Chart_Data!J34-Chart_Data!D34</x:f>
        <x:v>-2219.629454347646</x:v>
      </x:c>
      <x:c r="D68" s="85" t="n">
        <x:f>Chart_Data!J34-Chart_Data!E34</x:f>
        <x:v>-2119.1696287716836</x:v>
      </x:c>
    </x:row>
    <x:row r="69">
      <x:c r="A69" s="85" t="n">
        <x:f>Chart_Data!A35</x:f>
        <x:v>-43.5</x:v>
      </x:c>
      <x:c r="B69" s="85" t="n">
        <x:f>Chart_Data!J35</x:f>
        <x:v>22.55480739682735</x:v>
      </x:c>
      <x:c r="C69" s="85" t="n">
        <x:f>Chart_Data!J35-Chart_Data!D35</x:f>
        <x:v>-2178.0570259617593</x:v>
      </x:c>
      <x:c r="D69" s="85" t="n">
        <x:f>Chart_Data!J35-Chart_Data!E35</x:f>
        <x:v>-2073.7134917109306</x:v>
      </x:c>
    </x:row>
    <x:row r="70">
      <x:c r="A70" s="85" t="n">
        <x:f>Chart_Data!A36</x:f>
        <x:v>-43</x:v>
      </x:c>
      <x:c r="B70" s="85" t="n">
        <x:f>Chart_Data!J36</x:f>
        <x:v>3.69479063881065</x:v>
      </x:c>
      <x:c r="C70" s="85" t="n">
        <x:f>Chart_Data!J36-Chart_Data!D36</x:f>
        <x:v>-2159.493180462036</x:v>
      </x:c>
      <x:c r="D70" s="85" t="n">
        <x:f>Chart_Data!J36-Chart_Data!E36</x:f>
        <x:v>-2061.3435648515024</x:v>
      </x:c>
    </x:row>
    <x:row r="71">
      <x:c r="A71" s="85" t="n">
        <x:f>Chart_Data!A37</x:f>
        <x:v>-42.5</x:v>
      </x:c>
      <x:c r="B71" s="85" t="n">
        <x:f>Chart_Data!J37</x:f>
        <x:v>9.477549494288523</x:v>
      </x:c>
      <x:c r="C71" s="85" t="n">
        <x:f>Chart_Data!J37-Chart_Data!D37</x:f>
        <x:v>-2116.7061590783214</x:v>
      </x:c>
      <x:c r="D71" s="85" t="n">
        <x:f>Chart_Data!J37-Chart_Data!E37</x:f>
        <x:v>-2021.1347082168754</x:v>
      </x:c>
    </x:row>
    <x:row r="72">
      <x:c r="A72" s="85" t="n">
        <x:f>Chart_Data!A38</x:f>
        <x:v>-42</x:v>
      </x:c>
      <x:c r="B72" s="85" t="n">
        <x:f>Chart_Data!J38</x:f>
        <x:v>-8.691303525994272</x:v>
      </x:c>
      <x:c r="C72" s="85" t="n">
        <x:f>Chart_Data!J38-Chart_Data!D38</x:f>
        <x:v>-2098.2907937177833</x:v>
      </x:c>
      <x:c r="D72" s="85" t="n">
        <x:f>Chart_Data!J38-Chart_Data!E38</x:f>
        <x:v>-1998.6562497625694</x:v>
      </x:c>
    </x:row>
    <x:row r="73">
      <x:c r="A73" s="85" t="n">
        <x:f>Chart_Data!A39</x:f>
        <x:v>-41.5</x:v>
      </x:c>
      <x:c r="B73" s="85" t="n">
        <x:f>Chart_Data!J39</x:f>
        <x:v>-15.792555414769886</x:v>
      </x:c>
      <x:c r="C73" s="85" t="n">
        <x:f>Chart_Data!J39-Chart_Data!D39</x:f>
        <x:v>-2069.22831120674</x:v>
      </x:c>
      <x:c r="D73" s="85" t="n">
        <x:f>Chart_Data!J39-Chart_Data!E39</x:f>
        <x:v>-1965.164721606882</x:v>
      </x:c>
    </x:row>
    <x:row r="74">
      <x:c r="A74" s="85" t="n">
        <x:f>Chart_Data!A40</x:f>
        <x:v>-41</x:v>
      </x:c>
      <x:c r="B74" s="85" t="n">
        <x:f>Chart_Data!J40</x:f>
        <x:v>-17.886266996681616</x:v>
      </x:c>
      <x:c r="C74" s="85" t="n">
        <x:f>Chart_Data!J40-Chart_Data!D40</x:f>
        <x:v>-2035.5792075953339</x:v>
      </x:c>
      <x:c r="D74" s="85" t="n">
        <x:f>Chart_Data!J40-Chart_Data!E40</x:f>
        <x:v>-1927.3870420095627</x:v>
      </x:c>
    </x:row>
    <x:row r="75">
      <x:c r="A75" s="85" t="n">
        <x:f>Chart_Data!A41</x:f>
        <x:v>-40.5</x:v>
      </x:c>
      <x:c r="B75" s="85" t="n">
        <x:f>Chart_Data!J41</x:f>
        <x:v>-15.042977474303433</x:v>
      </x:c>
      <x:c r="C75" s="85" t="n">
        <x:f>Chart_Data!J41-Chart_Data!D41</x:f>
        <x:v>-1997.4144526815205</x:v>
      </x:c>
      <x:c r="D75" s="85" t="n">
        <x:f>Chart_Data!J41-Chart_Data!E41</x:f>
        <x:v>-1882.6991671917604</x:v>
      </x:c>
    </x:row>
    <x:row r="76">
      <x:c r="A76" s="85" t="n">
        <x:f>Chart_Data!A42</x:f>
        <x:v>-40</x:v>
      </x:c>
      <x:c r="B76" s="85" t="n">
        <x:f>Chart_Data!J42</x:f>
        <x:v>-31.231711064274894</x:v>
      </x:c>
      <x:c r="C76" s="85" t="n">
        <x:f>Chart_Data!J42-Chart_Data!D42</x:f>
        <x:v>-1978.7034966332444</x:v>
      </x:c>
      <x:c r="D76" s="85" t="n">
        <x:f>Chart_Data!J42-Chart_Data!E42</x:f>
        <x:v>-1851.3055936270218</x:v>
      </x:c>
    </x:row>
    <x:row r="77">
      <x:c r="A77" s="85" t="n">
        <x:f>Chart_Data!A43</x:f>
        <x:v>-39.5</x:v>
      </x:c>
      <x:c r="B77" s="85" t="n">
        <x:f>Chart_Data!J43</x:f>
        <x:v>-33.241151326098546</x:v>
      </x:c>
      <x:c r="C77" s="85" t="n">
        <x:f>Chart_Data!J43-Chart_Data!D43</x:f>
        <x:v>-1946.2354442904452</x:v>
      </x:c>
      <x:c r="D77" s="85" t="n">
        <x:f>Chart_Data!J43-Chart_Data!E43</x:f>
        <x:v>-1815.8444122672279</x:v>
      </x:c>
    </x:row>
    <x:row r="78">
      <x:c r="A78" s="85" t="n">
        <x:f>Chart_Data!A44</x:f>
        <x:v>-39</x:v>
      </x:c>
      <x:c r="B78" s="85" t="n">
        <x:f>Chart_Data!J44</x:f>
        <x:v>-32.02020136507765</x:v>
      </x:c>
      <x:c r="C78" s="85" t="n">
        <x:f>Chart_Data!J44-Chart_Data!D44</x:f>
        <x:v>-1910.959615351899</x:v>
      </x:c>
      <x:c r="D78" s="85" t="n">
        <x:f>Chart_Data!J44-Chart_Data!E44</x:f>
        <x:v>-1790.372040918035</x:v>
      </x:c>
    </x:row>
    <x:row r="79">
      <x:c r="A79" s="85" t="n">
        <x:f>Chart_Data!A45</x:f>
        <x:v>-38.5</x:v>
      </x:c>
      <x:c r="B79" s="85" t="n">
        <x:f>Chart_Data!J45</x:f>
        <x:v>-34.295384147954024</x:v>
      </x:c>
      <x:c r="C79" s="85" t="n">
        <x:f>Chart_Data!J45-Chart_Data!D45</x:f>
        <x:v>-1879.6029446708988</x:v>
      </x:c>
      <x:c r="D79" s="85" t="n">
        <x:f>Chart_Data!J45-Chart_Data!E45</x:f>
        <x:v>-1742.6544589221694</x:v>
      </x:c>
    </x:row>
    <x:row r="80">
      <x:c r="A80" s="85" t="n">
        <x:f>Chart_Data!A46</x:f>
        <x:v>-38</x:v>
      </x:c>
      <x:c r="B80" s="85" t="n">
        <x:f>Chart_Data!J46</x:f>
        <x:v>-21.15737906152213</x:v>
      </x:c>
      <x:c r="C80" s="85" t="n">
        <x:f>Chart_Data!J46-Chart_Data!D46</x:f>
        <x:v>-1833.2565187949936</x:v>
      </x:c>
      <x:c r="D80" s="85" t="n">
        <x:f>Chart_Data!J46-Chart_Data!E46</x:f>
        <x:v>-1708.504662897822</x:v>
      </x:c>
    </x:row>
    <x:row r="81">
      <x:c r="A81" s="85" t="n">
        <x:f>Chart_Data!A47</x:f>
        <x:v>-37.5</x:v>
      </x:c>
      <x:c r="B81" s="85" t="n">
        <x:f>Chart_Data!J47</x:f>
        <x:v>-18.69341167436205</x:v>
      </x:c>
      <x:c r="C81" s="85" t="n">
        <x:f>Chart_Data!J47-Chart_Data!D47</x:f>
        <x:v>-1798.0079657066146</x:v>
      </x:c>
      <x:c r="D81" s="85" t="n">
        <x:f>Chart_Data!J47-Chart_Data!E47</x:f>
        <x:v>-1654.4551712230889</x:v>
      </x:c>
    </x:row>
    <x:row r="82">
      <x:c r="A82" s="85" t="n">
        <x:f>Chart_Data!A48</x:f>
        <x:v>-37</x:v>
      </x:c>
      <x:c r="B82" s="85" t="n">
        <x:f>Chart_Data!J48</x:f>
        <x:v>-25.83766278531854</x:v>
      </x:c>
      <x:c r="C82" s="85" t="n">
        <x:f>Chart_Data!J48-Chart_Data!D48</x:f>
        <x:v>-1772.7918638545632</x:v>
      </x:c>
      <x:c r="D82" s="85" t="n">
        <x:f>Chart_Data!J48-Chart_Data!E48</x:f>
        <x:v>-1626.8698413229952</x:v>
      </x:c>
    </x:row>
    <x:row r="83">
      <x:c r="A83" s="85" t="n">
        <x:f>Chart_Data!A49</x:f>
        <x:v>-36.5</x:v>
      </x:c>
      <x:c r="B83" s="85" t="n">
        <x:f>Chart_Data!J49</x:f>
        <x:v>-21.548035323184823</x:v>
      </x:c>
      <x:c r="C83" s="85" t="n">
        <x:f>Chart_Data!J49-Chart_Data!D49</x:f>
        <x:v>-1736.5665090328428</x:v>
      </x:c>
      <x:c r="D83" s="85" t="n">
        <x:f>Chart_Data!J49-Chart_Data!E49</x:f>
        <x:v>-1577.080429180898</x:v>
      </x:c>
    </x:row>
    <x:row r="84">
      <x:c r="A84" s="85" t="n">
        <x:f>Chart_Data!A50</x:f>
        <x:v>-36</x:v>
      </x:c>
      <x:c r="B84" s="85" t="n">
        <x:f>Chart_Data!J50</x:f>
        <x:v>-2.286662206392558</x:v>
      </x:c>
      <x:c r="C84" s="85" t="n">
        <x:f>Chart_Data!J50-Chart_Data!D50</x:f>
        <x:v>-1685.7944222264885</x:v>
      </x:c>
      <x:c r="D84" s="85" t="n">
        <x:f>Chart_Data!J50-Chart_Data!E50</x:f>
        <x:v>-1532.4327466013133</x:v>
      </x:c>
    </x:row>
    <x:row r="85">
      <x:c r="A85" s="85" t="n">
        <x:f>Chart_Data!A51</x:f>
        <x:v>-35.5</x:v>
      </x:c>
      <x:c r="B85" s="85" t="n">
        <x:f>Chart_Data!J51</x:f>
        <x:v>-0.6339718611461809</x:v>
      </x:c>
      <x:c r="C85" s="85" t="n">
        <x:f>Chart_Data!J51-Chart_Data!D51</x:f>
        <x:v>-1653.0564151034198</x:v>
      </x:c>
      <x:c r="D85" s="85" t="n">
        <x:f>Chart_Data!J51-Chart_Data!E51</x:f>
        <x:v>-1494.0807007142573</x:v>
      </x:c>
    </x:row>
    <x:row r="86">
      <x:c r="A86" s="85" t="n">
        <x:f>Chart_Data!A52</x:f>
        <x:v>-35</x:v>
      </x:c>
      <x:c r="B86" s="85" t="n">
        <x:f>Chart_Data!J52</x:f>
        <x:v>-9.708529731781153</x:v>
      </x:c>
      <x:c r="C86" s="85" t="n">
        <x:f>Chart_Data!J52-Chart_Data!D52</x:f>
        <x:v>-1631.471431514995</x:v>
      </x:c>
      <x:c r="D86" s="85" t="n">
        <x:f>Chart_Data!J52-Chart_Data!E52</x:f>
        <x:v>-1469.7308050853962</x:v>
      </x:c>
    </x:row>
    <x:row r="87">
      <x:c r="A87" s="85" t="n">
        <x:f>Chart_Data!A53</x:f>
        <x:v>-34.5</x:v>
      </x:c>
      <x:c r="B87" s="85" t="n">
        <x:f>Chart_Data!J53</x:f>
        <x:v>-9.85965082687293</x:v>
      </x:c>
      <x:c r="C87" s="85" t="n">
        <x:f>Chart_Data!J53-Chart_Data!D53</x:f>
        <x:v>-1601.3891600183597</x:v>
      </x:c>
      <x:c r="D87" s="85" t="n">
        <x:f>Chart_Data!J53-Chart_Data!E53</x:f>
        <x:v>-1419.7132977677022</x:v>
      </x:c>
    </x:row>
    <x:row r="88">
      <x:c r="A88" s="85" t="n">
        <x:f>Chart_Data!A54</x:f>
        <x:v>-34</x:v>
      </x:c>
      <x:c r="B88" s="85" t="n">
        <x:f>Chart_Data!J54</x:f>
        <x:v>0.233219012771956</x:v>
      </x:c>
      <x:c r="C88" s="85" t="n">
        <x:f>Chart_Data!J54-Chart_Data!D54</x:f>
        <x:v>-1561.4894151280257</x:v>
      </x:c>
      <x:c r="D88" s="85" t="n">
        <x:f>Chart_Data!J54-Chart_Data!E54</x:f>
        <x:v>-1383.7279437161244</x:v>
      </x:c>
    </x:row>
    <x:row r="89">
      <x:c r="A89" s="85" t="n">
        <x:f>Chart_Data!A55</x:f>
        <x:v>-33.5</x:v>
      </x:c>
      <x:c r="B89" s="85" t="n">
        <x:f>Chart_Data!J55</x:f>
        <x:v>8.500195567439437</x:v>
      </x:c>
      <x:c r="C89" s="85" t="n">
        <x:f>Chart_Data!J55-Chart_Data!D55</x:f>
        <x:v>-1523.8424448467383</x:v>
      </x:c>
      <x:c r="D89" s="85" t="n">
        <x:f>Chart_Data!J55-Chart_Data!E55</x:f>
        <x:v>-1345.6667653370796</x:v>
      </x:c>
    </x:row>
    <x:row r="90">
      <x:c r="A90" s="85" t="n">
        <x:f>Chart_Data!A56</x:f>
        <x:v>-33</x:v>
      </x:c>
      <x:c r="B90" s="85" t="n">
        <x:f>Chart_Data!J56</x:f>
        <x:v>12.884972617306985</x:v>
      </x:c>
      <x:c r="C90" s="85" t="n">
        <x:f>Chart_Data!J56-Chart_Data!D56</x:f>
        <x:v>-1490.5049142682833</x:v>
      </x:c>
      <x:c r="D90" s="85" t="n">
        <x:f>Chart_Data!J56-Chart_Data!E56</x:f>
        <x:v>-1307.1797205172588</x:v>
      </x:c>
    </x:row>
    <x:row r="91">
      <x:c r="A91" s="85" t="n">
        <x:f>Chart_Data!A57</x:f>
        <x:v>-32.5</x:v>
      </x:c>
      <x:c r="B91" s="85" t="n">
        <x:f>Chart_Data!J57</x:f>
        <x:v>14.196906765365963</x:v>
      </x:c>
      <x:c r="C91" s="85" t="n">
        <x:f>Chart_Data!J57-Chart_Data!D57</x:f>
        <x:v>-1460.667820737671</x:v>
      </x:c>
      <x:c r="D91" s="85" t="n">
        <x:f>Chart_Data!J57-Chart_Data!E57</x:f>
        <x:v>-1273.112111491591</x:v>
      </x:c>
    </x:row>
    <x:row r="92">
      <x:c r="A92" s="85" t="n">
        <x:f>Chart_Data!A58</x:f>
        <x:v>-32</x:v>
      </x:c>
      <x:c r="B92" s="85" t="n">
        <x:f>Chart_Data!J58</x:f>
        <x:v>5.730826646134426</x:v>
      </x:c>
      <x:c r="C92" s="85" t="n">
        <x:f>Chart_Data!J58-Chart_Data!D58</x:f>
        <x:v>-1441.036684622689</x:v>
      </x:c>
      <x:c r="D92" s="85" t="n">
        <x:f>Chart_Data!J58-Chart_Data!E58</x:f>
        <x:v>-1254.267972796934</x:v>
      </x:c>
    </x:row>
    <x:row r="93">
      <x:c r="A93" s="85" t="n">
        <x:f>Chart_Data!A59</x:f>
        <x:v>-31.5</x:v>
      </x:c>
      <x:c r="B93" s="85" t="n">
        <x:f>Chart_Data!J59</x:f>
        <x:v>9.295817115602365</x:v>
      </x:c>
      <x:c r="C93" s="85" t="n">
        <x:f>Chart_Data!J59-Chart_Data!D59</x:f>
        <x:v>-1409.8027651127784</x:v>
      </x:c>
      <x:c r="D93" s="85" t="n">
        <x:f>Chart_Data!J59-Chart_Data!E59</x:f>
        <x:v>-1217.0733655611398</x:v>
      </x:c>
    </x:row>
    <x:row r="94">
      <x:c r="A94" s="85" t="n">
        <x:f>Chart_Data!A60</x:f>
        <x:v>-31</x:v>
      </x:c>
      <x:c r="B94" s="85" t="n">
        <x:f>Chart_Data!J60</x:f>
        <x:v>-13.189582675327635</x:v>
      </x:c>
      <x:c r="C94" s="85" t="n">
        <x:f>Chart_Data!J60-Chart_Data!D60</x:f>
        <x:v>-1405.047862124613</x:v>
      </x:c>
      <x:c r="D94" s="85" t="n">
        <x:f>Chart_Data!J60-Chart_Data!E60</x:f>
        <x:v>-1200.7105613801011</x:v>
      </x:c>
    </x:row>
    <x:row r="95">
      <x:c r="A95" s="85" t="n">
        <x:f>Chart_Data!A61</x:f>
        <x:v>-30.5</x:v>
      </x:c>
      <x:c r="B95" s="85" t="n">
        <x:f>Chart_Data!J61</x:f>
        <x:v>-7.467318037700602</x:v>
      </x:c>
      <x:c r="C95" s="85" t="n">
        <x:f>Chart_Data!J61-Chart_Data!D61</x:f>
        <x:v>-1372.5142550433438</x:v>
      </x:c>
      <x:c r="D95" s="85" t="n">
        <x:f>Chart_Data!J61-Chart_Data!E61</x:f>
        <x:v>-1179.5045882162663</x:v>
      </x:c>
    </x:row>
    <x:row r="96">
      <x:c r="A96" s="85" t="n">
        <x:f>Chart_Data!A62</x:f>
        <x:v>-30</x:v>
      </x:c>
      <x:c r="B96" s="85" t="n">
        <x:f>Chart_Data!J62</x:f>
        <x:v>-17.51801383367469</x:v>
      </x:c>
      <x:c r="C96" s="85" t="n">
        <x:f>Chart_Data!J62-Chart_Data!D62</x:f>
        <x:v>-1356.1828977968823</x:v>
      </x:c>
      <x:c r="D96" s="85" t="n">
        <x:f>Chart_Data!J62-Chart_Data!E62</x:f>
        <x:v>-1158.436329863956</x:v>
      </x:c>
    </x:row>
    <x:row r="97">
      <x:c r="A97" s="85" t="n">
        <x:f>Chart_Data!A63</x:f>
        <x:v>-29.5</x:v>
      </x:c>
      <x:c r="B97" s="85" t="n">
        <x:f>Chart_Data!J63</x:f>
        <x:v>-36.167878297776255</x:v>
      </x:c>
      <x:c r="C97" s="85" t="n">
        <x:f>Chart_Data!J63-Chart_Data!D63</x:f>
        <x:v>-1348.8803226635198</x:v>
      </x:c>
      <x:c r="D97" s="85" t="n">
        <x:f>Chart_Data!J63-Chart_Data!E63</x:f>
        <x:v>-1146.6128510200913</x:v>
      </x:c>
    </x:row>
    <x:row r="98">
      <x:c r="A98" s="85" t="n">
        <x:f>Chart_Data!A64</x:f>
        <x:v>-29</x:v>
      </x:c>
      <x:c r="B98" s="85" t="n">
        <x:f>Chart_Data!J64</x:f>
        <x:v>-22.86382175599607</x:v>
      </x:c>
      <x:c r="C98" s="85" t="n">
        <x:f>Chart_Data!J64-Chart_Data!D64</x:f>
        <x:v>-1310.0537589672008</x:v>
      </x:c>
      <x:c r="D98" s="85" t="n">
        <x:f>Chart_Data!J64-Chart_Data!E64</x:f>
        <x:v>-1112.0944046447491</x:v>
      </x:c>
    </x:row>
    <x:row r="99">
      <x:c r="A99" s="85" t="n">
        <x:f>Chart_Data!A65</x:f>
        <x:v>-28.5</x:v>
      </x:c>
      <x:c r="B99" s="85" t="n">
        <x:f>Chart_Data!J65</x:f>
        <x:v>-29.731374520275047</x:v>
      </x:c>
      <x:c r="C99" s="85" t="n">
        <x:f>Chart_Data!J65-Chart_Data!D65</x:f>
        <x:v>-1291.829050966835</x:v>
      </x:c>
      <x:c r="D99" s="85" t="n">
        <x:f>Chart_Data!J65-Chart_Data!E65</x:f>
        <x:v>-1102.0548595433502</x:v>
      </x:c>
    </x:row>
    <x:row r="100">
      <x:c r="A100" s="85" t="n">
        <x:f>Chart_Data!A66</x:f>
        <x:v>-28</x:v>
      </x:c>
      <x:c r="B100" s="85" t="n">
        <x:f>Chart_Data!J66</x:f>
        <x:v>-53.01751827704016</x:v>
      </x:c>
      <x:c r="C100" s="85" t="n">
        <x:f>Chart_Data!J66-Chart_Data!D66</x:f>
        <x:v>-1290.4534892238844</x:v>
      </x:c>
      <x:c r="D100" s="85" t="n">
        <x:f>Chart_Data!J66-Chart_Data!E66</x:f>
        <x:v>-1085.876996559513</x:v>
      </x:c>
    </x:row>
    <x:row r="101">
      <x:c r="A101" s="85" t="n">
        <x:f>Chart_Data!A67</x:f>
        <x:v>-27.5</x:v>
      </x:c>
      <x:c r="B101" s="85" t="n">
        <x:f>Chart_Data!J67</x:f>
        <x:v>-63.02108594889231</x:v>
      </x:c>
      <x:c r="C101" s="85" t="n">
        <x:f>Chart_Data!J67-Chart_Data!D67</x:f>
        <x:v>-1276.2262104484669</x:v>
      </x:c>
      <x:c r="D101" s="85" t="n">
        <x:f>Chart_Data!J67-Chart_Data!E67</x:f>
        <x:v>-1075.1795202707315</x:v>
      </x:c>
    </x:row>
    <x:row r="102">
      <x:c r="A102" s="85" t="n">
        <x:f>Chart_Data!A68</x:f>
        <x:v>-27</x:v>
      </x:c>
      <x:c r="B102" s="85" t="n">
        <x:f>Chart_Data!J68</x:f>
        <x:v>-69.67153928411518</x:v>
      </x:c>
      <x:c r="C102" s="85" t="n">
        <x:f>Chart_Data!J68-Chart_Data!D68</x:f>
        <x:v>-1259.0769750793168</x:v>
      </x:c>
      <x:c r="D102" s="85" t="n">
        <x:f>Chart_Data!J68-Chart_Data!E68</x:f>
        <x:v>-1058.458620357235</x:v>
      </x:c>
    </x:row>
    <x:row r="103">
      <x:c r="A103" s="85" t="n">
        <x:f>Chart_Data!A69</x:f>
        <x:v>-26.5</x:v>
      </x:c>
      <x:c r="B103" s="85" t="n">
        <x:f>Chart_Data!J69</x:f>
        <x:v>-78.11942002863731</x:v>
      </x:c>
      <x:c r="C103" s="85" t="n">
        <x:f>Chart_Data!J69-Chart_Data!D69</x:f>
        <x:v>-1244.15661843467</x:v>
      </x:c>
      <x:c r="D103" s="85" t="n">
        <x:f>Chart_Data!J69-Chart_Data!E69</x:f>
        <x:v>-1038.0917496264</x:v>
      </x:c>
    </x:row>
    <x:row r="104">
      <x:c r="A104" s="85" t="n">
        <x:f>Chart_Data!A70</x:f>
        <x:v>-26</x:v>
      </x:c>
      <x:c r="B104" s="85" t="n">
        <x:f>Chart_Data!J70</x:f>
        <x:v>-82.17349441978894</x:v>
      </x:c>
      <x:c r="C104" s="85" t="n">
        <x:f>Chart_Data!J70-Chart_Data!D70</x:f>
        <x:v>-1225.2741951952275</x:v>
      </x:c>
      <x:c r="D104" s="85" t="n">
        <x:f>Chart_Data!J70-Chart_Data!E70</x:f>
        <x:v>-1027.4147805060582</x:v>
      </x:c>
    </x:row>
    <x:row r="105">
      <x:c r="A105" s="85" t="n">
        <x:f>Chart_Data!A71</x:f>
        <x:v>-25.5</x:v>
      </x:c>
      <x:c r="B105" s="85" t="n">
        <x:f>Chart_Data!J71</x:f>
        <x:v>-104.31813701930129</x:v>
      </x:c>
      <x:c r="C105" s="85" t="n">
        <x:f>Chart_Data!J71-Chart_Data!D71</x:f>
        <x:v>-1224.9143632261366</x:v>
      </x:c>
      <x:c r="D105" s="85" t="n">
        <x:f>Chart_Data!J71-Chart_Data!E71</x:f>
        <x:v>-1014.6067625106193</x:v>
      </x:c>
    </x:row>
    <x:row r="106">
      <x:c r="A106" s="85" t="n">
        <x:f>Chart_Data!A72</x:f>
        <x:v>-25</x:v>
      </x:c>
      <x:c r="B106" s="85" t="n">
        <x:f>Chart_Data!J72</x:f>
        <x:v>-97.55297588358108</x:v>
      </x:c>
      <x:c r="C106" s="85" t="n">
        <x:f>Chart_Data!J72-Chart_Data!D72</x:f>
        <x:v>-1196.0770287259975</x:v>
      </x:c>
      <x:c r="D106" s="85" t="n">
        <x:f>Chart_Data!J72-Chart_Data!E72</x:f>
        <x:v>-995.945504773762</x:v>
      </x:c>
    </x:row>
    <x:row r="107">
      <x:c r="A107" s="85" t="n">
        <x:f>Chart_Data!A73</x:f>
        <x:v>-24.5</x:v>
      </x:c>
      <x:c r="B107" s="85" t="n">
        <x:f>Chart_Data!J73</x:f>
        <x:v>-113.61582851930044</x:v>
      </x:c>
      <x:c r="C107" s="85" t="n">
        <x:f>Chart_Data!J73-Chart_Data!D73</x:f>
        <x:v>-1190.5002821761939</x:v>
      </x:c>
      <x:c r="D107" s="85" t="n">
        <x:f>Chart_Data!J73-Chart_Data!E73</x:f>
        <x:v>-972.2682155162705</x:v>
      </x:c>
    </x:row>
    <x:row r="108">
      <x:c r="A108" s="85" t="n">
        <x:f>Chart_Data!A74</x:f>
        <x:v>-24</x:v>
      </x:c>
      <x:c r="B108" s="85" t="n">
        <x:f>Chart_Data!J74</x:f>
        <x:v>-111.48853690711687</x:v>
      </x:c>
      <x:c r="C108" s="85" t="n">
        <x:f>Chart_Data!J74-Chart_Data!D74</x:f>
        <x:v>-1167.1662333460586</x:v>
      </x:c>
      <x:c r="D108" s="85" t="n">
        <x:f>Chart_Data!J74-Chart_Data!E74</x:f>
        <x:v>-954.5312671803417</x:v>
      </x:c>
    </x:row>
    <x:row r="109">
      <x:c r="A109" s="85" t="n">
        <x:f>Chart_Data!A75</x:f>
        <x:v>-23.5</x:v>
      </x:c>
      <x:c r="B109" s="85" t="n">
        <x:f>Chart_Data!J75</x:f>
        <x:v>-125.65162794647964</x:v>
      </x:c>
      <x:c r="C109" s="85" t="n">
        <x:f>Chart_Data!J75-Chart_Data!D75</x:f>
        <x:v>-1160.555671729857</x:v>
      </x:c>
      <x:c r="D109" s="85" t="n">
        <x:f>Chart_Data!J75-Chart_Data!E75</x:f>
        <x:v>-936.9552637400798</x:v>
      </x:c>
    </x:row>
    <x:row r="110">
      <x:c r="A110" s="85" t="n">
        <x:f>Chart_Data!A76</x:f>
        <x:v>-23</x:v>
      </x:c>
      <x:c r="B110" s="85" t="n">
        <x:f>Chart_Data!J76</x:f>
        <x:v>-132.5457898426781</x:v>
      </x:c>
      <x:c r="C110" s="85" t="n">
        <x:f>Chart_Data!J76-Chart_Data!D76</x:f>
        <x:v>-1147.1095429138434</x:v>
      </x:c>
      <x:c r="D110" s="85" t="n">
        <x:f>Chart_Data!J76-Chart_Data!E76</x:f>
        <x:v>-916.478522043887</x:v>
      </x:c>
    </x:row>
    <x:row r="111">
      <x:c r="A111" s="85" t="n">
        <x:f>Chart_Data!A77</x:f>
        <x:v>-22.5</x:v>
      </x:c>
      <x:c r="B111" s="85" t="n">
        <x:f>Chart_Data!J77</x:f>
        <x:v>-138.29494668428998</x:v>
      </x:c>
      <x:c r="C111" s="85" t="n">
        <x:f>Chart_Data!J77-Chart_Data!D77</x:f>
        <x:v>-1132.9520231488557</x:v>
      </x:c>
      <x:c r="D111" s="85" t="n">
        <x:f>Chart_Data!J77-Chart_Data!E77</x:f>
        <x:v>-895.0828970029484</x:v>
      </x:c>
    </x:row>
    <x:row r="112">
      <x:c r="A112" s="85" t="n">
        <x:f>Chart_Data!A78</x:f>
        <x:v>-22</x:v>
      </x:c>
      <x:c r="B112" s="85" t="n">
        <x:f>Chart_Data!J78</x:f>
        <x:v>-144.0992283446906</x:v>
      </x:c>
      <x:c r="C112" s="85" t="n">
        <x:f>Chart_Data!J78-Chart_Data!D78</x:f>
        <x:v>-1119.2834892337812</x:v>
      </x:c>
      <x:c r="D112" s="85" t="n">
        <x:f>Chart_Data!J78-Chart_Data!E78</x:f>
        <x:v>-861.424749724981</x:v>
      </x:c>
    </x:row>
    <x:row r="113">
      <x:c r="A113" s="85" t="n">
        <x:f>Chart_Data!A79</x:f>
        <x:v>-21.5</x:v>
      </x:c>
      <x:c r="B113" s="85" t="n">
        <x:f>Chart_Data!J79</x:f>
        <x:v>-156.9345481530768</x:v>
      </x:c>
      <x:c r="C113" s="85" t="n">
        <x:f>Chart_Data!J79-Chart_Data!D79</x:f>
        <x:v>-1113.080096177448</x:v>
      </x:c>
      <x:c r="D113" s="85" t="n">
        <x:f>Chart_Data!J79-Chart_Data!E79</x:f>
        <x:v>-839.1395953482241</x:v>
      </x:c>
    </x:row>
    <x:row r="114">
      <x:c r="A114" s="85" t="n">
        <x:f>Chart_Data!A80</x:f>
        <x:v>-21</x:v>
      </x:c>
      <x:c r="B114" s="85" t="n">
        <x:f>Chart_Data!J80</x:f>
        <x:v>-142.37794992196604</x:v>
      </x:c>
      <x:c r="C114" s="85" t="n">
        <x:f>Chart_Data!J80-Chart_Data!D80</x:f>
        <x:v>-1079.9191242145632</x:v>
      </x:c>
      <x:c r="D114" s="85" t="n">
        <x:f>Chart_Data!J80-Chart_Data!E80</x:f>
        <x:v>-822.2582808669999</x:v>
      </x:c>
    </x:row>
    <x:row r="115">
      <x:c r="A115" s="85" t="n">
        <x:f>Chart_Data!A81</x:f>
        <x:v>-20.5</x:v>
      </x:c>
      <x:c r="B115" s="85" t="n">
        <x:f>Chart_Data!J81</x:f>
        <x:v>-140.5508651158499</x:v>
      </x:c>
      <x:c r="C115" s="85" t="n">
        <x:f>Chart_Data!J81-Chart_Data!D81</x:f>
        <x:v>-1059.9222359575056</x:v>
      </x:c>
      <x:c r="D115" s="85" t="n">
        <x:f>Chart_Data!J81-Chart_Data!E81</x:f>
        <x:v>-789.0388380624122</x:v>
      </x:c>
    </x:row>
    <x:row r="116">
      <x:c r="A116" s="85" t="n">
        <x:f>Chart_Data!A82</x:f>
        <x:v>-20</x:v>
      </x:c>
      <x:c r="B116" s="85" t="n">
        <x:f>Chart_Data!J82</x:f>
        <x:v>-146.32822187126578</x:v>
      </x:c>
      <x:c r="C116" s="85" t="n">
        <x:f>Chart_Data!J82-Chart_Data!D82</x:f>
        <x:v>-1047.9645854151504</x:v>
      </x:c>
      <x:c r="D116" s="85" t="n">
        <x:f>Chart_Data!J82-Chart_Data!E82</x:f>
        <x:v>-776.7352528377771</x:v>
      </x:c>
    </x:row>
    <x:row r="117">
      <x:c r="A117" s="85" t="n">
        <x:f>Chart_Data!A83</x:f>
        <x:v>-19.5</x:v>
      </x:c>
      <x:c r="B117" s="85" t="n">
        <x:f>Chart_Data!J83</x:f>
        <x:v>-140.0483381286437</x:v>
      </x:c>
      <x:c r="C117" s="85" t="n">
        <x:f>Chart_Data!J83-Chart_Data!D83</x:f>
        <x:v>-1024.3847111023645</x:v>
      </x:c>
      <x:c r="D117" s="85" t="n">
        <x:f>Chart_Data!J83-Chart_Data!E83</x:f>
        <x:v>-742.3226580930634</x:v>
      </x:c>
    </x:row>
    <x:row r="118">
      <x:c r="A118" s="85" t="n">
        <x:f>Chart_Data!A84</x:f>
        <x:v>-19</x:v>
      </x:c>
      <x:c r="B118" s="85" t="n">
        <x:f>Chart_Data!J84</x:f>
        <x:v>-144.88352309984418</x:v>
      </x:c>
      <x:c r="C118" s="85" t="n">
        <x:f>Chart_Data!J84-Chart_Data!D84</x:f>
        <x:v>-1012.3551375054659</x:v>
      </x:c>
      <x:c r="D118" s="85" t="n">
        <x:f>Chart_Data!J84-Chart_Data!E84</x:f>
        <x:v>-723.4361244329356</x:v>
      </x:c>
    </x:row>
    <x:row r="119">
      <x:c r="A119" s="85" t="n">
        <x:f>Chart_Data!A85</x:f>
        <x:v>-18.5</x:v>
      </x:c>
      <x:c r="B119" s="85" t="n">
        <x:f>Chart_Data!J85</x:f>
        <x:v>-136.66366560462208</x:v>
      </x:c>
      <x:c r="C119" s="85" t="n">
        <x:f>Chart_Data!J85-Chart_Data!D85</x:f>
        <x:v>-987.7059634028818</x:v>
      </x:c>
      <x:c r="D119" s="85" t="n">
        <x:f>Chart_Data!J85-Chart_Data!E85</x:f>
        <x:v>-706.4599571266378</x:v>
      </x:c>
    </x:row>
    <x:row r="120">
      <x:c r="A120" s="85" t="n">
        <x:f>Chart_Data!A86</x:f>
        <x:v>-18</x:v>
      </x:c>
      <x:c r="B120" s="85" t="n">
        <x:f>Chart_Data!J86</x:f>
        <x:v>-149.12259877495586</x:v>
      </x:c>
      <x:c r="C120" s="85" t="n">
        <x:f>Chart_Data!J86-Chart_Data!D86</x:f>
        <x:v>-984.1712265613655</x:v>
      </x:c>
      <x:c r="D120" s="85" t="n">
        <x:f>Chart_Data!J86-Chart_Data!E86</x:f>
        <x:v>-681.1823566531366</x:v>
      </x:c>
    </x:row>
    <x:row r="121">
      <x:c r="A121" s="85" t="n">
        <x:f>Chart_Data!A87</x:f>
        <x:v>-17.5</x:v>
      </x:c>
      <x:c r="B121" s="85" t="n">
        <x:f>Chart_Data!J87</x:f>
        <x:v>-139.0731304771746</x:v>
      </x:c>
      <x:c r="C121" s="85" t="n">
        <x:f>Chart_Data!J87-Chart_Data!D87</x:f>
        <x:v>-958.5639341469792</x:v>
      </x:c>
      <x:c r="D121" s="85" t="n">
        <x:f>Chart_Data!J87-Chart_Data!E87</x:f>
        <x:v>-658.378337287427</x:v>
      </x:c>
    </x:row>
    <x:row r="122">
      <x:c r="A122" s="85" t="n">
        <x:f>Chart_Data!A88</x:f>
        <x:v>-17</x:v>
      </x:c>
      <x:c r="B122" s="85" t="n">
        <x:f>Chart_Data!J88</x:f>
        <x:v>-125.70874899839603</x:v>
      </x:c>
      <x:c r="C122" s="85" t="n">
        <x:f>Chart_Data!J88-Chart_Data!D88</x:f>
        <x:v>-930.0777684020146</x:v>
      </x:c>
      <x:c r="D122" s="85" t="n">
        <x:f>Chart_Data!J88-Chart_Data!E88</x:f>
        <x:v>-646.1609923379717</x:v>
      </x:c>
    </x:row>
    <x:row r="123">
      <x:c r="A123" s="85" t="n">
        <x:f>Chart_Data!A89</x:f>
        <x:v>-16.5</x:v>
      </x:c>
      <x:c r="B123" s="85" t="n">
        <x:f>Chart_Data!J89</x:f>
        <x:v>-123.86861357235706</x:v>
      </x:c>
      <x:c r="C123" s="85" t="n">
        <x:f>Chart_Data!J89-Chart_Data!D89</x:f>
        <x:v>-913.5520771643409</x:v>
      </x:c>
      <x:c r="D123" s="85" t="n">
        <x:f>Chart_Data!J89-Chart_Data!E89</x:f>
        <x:v>-627.4243451422494</x:v>
      </x:c>
    </x:row>
    <x:row r="124">
      <x:c r="A124" s="85" t="n">
        <x:f>Chart_Data!A90</x:f>
        <x:v>-16</x:v>
      </x:c>
      <x:c r="B124" s="85" t="n">
        <x:f>Chart_Data!J90</x:f>
        <x:v>-97.48037396441562</x:v>
      </x:c>
      <x:c r="C124" s="85" t="n">
        <x:f>Chart_Data!J90-Chart_Data!D90</x:f>
        <x:v>-872.9146934359611</x:v>
      </x:c>
      <x:c r="D124" s="85" t="n">
        <x:f>Chart_Data!J90-Chart_Data!E90</x:f>
        <x:v>-586.9657899291714</x:v>
      </x:c>
    </x:row>
    <x:row r="125">
      <x:c r="A125" s="85" t="n">
        <x:f>Chart_Data!A91</x:f>
        <x:v>-15.5</x:v>
      </x:c>
      <x:c r="B125" s="85" t="n">
        <x:f>Chart_Data!J91</x:f>
        <x:v>-109.31712972071381</x:v>
      </x:c>
      <x:c r="C125" s="85" t="n">
        <x:f>Chart_Data!J91-Chart_Data!D91</x:f>
        <x:v>-870.9388946302261</x:v>
      </x:c>
      <x:c r="D125" s="85" t="n">
        <x:f>Chart_Data!J91-Chart_Data!E91</x:f>
        <x:v>-582.8626503556134</x:v>
      </x:c>
    </x:row>
    <x:row r="126">
      <x:c r="A126" s="85" t="n">
        <x:f>Chart_Data!A92</x:f>
        <x:v>-15</x:v>
      </x:c>
      <x:c r="B126" s="85" t="n">
        <x:f>Chart_Data!J92</x:f>
        <x:v>-90.49530902944495</x:v>
      </x:c>
      <x:c r="C126" s="85" t="n">
        <x:f>Chart_Data!J92-Chart_Data!D92</x:f>
        <x:v>-838.7412814211275</x:v>
      </x:c>
      <x:c r="D126" s="85" t="n">
        <x:f>Chart_Data!J92-Chart_Data!E92</x:f>
        <x:v>-554.8159844216168</x:v>
      </x:c>
    </x:row>
    <x:row r="127">
      <x:c r="A127" s="85" t="n">
        <x:f>Chart_Data!A93</x:f>
        <x:v>-14.5</x:v>
      </x:c>
      <x:c r="B127" s="85" t="n">
        <x:f>Chart_Data!J93</x:f>
        <x:v>-86.65248482679937</x:v>
      </x:c>
      <x:c r="C127" s="85" t="n">
        <x:f>Chart_Data!J93-Chart_Data!D93</x:f>
        <x:v>-821.9595938406198</x:v>
      </x:c>
      <x:c r="D127" s="85" t="n">
        <x:f>Chart_Data!J93-Chart_Data!E93</x:f>
        <x:v>-535.3180362521318</x:v>
      </x:c>
    </x:row>
    <x:row r="128">
      <x:c r="A128" s="85" t="n">
        <x:f>Chart_Data!A94</x:f>
        <x:v>-14</x:v>
      </x:c>
      <x:c r="B128" s="85" t="n">
        <x:f>Chart_Data!J94</x:f>
        <x:v>-84.36597258140502</x:v>
      </x:c>
      <x:c r="C128" s="85" t="n">
        <x:f>Chart_Data!J94-Chart_Data!D94</x:f>
        <x:v>-807.1713090528433</x:v>
      </x:c>
      <x:c r="D128" s="85" t="n">
        <x:f>Chart_Data!J94-Chart_Data!E94</x:f>
        <x:v>-524.2351218334527</x:v>
      </x:c>
    </x:row>
    <x:row r="129">
      <x:c r="A129" s="85" t="n">
        <x:f>Chart_Data!A95</x:f>
        <x:v>-13.5</x:v>
      </x:c>
      <x:c r="B129" s="85" t="n">
        <x:f>Chart_Data!J95</x:f>
        <x:v>-61.03205493353448</x:v>
      </x:c>
      <x:c r="C129" s="85" t="n">
        <x:f>Chart_Data!J95-Chart_Data!D95</x:f>
        <x:v>-771.772865992531</x:v>
      </x:c>
      <x:c r="D129" s="85" t="n">
        <x:f>Chart_Data!J95-Chart_Data!E95</x:f>
        <x:v>-503.1538775750057</x:v>
      </x:c>
    </x:row>
    <x:row r="130">
      <x:c r="A130" s="85" t="n">
        <x:f>Chart_Data!A96</x:f>
        <x:v>-13</x:v>
      </x:c>
      <x:c r="B130" s="85" t="n">
        <x:f>Chart_Data!J96</x:f>
        <x:v>-64.09243482429542</x:v>
      </x:c>
      <x:c r="C130" s="85" t="n">
        <x:f>Chart_Data!J96-Chart_Data!D96</x:f>
        <x:v>-763.2061184784893</x:v>
      </x:c>
      <x:c r="D130" s="85" t="n">
        <x:f>Chart_Data!J96-Chart_Data!E96</x:f>
        <x:v>-484.95413096286563</x:v>
      </x:c>
    </x:row>
    <x:row r="131">
      <x:c r="A131" s="85" t="n">
        <x:f>Chart_Data!A97</x:f>
        <x:v>-12.5</x:v>
      </x:c>
      <x:c r="B131" s="85" t="n">
        <x:f>Chart_Data!J97</x:f>
        <x:v>-70.18392228131138</x:v>
      </x:c>
      <x:c r="C131" s="85" t="n">
        <x:f>Chart_Data!J97-Chart_Data!D97</x:f>
        <x:v>-758.108021994583</x:v>
      </x:c>
      <x:c r="D131" s="85" t="n">
        <x:f>Chart_Data!J97-Chart_Data!E97</x:f>
        <x:v>-467.47353800676615</x:v>
      </x:c>
    </x:row>
    <x:row r="132">
      <x:c r="A132" s="85" t="n">
        <x:f>Chart_Data!A98</x:f>
        <x:v>-12</x:v>
      </x:c>
      <x:c r="B132" s="85" t="n">
        <x:f>Chart_Data!J98</x:f>
        <x:v>-47.55794552962975</x:v>
      </x:c>
      <x:c r="C132" s="85" t="n">
        <x:f>Chart_Data!J98-Chart_Data!D98</x:f>
        <x:v>-724.730144795119</x:v>
      </x:c>
      <x:c r="D132" s="85" t="n">
        <x:f>Chart_Data!J98-Chart_Data!E98</x:f>
        <x:v>-452.87905598394343</x:v>
      </x:c>
    </x:row>
    <x:row r="133">
      <x:c r="A133" s="85" t="n">
        <x:f>Chart_Data!A99</x:f>
        <x:v>-11.5</x:v>
      </x:c>
      <x:c r="B133" s="85" t="n">
        <x:f>Chart_Data!J99</x:f>
        <x:v>-48.06780811544866</x:v>
      </x:c>
      <x:c r="C133" s="85" t="n">
        <x:f>Chart_Data!J99-Chart_Data!D99</x:f>
        <x:v>-714.9259250187375</x:v>
      </x:c>
      <x:c r="D133" s="85" t="n">
        <x:f>Chart_Data!J99-Chart_Data!E99</x:f>
        <x:v>-431.0658356448171</x:v>
      </x:c>
    </x:row>
    <x:row r="134">
      <x:c r="A134" s="85" t="n">
        <x:f>Chart_Data!A100</x:f>
        <x:v>-11</x:v>
      </x:c>
      <x:c r="B134" s="85" t="n">
        <x:f>Chart_Data!J100</x:f>
        <x:v>-43.28983557333215</x:v>
      </x:c>
      <x:c r="C134" s="85" t="n">
        <x:f>Chart_Data!J100-Chart_Data!D100</x:f>
        <x:v>-700.2718173530086</x:v>
      </x:c>
      <x:c r="D134" s="85" t="n">
        <x:f>Chart_Data!J100-Chart_Data!E100</x:f>
        <x:v>-417.0497936790157</x:v>
      </x:c>
    </x:row>
    <x:row r="135">
      <x:c r="A135" s="85" t="n">
        <x:f>Chart_Data!A101</x:f>
        <x:v>-10.5</x:v>
      </x:c>
      <x:c r="B135" s="85" t="n">
        <x:f>Chart_Data!J101</x:f>
        <x:v>-52.09631463655199</x:v>
      </x:c>
      <x:c r="C135" s="85" t="n">
        <x:f>Chart_Data!J101-Chart_Data!D101</x:f>
        <x:v>-699.6402322322552</x:v>
      </x:c>
      <x:c r="D135" s="85" t="n">
        <x:f>Chart_Data!J101-Chart_Data!E101</x:f>
        <x:v>-407.2250812275748</x:v>
      </x:c>
    </x:row>
    <x:row r="136">
      <x:c r="A136" s="85" t="n">
        <x:f>Chart_Data!A102</x:f>
        <x:v>-10</x:v>
      </x:c>
      <x:c r="B136" s="85" t="n">
        <x:f>Chart_Data!J102</x:f>
        <x:v>-49.423131521111884</x:v>
      </x:c>
      <x:c r="C136" s="85" t="n">
        <x:f>Chart_Data!J102-Chart_Data!D102</x:f>
        <x:v>-687.9671741223447</x:v>
      </x:c>
      <x:c r="D136" s="85" t="n">
        <x:f>Chart_Data!J102-Chart_Data!E102</x:f>
        <x:v>-396.24969525849133</x:v>
      </x:c>
    </x:row>
    <x:row r="137">
      <x:c r="A137" s="85" t="n">
        <x:f>Chart_Data!A103</x:f>
        <x:v>-9.5</x:v>
      </x:c>
      <x:c r="B137" s="85" t="n">
        <x:f>Chart_Data!J103</x:f>
        <x:v>-32.277557975083496</x:v>
      </x:c>
      <x:c r="C137" s="85" t="n">
        <x:f>Chart_Data!J103-Chart_Data!D103</x:f>
        <x:v>-662.260027557633</x:v>
      </x:c>
      <x:c r="D137" s="85" t="n">
        <x:f>Chart_Data!J103-Chart_Data!E103</x:f>
        <x:v>-380.68454892054046</x:v>
      </x:c>
    </x:row>
    <x:row r="138">
      <x:c r="A138" s="85" t="n">
        <x:f>Chart_Data!A104</x:f>
        <x:v>-9</x:v>
      </x:c>
      <x:c r="B138" s="85" t="n">
        <x:f>Chart_Data!J104</x:f>
        <x:v>-47.4214748383975</x:v>
      </x:c>
      <x:c r="C138" s="85" t="n">
        <x:f>Chart_Data!J104-Chart_Data!D104</x:f>
        <x:v>-669.2807806991923</x:v>
      </x:c>
      <x:c r="D138" s="85" t="n">
        <x:f>Chart_Data!J104-Chart_Data!E104</x:f>
        <x:v>-373.56653943906593</x:v>
      </x:c>
    </x:row>
    <x:row r="139">
      <x:c r="A139" s="85" t="n">
        <x:f>Chart_Data!A105</x:f>
        <x:v>-8.5</x:v>
      </x:c>
      <x:c r="B139" s="85" t="n">
        <x:f>Chart_Data!J105</x:f>
        <x:v>-61.84832289166857</x:v>
      </x:c>
      <x:c r="C139" s="85" t="n">
        <x:f>Chart_Data!J105-Chart_Data!D105</x:f>
        <x:v>-676.0229761794515</x:v>
      </x:c>
      <x:c r="D139" s="85" t="n">
        <x:f>Chart_Data!J105-Chart_Data!E105</x:f>
        <x:v>-383.3883123661417</x:v>
      </x:c>
    </x:row>
    <x:row r="140">
      <x:c r="A140" s="85" t="n">
        <x:f>Chart_Data!A106</x:f>
        <x:v>-8</x:v>
      </x:c>
      <x:c r="B140" s="85" t="n">
        <x:f>Chart_Data!J106</x:f>
        <x:v>-39.34099577037003</x:v>
      </x:c>
      <x:c r="C140" s="85" t="n">
        <x:f>Chart_Data!J106-Chart_Data!D106</x:f>
        <x:v>-646.2696040068232</x:v>
      </x:c>
      <x:c r="D140" s="85" t="n">
        <x:f>Chart_Data!J106-Chart_Data!E106</x:f>
        <x:v>-357.8453301708655</x:v>
      </x:c>
    </x:row>
    <x:row r="141">
      <x:c r="A141" s="85" t="n">
        <x:f>Chart_Data!A107</x:f>
        <x:v>-7.5</x:v>
      </x:c>
      <x:c r="B141" s="85" t="n">
        <x:f>Chart_Data!J107</x:f>
        <x:v>-43.22381145165265</x:v>
      </x:c>
      <x:c r="C141" s="85" t="n">
        <x:f>Chart_Data!J107-Chart_Data!D107</x:f>
        <x:v>-643.3450730515</x:v>
      </x:c>
      <x:c r="D141" s="85" t="n">
        <x:f>Chart_Data!J107-Chart_Data!E107</x:f>
        <x:v>-355.75388080422675</x:v>
      </x:c>
    </x:row>
    <x:row r="142">
      <x:c r="A142" s="85" t="n">
        <x:f>Chart_Data!A108</x:f>
        <x:v>-7</x:v>
      </x:c>
      <x:c r="B142" s="85" t="n">
        <x:f>Chart_Data!J108</x:f>
        <x:v>-48.04634011268098</x:v>
      </x:c>
      <x:c r="C142" s="85" t="n">
        <x:f>Chart_Data!J108-Chart_Data!D108</x:f>
        <x:v>-641.799038897436</x:v>
      </x:c>
      <x:c r="D142" s="85" t="n">
        <x:f>Chart_Data!J108-Chart_Data!E108</x:f>
        <x:v>-366.77931094996893</x:v>
      </x:c>
    </x:row>
    <x:row r="143">
      <x:c r="A143" s="85" t="n">
        <x:f>Chart_Data!A109</x:f>
        <x:v>-6.5</x:v>
      </x:c>
      <x:c r="B143" s="85" t="n">
        <x:f>Chart_Data!J109</x:f>
        <x:v>-59.466303655605586</x:v>
      </x:c>
      <x:c r="C143" s="85" t="n">
        <x:f>Chart_Data!J109-Chart_Data!D109</x:f>
        <x:v>-647.289303360358</x:v>
      </x:c>
      <x:c r="D143" s="85" t="n">
        <x:f>Chart_Data!J109-Chart_Data!E109</x:f>
        <x:v>-358.6486154422999</x:v>
      </x:c>
    </x:row>
    <x:row r="144">
      <x:c r="A144" s="85" t="n">
        <x:f>Chart_Data!A110</x:f>
        <x:v>-6</x:v>
      </x:c>
      <x:c r="B144" s="85" t="n">
        <x:f>Chart_Data!J110</x:f>
        <x:v>-61.0986453608147</x:v>
      </x:c>
      <x:c r="C144" s="85" t="n">
        <x:f>Chart_Data!J110-Chart_Data!D110</x:f>
        <x:v>-643.4308841461894</x:v>
      </x:c>
      <x:c r="D144" s="85" t="n">
        <x:f>Chart_Data!J110-Chart_Data!E110</x:f>
        <x:v>-358.3767798832825</x:v>
      </x:c>
    </x:row>
    <x:row r="145">
      <x:c r="A145" s="85" t="n">
        <x:f>Chart_Data!A111</x:f>
        <x:v>-5.5</x:v>
      </x:c>
      <x:c r="B145" s="85" t="n">
        <x:f>Chart_Data!J111</x:f>
        <x:v>-63.59054434613801</x:v>
      </x:c>
      <x:c r="C145" s="85" t="n">
        <x:f>Chart_Data!J111-Chart_Data!D111</x:f>
        <x:v>-640.8710292947986</x:v>
      </x:c>
      <x:c r="D145" s="85" t="n">
        <x:f>Chart_Data!J111-Chart_Data!E111</x:f>
        <x:v>-360.3017454880129</x:v>
      </x:c>
    </x:row>
    <x:row r="146">
      <x:c r="A146" s="85" t="n">
        <x:f>Chart_Data!A112</x:f>
        <x:v>-5</x:v>
      </x:c>
      <x:c r="B146" s="85" t="n">
        <x:f>Chart_Data!J112</x:f>
        <x:v>-73.64560445817172</x:v>
      </x:c>
      <x:c r="C146" s="85" t="n">
        <x:f>Chart_Data!J112-Chart_Data!D112</x:f>
        <x:v>-646.3134060757305</x:v>
      </x:c>
      <x:c r="D146" s="85" t="n">
        <x:f>Chart_Data!J112-Chart_Data!E112</x:f>
        <x:v>-366.1015867489178</x:v>
      </x:c>
    </x:row>
    <x:row r="147">
      <x:c r="A147" s="85" t="n">
        <x:f>Chart_Data!A113</x:f>
        <x:v>-4.5</x:v>
      </x:c>
      <x:c r="B147" s="85" t="n">
        <x:f>Chart_Data!J113</x:f>
        <x:v>-73.08935088189128</x:v>
      </x:c>
      <x:c r="C147" s="85" t="n">
        <x:f>Chart_Data!J113-Chart_Data!D113</x:f>
        <x:v>-641.5835975945623</x:v>
      </x:c>
      <x:c r="D147" s="85" t="n">
        <x:f>Chart_Data!J113-Chart_Data!E113</x:f>
        <x:v>-363.4648325410822</x:v>
      </x:c>
    </x:row>
    <x:row r="148">
      <x:c r="A148" s="85" t="n">
        <x:f>Chart_Data!A114</x:f>
        <x:v>-4</x:v>
      </x:c>
      <x:c r="B148" s="85" t="n">
        <x:f>Chart_Data!J114</x:f>
        <x:v>-74.23673097551541</x:v>
      </x:c>
      <x:c r="C148" s="85" t="n">
        <x:f>Chart_Data!J114-Chart_Data!D114</x:f>
        <x:v>-638.996603621061</x:v>
      </x:c>
      <x:c r="D148" s="85" t="n">
        <x:f>Chart_Data!J114-Chart_Data!E114</x:f>
        <x:v>-358.7111596640046</x:v>
      </x:c>
    </x:row>
    <x:row r="149">
      <x:c r="A149" s="85" t="n">
        <x:f>Chart_Data!A115</x:f>
        <x:v>-3.5</x:v>
      </x:c>
      <x:c r="B149" s="85" t="n">
        <x:f>Chart_Data!J115</x:f>
        <x:v>-78.64906809360804</x:v>
      </x:c>
      <x:c r="C149" s="85" t="n">
        <x:f>Chart_Data!J115-Chart_Data!D115</x:f>
        <x:v>-640.1137944083252</x:v>
      </x:c>
      <x:c r="D149" s="85" t="n">
        <x:f>Chart_Data!J115-Chart_Data!E115</x:f>
        <x:v>-369.13368350404346</x:v>
      </x:c>
    </x:row>
    <x:row r="150">
      <x:c r="A150" s="85" t="n">
        <x:f>Chart_Data!A116</x:f>
        <x:v>-3</x:v>
      </x:c>
      <x:c r="B150" s="85" t="n">
        <x:f>Chart_Data!J116</x:f>
        <x:v>-67.68197739460362</x:v>
      </x:c>
      <x:c r="C150" s="85" t="n">
        <x:f>Chart_Data!J116-Chart_Data!D116</x:f>
        <x:v>-626.2908265064111</x:v>
      </x:c>
      <x:c r="D150" s="85" t="n">
        <x:f>Chart_Data!J116-Chart_Data!E116</x:f>
        <x:v>-352.9655976428698</x:v>
      </x:c>
    </x:row>
    <x:row r="151">
      <x:c r="A151" s="85" t="n">
        <x:f>Chart_Data!A117</x:f>
        <x:v>-2.5</x:v>
      </x:c>
      <x:c r="B151" s="85" t="n">
        <x:f>Chart_Data!J117</x:f>
        <x:v>-49.83449295863612</x:v>
      </x:c>
      <x:c r="C151" s="85" t="n">
        <x:f>Chart_Data!J117-Chart_Data!D117</x:f>
        <x:v>-606.0267698689507</x:v>
      </x:c>
      <x:c r="D151" s="85" t="n">
        <x:f>Chart_Data!J117-Chart_Data!E117</x:f>
        <x:v>-342.2608608424914</x:v>
      </x:c>
    </x:row>
    <x:row r="152">
      <x:c r="A152" s="85" t="n">
        <x:f>Chart_Data!A118</x:f>
        <x:v>-2</x:v>
      </x:c>
      <x:c r="B152" s="85" t="n">
        <x:f>Chart_Data!J118</x:f>
        <x:v>-59.60727995622125</x:v>
      </x:c>
      <x:c r="C152" s="85" t="n">
        <x:f>Chart_Data!J118-Chart_Data!D118</x:f>
        <x:v>-613.8223200254122</x:v>
      </x:c>
      <x:c r="D152" s="85" t="n">
        <x:f>Chart_Data!J118-Chart_Data!E118</x:f>
        <x:v>-336.1588308670421</x:v>
      </x:c>
    </x:row>
    <x:row r="153">
      <x:c r="A153" s="85" t="n">
        <x:f>Chart_Data!A119</x:f>
        <x:v>-1.5</x:v>
      </x:c>
      <x:c r="B153" s="85" t="n">
        <x:f>Chart_Data!J119</x:f>
        <x:v>-34.15455011761312</x:v>
      </x:c>
      <x:c r="C153" s="85" t="n">
        <x:f>Chart_Data!J119-Chart_Data!D119</x:f>
        <x:v>-586.8317135480925</x:v>
      </x:c>
      <x:c r="D153" s="85" t="n">
        <x:f>Chart_Data!J119-Chart_Data!E119</x:f>
        <x:v>-326.1969504531552</x:v>
      </x:c>
    </x:row>
    <x:row r="154">
      <x:c r="A154" s="85" t="n">
        <x:f>Chart_Data!A120</x:f>
        <x:v>-1</x:v>
      </x:c>
      <x:c r="B154" s="85" t="n">
        <x:f>Chart_Data!J120</x:f>
        <x:v>-38.26579288799343</x:v>
      </x:c>
      <x:c r="C154" s="85" t="n">
        <x:f>Chart_Data!J120-Chart_Data!D120</x:f>
        <x:v>-589.8444592014953</x:v>
      </x:c>
      <x:c r="D154" s="85" t="n">
        <x:f>Chart_Data!J120-Chart_Data!E120</x:f>
        <x:v>-321.36026352052295</x:v>
      </x:c>
    </x:row>
    <x:row r="155">
      <x:c r="A155" s="85" t="n">
        <x:f>Chart_Data!A121</x:f>
        <x:v>-0.5</x:v>
      </x:c>
      <x:c r="B155" s="85" t="n">
        <x:f>Chart_Data!J121</x:f>
        <x:v>-15.949828195457984</x:v>
      </x:c>
      <x:c r="C155" s="85" t="n">
        <x:f>Chart_Data!J121-Chart_Data!D121</x:f>
        <x:v>-566.8693907180766</x:v>
      </x:c>
      <x:c r="D155" s="85" t="n">
        <x:f>Chart_Data!J121-Chart_Data!E121</x:f>
        <x:v>-292.30561614621524</x:v>
      </x:c>
    </x:row>
    <x:row r="156">
      <x:c r="A156" s="85" t="n">
        <x:f>Chart_Data!A122</x:f>
        <x:v>0</x:v>
      </x:c>
      <x:c r="B156" s="85" t="n">
        <x:f>Chart_Data!J122</x:f>
        <x:v>-4.948127387128106</x:v>
      </x:c>
      <x:c r="C156" s="85" t="n">
        <x:f>Chart_Data!J122-Chart_Data!D122</x:f>
        <x:v>-555.6479877261818</x:v>
      </x:c>
      <x:c r="D156" s="85" t="n">
        <x:f>Chart_Data!J122-Chart_Data!E122</x:f>
        <x:v>-283.7836609897253</x:v>
      </x:c>
    </x:row>
    <x:row r="157">
      <x:c r="A157" s="85" t="n">
        <x:f>Chart_Data!A123</x:f>
        <x:v>0.5</x:v>
      </x:c>
      <x:c r="B157" s="85" t="n">
        <x:f>Chart_Data!J123</x:f>
        <x:v>2.259569132321303</x:v>
      </x:c>
      <x:c r="C157" s="85" t="n">
        <x:f>Chart_Data!J123-Chart_Data!D123</x:f>
        <x:v>-548.6599933902974</x:v>
      </x:c>
      <x:c r="D157" s="85" t="n">
        <x:f>Chart_Data!J123-Chart_Data!E123</x:f>
        <x:v>-279.5587047218631</x:v>
      </x:c>
    </x:row>
    <x:row r="158">
      <x:c r="A158" s="85" t="n">
        <x:f>Chart_Data!A124</x:f>
        <x:v>1</x:v>
      </x:c>
      <x:c r="B158" s="85" t="n">
        <x:f>Chart_Data!J124</x:f>
        <x:v>43.07644622126787</x:v>
      </x:c>
      <x:c r="C158" s="85" t="n">
        <x:f>Chart_Data!J124-Chart_Data!D124</x:f>
        <x:v>-508.50222009223404</x:v>
      </x:c>
      <x:c r="D158" s="85" t="n">
        <x:f>Chart_Data!J124-Chart_Data!E124</x:f>
        <x:v>-254.02336731897384</x:v>
      </x:c>
    </x:row>
    <x:row r="159">
      <x:c r="A159" s="85" t="n">
        <x:f>Chart_Data!A125</x:f>
        <x:v>1.5</x:v>
      </x:c>
      <x:c r="B159" s="85" t="n">
        <x:f>Chart_Data!J125</x:f>
        <x:v>46.8149548284789</x:v>
      </x:c>
      <x:c r="C159" s="85" t="n">
        <x:f>Chart_Data!J125-Chart_Data!D125</x:f>
        <x:v>-505.86220860200046</x:v>
      </x:c>
      <x:c r="D159" s="85" t="n">
        <x:f>Chart_Data!J125-Chart_Data!E125</x:f>
        <x:v>-242.68598746149019</x:v>
      </x:c>
    </x:row>
    <x:row r="160">
      <x:c r="A160" s="85" t="n">
        <x:f>Chart_Data!A126</x:f>
        <x:v>2</x:v>
      </x:c>
      <x:c r="B160" s="85" t="n">
        <x:f>Chart_Data!J126</x:f>
        <x:v>65.55817790320465</x:v>
      </x:c>
      <x:c r="C160" s="85" t="n">
        <x:f>Chart_Data!J126-Chart_Data!D126</x:f>
        <x:v>-488.65686216598624</x:v>
      </x:c>
      <x:c r="D160" s="85" t="n">
        <x:f>Chart_Data!J126-Chart_Data!E126</x:f>
        <x:v>-226.13230460531116</x:v>
      </x:c>
    </x:row>
    <x:row r="161">
      <x:c r="A161" s="85" t="n">
        <x:f>Chart_Data!A127</x:f>
        <x:v>2.5</x:v>
      </x:c>
      <x:c r="B161" s="85" t="n">
        <x:f>Chart_Data!J127</x:f>
        <x:v>70.90088362648228</x:v>
      </x:c>
      <x:c r="C161" s="85" t="n">
        <x:f>Chart_Data!J127-Chart_Data!D127</x:f>
        <x:v>-485.29139328383235</x:v>
      </x:c>
      <x:c r="D161" s="85" t="n">
        <x:f>Chart_Data!J127-Chart_Data!E127</x:f>
        <x:v>-217.24527203591052</x:v>
      </x:c>
    </x:row>
    <x:row r="162">
      <x:c r="A162" s="85" t="n">
        <x:f>Chart_Data!A128</x:f>
        <x:v>3</x:v>
      </x:c>
      <x:c r="B162" s="85" t="n">
        <x:f>Chart_Data!J128</x:f>
        <x:v>82.12086586426281</x:v>
      </x:c>
      <x:c r="C162" s="85" t="n">
        <x:f>Chart_Data!J128-Chart_Data!D128</x:f>
        <x:v>-476.48798324754466</x:v>
      </x:c>
      <x:c r="D162" s="85" t="n">
        <x:f>Chart_Data!J128-Chart_Data!E128</x:f>
        <x:v>-221.96704246750485</x:v>
      </x:c>
    </x:row>
    <x:row r="163">
      <x:c r="A163" s="85" t="n">
        <x:f>Chart_Data!A129</x:f>
        <x:v>3.5</x:v>
      </x:c>
      <x:c r="B163" s="85" t="n">
        <x:f>Chart_Data!J129</x:f>
        <x:v>98.61636326587373</x:v>
      </x:c>
      <x:c r="C163" s="85" t="n">
        <x:f>Chart_Data!J129-Chart_Data!D129</x:f>
        <x:v>-462.84836304884357</x:v>
      </x:c>
      <x:c r="D163" s="85" t="n">
        <x:f>Chart_Data!J129-Chart_Data!E129</x:f>
        <x:v>-202.99596184426272</x:v>
      </x:c>
    </x:row>
    <x:row r="164">
      <x:c r="A164" s="85" t="n">
        <x:f>Chart_Data!A130</x:f>
        <x:v>4</x:v>
      </x:c>
      <x:c r="B164" s="85" t="n">
        <x:f>Chart_Data!J130</x:f>
        <x:v>96.36311355528144</x:v>
      </x:c>
      <x:c r="C164" s="85" t="n">
        <x:f>Chart_Data!J130-Chart_Data!D130</x:f>
        <x:v>-468.39675909026414</x:v>
      </x:c>
      <x:c r="D164" s="85" t="n">
        <x:f>Chart_Data!J130-Chart_Data!E130</x:f>
        <x:v>-207.98389571969378</x:v>
      </x:c>
    </x:row>
    <x:row r="165">
      <x:c r="A165" s="85" t="n">
        <x:f>Chart_Data!A131</x:f>
        <x:v>4.5</x:v>
      </x:c>
      <x:c r="B165" s="85" t="n">
        <x:f>Chart_Data!J131</x:f>
        <x:v>82.51998590748882</x:v>
      </x:c>
      <x:c r="C165" s="85" t="n">
        <x:f>Chart_Data!J131-Chart_Data!D131</x:f>
        <x:v>-485.9742608051822</x:v>
      </x:c>
      <x:c r="D165" s="85" t="n">
        <x:f>Chart_Data!J131-Chart_Data!E131</x:f>
        <x:v>-213.88547064504547</x:v>
      </x:c>
    </x:row>
    <x:row r="166">
      <x:c r="A166" s="85" t="n">
        <x:f>Chart_Data!A132</x:f>
        <x:v>5</x:v>
      </x:c>
      <x:c r="B166" s="85" t="n">
        <x:f>Chart_Data!J132</x:f>
        <x:v>98.94976350623145</x:v>
      </x:c>
      <x:c r="C166" s="85" t="n">
        <x:f>Chart_Data!J132-Chart_Data!D132</x:f>
        <x:v>-473.71803811132736</x:v>
      </x:c>
      <x:c r="D166" s="85" t="n">
        <x:f>Chart_Data!J132-Chart_Data!E132</x:f>
        <x:v>-221.97105704979813</x:v>
      </x:c>
    </x:row>
    <x:row r="167">
      <x:c r="A167" s="85" t="n">
        <x:f>Chart_Data!A133</x:f>
        <x:v>5.5</x:v>
      </x:c>
      <x:c r="B167" s="85" t="n">
        <x:f>Chart_Data!J133</x:f>
        <x:v>97.11441747768895</x:v>
      </x:c>
      <x:c r="C167" s="85" t="n">
        <x:f>Chart_Data!J133-Chart_Data!D133</x:f>
        <x:v>-480.16606747097165</x:v>
      </x:c>
      <x:c r="D167" s="85" t="n">
        <x:f>Chart_Data!J133-Chart_Data!E133</x:f>
        <x:v>-232.6000660295109</x:v>
      </x:c>
    </x:row>
    <x:row r="168">
      <x:c r="A168" s="85" t="n">
        <x:f>Chart_Data!A134</x:f>
        <x:v>6</x:v>
      </x:c>
      <x:c r="B168" s="85" t="n">
        <x:f>Chart_Data!J134</x:f>
        <x:v>70.34255347941284</x:v>
      </x:c>
      <x:c r="C168" s="85" t="n">
        <x:f>Chart_Data!J134-Chart_Data!D134</x:f>
        <x:v>-511.9896853059619</x:v>
      </x:c>
      <x:c r="D168" s="85" t="n">
        <x:f>Chart_Data!J134-Chart_Data!E134</x:f>
        <x:v>-252.65601009855254</x:v>
      </x:c>
    </x:row>
    <x:row r="169">
      <x:c r="A169" s="85" t="n">
        <x:f>Chart_Data!A135</x:f>
        <x:v>6.5</x:v>
      </x:c>
      <x:c r="B169" s="85" t="n">
        <x:f>Chart_Data!J135</x:f>
        <x:v>77.64795080795966</x:v>
      </x:c>
      <x:c r="C169" s="85" t="n">
        <x:f>Chart_Data!J135-Chart_Data!D135</x:f>
        <x:v>-510.17504889679276</x:v>
      </x:c>
      <x:c r="D169" s="85" t="n">
        <x:f>Chart_Data!J135-Chart_Data!E135</x:f>
        <x:v>-260.14301513343736</x:v>
      </x:c>
    </x:row>
    <x:row r="170">
      <x:c r="A170" s="85" t="n">
        <x:f>Chart_Data!A136</x:f>
        <x:v>7</x:v>
      </x:c>
      <x:c r="B170" s="85" t="n">
        <x:f>Chart_Data!J136</x:f>
        <x:v>66.91550989906084</x:v>
      </x:c>
      <x:c r="C170" s="85" t="n">
        <x:f>Chart_Data!J136-Chart_Data!D136</x:f>
        <x:v>-526.8371888856943</x:v>
      </x:c>
      <x:c r="D170" s="85" t="n">
        <x:f>Chart_Data!J136-Chart_Data!E136</x:f>
        <x:v>-265.1964736148182</x:v>
      </x:c>
    </x:row>
    <x:row r="171">
      <x:c r="A171" s="85" t="n">
        <x:f>Chart_Data!A137</x:f>
        <x:v>7.5</x:v>
      </x:c>
      <x:c r="B171" s="85" t="n">
        <x:f>Chart_Data!J137</x:f>
        <x:v>56.202037436945574</x:v>
      </x:c>
      <x:c r="C171" s="85" t="n">
        <x:f>Chart_Data!J137-Chart_Data!D137</x:f>
        <x:v>-543.9192241629017</x:v>
      </x:c>
      <x:c r="D171" s="85" t="n">
        <x:f>Chart_Data!J137-Chart_Data!E137</x:f>
        <x:v>-293.5851002009214</x:v>
      </x:c>
    </x:row>
    <x:row r="172">
      <x:c r="A172" s="85" t="n">
        <x:f>Chart_Data!A138</x:f>
        <x:v>8</x:v>
      </x:c>
      <x:c r="B172" s="85" t="n">
        <x:f>Chart_Data!J138</x:f>
        <x:v>45.99320506201067</x:v>
      </x:c>
      <x:c r="C172" s="85" t="n">
        <x:f>Chart_Data!J138-Chart_Data!D138</x:f>
        <x:v>-560.9354031744425</x:v>
      </x:c>
      <x:c r="D172" s="85" t="n">
        <x:f>Chart_Data!J138-Chart_Data!E138</x:f>
        <x:v>-308.38012617849085</x:v>
      </x:c>
    </x:row>
    <x:row r="173">
      <x:c r="A173" s="85" t="n">
        <x:f>Chart_Data!A139</x:f>
        <x:v>8.5</x:v>
      </x:c>
      <x:c r="B173" s="85" t="n">
        <x:f>Chart_Data!J139</x:f>
        <x:v>35.42120810065494</x:v>
      </x:c>
      <x:c r="C173" s="85" t="n">
        <x:f>Chart_Data!J139-Chart_Data!D139</x:f>
        <x:v>-578.753445187128</x:v>
      </x:c>
      <x:c r="D173" s="85" t="n">
        <x:f>Chart_Data!J139-Chart_Data!E139</x:f>
        <x:v>-330.13750315368276</x:v>
      </x:c>
    </x:row>
    <x:row r="174">
      <x:c r="A174" s="85" t="n">
        <x:f>Chart_Data!A140</x:f>
        <x:v>9</x:v>
      </x:c>
      <x:c r="B174" s="85" t="n">
        <x:f>Chart_Data!J140</x:f>
        <x:v>29.628149721243545</x:v>
      </x:c>
      <x:c r="C174" s="85" t="n">
        <x:f>Chart_Data!J140-Chart_Data!D140</x:f>
        <x:v>-592.2311561395512</x:v>
      </x:c>
      <x:c r="D174" s="85" t="n">
        <x:f>Chart_Data!J140-Chart_Data!E140</x:f>
        <x:v>-339.4630622857783</x:v>
      </x:c>
    </x:row>
    <x:row r="175">
      <x:c r="A175" s="85" t="n">
        <x:f>Chart_Data!A141</x:f>
        <x:v>9.5</x:v>
      </x:c>
      <x:c r="B175" s="85" t="n">
        <x:f>Chart_Data!J141</x:f>
        <x:v>5.649927018638348</x:v>
      </x:c>
      <x:c r="C175" s="85" t="n">
        <x:f>Chart_Data!J141-Chart_Data!D141</x:f>
        <x:v>-624.3325425639111</x:v>
      </x:c>
      <x:c r="D175" s="85" t="n">
        <x:f>Chart_Data!J141-Chart_Data!E141</x:f>
        <x:v>-359.7552584897475</x:v>
      </x:c>
    </x:row>
    <x:row r="176">
      <x:c r="A176" s="85" t="n">
        <x:f>Chart_Data!A142</x:f>
        <x:v>10</x:v>
      </x:c>
      <x:c r="B176" s="85" t="n">
        <x:f>Chart_Data!J142</x:f>
        <x:v>-8.569441618173819</x:v>
      </x:c>
      <x:c r="C176" s="85" t="n">
        <x:f>Chart_Data!J142-Chart_Data!D142</x:f>
        <x:v>-647.1134842194066</x:v>
      </x:c>
      <x:c r="D176" s="85" t="n">
        <x:f>Chart_Data!J142-Chart_Data!E142</x:f>
        <x:v>-388.03881561825</x:v>
      </x:c>
    </x:row>
    <x:row r="177">
      <x:c r="A177" s="85" t="n">
        <x:f>Chart_Data!A143</x:f>
        <x:v>10.5</x:v>
      </x:c>
      <x:c r="B177" s="85" t="n">
        <x:f>Chart_Data!J143</x:f>
        <x:v>4.936290407774814</x:v>
      </x:c>
      <x:c r="C177" s="85" t="n">
        <x:f>Chart_Data!J143-Chart_Data!D143</x:f>
        <x:v>-642.6076271879285</x:v>
      </x:c>
      <x:c r="D177" s="85" t="n">
        <x:f>Chart_Data!J143-Chart_Data!E143</x:f>
        <x:v>-400.2372890000993</x:v>
      </x:c>
    </x:row>
    <x:row r="178">
      <x:c r="A178" s="85" t="n">
        <x:f>Chart_Data!A144</x:f>
        <x:v>11</x:v>
      </x:c>
      <x:c r="B178" s="85" t="n">
        <x:f>Chart_Data!J144</x:f>
        <x:v>1.9403678384373038</x:v>
      </x:c>
      <x:c r="C178" s="85" t="n">
        <x:f>Chart_Data!J144-Chart_Data!D144</x:f>
        <x:v>-655.0416139412391</x:v>
      </x:c>
      <x:c r="D178" s="85" t="n">
        <x:f>Chart_Data!J144-Chart_Data!E144</x:f>
        <x:v>-407.0826432685945</x:v>
      </x:c>
    </x:row>
    <x:row r="179">
      <x:c r="A179" s="85" t="n">
        <x:f>Chart_Data!A145</x:f>
        <x:v>11.5</x:v>
      </x:c>
      <x:c r="B179" s="85" t="n">
        <x:f>Chart_Data!J145</x:f>
        <x:v>4.044824683821267</x:v>
      </x:c>
      <x:c r="C179" s="85" t="n">
        <x:f>Chart_Data!J145-Chart_Data!D145</x:f>
        <x:v>-662.8132922194676</x:v>
      </x:c>
      <x:c r="D179" s="85" t="n">
        <x:f>Chart_Data!J145-Chart_Data!E145</x:f>
        <x:v>-421.9238213639986</x:v>
      </x:c>
    </x:row>
    <x:row r="180">
      <x:c r="A180" s="85" t="n">
        <x:f>Chart_Data!A146</x:f>
        <x:v>12</x:v>
      </x:c>
      <x:c r="B180" s="85" t="n">
        <x:f>Chart_Data!J146</x:f>
        <x:v>7.0738918061296845</x:v>
      </x:c>
      <x:c r="C180" s="85" t="n">
        <x:f>Chart_Data!J146-Chart_Data!D146</x:f>
        <x:v>-670.0983074593596</x:v>
      </x:c>
      <x:c r="D180" s="85" t="n">
        <x:f>Chart_Data!J146-Chart_Data!E146</x:f>
        <x:v>-437.42008551892104</x:v>
      </x:c>
    </x:row>
    <x:row r="181">
      <x:c r="A181" s="85" t="n">
        <x:f>Chart_Data!A147</x:f>
        <x:v>12.5</x:v>
      </x:c>
      <x:c r="B181" s="85" t="n">
        <x:f>Chart_Data!J147</x:f>
        <x:v>-5.687454175445142</x:v>
      </x:c>
      <x:c r="C181" s="85" t="n">
        <x:f>Chart_Data!J147-Chart_Data!D147</x:f>
        <x:v>-693.6115538887168</x:v>
      </x:c>
      <x:c r="D181" s="85" t="n">
        <x:f>Chart_Data!J147-Chart_Data!E147</x:f>
        <x:v>-447.462405317283</x:v>
      </x:c>
    </x:row>
    <x:row r="182">
      <x:c r="A182" s="85" t="n">
        <x:f>Chart_Data!A148</x:f>
        <x:v>13</x:v>
      </x:c>
      <x:c r="B182" s="85" t="n">
        <x:f>Chart_Data!J148</x:f>
        <x:v>-3.618490966575764</x:v>
      </x:c>
      <x:c r="C182" s="85" t="n">
        <x:f>Chart_Data!J148-Chart_Data!D148</x:f>
        <x:v>-702.7321746207697</x:v>
      </x:c>
      <x:c r="D182" s="85" t="n">
        <x:f>Chart_Data!J148-Chart_Data!E148</x:f>
        <x:v>-460.7202886329736</x:v>
      </x:c>
    </x:row>
    <x:row r="183">
      <x:c r="A183" s="85" t="n">
        <x:f>Chart_Data!A149</x:f>
        <x:v>13.5</x:v>
      </x:c>
      <x:c r="B183" s="85" t="n">
        <x:f>Chart_Data!J149</x:f>
        <x:v>0.04576132524433074</x:v>
      </x:c>
      <x:c r="C183" s="85" t="n">
        <x:f>Chart_Data!J149-Chart_Data!D149</x:f>
        <x:v>-710.6950497337522</x:v>
      </x:c>
      <x:c r="D183" s="85" t="n">
        <x:f>Chart_Data!J149-Chart_Data!E149</x:f>
        <x:v>-481.9424980004923</x:v>
      </x:c>
    </x:row>
    <x:row r="184">
      <x:c r="A184" s="85" t="n">
        <x:f>Chart_Data!A150</x:f>
        <x:v>14</x:v>
      </x:c>
      <x:c r="B184" s="85" t="n">
        <x:f>Chart_Data!J150</x:f>
        <x:v>17.14805919414721</x:v>
      </x:c>
      <x:c r="C184" s="85" t="n">
        <x:f>Chart_Data!J150-Chart_Data!D150</x:f>
        <x:v>-705.6572772772911</x:v>
      </x:c>
      <x:c r="D184" s="85" t="n">
        <x:f>Chart_Data!J150-Chart_Data!E150</x:f>
        <x:v>-484.4551893760491</x:v>
      </x:c>
    </x:row>
    <x:row r="185">
      <x:c r="A185" s="85" t="n">
        <x:f>Chart_Data!A151</x:f>
        <x:v>14.5</x:v>
      </x:c>
      <x:c r="B185" s="85" t="n">
        <x:f>Chart_Data!J151</x:f>
        <x:v>27.325427950737776</x:v>
      </x:c>
      <x:c r="C185" s="85" t="n">
        <x:f>Chart_Data!J151-Chart_Data!D151</x:f>
        <x:v>-707.9816810630828</x:v>
      </x:c>
      <x:c r="D185" s="85" t="n">
        <x:f>Chart_Data!J151-Chart_Data!E151</x:f>
        <x:v>-490.82557916895325</x:v>
      </x:c>
    </x:row>
    <x:row r="186">
      <x:c r="A186" s="85" t="n">
        <x:f>Chart_Data!A152</x:f>
        <x:v>15</x:v>
      </x:c>
      <x:c r="B186" s="85" t="n">
        <x:f>Chart_Data!J152</x:f>
        <x:v>45.362905639140564</x:v>
      </x:c>
      <x:c r="C186" s="85" t="n">
        <x:f>Chart_Data!J152-Chart_Data!D152</x:f>
        <x:v>-702.883066752542</x:v>
      </x:c>
      <x:c r="D186" s="85" t="n">
        <x:f>Chart_Data!J152-Chart_Data!E152</x:f>
        <x:v>-504.9523355835919</x:v>
      </x:c>
    </x:row>
    <x:row r="187">
      <x:c r="A187" s="85" t="n">
        <x:f>Chart_Data!A153</x:f>
        <x:v>15.5</x:v>
      </x:c>
      <x:c r="B187" s="85" t="n">
        <x:f>Chart_Data!J153</x:f>
        <x:v>49.090179641950456</x:v>
      </x:c>
      <x:c r="C187" s="85" t="n">
        <x:f>Chart_Data!J153-Chart_Data!D153</x:f>
        <x:v>-712.5315852675618</x:v>
      </x:c>
      <x:c r="D187" s="85" t="n">
        <x:f>Chart_Data!J153-Chart_Data!E153</x:f>
        <x:v>-518.7978374035214</x:v>
      </x:c>
    </x:row>
    <x:row r="188">
      <x:c r="A188" s="85" t="n">
        <x:f>Chart_Data!A154</x:f>
        <x:v>16</x:v>
      </x:c>
      <x:c r="B188" s="85" t="n">
        <x:f>Chart_Data!J154</x:f>
        <x:v>69.7201880441823</x:v>
      </x:c>
      <x:c r="C188" s="85" t="n">
        <x:f>Chart_Data!J154-Chart_Data!D154</x:f>
        <x:v>-705.7141314273631</x:v>
      </x:c>
      <x:c r="D188" s="85" t="n">
        <x:f>Chart_Data!J154-Chart_Data!E154</x:f>
        <x:v>-520.9624490688905</x:v>
      </x:c>
    </x:row>
    <x:row r="189">
      <x:c r="A189" s="85" t="n">
        <x:f>Chart_Data!A155</x:f>
        <x:v>16.5</x:v>
      </x:c>
      <x:c r="B189" s="85" t="n">
        <x:f>Chart_Data!J155</x:f>
        <x:v>71.50919840907298</x:v>
      </x:c>
      <x:c r="C189" s="85" t="n">
        <x:f>Chart_Data!J155-Chart_Data!D155</x:f>
        <x:v>-718.1742651829109</x:v>
      </x:c>
      <x:c r="D189" s="85" t="n">
        <x:f>Chart_Data!J155-Chart_Data!E155</x:f>
        <x:v>-531.1494112110125</x:v>
      </x:c>
    </x:row>
    <x:row r="190">
      <x:c r="A190" s="85" t="n">
        <x:f>Chart_Data!A156</x:f>
        <x:v>17</x:v>
      </x:c>
      <x:c r="B190" s="85" t="n">
        <x:f>Chart_Data!J156</x:f>
        <x:v>58.586187093984584</x:v>
      </x:c>
      <x:c r="C190" s="85" t="n">
        <x:f>Chart_Data!J156-Chart_Data!D156</x:f>
        <x:v>-745.782832309634</x:v>
      </x:c>
      <x:c r="D190" s="85" t="n">
        <x:f>Chart_Data!J156-Chart_Data!E156</x:f>
        <x:v>-553.3645318263515</x:v>
      </x:c>
    </x:row>
    <x:row r="191">
      <x:c r="A191" s="85" t="n">
        <x:f>Chart_Data!A157</x:f>
        <x:v>17.5</x:v>
      </x:c>
      <x:c r="B191" s="85" t="n">
        <x:f>Chart_Data!J157</x:f>
        <x:v>65.71226511619231</x:v>
      </x:c>
      <x:c r="C191" s="85" t="n">
        <x:f>Chart_Data!J157-Chart_Data!D157</x:f>
        <x:v>-753.7785385536124</x:v>
      </x:c>
      <x:c r="D191" s="85" t="n">
        <x:f>Chart_Data!J157-Chart_Data!E157</x:f>
        <x:v>-559.9584579191503</x:v>
      </x:c>
    </x:row>
    <x:row r="192">
      <x:c r="A192" s="85" t="n">
        <x:f>Chart_Data!A158</x:f>
        <x:v>18</x:v>
      </x:c>
      <x:c r="B192" s="85" t="n">
        <x:f>Chart_Data!J158</x:f>
        <x:v>70.50298613715029</x:v>
      </x:c>
      <x:c r="C192" s="85" t="n">
        <x:f>Chart_Data!J158-Chart_Data!D158</x:f>
        <x:v>-764.5456416492594</x:v>
      </x:c>
      <x:c r="D192" s="85" t="n">
        <x:f>Chart_Data!J158-Chart_Data!E158</x:f>
        <x:v>-570.7694639463887</x:v>
      </x:c>
    </x:row>
    <x:row r="193">
      <x:c r="A193" s="85" t="n">
        <x:f>Chart_Data!A159</x:f>
        <x:v>18.5</x:v>
      </x:c>
      <x:c r="B193" s="85" t="n">
        <x:f>Chart_Data!J159</x:f>
        <x:v>84.15381309689964</x:v>
      </x:c>
      <x:c r="C193" s="85" t="n">
        <x:f>Chart_Data!J159-Chart_Data!D159</x:f>
        <x:v>-766.8884847013601</x:v>
      </x:c>
      <x:c r="D193" s="85" t="n">
        <x:f>Chart_Data!J159-Chart_Data!E159</x:f>
        <x:v>-582.6675473023556</x:v>
      </x:c>
    </x:row>
    <x:row r="194">
      <x:c r="A194" s="85" t="n">
        <x:f>Chart_Data!A160</x:f>
        <x:v>19</x:v>
      </x:c>
      <x:c r="B194" s="85" t="n">
        <x:f>Chart_Data!J160</x:f>
        <x:v>87.79516149602648</x:v>
      </x:c>
      <x:c r="C194" s="85" t="n">
        <x:f>Chart_Data!J160-Chart_Data!D160</x:f>
        <x:v>-779.6764529095952</x:v>
      </x:c>
      <x:c r="D194" s="85" t="n">
        <x:f>Chart_Data!J160-Chart_Data!E160</x:f>
        <x:v>-588.9637420881908</x:v>
      </x:c>
    </x:row>
    <x:row r="195">
      <x:c r="A195" s="85" t="n">
        <x:f>Chart_Data!A161</x:f>
        <x:v>19.5</x:v>
      </x:c>
      <x:c r="B195" s="85" t="n">
        <x:f>Chart_Data!J161</x:f>
        <x:v>80.08578782325549</x:v>
      </x:c>
      <x:c r="C195" s="85" t="n">
        <x:f>Chart_Data!J161-Chart_Data!D161</x:f>
        <x:v>-804.2505851504652</x:v>
      </x:c>
      <x:c r="D195" s="85" t="n">
        <x:f>Chart_Data!J161-Chart_Data!E161</x:f>
        <x:v>-605.1344411158678</x:v>
      </x:c>
    </x:row>
    <x:row r="196">
      <x:c r="A196" s="85" t="n">
        <x:f>Chart_Data!A162</x:f>
        <x:v>20</x:v>
      </x:c>
      <x:c r="B196" s="85" t="n">
        <x:f>Chart_Data!J162</x:f>
        <x:v>74.33166863889775</x:v>
      </x:c>
      <x:c r="C196" s="85" t="n">
        <x:f>Chart_Data!J162-Chart_Data!D162</x:f>
        <x:v>-827.3046949049868</x:v>
      </x:c>
      <x:c r="D196" s="85" t="n">
        <x:f>Chart_Data!J162-Chart_Data!E162</x:f>
        <x:v>-623.6674731061371</x:v>
      </x:c>
    </x:row>
    <x:row r="197">
      <x:c r="A197" s="85" t="n">
        <x:f>Chart_Data!A163</x:f>
        <x:v>20.5</x:v>
      </x:c>
      <x:c r="B197" s="85" t="n">
        <x:f>Chart_Data!J163</x:f>
        <x:v>77.08298836787891</x:v>
      </x:c>
      <x:c r="C197" s="85" t="n">
        <x:f>Chart_Data!J163-Chart_Data!D163</x:f>
        <x:v>-842.2883824737767</x:v>
      </x:c>
      <x:c r="D197" s="85" t="n">
        <x:f>Chart_Data!J163-Chart_Data!E163</x:f>
        <x:v>-638.6826952633326</x:v>
      </x:c>
    </x:row>
    <x:row r="198">
      <x:c r="A198" s="85" t="n">
        <x:f>Chart_Data!A164</x:f>
        <x:v>21</x:v>
      </x:c>
      <x:c r="B198" s="85" t="n">
        <x:f>Chart_Data!J164</x:f>
        <x:v>84.6060805836893</x:v>
      </x:c>
      <x:c r="C198" s="85" t="n">
        <x:f>Chart_Data!J164-Chart_Data!D164</x:f>
        <x:v>-852.935093708908</x:v>
      </x:c>
      <x:c r="D198" s="85" t="n">
        <x:f>Chart_Data!J164-Chart_Data!E164</x:f>
        <x:v>-653.8658555193354</x:v>
      </x:c>
    </x:row>
    <x:row r="199">
      <x:c r="A199" s="85" t="n">
        <x:f>Chart_Data!A165</x:f>
        <x:v>21.5</x:v>
      </x:c>
      <x:c r="B199" s="85" t="n">
        <x:f>Chart_Data!J165</x:f>
        <x:v>83.65167434978589</x:v>
      </x:c>
      <x:c r="C199" s="85" t="n">
        <x:f>Chart_Data!J165-Chart_Data!D165</x:f>
        <x:v>-872.4938736745853</x:v>
      </x:c>
      <x:c r="D199" s="85" t="n">
        <x:f>Chart_Data!J165-Chart_Data!E165</x:f>
        <x:v>-671.3014387484928</x:v>
      </x:c>
    </x:row>
    <x:row r="200">
      <x:c r="A200" s="85" t="n">
        <x:f>Chart_Data!A166</x:f>
        <x:v>22</x:v>
      </x:c>
      <x:c r="B200" s="85" t="n">
        <x:f>Chart_Data!J166</x:f>
        <x:v>73.36589826371042</x:v>
      </x:c>
      <x:c r="C200" s="85" t="n">
        <x:f>Chart_Data!J166-Chart_Data!D166</x:f>
        <x:v>-901.8183626253801</x:v>
      </x:c>
      <x:c r="D200" s="85" t="n">
        <x:f>Chart_Data!J166-Chart_Data!E166</x:f>
        <x:v>-692.839852064407</x:v>
      </x:c>
    </x:row>
    <x:row r="201">
      <x:c r="A201" s="85" t="n">
        <x:f>Chart_Data!A167</x:f>
        <x:v>22.5</x:v>
      </x:c>
      <x:c r="B201" s="85" t="n">
        <x:f>Chart_Data!J167</x:f>
        <x:v>73.86322008676284</x:v>
      </x:c>
      <x:c r="C201" s="85" t="n">
        <x:f>Chart_Data!J167-Chart_Data!D167</x:f>
        <x:v>-920.7938563778029</x:v>
      </x:c>
      <x:c r="D201" s="85" t="n">
        <x:f>Chart_Data!J167-Chart_Data!E167</x:f>
        <x:v>-715.0662042119181</x:v>
      </x:c>
    </x:row>
    <x:row r="202">
      <x:c r="A202" s="85" t="n">
        <x:f>Chart_Data!A168</x:f>
        <x:v>23</x:v>
      </x:c>
      <x:c r="B202" s="85" t="n">
        <x:f>Chart_Data!J168</x:f>
        <x:v>61.781548358505674</x:v>
      </x:c>
      <x:c r="C202" s="85" t="n">
        <x:f>Chart_Data!J168-Chart_Data!D168</x:f>
        <x:v>-952.7822047126597</x:v>
      </x:c>
      <x:c r="D202" s="85" t="n">
        <x:f>Chart_Data!J168-Chart_Data!E168</x:f>
        <x:v>-742.7414110337753</x:v>
      </x:c>
    </x:row>
    <x:row r="203">
      <x:c r="A203" s="85" t="n">
        <x:f>Chart_Data!A169</x:f>
        <x:v>23.5</x:v>
      </x:c>
      <x:c r="B203" s="85" t="n">
        <x:f>Chart_Data!J169</x:f>
        <x:v>70.98866885242666</x:v>
      </x:c>
      <x:c r="C203" s="85" t="n">
        <x:f>Chart_Data!J169-Chart_Data!D169</x:f>
        <x:v>-963.9153749309507</x:v>
      </x:c>
      <x:c r="D203" s="85" t="n">
        <x:f>Chart_Data!J169-Chart_Data!E169</x:f>
        <x:v>-762.937708194388</x:v>
      </x:c>
    </x:row>
    <x:row r="204">
      <x:c r="A204" s="85" t="n">
        <x:f>Chart_Data!A170</x:f>
        <x:v>24</x:v>
      </x:c>
      <x:c r="B204" s="85" t="n">
        <x:f>Chart_Data!J170</x:f>
        <x:v>75.46815017037277</x:v>
      </x:c>
      <x:c r="C204" s="85" t="n">
        <x:f>Chart_Data!J170-Chart_Data!D170</x:f>
        <x:v>-980.2095462685689</x:v>
      </x:c>
      <x:c r="D204" s="85" t="n">
        <x:f>Chart_Data!J170-Chart_Data!E170</x:f>
        <x:v>-776.1637396575971</x:v>
      </x:c>
    </x:row>
    <x:row r="205">
      <x:c r="A205" s="85" t="n">
        <x:f>Chart_Data!A171</x:f>
        <x:v>24.5</x:v>
      </x:c>
      <x:c r="B205" s="85" t="n">
        <x:f>Chart_Data!J171</x:f>
        <x:v>80.2881627342364</x:v>
      </x:c>
      <x:c r="C205" s="85" t="n">
        <x:f>Chart_Data!J171-Chart_Data!D171</x:f>
        <x:v>-996.596290922657</x:v>
      </x:c>
      <x:c r="D205" s="85" t="n">
        <x:f>Chart_Data!J171-Chart_Data!E171</x:f>
        <x:v>-809.7090959918307</x:v>
      </x:c>
    </x:row>
    <x:row r="206">
      <x:c r="A206" s="85" t="n">
        <x:f>Chart_Data!A172</x:f>
        <x:v>25</x:v>
      </x:c>
      <x:c r="B206" s="85" t="n">
        <x:f>Chart_Data!J172</x:f>
        <x:v>61.498548518191555</x:v>
      </x:c>
      <x:c r="C206" s="85" t="n">
        <x:f>Chart_Data!J172-Chart_Data!D172</x:f>
        <x:v>-1037.025504324225</x:v>
      </x:c>
      <x:c r="D206" s="85" t="n">
        <x:f>Chart_Data!J172-Chart_Data!E172</x:f>
        <x:v>-837.7145638753545</x:v>
      </x:c>
    </x:row>
    <x:row r="207">
      <x:c r="A207" s="85" t="n">
        <x:f>Chart_Data!A173</x:f>
        <x:v>25.5</x:v>
      </x:c>
      <x:c r="B207" s="85" t="n">
        <x:f>Chart_Data!J173</x:f>
        <x:v>67.90188044896082</x:v>
      </x:c>
      <x:c r="C207" s="85" t="n">
        <x:f>Chart_Data!J173-Chart_Data!D173</x:f>
        <x:v>-1052.6943457578745</x:v>
      </x:c>
      <x:c r="D207" s="85" t="n">
        <x:f>Chart_Data!J173-Chart_Data!E173</x:f>
        <x:v>-873.0185840690013</x:v>
      </x:c>
    </x:row>
    <x:row r="208">
      <x:c r="A208" s="85" t="n">
        <x:f>Chart_Data!A174</x:f>
        <x:v>26</x:v>
      </x:c>
      <x:c r="B208" s="85" t="n">
        <x:f>Chart_Data!J174</x:f>
        <x:v>65.03267186217182</x:v>
      </x:c>
      <x:c r="C208" s="85" t="n">
        <x:f>Chart_Data!J174-Chart_Data!D174</x:f>
        <x:v>-1078.0680289132667</x:v>
      </x:c>
      <x:c r="D208" s="85" t="n">
        <x:f>Chart_Data!J174-Chart_Data!E174</x:f>
        <x:v>-898.3605473502017</x:v>
      </x:c>
    </x:row>
    <x:row r="209">
      <x:c r="A209" s="85" t="n">
        <x:f>Chart_Data!A175</x:f>
        <x:v>26.5</x:v>
      </x:c>
      <x:c r="B209" s="85" t="n">
        <x:f>Chart_Data!J175</x:f>
        <x:v>69.51659821200863</x:v>
      </x:c>
      <x:c r="C209" s="85" t="n">
        <x:f>Chart_Data!J175-Chart_Data!D175</x:f>
        <x:v>-1096.5206001940242</x:v>
      </x:c>
      <x:c r="D209" s="85" t="n">
        <x:f>Chart_Data!J175-Chart_Data!E175</x:f>
        <x:v>-921.5297135699843</x:v>
      </x:c>
    </x:row>
    <x:row r="210">
      <x:c r="A210" s="85" t="n">
        <x:f>Chart_Data!A176</x:f>
        <x:v>27</x:v>
      </x:c>
      <x:c r="B210" s="85" t="n">
        <x:f>Chart_Data!J176</x:f>
        <x:v>64.45446968061479</x:v>
      </x:c>
      <x:c r="C210" s="85" t="n">
        <x:f>Chart_Data!J176-Chart_Data!D176</x:f>
        <x:v>-1124.950966114587</x:v>
      </x:c>
      <x:c r="D210" s="85" t="n">
        <x:f>Chart_Data!J176-Chart_Data!E176</x:f>
        <x:v>-967.937106564351</x:v>
      </x:c>
    </x:row>
    <x:row r="211">
      <x:c r="A211" s="85" t="n">
        <x:f>Chart_Data!A177</x:f>
        <x:v>27.5</x:v>
      </x:c>
      <x:c r="B211" s="85" t="n">
        <x:f>Chart_Data!J177</x:f>
        <x:v>45.78588130375909</x:v>
      </x:c>
      <x:c r="C211" s="85" t="n">
        <x:f>Chart_Data!J177-Chart_Data!D177</x:f>
        <x:v>-1167.4192431958154</x:v>
      </x:c>
      <x:c r="D211" s="85" t="n">
        <x:f>Chart_Data!J177-Chart_Data!E177</x:f>
        <x:v>-1005.0730256543217</x:v>
      </x:c>
    </x:row>
    <x:row r="212">
      <x:c r="A212" s="85" t="n">
        <x:f>Chart_Data!A178</x:f>
        <x:v>28</x:v>
      </x:c>
      <x:c r="B212" s="85" t="n">
        <x:f>Chart_Data!J178</x:f>
        <x:v>58.94439177372493</x:v>
      </x:c>
      <x:c r="C212" s="85" t="n">
        <x:f>Chart_Data!J178-Chart_Data!D178</x:f>
        <x:v>-1178.4915791731194</x:v>
      </x:c>
      <x:c r="D212" s="85" t="n">
        <x:f>Chart_Data!J178-Chart_Data!E178</x:f>
        <x:v>-1037.428470217524</x:v>
      </x:c>
    </x:row>
    <x:row r="213">
      <x:c r="A213" s="85" t="n">
        <x:f>Chart_Data!A179</x:f>
        <x:v>28.5</x:v>
      </x:c>
      <x:c r="B213" s="85" t="n">
        <x:f>Chart_Data!J179</x:f>
        <x:v>53.72705851492565</x:v>
      </x:c>
      <x:c r="C213" s="85" t="n">
        <x:f>Chart_Data!J179-Chart_Data!D179</x:f>
        <x:v>-1208.3706179316343</x:v>
      </x:c>
      <x:c r="D213" s="85" t="n">
        <x:f>Chart_Data!J179-Chart_Data!E179</x:f>
        <x:v>-1065.3584982792574</x:v>
      </x:c>
    </x:row>
    <x:row r="214">
      <x:c r="A214" s="85" t="n">
        <x:f>Chart_Data!A180</x:f>
        <x:v>29</x:v>
      </x:c>
      <x:c r="B214" s="85" t="n">
        <x:f>Chart_Data!J180</x:f>
        <x:v>29.362157595592716</x:v>
      </x:c>
      <x:c r="C214" s="85" t="n">
        <x:f>Chart_Data!J180-Chart_Data!D180</x:f>
        <x:v>-1257.8277796156121</x:v>
      </x:c>
      <x:c r="D214" s="85" t="n">
        <x:f>Chart_Data!J180-Chart_Data!E180</x:f>
        <x:v>-1115.9239573651528</x:v>
      </x:c>
    </x:row>
    <x:row r="215">
      <x:c r="A215" s="85" t="n">
        <x:f>Chart_Data!A181</x:f>
        <x:v>29.5</x:v>
      </x:c>
      <x:c r="B215" s="85" t="n">
        <x:f>Chart_Data!J181</x:f>
        <x:v>20.4458299890095</x:v>
      </x:c>
      <x:c r="C215" s="85" t="n">
        <x:f>Chart_Data!J181-Chart_Data!D181</x:f>
        <x:v>-1292.266614376734</x:v>
      </x:c>
      <x:c r="D215" s="85" t="n">
        <x:f>Chart_Data!J181-Chart_Data!E181</x:f>
        <x:v>-1156.7849189664723</x:v>
      </x:c>
    </x:row>
    <x:row r="216">
      <x:c r="A216" s="85" t="n">
        <x:f>Chart_Data!A182</x:f>
        <x:v>30</x:v>
      </x:c>
      <x:c r="B216" s="85" t="n">
        <x:f>Chart_Data!J182</x:f>
        <x:v>11.879118514207924</x:v>
      </x:c>
      <x:c r="C216" s="85" t="n">
        <x:f>Chart_Data!J182-Chart_Data!D182</x:f>
        <x:v>-1326.7857654489997</x:v>
      </x:c>
      <x:c r="D216" s="85" t="n">
        <x:f>Chart_Data!J182-Chart_Data!E182</x:f>
        <x:v>-1189.380646925991</x:v>
      </x:c>
    </x:row>
    <x:row r="217">
      <x:c r="A217" s="85" t="n">
        <x:f>Chart_Data!A183</x:f>
        <x:v>30.5</x:v>
      </x:c>
      <x:c r="B217" s="85" t="n">
        <x:f>Chart_Data!J183</x:f>
        <x:v>4.284803604386864</x:v>
      </x:c>
      <x:c r="C217" s="85" t="n">
        <x:f>Chart_Data!J183-Chart_Data!D183</x:f>
        <x:v>-1360.7621334012565</x:v>
      </x:c>
      <x:c r="D217" s="85" t="n">
        <x:f>Chart_Data!J183-Chart_Data!E183</x:f>
        <x:v>-1229.3674641200917</x:v>
      </x:c>
    </x:row>
    <x:row r="218">
      <x:c r="A218" s="85" t="n">
        <x:f>Chart_Data!A184</x:f>
        <x:v>31</x:v>
      </x:c>
      <x:c r="B218" s="85" t="n">
        <x:f>Chart_Data!J184</x:f>
        <x:v>18.692329061381155</x:v>
      </x:c>
      <x:c r="C218" s="85" t="n">
        <x:f>Chart_Data!J184-Chart_Data!D184</x:f>
        <x:v>-1373.1659503879043</x:v>
      </x:c>
      <x:c r="D218" s="85" t="n">
        <x:f>Chart_Data!J184-Chart_Data!E184</x:f>
        <x:v>-1250.111398162426</x:v>
      </x:c>
    </x:row>
    <x:row r="219">
      <x:c r="A219" s="85" t="n">
        <x:f>Chart_Data!A185</x:f>
        <x:v>31.5</x:v>
      </x:c>
      <x:c r="B219" s="85" t="n">
        <x:f>Chart_Data!J185</x:f>
        <x:v>18.579807279306877</x:v>
      </x:c>
      <x:c r="C219" s="85" t="n">
        <x:f>Chart_Data!J185-Chart_Data!D185</x:f>
        <x:v>-1400.518774949074</x:v>
      </x:c>
      <x:c r="D219" s="85" t="n">
        <x:f>Chart_Data!J185-Chart_Data!E185</x:f>
        <x:v>-1290.2512580356565</x:v>
      </x:c>
    </x:row>
    <x:row r="220">
      <x:c r="A220" s="85" t="n">
        <x:f>Chart_Data!A186</x:f>
        <x:v>32</x:v>
      </x:c>
      <x:c r="B220" s="85" t="n">
        <x:f>Chart_Data!J186</x:f>
        <x:v>-1.3588316603362678</x:v>
      </x:c>
      <x:c r="C220" s="85" t="n">
        <x:f>Chart_Data!J186-Chart_Data!D186</x:f>
        <x:v>-1448.1263429291598</x:v>
      </x:c>
      <x:c r="D220" s="85" t="n">
        <x:f>Chart_Data!J186-Chart_Data!E186</x:f>
        <x:v>-1323.4011712998076</x:v>
      </x:c>
    </x:row>
    <x:row r="221">
      <x:c r="A221" s="85" t="n">
        <x:f>Chart_Data!A187</x:f>
        <x:v>32.5</x:v>
      </x:c>
      <x:c r="B221" s="85" t="n">
        <x:f>Chart_Data!J187</x:f>
        <x:v>5.846843018322446</x:v>
      </x:c>
      <x:c r="C221" s="85" t="n">
        <x:f>Chart_Data!J187-Chart_Data!D187</x:f>
        <x:v>-1469.0178844847146</x:v>
      </x:c>
      <x:c r="D221" s="85" t="n">
        <x:f>Chart_Data!J187-Chart_Data!E187</x:f>
        <x:v>-1345.2765516797917</x:v>
      </x:c>
    </x:row>
    <x:row r="222">
      <x:c r="A222" s="85" t="n">
        <x:f>Chart_Data!A188</x:f>
        <x:v>33</x:v>
      </x:c>
      <x:c r="B222" s="85" t="n">
        <x:f>Chart_Data!J188</x:f>
        <x:v>-3.610290991247414</x:v>
      </x:c>
      <x:c r="C222" s="85" t="n">
        <x:f>Chart_Data!J188-Chart_Data!D188</x:f>
        <x:v>-1507.0001778768378</x:v>
      </x:c>
      <x:c r="D222" s="85" t="n">
        <x:f>Chart_Data!J188-Chart_Data!E188</x:f>
        <x:v>-1379.0175321338072</x:v>
      </x:c>
    </x:row>
    <x:row r="223">
      <x:c r="A223" s="85" t="n">
        <x:f>Chart_Data!A189</x:f>
        <x:v>33.5</x:v>
      </x:c>
      <x:c r="B223" s="85" t="n">
        <x:f>Chart_Data!J189</x:f>
        <x:v>2.8193818928466783</x:v>
      </x:c>
      <x:c r="C223" s="85" t="n">
        <x:f>Chart_Data!J189-Chart_Data!D189</x:f>
        <x:v>-1529.5232585213312</x:v>
      </x:c>
      <x:c r="D223" s="85" t="n">
        <x:f>Chart_Data!J189-Chart_Data!E189</x:f>
        <x:v>-1405.0865112561453</x:v>
      </x:c>
    </x:row>
    <x:row r="224">
      <x:c r="A224" s="85" t="n">
        <x:f>Chart_Data!A190</x:f>
        <x:v>34</x:v>
      </x:c>
      <x:c r="B224" s="85" t="n">
        <x:f>Chart_Data!J190</x:f>
        <x:v>9.90157819415245</x:v>
      </x:c>
      <x:c r="C224" s="85" t="n">
        <x:f>Chart_Data!J190-Chart_Data!D190</x:f>
        <x:v>-1551.8210559466452</x:v>
      </x:c>
      <x:c r="D224" s="85" t="n">
        <x:f>Chart_Data!J190-Chart_Data!E190</x:f>
        <x:v>-1421.8984958998135</x:v>
      </x:c>
    </x:row>
    <x:row r="225">
      <x:c r="A225" s="85" t="n">
        <x:f>Chart_Data!A191</x:f>
        <x:v>34.5</x:v>
      </x:c>
      <x:c r="B225" s="85" t="n">
        <x:f>Chart_Data!J191</x:f>
        <x:v>22.306190725387925</x:v>
      </x:c>
      <x:c r="C225" s="85" t="n">
        <x:f>Chart_Data!J191-Chart_Data!D191</x:f>
        <x:v>-1569.2233184660988</x:v>
      </x:c>
      <x:c r="D225" s="85" t="n">
        <x:f>Chart_Data!J191-Chart_Data!E191</x:f>
        <x:v>-1443.1898506016457</x:v>
      </x:c>
    </x:row>
    <x:row r="226">
      <x:c r="A226" s="85" t="n">
        <x:f>Chart_Data!A192</x:f>
        <x:v>35</x:v>
      </x:c>
      <x:c r="B226" s="85" t="n">
        <x:f>Chart_Data!J192</x:f>
        <x:v>28.92396994213728</x:v>
      </x:c>
      <x:c r="C226" s="85" t="n">
        <x:f>Chart_Data!J192-Chart_Data!D192</x:f>
        <x:v>-1592.8389318410764</x:v>
      </x:c>
      <x:c r="D226" s="85" t="n">
        <x:f>Chart_Data!J192-Chart_Data!E192</x:f>
        <x:v>-1474.3504765988605</x:v>
      </x:c>
    </x:row>
    <x:row r="227">
      <x:c r="A227" s="85" t="n">
        <x:f>Chart_Data!A193</x:f>
        <x:v>35.5</x:v>
      </x:c>
      <x:c r="B227" s="85" t="n">
        <x:f>Chart_Data!J193</x:f>
        <x:v>32.227616256478356</x:v>
      </x:c>
      <x:c r="C227" s="85" t="n">
        <x:f>Chart_Data!J193-Chart_Data!D193</x:f>
        <x:v>-1620.1948269857953</x:v>
      </x:c>
      <x:c r="D227" s="85" t="n">
        <x:f>Chart_Data!J193-Chart_Data!E193</x:f>
        <x:v>-1503.2350927556581</x:v>
      </x:c>
    </x:row>
    <x:row r="228">
      <x:c r="A228" s="85" t="n">
        <x:f>Chart_Data!A194</x:f>
        <x:v>36</x:v>
      </x:c>
      <x:c r="B228" s="85" t="n">
        <x:f>Chart_Data!J194</x:f>
        <x:v>45.422536466318</x:v>
      </x:c>
      <x:c r="C228" s="85" t="n">
        <x:f>Chart_Data!J194-Chart_Data!D194</x:f>
        <x:v>-1638.085223553778</x:v>
      </x:c>
      <x:c r="D228" s="85" t="n">
        <x:f>Chart_Data!J194-Chart_Data!E194</x:f>
        <x:v>-1523.4356455409663</x:v>
      </x:c>
    </x:row>
    <x:row r="229">
      <x:c r="A229" s="85" t="n">
        <x:f>Chart_Data!A195</x:f>
        <x:v>36.5</x:v>
      </x:c>
      <x:c r="B229" s="85" t="n">
        <x:f>Chart_Data!J195</x:f>
        <x:v>44.98219479967033</x:v>
      </x:c>
      <x:c r="C229" s="85" t="n">
        <x:f>Chart_Data!J195-Chart_Data!D195</x:f>
        <x:v>-1670.0362789099875</x:v>
      </x:c>
      <x:c r="D229" s="85" t="n">
        <x:f>Chart_Data!J195-Chart_Data!E195</x:f>
        <x:v>-1542.6628912714343</x:v>
      </x:c>
    </x:row>
    <x:row r="230">
      <x:c r="A230" s="85" t="n">
        <x:f>Chart_Data!A196</x:f>
        <x:v>37</x:v>
      </x:c>
      <x:c r="B230" s="85" t="n">
        <x:f>Chart_Data!J196</x:f>
        <x:v>58.36098804305038</x:v>
      </x:c>
      <x:c r="C230" s="85" t="n">
        <x:f>Chart_Data!J196-Chart_Data!D196</x:f>
        <x:v>-1688.5932130261942</x:v>
      </x:c>
      <x:c r="D230" s="85" t="n">
        <x:f>Chart_Data!J196-Chart_Data!E196</x:f>
        <x:v>-1567.117931739885</x:v>
      </x:c>
    </x:row>
    <x:row r="231">
      <x:c r="A231" s="85" t="n">
        <x:f>Chart_Data!A197</x:f>
        <x:v>37.5</x:v>
      </x:c>
      <x:c r="B231" s="85" t="n">
        <x:f>Chart_Data!J197</x:f>
        <x:v>56.08108474403666</x:v>
      </x:c>
      <x:c r="C231" s="85" t="n">
        <x:f>Chart_Data!J197-Chart_Data!D197</x:f>
        <x:v>-1723.233469288216</x:v>
      </x:c>
      <x:c r="D231" s="85" t="n">
        <x:f>Chart_Data!J197-Chart_Data!E197</x:f>
        <x:v>-1598.6056694884821</x:v>
      </x:c>
    </x:row>
    <x:row r="232">
      <x:c r="A232" s="85" t="n">
        <x:f>Chart_Data!A198</x:f>
        <x:v>38</x:v>
      </x:c>
      <x:c r="B232" s="85" t="n">
        <x:f>Chart_Data!J198</x:f>
        <x:v>74.89136844725374</x:v>
      </x:c>
      <x:c r="C232" s="85" t="n">
        <x:f>Chart_Data!J198-Chart_Data!D198</x:f>
        <x:v>-1737.2077712862178</x:v>
      </x:c>
      <x:c r="D232" s="85" t="n">
        <x:f>Chart_Data!J198-Chart_Data!E198</x:f>
        <x:v>-1622.2373351035499</x:v>
      </x:c>
    </x:row>
    <x:row r="233">
      <x:c r="A233" s="85" t="n">
        <x:f>Chart_Data!A199</x:f>
        <x:v>38.5</x:v>
      </x:c>
      <x:c r="B233" s="85" t="n">
        <x:f>Chart_Data!J199</x:f>
        <x:v>81.22943665181958</x:v>
      </x:c>
      <x:c r="C233" s="85" t="n">
        <x:f>Chart_Data!J199-Chart_Data!D199</x:f>
        <x:v>-1764.0781238711252</x:v>
      </x:c>
      <x:c r="D233" s="85" t="n">
        <x:f>Chart_Data!J199-Chart_Data!E199</x:f>
        <x:v>-1636.677196589233</x:v>
      </x:c>
    </x:row>
    <x:row r="234">
      <x:c r="A234" s="85" t="n">
        <x:f>Chart_Data!A200</x:f>
        <x:v>39</x:v>
      </x:c>
      <x:c r="B234" s="85" t="n">
        <x:f>Chart_Data!J200</x:f>
        <x:v>82.75771702731363</x:v>
      </x:c>
      <x:c r="C234" s="85" t="n">
        <x:f>Chart_Data!J200-Chart_Data!D200</x:f>
        <x:v>-1796.1816969595077</x:v>
      </x:c>
      <x:c r="D234" s="85" t="n">
        <x:f>Chart_Data!J200-Chart_Data!E200</x:f>
        <x:v>-1674.3072334942074</x:v>
      </x:c>
    </x:row>
    <x:row r="235">
      <x:c r="A235" s="85" t="n">
        <x:f>Chart_Data!A201</x:f>
        <x:v>39.5</x:v>
      </x:c>
      <x:c r="B235" s="85" t="n">
        <x:f>Chart_Data!J201</x:f>
        <x:v>76.31271490051972</x:v>
      </x:c>
      <x:c r="C235" s="85" t="n">
        <x:f>Chart_Data!J201-Chart_Data!D201</x:f>
        <x:v>-1836.681578063827</x:v>
      </x:c>
      <x:c r="D235" s="85" t="n">
        <x:f>Chart_Data!J201-Chart_Data!E201</x:f>
        <x:v>-1713.3936620257798</x:v>
      </x:c>
    </x:row>
    <x:row r="236">
      <x:c r="A236" s="85" t="n">
        <x:f>Chart_Data!A202</x:f>
        <x:v>40</x:v>
      </x:c>
      <x:c r="B236" s="85" t="n">
        <x:f>Chart_Data!J202</x:f>
        <x:v>66.26609020115302</x:v>
      </x:c>
      <x:c r="C236" s="85" t="n">
        <x:f>Chart_Data!J202-Chart_Data!D202</x:f>
        <x:v>-1881.2056953678166</x:v>
      </x:c>
      <x:c r="D236" s="85" t="n">
        <x:f>Chart_Data!J202-Chart_Data!E202</x:f>
        <x:v>-1749.0309481225838</x:v>
      </x:c>
    </x:row>
    <x:row r="237">
      <x:c r="A237" s="85" t="n">
        <x:f>Chart_Data!A203</x:f>
        <x:v>40.5</x:v>
      </x:c>
      <x:c r="B237" s="85" t="n">
        <x:f>Chart_Data!J203</x:f>
        <x:v>60.152205166209214</x:v>
      </x:c>
      <x:c r="C237" s="85" t="n">
        <x:f>Chart_Data!J203-Chart_Data!D203</x:f>
        <x:v>-1922.219270041008</x:v>
      </x:c>
      <x:c r="D237" s="85" t="n">
        <x:f>Chart_Data!J203-Chart_Data!E203</x:f>
        <x:v>-1788.9336430089947</x:v>
      </x:c>
    </x:row>
    <x:row r="238">
      <x:c r="A238" s="85" t="n">
        <x:f>Chart_Data!A204</x:f>
        <x:v>41</x:v>
      </x:c>
      <x:c r="B238" s="85" t="n">
        <x:f>Chart_Data!J204</x:f>
        <x:v>52.60933898915909</x:v>
      </x:c>
      <x:c r="C238" s="85" t="n">
        <x:f>Chart_Data!J204-Chart_Data!D204</x:f>
        <x:v>-1965.0836016094931</x:v>
      </x:c>
      <x:c r="D238" s="85" t="n">
        <x:f>Chart_Data!J204-Chart_Data!E204</x:f>
        <x:v>-1841.003589537938</x:v>
      </x:c>
    </x:row>
    <x:row r="239">
      <x:c r="A239" s="85" t="n">
        <x:f>Chart_Data!A205</x:f>
        <x:v>41.5</x:v>
      </x:c>
      <x:c r="B239" s="85" t="n">
        <x:f>Chart_Data!J205</x:f>
        <x:v>58.38095189793533</x:v>
      </x:c>
      <x:c r="C239" s="85" t="n">
        <x:f>Chart_Data!J205-Chart_Data!D205</x:f>
        <x:v>-1995.0548038940344</x:v>
      </x:c>
      <x:c r="D239" s="85" t="n">
        <x:f>Chart_Data!J205-Chart_Data!E205</x:f>
        <x:v>-1878.3251964322712</x:v>
      </x:c>
    </x:row>
    <x:row r="240">
      <x:c r="A240" s="85" t="n">
        <x:f>Chart_Data!A206</x:f>
        <x:v>42</x:v>
      </x:c>
      <x:c r="B240" s="85" t="n">
        <x:f>Chart_Data!J206</x:f>
        <x:v>34.52124211278962</x:v>
      </x:c>
      <x:c r="C240" s="85" t="n">
        <x:f>Chart_Data!J206-Chart_Data!D206</x:f>
        <x:v>-2055.078248079</x:v>
      </x:c>
      <x:c r="D240" s="85" t="n">
        <x:f>Chart_Data!J206-Chart_Data!E206</x:f>
        <x:v>-1923.9131358256434</x:v>
      </x:c>
    </x:row>
    <x:row r="241">
      <x:c r="A241" s="85" t="n">
        <x:f>Chart_Data!A207</x:f>
        <x:v>42.5</x:v>
      </x:c>
      <x:c r="B241" s="85" t="n">
        <x:f>Chart_Data!J207</x:f>
        <x:v>40.25127636090155</x:v>
      </x:c>
      <x:c r="C241" s="85" t="n">
        <x:f>Chart_Data!J207-Chart_Data!D207</x:f>
        <x:v>-2085.9324322117086</x:v>
      </x:c>
      <x:c r="D241" s="85" t="n">
        <x:f>Chart_Data!J207-Chart_Data!E207</x:f>
        <x:v>-1964.3179003081343</x:v>
      </x:c>
    </x:row>
    <x:row r="242">
      <x:c r="A242" s="85" t="n">
        <x:f>Chart_Data!A208</x:f>
        <x:v>43</x:v>
      </x:c>
      <x:c r="B242" s="85" t="n">
        <x:f>Chart_Data!J208</x:f>
        <x:v>33.32797910139238</x:v>
      </x:c>
      <x:c r="C242" s="85" t="n">
        <x:f>Chart_Data!J208-Chart_Data!D208</x:f>
        <x:v>-2129.859991999454</x:v>
      </x:c>
      <x:c r="D242" s="85" t="n">
        <x:f>Chart_Data!J208-Chart_Data!E208</x:f>
        <x:v>-2011.3316061285113</x:v>
      </x:c>
    </x:row>
    <x:row r="243">
      <x:c r="A243" s="85" t="n">
        <x:f>Chart_Data!A209</x:f>
        <x:v>43.5</x:v>
      </x:c>
      <x:c r="B243" s="85" t="n">
        <x:f>Chart_Data!J209</x:f>
        <x:v>20.522948331606614</x:v>
      </x:c>
      <x:c r="C243" s="85" t="n">
        <x:f>Chart_Data!J209-Chart_Data!D209</x:f>
        <x:v>-2180.0888850269803</x:v>
      </x:c>
      <x:c r="D243" s="85" t="n">
        <x:f>Chart_Data!J209-Chart_Data!E209</x:f>
        <x:v>-2066.553007818923</x:v>
      </x:c>
    </x:row>
    <x:row r="244">
      <x:c r="A244" s="85" t="n">
        <x:f>Chart_Data!A210</x:f>
        <x:v>44</x:v>
      </x:c>
      <x:c r="B244" s="85" t="n">
        <x:f>Chart_Data!J210</x:f>
        <x:v>7.051899638170276</x:v>
      </x:c>
      <x:c r="C244" s="85" t="n">
        <x:f>Chart_Data!J210-Chart_Data!D210</x:f>
        <x:v>-2231.402946719666</x:v>
      </x:c>
      <x:c r="D244" s="85" t="n">
        <x:f>Chart_Data!J210-Chart_Data!E210</x:f>
        <x:v>-2119.4885823429754</x:v>
      </x:c>
    </x:row>
    <x:row r="245">
      <x:c r="A245" s="85" t="n">
        <x:f>Chart_Data!A211</x:f>
        <x:v>44.5</x:v>
      </x:c>
      <x:c r="B245" s="85" t="n">
        <x:f>Chart_Data!J211</x:f>
        <x:v>-3.283716108943903</x:v>
      </x:c>
      <x:c r="C245" s="85" t="n">
        <x:f>Chart_Data!J211-Chart_Data!D211</x:f>
        <x:v>-2280.000272677275</x:v>
      </x:c>
      <x:c r="D245" s="85" t="n">
        <x:f>Chart_Data!J211-Chart_Data!E211</x:f>
        <x:v>-2178.877741102611</x:v>
      </x:c>
    </x:row>
    <x:row r="246">
      <x:c r="A246" s="85" t="n">
        <x:f>Chart_Data!A212</x:f>
        <x:v>45</x:v>
      </x:c>
      <x:c r="B246" s="85" t="n">
        <x:f>Chart_Data!J212</x:f>
        <x:v>-4.746207968267804</x:v>
      </x:c>
      <x:c r="C246" s="85" t="n">
        <x:f>Chart_Data!J212-Chart_Data!D212</x:f>
        <x:v>-2320.1427139005305</x:v>
      </x:c>
      <x:c r="D246" s="85" t="n">
        <x:f>Chart_Data!J212-Chart_Data!E212</x:f>
        <x:v>-2225.8164305255664</x:v>
      </x:c>
    </x:row>
    <x:row r="247">
      <x:c r="A247" s="85" t="n">
        <x:f>Chart_Data!A213</x:f>
        <x:v>45.5</x:v>
      </x:c>
      <x:c r="B247" s="85" t="n">
        <x:f>Chart_Data!J213</x:f>
        <x:v>-4.954776418919145</x:v>
      </x:c>
      <x:c r="C247" s="85" t="n">
        <x:f>Chart_Data!J213-Chart_Data!D213</x:f>
        <x:v>-2359.449008310083</x:v>
      </x:c>
      <x:c r="D247" s="85" t="n">
        <x:f>Chart_Data!J213-Chart_Data!E213</x:f>
        <x:v>-2263.0755759260874</x:v>
      </x:c>
    </x:row>
    <x:row r="248">
      <x:c r="A248" s="85" t="n">
        <x:f>Chart_Data!A214</x:f>
        <x:v>46</x:v>
      </x:c>
      <x:c r="B248" s="85" t="n">
        <x:f>Chart_Data!J214</x:f>
        <x:v>-0.04819256513620118</x:v>
      </x:c>
      <x:c r="C248" s="85" t="n">
        <x:f>Chart_Data!J214-Chart_Data!D214</x:f>
        <x:v>-2394.0574599652577</x:v>
      </x:c>
      <x:c r="D248" s="85" t="n">
        <x:f>Chart_Data!J214-Chart_Data!E214</x:f>
        <x:v>-2312.4123029782168</x:v>
      </x:c>
    </x:row>
    <x:row r="249">
      <x:c r="A249" s="85" t="n">
        <x:f>Chart_Data!A215</x:f>
        <x:v>46.5</x:v>
      </x:c>
      <x:c r="B249" s="85" t="n">
        <x:f>Chart_Data!J215</x:f>
        <x:v>-12.32376640540756</x:v>
      </x:c>
      <x:c r="C249" s="85" t="n">
        <x:f>Chart_Data!J215-Chart_Data!D215</x:f>
        <x:v>-2446.2649073651805</x:v>
      </x:c>
      <x:c r="D249" s="85" t="n">
        <x:f>Chart_Data!J215-Chart_Data!E215</x:f>
        <x:v>-2369.9125348767902</x:v>
      </x:c>
    </x:row>
    <x:row r="250">
      <x:c r="A250" s="85" t="n">
        <x:f>Chart_Data!A216</x:f>
        <x:v>47</x:v>
      </x:c>
      <x:c r="B250" s="85" t="n">
        <x:f>Chart_Data!J216</x:f>
        <x:v>5.624733438492097</x:v>
      </x:c>
      <x:c r="C250" s="85" t="n">
        <x:f>Chart_Data!J216-Chart_Data!D216</x:f>
        <x:v>-2468.6646431883228</x:v>
      </x:c>
      <x:c r="D250" s="85" t="n">
        <x:f>Chart_Data!J216-Chart_Data!E216</x:f>
        <x:v>-2405.840782162077</x:v>
      </x:c>
    </x:row>
    <x:row r="251">
      <x:c r="A251" s="85" t="n">
        <x:f>Chart_Data!A217</x:f>
        <x:v>47.5</x:v>
      </x:c>
      <x:c r="B251" s="85" t="n">
        <x:f>Chart_Data!J217</x:f>
        <x:v>4.725819493947935</x:v>
      </x:c>
      <x:c r="C251" s="85" t="n">
        <x:f>Chart_Data!J217-Chart_Data!D217</x:f>
        <x:v>-2510.327674547964</x:v>
      </x:c>
      <x:c r="D251" s="85" t="n">
        <x:f>Chart_Data!J217-Chart_Data!E217</x:f>
        <x:v>-2453.286179466215</x:v>
      </x:c>
    </x:row>
    <x:row r="252">
      <x:c r="A252" s="85" t="n">
        <x:f>Chart_Data!A218</x:f>
        <x:v>48</x:v>
      </x:c>
      <x:c r="B252" s="85" t="n">
        <x:f>Chart_Data!J218</x:f>
        <x:v>-9.076914728959792</x:v>
      </x:c>
      <x:c r="C252" s="85" t="n">
        <x:f>Chart_Data!J218-Chart_Data!D218</x:f>
        <x:v>-2565.309923179767</x:v>
      </x:c>
      <x:c r="D252" s="85" t="n">
        <x:f>Chart_Data!J218-Chart_Data!E218</x:f>
        <x:v>-2490.9761406102384</x:v>
      </x:c>
    </x:row>
    <x:row r="253">
      <x:c r="A253" s="85" t="n">
        <x:f>Chart_Data!A219</x:f>
        <x:v>48.5</x:v>
      </x:c>
      <x:c r="B253" s="85" t="n">
        <x:f>Chart_Data!J219</x:f>
        <x:v>-2.0408727900443155</x:v>
      </x:c>
      <x:c r="C253" s="85" t="n">
        <x:f>Chart_Data!J219-Chart_Data!D219</x:f>
        <x:v>-2599.868303516656</x:v>
      </x:c>
      <x:c r="D253" s="85" t="n">
        <x:f>Chart_Data!J219-Chart_Data!E219</x:f>
        <x:v>-2535.4462829494614</x:v>
      </x:c>
    </x:row>
    <x:row r="254">
      <x:c r="A254" s="85" t="n">
        <x:f>Chart_Data!A220</x:f>
        <x:v>49</x:v>
      </x:c>
      <x:c r="B254" s="85" t="n">
        <x:f>Chart_Data!J220</x:f>
        <x:v>10.43102720072224</x:v>
      </x:c>
      <x:c r="C254" s="85" t="n">
        <x:f>Chart_Data!J220-Chart_Data!D220</x:f>
        <x:v>-2629.405240192043</x:v>
      </x:c>
      <x:c r="D254" s="85" t="n">
        <x:f>Chart_Data!J220-Chart_Data!E220</x:f>
        <x:v>-2574.6180995541577</x:v>
      </x:c>
    </x:row>
    <x:row r="255">
      <x:c r="A255" s="85" t="n">
        <x:f>Chart_Data!A221</x:f>
        <x:v>49.5</x:v>
      </x:c>
      <x:c r="B255" s="85" t="n">
        <x:f>Chart_Data!J221</x:f>
        <x:v>-2.2699304094542576</x:v>
      </x:c>
      <x:c r="C255" s="85" t="n">
        <x:f>Chart_Data!J221-Chart_Data!D221</x:f>
        <x:v>-2684.528951051107</x:v>
      </x:c>
      <x:c r="D255" s="85" t="n">
        <x:f>Chart_Data!J221-Chart_Data!E221</x:f>
        <x:v>-2619.147493915519</x:v>
      </x:c>
    </x:row>
    <x:row r="256">
      <x:c r="A256" s="85" t="n">
        <x:f>Chart_Data!A222</x:f>
        <x:v>50</x:v>
      </x:c>
      <x:c r="B256" s="85" t="n">
        <x:f>Chart_Data!J222</x:f>
        <x:v>8.17258837755962</x:v>
      </x:c>
      <x:c r="C256" s="85" t="n">
        <x:f>Chart_Data!J222-Chart_Data!D222</x:f>
        <x:v>-2716.922599984927</x:v>
      </x:c>
      <x:c r="D256" s="85" t="n">
        <x:f>Chart_Data!J222-Chart_Data!E222</x:f>
        <x:v>-2657.745683468548</x:v>
      </x:c>
    </x:row>
    <x:row r="257">
      <x:c r="A257" s="85" t="n">
        <x:f>Chart_Data!A223</x:f>
        <x:v>50.5</x:v>
      </x:c>
      <x:c r="B257" s="85" t="n">
        <x:f>Chart_Data!J223</x:f>
        <x:v>7.175411887622014</x:v>
      </x:c>
      <x:c r="C257" s="85" t="n">
        <x:f>Chart_Data!J223-Chart_Data!D223</x:f>
        <x:v>-2761.1688522736094</x:v>
      </x:c>
      <x:c r="D257" s="85" t="n">
        <x:f>Chart_Data!J223-Chart_Data!E223</x:f>
        <x:v>-2689.4133508643063</x:v>
      </x:c>
    </x:row>
    <x:row r="258">
      <x:c r="A258" s="85" t="n">
        <x:f>Chart_Data!A224</x:f>
        <x:v>51</x:v>
      </x:c>
      <x:c r="B258" s="85" t="n">
        <x:f>Chart_Data!J224</x:f>
        <x:v>11.525237738664625</x:v>
      </x:c>
      <x:c r="C258" s="85" t="n">
        <x:f>Chart_Data!J224-Chart_Data!D224</x:f>
        <x:v>-2800.4804996425996</x:v>
      </x:c>
      <x:c r="D258" s="85" t="n">
        <x:f>Chart_Data!J224-Chart_Data!E224</x:f>
        <x:v>-2731.133386658269</x:v>
      </x:c>
    </x:row>
    <x:row r="259">
      <x:c r="A259" s="85" t="n">
        <x:f>Chart_Data!A225</x:f>
        <x:v>51.5</x:v>
      </x:c>
      <x:c r="B259" s="85" t="n">
        <x:f>Chart_Data!J225</x:f>
        <x:v>-4.550946531934956</x:v>
      </x:c>
      <x:c r="C259" s="85" t="n">
        <x:f>Chart_Data!J225-Chart_Data!D225</x:f>
        <x:v>-2860.630039665333</x:v>
      </x:c>
      <x:c r="D259" s="85" t="n">
        <x:f>Chart_Data!J225-Chart_Data!E225</x:f>
        <x:v>-2769.8082028953677</x:v>
      </x:c>
    </x:row>
    <x:row r="260">
      <x:c r="A260" s="85" t="n">
        <x:f>Chart_Data!A226</x:f>
        <x:v>52</x:v>
      </x:c>
      <x:c r="B260" s="85" t="n">
        <x:f>Chart_Data!J226</x:f>
        <x:v>-7.85094902162108</x:v>
      </x:c>
      <x:c r="C260" s="85" t="n">
        <x:f>Chart_Data!J226-Chart_Data!D226</x:f>
        <x:v>-2908.414761332345</x:v>
      </x:c>
      <x:c r="D260" s="85" t="n">
        <x:f>Chart_Data!J226-Chart_Data!E226</x:f>
        <x:v>-2811.683440967086</x:v>
      </x:c>
    </x:row>
    <x:row r="261">
      <x:c r="A261" s="85" t="n">
        <x:f>Chart_Data!A227</x:f>
        <x:v>52.5</x:v>
      </x:c>
      <x:c r="B261" s="85" t="n">
        <x:f>Chart_Data!J227</x:f>
        <x:v>6.588346931916092</x:v>
      </x:c>
      <x:c r="C261" s="85" t="n">
        <x:f>Chart_Data!J227-Chart_Data!D227</x:f>
        <x:v>-2938.8710246872</x:v>
      </x:c>
      <x:c r="D261" s="85" t="n">
        <x:f>Chart_Data!J227-Chart_Data!E227</x:f>
        <x:v>-2851.8908664833775</x:v>
      </x:c>
    </x:row>
    <x:row r="262">
      <x:c r="A262" s="85" t="n">
        <x:f>Chart_Data!A228</x:f>
        <x:v>53</x:v>
      </x:c>
      <x:c r="B262" s="85" t="n">
        <x:f>Chart_Data!J228</x:f>
        <x:v>4.508396540761183</x:v>
      </x:c>
      <x:c r="C262" s="85" t="n">
        <x:f>Chart_Data!J228-Chart_Data!D228</x:f>
        <x:v>-2986.2568470566803</x:v>
      </x:c>
      <x:c r="D262" s="85" t="n">
        <x:f>Chart_Data!J228-Chart_Data!E228</x:f>
        <x:v>-2887.380630448454</x:v>
      </x:c>
    </x:row>
    <x:row r="263">
      <x:c r="A263" s="85" t="n">
        <x:f>Chart_Data!A229</x:f>
        <x:v>53.5</x:v>
      </x:c>
      <x:c r="B263" s="85" t="n">
        <x:f>Chart_Data!J229</x:f>
        <x:v>-0.1280560890739677</x:v>
      </x:c>
      <x:c r="C263" s="85" t="n">
        <x:f>Chart_Data!J229-Chart_Data!D229</x:f>
        <x:v>-3036.608952725253</x:v>
      </x:c>
      <x:c r="D263" s="85" t="n">
        <x:f>Chart_Data!J229-Chart_Data!E229</x:f>
        <x:v>-2936.524171155848</x:v>
      </x:c>
    </x:row>
    <x:row r="264">
      <x:c r="A264" s="85" t="n">
        <x:f>Chart_Data!A230</x:f>
        <x:v>54</x:v>
      </x:c>
      <x:c r="B264" s="85" t="n">
        <x:f>Chart_Data!J230</x:f>
        <x:v>-7.852837825142384</x:v>
      </x:c>
      <x:c r="C264" s="85" t="n">
        <x:f>Chart_Data!J230-Chart_Data!D230</x:f>
        <x:v>-3090.4586328390624</x:v>
      </x:c>
      <x:c r="D264" s="85" t="n">
        <x:f>Chart_Data!J230-Chart_Data!E230</x:f>
        <x:v>-2985.783211412099</x:v>
      </x:c>
    </x:row>
    <x:row r="265">
      <x:c r="A265" s="85" t="n">
        <x:f>Chart_Data!A231</x:f>
        <x:v>54.5</x:v>
      </x:c>
      <x:c r="B265" s="85" t="n">
        <x:f>Chart_Data!J231</x:f>
        <x:v>-10.88592803052483</x:v>
      </x:c>
      <x:c r="C265" s="85" t="n">
        <x:f>Chart_Data!J231-Chart_Data!D231</x:f>
        <x:v>-3140.0253269396476</x:v>
      </x:c>
      <x:c r="D265" s="85" t="n">
        <x:f>Chart_Data!J231-Chart_Data!E231</x:f>
        <x:v>-3036.356160925845</x:v>
      </x:c>
    </x:row>
    <x:row r="266">
      <x:c r="A266" s="85" t="n">
        <x:f>Chart_Data!A232</x:f>
        <x:v>55</x:v>
      </x:c>
      <x:c r="B266" s="85" t="n">
        <x:f>Chart_Data!J232</x:f>
        <x:v>-2.7391578251359494</x:v>
      </x:c>
      <x:c r="C266" s="85" t="n">
        <x:f>Chart_Data!J232-Chart_Data!D232</x:f>
        <x:v>-3178.820322255073</x:v>
      </x:c>
      <x:c r="D266" s="85" t="n">
        <x:f>Chart_Data!J232-Chart_Data!E232</x:f>
        <x:v>-3073.2247609197007</x:v>
      </x:c>
    </x:row>
    <x:row r="267">
      <x:c r="A267" s="85" t="n">
        <x:f>Chart_Data!A233</x:f>
        <x:v>55.5</x:v>
      </x:c>
      <x:c r="B267" s="85" t="n">
        <x:f>Chart_Data!J233</x:f>
        <x:v>-6.538094280084824</x:v>
      </x:c>
      <x:c r="C267" s="85" t="n">
        <x:f>Chart_Data!J233-Chart_Data!D233</x:f>
        <x:v>-3229.968637916545</x:v>
      </x:c>
      <x:c r="D267" s="85" t="n">
        <x:f>Chart_Data!J233-Chart_Data!E233</x:f>
        <x:v>-3125.5514461581333</x:v>
      </x:c>
    </x:row>
    <x:row r="268">
      <x:c r="A268" s="85" t="n">
        <x:f>Chart_Data!A234</x:f>
        <x:v>56</x:v>
      </x:c>
      <x:c r="B268" s="85" t="n">
        <x:f>Chart_Data!J234</x:f>
        <x:v>-4.357290177669684</x:v>
      </x:c>
      <x:c r="C268" s="85" t="n">
        <x:f>Chart_Data!J234-Chart_Data!D234</x:f>
        <x:v>-3275.5442747434176</x:v>
      </x:c>
      <x:c r="D268" s="85" t="n">
        <x:f>Chart_Data!J234-Chart_Data!E234</x:f>
        <x:v>-3169.9776894377947</x:v>
      </x:c>
    </x:row>
    <x:row r="269">
      <x:c r="A269" s="85" t="n">
        <x:f>Chart_Data!A235</x:f>
        <x:v>56.5</x:v>
      </x:c>
      <x:c r="B269" s="85" t="n">
        <x:f>Chart_Data!J235</x:f>
        <x:v>21.715435034758002</x:v>
      </x:c>
      <x:c r="C269" s="85" t="n">
        <x:f>Chart_Data!J235-Chart_Data!D235</x:f>
        <x:v>-3297.6344962231415</x:v>
      </x:c>
      <x:c r="D269" s="85" t="n">
        <x:f>Chart_Data!J235-Chart_Data!E235</x:f>
        <x:v>-3204.9959828526316</x:v>
      </x:c>
    </x:row>
    <x:row r="270">
      <x:c r="A270" s="85" t="n">
        <x:f>Chart_Data!A236</x:f>
        <x:v>57</x:v>
      </x:c>
      <x:c r="B270" s="85" t="n">
        <x:f>Chart_Data!J236</x:f>
        <x:v>18.4135707545088</x:v>
      </x:c>
      <x:c r="C270" s="85" t="n">
        <x:f>Chart_Data!J236-Chart_Data!D236</x:f>
        <x:v>-3349.505253019945</x:v>
      </x:c>
      <x:c r="D270" s="85" t="n">
        <x:f>Chart_Data!J236-Chart_Data!E236</x:f>
        <x:v>-3249.186811157836</x:v>
      </x:c>
    </x:row>
    <x:row r="271">
      <x:c r="A271" s="85" t="n">
        <x:f>Chart_Data!A237</x:f>
        <x:v>57.5</x:v>
      </x:c>
      <x:c r="B271" s="85" t="n">
        <x:f>Chart_Data!J237</x:f>
        <x:v>25.968776223167485</x:v>
      </x:c>
      <x:c r="C271" s="85" t="n">
        <x:f>Chart_Data!J237-Chart_Data!D237</x:f>
        <x:v>-3390.924322009489</x:v>
      </x:c>
      <x:c r="D271" s="85" t="n">
        <x:f>Chart_Data!J237-Chart_Data!E237</x:f>
        <x:v>-3307.232331658119</x:v>
      </x:c>
    </x:row>
    <x:row r="272">
      <x:c r="A272" s="85" t="n">
        <x:f>Chart_Data!A238</x:f>
        <x:v>58</x:v>
      </x:c>
      <x:c r="B272" s="85" t="n">
        <x:f>Chart_Data!J238</x:f>
        <x:v>30.070182113253747</x:v>
      </x:c>
      <x:c r="C272" s="85" t="n">
        <x:f>Chart_Data!J238-Chart_Data!D238</x:f>
        <x:v>-3436.202004708394</x:v>
      </x:c>
      <x:c r="D272" s="85" t="n">
        <x:f>Chart_Data!J238-Chart_Data!E238</x:f>
        <x:v>-3345.8848026210303</x:v>
      </x:c>
    </x:row>
    <x:row r="273">
      <x:c r="A273" s="85" t="n">
        <x:f>Chart_Data!A239</x:f>
        <x:v>58.5</x:v>
      </x:c>
      <x:c r="B273" s="85" t="n">
        <x:f>Chart_Data!J239</x:f>
        <x:v>28.425297518081656</x:v>
      </x:c>
      <x:c r="C273" s="85" t="n">
        <x:f>Chart_Data!J239-Chart_Data!D239</x:f>
        <x:v>-3487.6302203127734</x:v>
      </x:c>
      <x:c r="D273" s="85" t="n">
        <x:f>Chart_Data!J239-Chart_Data!E239</x:f>
        <x:v>-3399.8316696284915</x:v>
      </x:c>
    </x:row>
    <x:row r="274">
      <x:c r="A274" s="85" t="n">
        <x:f>Chart_Data!A240</x:f>
        <x:v>59</x:v>
      </x:c>
      <x:c r="B274" s="85" t="n">
        <x:f>Chart_Data!J240</x:f>
        <x:v>25.687015205000044</x:v>
      </x:c>
      <x:c r="C274" s="85" t="n">
        <x:f>Chart_Data!J240-Chart_Data!D240</x:f>
        <x:v>-3540.555500472423</x:v>
      </x:c>
      <x:c r="D274" s="85" t="n">
        <x:f>Chart_Data!J240-Chart_Data!E240</x:f>
        <x:v>-3448.2678732875343</x:v>
      </x:c>
    </x:row>
    <x:row r="275">
      <x:c r="A275" s="85" t="n">
        <x:f>Chart_Data!A241</x:f>
        <x:v>59.5</x:v>
      </x:c>
      <x:c r="B275" s="85" t="n">
        <x:f>Chart_Data!J241</x:f>
        <x:v>45.681577079364786</x:v>
      </x:c>
      <x:c r="C275" s="85" t="n">
        <x:f>Chart_Data!J241-Chart_Data!D241</x:f>
        <x:v>-3571.151023844924</x:v>
      </x:c>
      <x:c r="D275" s="85" t="n">
        <x:f>Chart_Data!J241-Chart_Data!E241</x:f>
        <x:v>-3503.761373850742</x:v>
      </x:c>
    </x:row>
    <x:row r="276">
      <x:c r="A276" s="85" t="n">
        <x:f>Chart_Data!A242</x:f>
        <x:v>60</x:v>
      </x:c>
      <x:c r="B276" s="85" t="n">
        <x:f>Chart_Data!J242</x:f>
        <x:v>31.89413090916895</x:v>
      </x:c>
      <x:c r="C276" s="85" t="n">
        <x:f>Chart_Data!J242-Chart_Data!D242</x:f>
        <x:v>-3635.931059404609</x:v>
      </x:c>
      <x:c r="D276" s="85" t="n">
        <x:f>Chart_Data!J242-Chart_Data!E242</x:f>
        <x:v>-3555.1126004354833</x:v>
      </x:c>
    </x:row>
  </x:sheetData>
  <x:mergeCells>
    <x:mergeCell ref="A1:J1"/>
    <x:mergeCell ref="A2:J4"/>
    <x:mergeCell ref="F35:J35"/>
    <x:mergeCell ref="G36:J36"/>
    <x:mergeCell ref="G37:J37"/>
    <x:mergeCell ref="G38:J38"/>
    <x:mergeCell ref="G39:J39"/>
  </x:mergeCells>
  <x:pageMargins left="0.7" right="0.7" top="0.75" bottom="0.75" header="0.3" footer="0.3"/>
  <x:drawing xmlns:r="http://schemas.openxmlformats.org/officeDocument/2006/relationships" r:id="R7eafdf9c1f614ebd"/>
</x:worksheet>
</file>